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History" sheetId="2" state="visible" r:id="rId4"/>
    <sheet name="Simulations" sheetId="3" state="visible" r:id="rId5"/>
    <sheet name="Sample Path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<sst xmlns="http://schemas.openxmlformats.org/spreadsheetml/2006/main" count="140" uniqueCount="116">
  <si>
    <t xml:space="preserve">Portfolio risk: Monte Carlo VaR, CVaR and drawdown</t>
  </si>
  <si>
    <t xml:space="preserve">Correlated GBM (Cholesky) | 10,000 simulations | horizon 252 trading days | data 2021-10-01 to 2026-09-30 (offline snapshot (prices_snapshot.csv)). Blue cells are inputs; everything else is a formula.</t>
  </si>
  <si>
    <t xml:space="preserve">Inputs</t>
  </si>
  <si>
    <t xml:space="preserve">Check: Excel vs Python</t>
  </si>
  <si>
    <t xml:space="preserve">Excel</t>
  </si>
  <si>
    <t xml:space="preserve">Python</t>
  </si>
  <si>
    <t xml:space="preserve">Difference</t>
  </si>
  <si>
    <t xml:space="preserve">Starting value ($)</t>
  </si>
  <si>
    <t xml:space="preserve">Mean</t>
  </si>
  <si>
    <t xml:space="preserve">Horizon (trading days)</t>
  </si>
  <si>
    <t xml:space="preserve">Median</t>
  </si>
  <si>
    <t xml:space="preserve">Simulations</t>
  </si>
  <si>
    <t xml:space="preserve">Standard deviation</t>
  </si>
  <si>
    <t xml:space="preserve">Method</t>
  </si>
  <si>
    <t xml:space="preserve">Correlated GBM (Cholesky)</t>
  </si>
  <si>
    <t xml:space="preserve">5th percentile</t>
  </si>
  <si>
    <t xml:space="preserve">Rebalancing</t>
  </si>
  <si>
    <t xml:space="preserve">Buy and hold (weights drift)</t>
  </si>
  <si>
    <t xml:space="preserve">25th percentile</t>
  </si>
  <si>
    <t xml:space="preserve">Random seed</t>
  </si>
  <si>
    <t xml:space="preserve">75th percentile</t>
  </si>
  <si>
    <t xml:space="preserve">95th percentile</t>
  </si>
  <si>
    <t xml:space="preserve">Ticker</t>
  </si>
  <si>
    <t xml:space="preserve">Weight</t>
  </si>
  <si>
    <t xml:space="preserve">Minimum</t>
  </si>
  <si>
    <t xml:space="preserve">SPY</t>
  </si>
  <si>
    <t xml:space="preserve">Maximum</t>
  </si>
  <si>
    <t xml:space="preserve">AGG</t>
  </si>
  <si>
    <t xml:space="preserve">Probability of a loss</t>
  </si>
  <si>
    <t xml:space="preserve">Total</t>
  </si>
  <si>
    <t xml:space="preserve">MC VaR 95 $</t>
  </si>
  <si>
    <t xml:space="preserve">MC CVaR 95 $</t>
  </si>
  <si>
    <t xml:space="preserve">Simulated value after the horizon (formulas over 'Simulations')</t>
  </si>
  <si>
    <t xml:space="preserve">MC VaR 95 %</t>
  </si>
  <si>
    <t xml:space="preserve">MC VaR 99 $</t>
  </si>
  <si>
    <t xml:space="preserve">MC CVaR 99 $</t>
  </si>
  <si>
    <t xml:space="preserve">MC VaR 99 %</t>
  </si>
  <si>
    <t xml:space="preserve">Median max drawdown</t>
  </si>
  <si>
    <t xml:space="preserve">95th percentile max drawdown</t>
  </si>
  <si>
    <t xml:space="preserve">Worst max drawdown</t>
  </si>
  <si>
    <t xml:space="preserve">Hist mean daily log return</t>
  </si>
  <si>
    <t xml:space="preserve">Hist daily volatility</t>
  </si>
  <si>
    <t xml:space="preserve">Parametric VaR 95 %</t>
  </si>
  <si>
    <t xml:space="preserve">Parametric CVaR 95 %</t>
  </si>
  <si>
    <t xml:space="preserve">Parametric VaR 99 %</t>
  </si>
  <si>
    <t xml:space="preserve">Monte Carlo VaR and CVaR (positive = loss over the horizon)</t>
  </si>
  <si>
    <t xml:space="preserve">Measure</t>
  </si>
  <si>
    <t xml:space="preserve">Loss ($)</t>
  </si>
  <si>
    <t xml:space="preserve">Loss (% of start)</t>
  </si>
  <si>
    <t xml:space="preserve">VaR 95%</t>
  </si>
  <si>
    <t xml:space="preserve">CVaR 95% (expected shortfall)</t>
  </si>
  <si>
    <t xml:space="preserve">VaR 99%</t>
  </si>
  <si>
    <t xml:space="preserve">CVaR 99% (expected shortfall)</t>
  </si>
  <si>
    <t xml:space="preserve">Maximum drawdown per path (positive = fall from the running peak)</t>
  </si>
  <si>
    <t xml:space="preserve">Comparison on 1,253 historical daily returns (formulas over 'History')</t>
  </si>
  <si>
    <t xml:space="preserve">Mean daily log return (portfolio)</t>
  </si>
  <si>
    <t xml:space="preserve">Daily volatility (portfolio)</t>
  </si>
  <si>
    <t xml:space="preserve">Horizon mean  μ·H</t>
  </si>
  <si>
    <t xml:space="preserve">Horizon volatility  σ·√H</t>
  </si>
  <si>
    <t xml:space="preserve">CVaR 95%</t>
  </si>
  <si>
    <t xml:space="preserve">CVaR 99%</t>
  </si>
  <si>
    <t xml:space="preserve">Monte Carlo (this simulation)</t>
  </si>
  <si>
    <t xml:space="preserve">Parametric (lognormal, μ·H and σ·√H)</t>
  </si>
  <si>
    <t xml:space="preserve">Historical, overlapping 252-day windows</t>
  </si>
  <si>
    <t xml:space="preserve">Historical 1-day VaR × √H (ignores drift)</t>
  </si>
  <si>
    <t xml:space="preserve">1,002 overlapping windows; they share most of their days, so they are far from independent.</t>
  </si>
  <si>
    <t xml:space="preserve">Asset parameters estimated from the history (annualised with 252 days)</t>
  </si>
  <si>
    <t xml:space="preserve">Mean log return / yr</t>
  </si>
  <si>
    <t xml:space="preserve">Volatility / yr</t>
  </si>
  <si>
    <t xml:space="preserve">GBM drift μ / yr</t>
  </si>
  <si>
    <t xml:space="preserve">Correlation</t>
  </si>
  <si>
    <t xml:space="preserve">Notes</t>
  </si>
  <si>
    <t xml:space="preserve">VaR and CVaR are positive loss amounts over the horizon above, measured from the starting value.</t>
  </si>
  <si>
    <t xml:space="preserve">VaR p% = start - PERCENTILE.INC(simulated values, 1-p): the loss exceeded in only (1-p) of scenarios.</t>
  </si>
  <si>
    <t xml:space="preserve">CVaR p% = average loss in the scenarios at or beyond VaR (expected shortfall).</t>
  </si>
  <si>
    <t xml:space="preserve">Simulation: daily log returns ~ N(m, Σ) with m = historical mean log return (already μ - σ²/2) and</t>
  </si>
  <si>
    <t xml:space="preserve">  Σ = historical daily covariance, correlated through its Cholesky factor. Historical bootstrap resamples whole days.</t>
  </si>
  <si>
    <t xml:space="preserve">Missing prices are not filled: only dates on which every ticker traded are used.</t>
  </si>
  <si>
    <t xml:space="preserve">Date</t>
  </si>
  <si>
    <t xml:space="preserve">SPY price</t>
  </si>
  <si>
    <t xml:space="preserve">AGG price</t>
  </si>
  <si>
    <t xml:space="preserve">SPY log return</t>
  </si>
  <si>
    <t xml:space="preserve">AGG log return</t>
  </si>
  <si>
    <t xml:space="preserve">Portfolio log return (daily rebalanced)</t>
  </si>
  <si>
    <t xml:space="preserve">Portfolio simple return</t>
  </si>
  <si>
    <t xml:space="preserve">252-day return (window ending here)</t>
  </si>
  <si>
    <t xml:space="preserve">Simulation</t>
  </si>
  <si>
    <t xml:space="preserve">Value after horizon ($)</t>
  </si>
  <si>
    <t xml:space="preserve">Max drawdown</t>
  </si>
  <si>
    <t xml:space="preserve">Return</t>
  </si>
  <si>
    <t xml:space="preserve">Day</t>
  </si>
  <si>
    <t xml:space="preserve">Path 1</t>
  </si>
  <si>
    <t xml:space="preserve">Path 2</t>
  </si>
  <si>
    <t xml:space="preserve">Path 3</t>
  </si>
  <si>
    <t xml:space="preserve">Path 4</t>
  </si>
  <si>
    <t xml:space="preserve">Path 5</t>
  </si>
  <si>
    <t xml:space="preserve">Path 6</t>
  </si>
  <si>
    <t xml:space="preserve">Path 7</t>
  </si>
  <si>
    <t xml:space="preserve">Path 8</t>
  </si>
  <si>
    <t xml:space="preserve">Path 9</t>
  </si>
  <si>
    <t xml:space="preserve">Path 10</t>
  </si>
  <si>
    <t xml:space="preserve">Path 11</t>
  </si>
  <si>
    <t xml:space="preserve">Path 12</t>
  </si>
  <si>
    <t xml:space="preserve">Path 13</t>
  </si>
  <si>
    <t xml:space="preserve">Path 14</t>
  </si>
  <si>
    <t xml:space="preserve">Path 15</t>
  </si>
  <si>
    <t xml:space="preserve">Path 16</t>
  </si>
  <si>
    <t xml:space="preserve">Path 17</t>
  </si>
  <si>
    <t xml:space="preserve">Path 18</t>
  </si>
  <si>
    <t xml:space="preserve">Path 19</t>
  </si>
  <si>
    <t xml:space="preserve">Path 20</t>
  </si>
  <si>
    <t xml:space="preserve">Path 21</t>
  </si>
  <si>
    <t xml:space="preserve">Path 22</t>
  </si>
  <si>
    <t xml:space="preserve">Path 23</t>
  </si>
  <si>
    <t xml:space="preserve">Path 24</t>
  </si>
  <si>
    <t xml:space="preserve">Path 25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</si>
</sst>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.0000"/>
    <numFmt numFmtId="167" formatCode="0.0E+00"/>
    <numFmt numFmtId="168" formatCode="0"/>
    <numFmt numFmtId="169" formatCode="#,##0"/>
    <numFmt numFmtId="170" formatCode="0.00%"/>
    <numFmt numFmtId="171" formatCode="0.000000"/>
    <numFmt numFmtId="172" formatCode="0.0000"/>
    <numFmt numFmtId="173" formatCode="0.000"/>
    <numFmt numFmtId="174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9" min="8" style="0" width="15"/>
    <col collapsed="false" customWidth="true" hidden="false" outlineLevel="0" max="10" min="10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G4" s="4" t="s">
        <v>3</v>
      </c>
      <c r="H4" s="4" t="s">
        <v>4</v>
      </c>
      <c r="I4" s="4" t="s">
        <v>5</v>
      </c>
      <c r="J4" s="4" t="s">
        <v>6</v>
      </c>
    </row>
    <row r="5" customFormat="false" ht="15" hidden="false" customHeight="false" outlineLevel="0" collapsed="false">
      <c r="A5" s="5" t="s">
        <v>7</v>
      </c>
      <c r="B5" s="6" t="n">
        <v>100000</v>
      </c>
      <c r="G5" s="5" t="s">
        <v>8</v>
      </c>
      <c r="H5" s="7" t="n">
        <f aca="false">B18</f>
        <v>109117.075766999</v>
      </c>
      <c r="I5" s="7" t="n">
        <v>109117.075766999</v>
      </c>
      <c r="J5" s="8" t="n">
        <f aca="false">IFERROR(H5-I5,"n/a")</f>
        <v>0</v>
      </c>
    </row>
    <row r="6" customFormat="false" ht="15" hidden="false" customHeight="false" outlineLevel="0" collapsed="false">
      <c r="A6" s="5" t="s">
        <v>9</v>
      </c>
      <c r="B6" s="9" t="n">
        <v>252</v>
      </c>
      <c r="G6" s="5" t="s">
        <v>10</v>
      </c>
      <c r="H6" s="7" t="n">
        <f aca="false">B19</f>
        <v>108067.601829615</v>
      </c>
      <c r="I6" s="7" t="n">
        <v>108067.601829615</v>
      </c>
      <c r="J6" s="8" t="n">
        <f aca="false">IFERROR(H6-I6,"n/a")</f>
        <v>0</v>
      </c>
    </row>
    <row r="7" customFormat="false" ht="15" hidden="false" customHeight="false" outlineLevel="0" collapsed="false">
      <c r="A7" s="5" t="s">
        <v>11</v>
      </c>
      <c r="B7" s="10" t="n">
        <f aca="false">COUNT(Simulations!B:B)</f>
        <v>10000</v>
      </c>
      <c r="G7" s="5" t="s">
        <v>12</v>
      </c>
      <c r="H7" s="7" t="n">
        <f aca="false">B20</f>
        <v>12888.6604838411</v>
      </c>
      <c r="I7" s="7" t="n">
        <v>12888.6604838411</v>
      </c>
      <c r="J7" s="8" t="n">
        <f aca="false">IFERROR(H7-I7,"n/a")</f>
        <v>0</v>
      </c>
    </row>
    <row r="8" customFormat="false" ht="15" hidden="false" customHeight="false" outlineLevel="0" collapsed="false">
      <c r="A8" s="5" t="s">
        <v>13</v>
      </c>
      <c r="B8" s="5" t="s">
        <v>14</v>
      </c>
      <c r="G8" s="5" t="s">
        <v>15</v>
      </c>
      <c r="H8" s="7" t="n">
        <f aca="false">B21</f>
        <v>90174.8659462942</v>
      </c>
      <c r="I8" s="7" t="n">
        <v>90174.8659462942</v>
      </c>
      <c r="J8" s="8" t="n">
        <f aca="false">IFERROR(H8-I8,"n/a")</f>
        <v>0</v>
      </c>
    </row>
    <row r="9" customFormat="false" ht="15" hidden="false" customHeight="false" outlineLevel="0" collapsed="false">
      <c r="A9" s="5" t="s">
        <v>16</v>
      </c>
      <c r="B9" s="5" t="s">
        <v>17</v>
      </c>
      <c r="G9" s="5" t="s">
        <v>18</v>
      </c>
      <c r="H9" s="7" t="n">
        <f aca="false">B22</f>
        <v>100072.68549794</v>
      </c>
      <c r="I9" s="7" t="n">
        <v>100072.68549794</v>
      </c>
      <c r="J9" s="8" t="n">
        <f aca="false">IFERROR(H9-I9,"n/a")</f>
        <v>0</v>
      </c>
    </row>
    <row r="10" customFormat="false" ht="15" hidden="false" customHeight="false" outlineLevel="0" collapsed="false">
      <c r="A10" s="5" t="s">
        <v>19</v>
      </c>
      <c r="B10" s="5" t="n">
        <v>42</v>
      </c>
      <c r="G10" s="5" t="s">
        <v>20</v>
      </c>
      <c r="H10" s="7" t="n">
        <f aca="false">B23</f>
        <v>116972.911986404</v>
      </c>
      <c r="I10" s="7" t="n">
        <v>116972.911986404</v>
      </c>
      <c r="J10" s="8" t="n">
        <f aca="false">IFERROR(H10-I10,"n/a")</f>
        <v>0</v>
      </c>
    </row>
    <row r="11" customFormat="false" ht="15" hidden="false" customHeight="false" outlineLevel="0" collapsed="false">
      <c r="G11" s="5" t="s">
        <v>21</v>
      </c>
      <c r="H11" s="7" t="n">
        <f aca="false">B24</f>
        <v>132007.791435284</v>
      </c>
      <c r="I11" s="7" t="n">
        <v>132007.791435284</v>
      </c>
      <c r="J11" s="8" t="n">
        <f aca="false">IFERROR(H11-I11,"n/a")</f>
        <v>0</v>
      </c>
    </row>
    <row r="12" customFormat="false" ht="15" hidden="false" customHeight="false" outlineLevel="0" collapsed="false">
      <c r="A12" s="4" t="s">
        <v>22</v>
      </c>
      <c r="B12" s="4" t="s">
        <v>23</v>
      </c>
      <c r="G12" s="5" t="s">
        <v>24</v>
      </c>
      <c r="H12" s="7" t="n">
        <f aca="false">B25</f>
        <v>71998.565873607</v>
      </c>
      <c r="I12" s="7" t="n">
        <v>71998.565873607</v>
      </c>
      <c r="J12" s="8" t="n">
        <f aca="false">IFERROR(H12-I12,"n/a")</f>
        <v>0</v>
      </c>
    </row>
    <row r="13" customFormat="false" ht="15" hidden="false" customHeight="false" outlineLevel="0" collapsed="false">
      <c r="A13" s="5" t="s">
        <v>25</v>
      </c>
      <c r="B13" s="11" t="n">
        <v>0.6</v>
      </c>
      <c r="G13" s="5" t="s">
        <v>26</v>
      </c>
      <c r="H13" s="7" t="n">
        <f aca="false">B26</f>
        <v>184831.087315756</v>
      </c>
      <c r="I13" s="7" t="n">
        <v>184831.087315756</v>
      </c>
      <c r="J13" s="8" t="n">
        <f aca="false">IFERROR(H13-I13,"n/a")</f>
        <v>0</v>
      </c>
    </row>
    <row r="14" customFormat="false" ht="15" hidden="false" customHeight="false" outlineLevel="0" collapsed="false">
      <c r="A14" s="5" t="s">
        <v>27</v>
      </c>
      <c r="B14" s="11" t="n">
        <v>0.4</v>
      </c>
      <c r="G14" s="5" t="s">
        <v>28</v>
      </c>
      <c r="H14" s="7" t="n">
        <f aca="false">B27</f>
        <v>0.2481</v>
      </c>
      <c r="I14" s="7" t="n">
        <v>0.2481</v>
      </c>
      <c r="J14" s="8" t="n">
        <f aca="false">IFERROR(H14-I14,"n/a")</f>
        <v>0</v>
      </c>
    </row>
    <row r="15" customFormat="false" ht="15" hidden="false" customHeight="false" outlineLevel="0" collapsed="false">
      <c r="A15" s="5" t="s">
        <v>29</v>
      </c>
      <c r="B15" s="12" t="n">
        <f aca="false">SUM(B13:B14)</f>
        <v>1</v>
      </c>
      <c r="G15" s="5" t="s">
        <v>30</v>
      </c>
      <c r="H15" s="7" t="n">
        <f aca="false">B31</f>
        <v>9825.13405370581</v>
      </c>
      <c r="I15" s="7" t="n">
        <v>9825.1340537058</v>
      </c>
      <c r="J15" s="8" t="n">
        <f aca="false">IFERROR(H15-I15,"n/a")</f>
        <v>0</v>
      </c>
    </row>
    <row r="16" customFormat="false" ht="15" hidden="false" customHeight="false" outlineLevel="0" collapsed="false">
      <c r="G16" s="5" t="s">
        <v>31</v>
      </c>
      <c r="H16" s="7" t="n">
        <f aca="false">B32</f>
        <v>13917.2615682939</v>
      </c>
      <c r="I16" s="7" t="n">
        <v>13917.2615682939</v>
      </c>
      <c r="J16" s="8" t="n">
        <f aca="false">IFERROR(H16-I16,"n/a")</f>
        <v>0</v>
      </c>
    </row>
    <row r="17" customFormat="false" ht="15" hidden="false" customHeight="false" outlineLevel="0" collapsed="false">
      <c r="A17" s="3" t="s">
        <v>32</v>
      </c>
      <c r="B17" s="3"/>
      <c r="C17" s="3"/>
      <c r="G17" s="5" t="s">
        <v>33</v>
      </c>
      <c r="H17" s="7" t="n">
        <f aca="false">C31</f>
        <v>0.0982513405370581</v>
      </c>
      <c r="I17" s="7" t="n">
        <v>0.098251340537058</v>
      </c>
      <c r="J17" s="8" t="n">
        <f aca="false">IFERROR(H17-I17,"n/a")</f>
        <v>0</v>
      </c>
    </row>
    <row r="18" customFormat="false" ht="15" hidden="false" customHeight="false" outlineLevel="0" collapsed="false">
      <c r="A18" s="5" t="s">
        <v>8</v>
      </c>
      <c r="B18" s="13" t="n">
        <f aca="false">AVERAGE(Simulations!$B$2:$B$10001)</f>
        <v>109117.075766999</v>
      </c>
      <c r="G18" s="5" t="s">
        <v>34</v>
      </c>
      <c r="H18" s="7" t="n">
        <f aca="false">B33</f>
        <v>16538.2794569575</v>
      </c>
      <c r="I18" s="7" t="n">
        <v>16538.2794569575</v>
      </c>
      <c r="J18" s="8" t="n">
        <f aca="false">IFERROR(H18-I18,"n/a")</f>
        <v>0</v>
      </c>
    </row>
    <row r="19" customFormat="false" ht="15" hidden="false" customHeight="false" outlineLevel="0" collapsed="false">
      <c r="A19" s="5" t="s">
        <v>10</v>
      </c>
      <c r="B19" s="13" t="n">
        <f aca="false">MEDIAN(Simulations!$B$2:$B$10001)</f>
        <v>108067.601829615</v>
      </c>
      <c r="G19" s="5" t="s">
        <v>35</v>
      </c>
      <c r="H19" s="7" t="n">
        <f aca="false">B34</f>
        <v>19250.0466007251</v>
      </c>
      <c r="I19" s="7" t="n">
        <v>19250.046600725</v>
      </c>
      <c r="J19" s="8" t="n">
        <f aca="false">IFERROR(H19-I19,"n/a")</f>
        <v>0</v>
      </c>
    </row>
    <row r="20" customFormat="false" ht="15" hidden="false" customHeight="false" outlineLevel="0" collapsed="false">
      <c r="A20" s="5" t="s">
        <v>12</v>
      </c>
      <c r="B20" s="13" t="n">
        <f aca="false">_xlfn.STDEV.S(Simulations!$B$2:$B$10001)</f>
        <v>12888.6604838411</v>
      </c>
      <c r="G20" s="5" t="s">
        <v>36</v>
      </c>
      <c r="H20" s="7" t="n">
        <f aca="false">C33</f>
        <v>0.165382794569575</v>
      </c>
      <c r="I20" s="7" t="n">
        <v>0.165382794569575</v>
      </c>
      <c r="J20" s="8" t="n">
        <f aca="false">IFERROR(H20-I20,"n/a")</f>
        <v>0</v>
      </c>
    </row>
    <row r="21" customFormat="false" ht="15" hidden="false" customHeight="false" outlineLevel="0" collapsed="false">
      <c r="A21" s="5" t="s">
        <v>15</v>
      </c>
      <c r="B21" s="13" t="n">
        <f aca="false">_xlfn.PERCENTILE.INC(Simulations!$B$2:$B$10001,0.05)</f>
        <v>90174.8659462942</v>
      </c>
      <c r="G21" s="5" t="s">
        <v>37</v>
      </c>
      <c r="H21" s="7" t="n">
        <f aca="false">B37</f>
        <v>0.0911951860227027</v>
      </c>
      <c r="I21" s="7" t="n">
        <v>0.0911951860227027</v>
      </c>
      <c r="J21" s="8" t="n">
        <f aca="false">IFERROR(H21-I21,"n/a")</f>
        <v>0</v>
      </c>
    </row>
    <row r="22" customFormat="false" ht="15" hidden="false" customHeight="false" outlineLevel="0" collapsed="false">
      <c r="A22" s="5" t="s">
        <v>18</v>
      </c>
      <c r="B22" s="13" t="n">
        <f aca="false">_xlfn.PERCENTILE.INC(Simulations!$B$2:$B$10001,0.25)</f>
        <v>100072.68549794</v>
      </c>
      <c r="G22" s="5" t="s">
        <v>38</v>
      </c>
      <c r="H22" s="7" t="n">
        <f aca="false">B38</f>
        <v>0.172078438199624</v>
      </c>
      <c r="I22" s="7" t="n">
        <v>0.172078438199624</v>
      </c>
      <c r="J22" s="8" t="n">
        <f aca="false">IFERROR(H22-I22,"n/a")</f>
        <v>0</v>
      </c>
    </row>
    <row r="23" customFormat="false" ht="15" hidden="false" customHeight="false" outlineLevel="0" collapsed="false">
      <c r="A23" s="5" t="s">
        <v>20</v>
      </c>
      <c r="B23" s="13" t="n">
        <f aca="false">_xlfn.PERCENTILE.INC(Simulations!$B$2:$B$10001,0.75)</f>
        <v>116972.911986404</v>
      </c>
      <c r="G23" s="5" t="s">
        <v>39</v>
      </c>
      <c r="H23" s="7" t="n">
        <f aca="false">B39</f>
        <v>0.315239208166232</v>
      </c>
      <c r="I23" s="7" t="n">
        <v>0.315239208166232</v>
      </c>
      <c r="J23" s="8" t="n">
        <f aca="false">IFERROR(H23-I23,"n/a")</f>
        <v>0</v>
      </c>
    </row>
    <row r="24" customFormat="false" ht="15" hidden="false" customHeight="false" outlineLevel="0" collapsed="false">
      <c r="A24" s="5" t="s">
        <v>21</v>
      </c>
      <c r="B24" s="13" t="n">
        <f aca="false">_xlfn.PERCENTILE.INC(Simulations!$B$2:$B$10001,0.95)</f>
        <v>132007.791435284</v>
      </c>
      <c r="G24" s="5" t="s">
        <v>40</v>
      </c>
      <c r="H24" s="7" t="n">
        <f aca="false">B42</f>
        <v>0.000304347007631847</v>
      </c>
      <c r="I24" s="7" t="n">
        <v>0.000304347007631847</v>
      </c>
      <c r="J24" s="8" t="n">
        <f aca="false">IFERROR(H24-I24,"n/a")</f>
        <v>0</v>
      </c>
    </row>
    <row r="25" customFormat="false" ht="15" hidden="false" customHeight="false" outlineLevel="0" collapsed="false">
      <c r="A25" s="5" t="s">
        <v>24</v>
      </c>
      <c r="B25" s="13" t="n">
        <f aca="false">MIN(Simulations!$B$2:$B$10001)</f>
        <v>71998.565873607</v>
      </c>
      <c r="G25" s="5" t="s">
        <v>41</v>
      </c>
      <c r="H25" s="7" t="n">
        <f aca="false">B43</f>
        <v>0.0069888004015587</v>
      </c>
      <c r="I25" s="7" t="n">
        <v>0.00698880040155869</v>
      </c>
      <c r="J25" s="8" t="n">
        <f aca="false">IFERROR(H25-I25,"n/a")</f>
        <v>0</v>
      </c>
    </row>
    <row r="26" customFormat="false" ht="15" hidden="false" customHeight="false" outlineLevel="0" collapsed="false">
      <c r="A26" s="5" t="s">
        <v>26</v>
      </c>
      <c r="B26" s="13" t="n">
        <f aca="false">MAX(Simulations!$B$2:$B$10001)</f>
        <v>184831.087315756</v>
      </c>
      <c r="G26" s="5" t="s">
        <v>42</v>
      </c>
      <c r="H26" s="7" t="n">
        <f aca="false">B49</f>
        <v>0.100387182981</v>
      </c>
      <c r="I26" s="7" t="n">
        <v>0.100387182981</v>
      </c>
      <c r="J26" s="8" t="n">
        <f aca="false">IFERROR(H26-I26,"n/a")</f>
        <v>0</v>
      </c>
    </row>
    <row r="27" customFormat="false" ht="15" hidden="false" customHeight="false" outlineLevel="0" collapsed="false">
      <c r="A27" s="5" t="s">
        <v>28</v>
      </c>
      <c r="B27" s="12" t="n">
        <f aca="false">COUNTIF(Simulations!$B$2:$B$10001,"&lt;"&amp;$B$5)/COUNT(Simulations!$B$2:$B$10001)</f>
        <v>0.2481</v>
      </c>
      <c r="G27" s="5" t="s">
        <v>43</v>
      </c>
      <c r="H27" s="7" t="n">
        <f aca="false">C49</f>
        <v>0.140424620110541</v>
      </c>
      <c r="I27" s="7" t="n">
        <v>0.140424620110544</v>
      </c>
      <c r="J27" s="8" t="n">
        <f aca="false">IFERROR(H27-I27,"n/a")</f>
        <v>-2.66453525910038E-015</v>
      </c>
    </row>
    <row r="28" customFormat="false" ht="15" hidden="false" customHeight="false" outlineLevel="0" collapsed="false">
      <c r="G28" s="5" t="s">
        <v>44</v>
      </c>
      <c r="H28" s="7" t="n">
        <f aca="false">D49</f>
        <v>0.165896972817987</v>
      </c>
      <c r="I28" s="7" t="n">
        <v>0.165896972817987</v>
      </c>
      <c r="J28" s="8" t="n">
        <f aca="false">IFERROR(H28-I28,"n/a")</f>
        <v>0</v>
      </c>
    </row>
    <row r="29" customFormat="false" ht="15" hidden="false" customHeight="false" outlineLevel="0" collapsed="false">
      <c r="A29" s="3" t="s">
        <v>45</v>
      </c>
      <c r="B29" s="3"/>
      <c r="C29" s="3"/>
      <c r="D29" s="3"/>
    </row>
    <row r="30" customFormat="false" ht="15" hidden="false" customHeight="false" outlineLevel="0" collapsed="false">
      <c r="A30" s="4" t="s">
        <v>46</v>
      </c>
      <c r="B30" s="4" t="s">
        <v>47</v>
      </c>
      <c r="C30" s="4" t="s">
        <v>48</v>
      </c>
    </row>
    <row r="31" customFormat="false" ht="15" hidden="false" customHeight="false" outlineLevel="0" collapsed="false">
      <c r="A31" s="5" t="s">
        <v>49</v>
      </c>
      <c r="B31" s="14" t="n">
        <f aca="false">$B$5-_xlfn.PERCENTILE.INC(Simulations!$B$2:$B$10001,0.05)</f>
        <v>9825.13405370581</v>
      </c>
      <c r="C31" s="15" t="n">
        <f aca="false">B31/$B$5</f>
        <v>0.0982513405370581</v>
      </c>
    </row>
    <row r="32" customFormat="false" ht="15" hidden="false" customHeight="false" outlineLevel="0" collapsed="false">
      <c r="A32" s="5" t="s">
        <v>50</v>
      </c>
      <c r="B32" s="14" t="n">
        <f aca="false">$B$5-AVERAGEIF(Simulations!$B$2:$B$10001,"&lt;="&amp;($B$5-B31))</f>
        <v>13917.2615682939</v>
      </c>
      <c r="C32" s="15" t="n">
        <f aca="false">B32/$B$5</f>
        <v>0.139172615682939</v>
      </c>
    </row>
    <row r="33" customFormat="false" ht="15" hidden="false" customHeight="false" outlineLevel="0" collapsed="false">
      <c r="A33" s="5" t="s">
        <v>51</v>
      </c>
      <c r="B33" s="14" t="n">
        <f aca="false">$B$5-_xlfn.PERCENTILE.INC(Simulations!$B$2:$B$10001,0.01)</f>
        <v>16538.2794569575</v>
      </c>
      <c r="C33" s="15" t="n">
        <f aca="false">B33/$B$5</f>
        <v>0.165382794569575</v>
      </c>
    </row>
    <row r="34" customFormat="false" ht="15" hidden="false" customHeight="false" outlineLevel="0" collapsed="false">
      <c r="A34" s="5" t="s">
        <v>52</v>
      </c>
      <c r="B34" s="14" t="n">
        <f aca="false">$B$5-AVERAGEIF(Simulations!$B$2:$B$10001,"&lt;="&amp;($B$5-B33))</f>
        <v>19250.0466007251</v>
      </c>
      <c r="C34" s="15" t="n">
        <f aca="false">B34/$B$5</f>
        <v>0.192500466007251</v>
      </c>
    </row>
    <row r="36" customFormat="false" ht="15" hidden="false" customHeight="false" outlineLevel="0" collapsed="false">
      <c r="A36" s="3" t="s">
        <v>53</v>
      </c>
      <c r="B36" s="3"/>
      <c r="C36" s="3"/>
      <c r="D36" s="3"/>
    </row>
    <row r="37" customFormat="false" ht="15" hidden="false" customHeight="false" outlineLevel="0" collapsed="false">
      <c r="A37" s="5" t="s">
        <v>37</v>
      </c>
      <c r="B37" s="12" t="n">
        <f aca="false">MEDIAN(Simulations!$C$2:$C$10001)</f>
        <v>0.0911951860227027</v>
      </c>
    </row>
    <row r="38" customFormat="false" ht="15" hidden="false" customHeight="false" outlineLevel="0" collapsed="false">
      <c r="A38" s="5" t="s">
        <v>38</v>
      </c>
      <c r="B38" s="12" t="n">
        <f aca="false">_xlfn.PERCENTILE.INC(Simulations!$C$2:$C$10001,0.95)</f>
        <v>0.172078438199624</v>
      </c>
    </row>
    <row r="39" customFormat="false" ht="15" hidden="false" customHeight="false" outlineLevel="0" collapsed="false">
      <c r="A39" s="5" t="s">
        <v>39</v>
      </c>
      <c r="B39" s="12" t="n">
        <f aca="false">MAX(Simulations!$C$2:$C$10001)</f>
        <v>0.315239208166232</v>
      </c>
    </row>
    <row r="41" customFormat="false" ht="15" hidden="false" customHeight="false" outlineLevel="0" collapsed="false">
      <c r="A41" s="3" t="s">
        <v>54</v>
      </c>
      <c r="B41" s="3"/>
      <c r="C41" s="3"/>
      <c r="D41" s="3"/>
    </row>
    <row r="42" customFormat="false" ht="15" hidden="false" customHeight="false" outlineLevel="0" collapsed="false">
      <c r="A42" s="5" t="s">
        <v>55</v>
      </c>
      <c r="B42" s="16" t="n">
        <f aca="false">AVERAGE(History!$F$3:$F$1255)</f>
        <v>0.000304347007631847</v>
      </c>
    </row>
    <row r="43" customFormat="false" ht="15" hidden="false" customHeight="false" outlineLevel="0" collapsed="false">
      <c r="A43" s="5" t="s">
        <v>56</v>
      </c>
      <c r="B43" s="16" t="n">
        <f aca="false">_xlfn.STDEV.S(History!$F$3:$F$1255)</f>
        <v>0.0069888004015587</v>
      </c>
    </row>
    <row r="44" customFormat="false" ht="15" hidden="false" customHeight="false" outlineLevel="0" collapsed="false">
      <c r="A44" s="5" t="s">
        <v>57</v>
      </c>
      <c r="B44" s="17" t="n">
        <f aca="false">B42*$B$6</f>
        <v>0.0766954459232255</v>
      </c>
    </row>
    <row r="45" customFormat="false" ht="15" hidden="false" customHeight="false" outlineLevel="0" collapsed="false">
      <c r="A45" s="5" t="s">
        <v>58</v>
      </c>
      <c r="B45" s="17" t="n">
        <f aca="false">B43*SQRT($B$6)</f>
        <v>0.110943766951156</v>
      </c>
    </row>
    <row r="47" customFormat="false" ht="15" hidden="false" customHeight="false" outlineLevel="0" collapsed="false">
      <c r="A47" s="4" t="s">
        <v>13</v>
      </c>
      <c r="B47" s="4" t="s">
        <v>49</v>
      </c>
      <c r="C47" s="4" t="s">
        <v>59</v>
      </c>
      <c r="D47" s="4" t="s">
        <v>51</v>
      </c>
      <c r="E47" s="4" t="s">
        <v>60</v>
      </c>
    </row>
    <row r="48" customFormat="false" ht="15" hidden="false" customHeight="false" outlineLevel="0" collapsed="false">
      <c r="A48" s="5" t="s">
        <v>61</v>
      </c>
      <c r="B48" s="12" t="n">
        <f aca="false">C31</f>
        <v>0.0982513405370581</v>
      </c>
      <c r="C48" s="12" t="n">
        <f aca="false">C32</f>
        <v>0.139172615682939</v>
      </c>
      <c r="D48" s="12" t="n">
        <f aca="false">C33</f>
        <v>0.165382794569575</v>
      </c>
      <c r="E48" s="12" t="n">
        <f aca="false">C34</f>
        <v>0.192500466007251</v>
      </c>
    </row>
    <row r="49" customFormat="false" ht="15" hidden="false" customHeight="false" outlineLevel="0" collapsed="false">
      <c r="A49" s="5" t="s">
        <v>62</v>
      </c>
      <c r="B49" s="12" t="n">
        <f aca="false">1-EXP($B$44-_xlfn.NORM.S.INV(0.95)*$B$45)</f>
        <v>0.100387182981</v>
      </c>
      <c r="C49" s="12" t="n">
        <f aca="false">1-EXP($B$44+$B$45^2/2)*_xlfn.NORM.S.DIST(-_xlfn.NORM.S.INV(0.95)-$B$45,TRUE())/0.05</f>
        <v>0.140424620110541</v>
      </c>
      <c r="D49" s="12" t="n">
        <f aca="false">1-EXP($B$44-_xlfn.NORM.S.INV(0.99)*$B$45)</f>
        <v>0.165896972817987</v>
      </c>
      <c r="E49" s="12" t="n">
        <f aca="false">1-EXP($B$44+$B$45^2/2)*_xlfn.NORM.S.DIST(-_xlfn.NORM.S.INV(0.99)-$B$45,TRUE())/0.01</f>
        <v>0.196202689647856</v>
      </c>
    </row>
    <row r="50" customFormat="false" ht="15" hidden="false" customHeight="false" outlineLevel="0" collapsed="false">
      <c r="A50" s="5" t="s">
        <v>63</v>
      </c>
      <c r="B50" s="12" t="n">
        <f aca="false">-_xlfn.PERCENTILE.INC(History!$H$254:$H$1255,0.05)</f>
        <v>0.127540813363819</v>
      </c>
      <c r="C50" s="12" t="n">
        <f aca="false">-AVERAGEIF(History!$H$254:$H$1255,"&lt;="&amp;-B50)</f>
        <v>0.147491644183971</v>
      </c>
      <c r="D50" s="12" t="n">
        <f aca="false">-_xlfn.PERCENTILE.INC(History!$H$254:$H$1255,0.01)</f>
        <v>0.159628267469009</v>
      </c>
      <c r="E50" s="12" t="n">
        <f aca="false">-AVERAGEIF(History!$H$254:$H$1255,"&lt;="&amp;-D50)</f>
        <v>0.16617950864084</v>
      </c>
    </row>
    <row r="51" customFormat="false" ht="15" hidden="false" customHeight="false" outlineLevel="0" collapsed="false">
      <c r="A51" s="5" t="s">
        <v>64</v>
      </c>
      <c r="B51" s="12" t="n">
        <f aca="false">-_xlfn.PERCENTILE.INC(History!$G$3:$G$1255,0.05)*SQRT($B$6)</f>
        <v>0.170277501785956</v>
      </c>
      <c r="C51" s="12"/>
      <c r="D51" s="12" t="n">
        <f aca="false">-_xlfn.PERCENTILE.INC(History!$G$3:$G$1255,0.01)*SQRT($B$6)</f>
        <v>0.299646230591091</v>
      </c>
      <c r="E51" s="12"/>
    </row>
    <row r="52" customFormat="false" ht="15" hidden="false" customHeight="false" outlineLevel="0" collapsed="false">
      <c r="A52" s="2" t="s">
        <v>65</v>
      </c>
    </row>
    <row r="54" customFormat="false" ht="15" hidden="false" customHeight="false" outlineLevel="0" collapsed="false">
      <c r="A54" s="3" t="s">
        <v>66</v>
      </c>
      <c r="B54" s="3"/>
      <c r="C54" s="3"/>
      <c r="D54" s="3"/>
    </row>
    <row r="55" customFormat="false" ht="28.35" hidden="false" customHeight="false" outlineLevel="0" collapsed="false">
      <c r="A55" s="4" t="s">
        <v>22</v>
      </c>
      <c r="B55" s="4" t="s">
        <v>67</v>
      </c>
      <c r="C55" s="4" t="s">
        <v>68</v>
      </c>
      <c r="D55" s="4" t="s">
        <v>69</v>
      </c>
    </row>
    <row r="56" customFormat="false" ht="15" hidden="false" customHeight="false" outlineLevel="0" collapsed="false">
      <c r="A56" s="0" t="s">
        <v>25</v>
      </c>
      <c r="B56" s="15" t="n">
        <f aca="false">AVERAGE(History!$D$3:$D$1255)*252</f>
        <v>0.126716174423598</v>
      </c>
      <c r="C56" s="15" t="n">
        <f aca="false">_xlfn.STDEV.S(History!$D$3:$D$1255)*SQRT(252)</f>
        <v>0.171393681191757</v>
      </c>
      <c r="D56" s="15" t="n">
        <f aca="false">B56+C56^2/2</f>
        <v>0.141404071399829</v>
      </c>
    </row>
    <row r="57" customFormat="false" ht="15" hidden="false" customHeight="false" outlineLevel="0" collapsed="false">
      <c r="A57" s="0" t="s">
        <v>27</v>
      </c>
      <c r="B57" s="15" t="n">
        <f aca="false">AVERAGE(History!$E$3:$E$1255)*252</f>
        <v>-0.0068912607802232</v>
      </c>
      <c r="C57" s="15" t="n">
        <f aca="false">_xlfn.STDEV.S(History!$E$3:$E$1255)*SQRT(252)</f>
        <v>0.0613989817679882</v>
      </c>
      <c r="D57" s="15" t="n">
        <f aca="false">B57+C57^2/2</f>
        <v>-0.00500634329915033</v>
      </c>
    </row>
    <row r="59" customFormat="false" ht="15" hidden="false" customHeight="false" outlineLevel="0" collapsed="false">
      <c r="A59" s="4" t="s">
        <v>70</v>
      </c>
      <c r="B59" s="4" t="s">
        <v>25</v>
      </c>
      <c r="C59" s="4" t="s">
        <v>27</v>
      </c>
    </row>
    <row r="60" customFormat="false" ht="15" hidden="false" customHeight="false" outlineLevel="0" collapsed="false">
      <c r="A60" s="18" t="s">
        <v>25</v>
      </c>
      <c r="B60" s="19" t="n">
        <f aca="false">CORREL(History!$D$3:$D$1255,History!$D$3:$D$1255)</f>
        <v>1</v>
      </c>
      <c r="C60" s="19" t="n">
        <f aca="false">CORREL(History!$D$3:$D$1255,History!$E$3:$E$1255)</f>
        <v>0.221892386576503</v>
      </c>
    </row>
    <row r="61" customFormat="false" ht="15" hidden="false" customHeight="false" outlineLevel="0" collapsed="false">
      <c r="A61" s="18" t="s">
        <v>27</v>
      </c>
      <c r="B61" s="19" t="n">
        <f aca="false">CORREL(History!$E$3:$E$1255,History!$D$3:$D$1255)</f>
        <v>0.221892386576503</v>
      </c>
      <c r="C61" s="19" t="n">
        <f aca="false">CORREL(History!$E$3:$E$1255,History!$E$3:$E$1255)</f>
        <v>1</v>
      </c>
    </row>
    <row r="63" customFormat="false" ht="15" hidden="false" customHeight="false" outlineLevel="0" collapsed="false">
      <c r="A63" s="18" t="s">
        <v>71</v>
      </c>
    </row>
    <row r="64" customFormat="false" ht="15" hidden="false" customHeight="false" outlineLevel="0" collapsed="false">
      <c r="A64" s="2" t="s">
        <v>72</v>
      </c>
    </row>
    <row r="65" customFormat="false" ht="15" hidden="false" customHeight="false" outlineLevel="0" collapsed="false">
      <c r="A65" s="2" t="s">
        <v>73</v>
      </c>
    </row>
    <row r="66" customFormat="false" ht="15" hidden="false" customHeight="false" outlineLevel="0" collapsed="false">
      <c r="A66" s="2" t="s">
        <v>74</v>
      </c>
    </row>
    <row r="67" customFormat="false" ht="15" hidden="false" customHeight="false" outlineLevel="0" collapsed="false">
      <c r="A67" s="2" t="s">
        <v>75</v>
      </c>
    </row>
    <row r="68" customFormat="false" ht="15" hidden="false" customHeight="false" outlineLevel="0" collapsed="false">
      <c r="A68" s="2" t="s">
        <v>76</v>
      </c>
    </row>
    <row r="69" customFormat="false" ht="15" hidden="false" customHeight="false" outlineLevel="0" collapsed="false">
      <c r="A69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3"/>
  </cols>
  <sheetData>
    <row r="1" customFormat="false" ht="55.2" hidden="false" customHeight="false" outlineLevel="0" collapsed="false">
      <c r="A1" s="4" t="s">
        <v>78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</row>
    <row r="2" customFormat="false" ht="15" hidden="false" customHeight="false" outlineLevel="0" collapsed="false">
      <c r="A2" s="20" t="n">
        <v>44470</v>
      </c>
      <c r="B2" s="21" t="n">
        <v>406.145721</v>
      </c>
      <c r="C2" s="21" t="n">
        <v>97.835541</v>
      </c>
    </row>
    <row r="3" customFormat="false" ht="15" hidden="false" customHeight="false" outlineLevel="0" collapsed="false">
      <c r="A3" s="20" t="n">
        <v>44473</v>
      </c>
      <c r="B3" s="21" t="n">
        <v>400.908051</v>
      </c>
      <c r="C3" s="21" t="n">
        <v>97.767494</v>
      </c>
      <c r="D3" s="22" t="n">
        <f aca="false">LN(B3/B2)</f>
        <v>-0.0129799121634231</v>
      </c>
      <c r="E3" s="22" t="n">
        <f aca="false">LN(C3/C2)</f>
        <v>-0.000695766328422063</v>
      </c>
      <c r="F3" s="22" t="n">
        <f aca="false">LN(Summary!$B$13*EXP(D3)+Summary!$B$14*EXP(E3))</f>
        <v>-0.00804813107171232</v>
      </c>
      <c r="G3" s="22" t="n">
        <f aca="false">EXP(F3)-1</f>
        <v>-0.00801583157312114</v>
      </c>
    </row>
    <row r="4" customFormat="false" ht="15" hidden="false" customHeight="false" outlineLevel="0" collapsed="false">
      <c r="A4" s="20" t="n">
        <v>44474</v>
      </c>
      <c r="B4" s="21" t="n">
        <v>405.079468</v>
      </c>
      <c r="C4" s="21" t="n">
        <v>97.537788</v>
      </c>
      <c r="D4" s="22" t="n">
        <f aca="false">LN(B4/B3)</f>
        <v>0.0103511633807903</v>
      </c>
      <c r="E4" s="22" t="n">
        <f aca="false">LN(C4/C3)</f>
        <v>-0.00235227745573826</v>
      </c>
      <c r="F4" s="22" t="n">
        <f aca="false">LN(Summary!$B$13*EXP(D4)+Summary!$B$14*EXP(E4))</f>
        <v>0.00528913582054441</v>
      </c>
      <c r="G4" s="22" t="n">
        <f aca="false">EXP(F4)-1</f>
        <v>0.00530314799260978</v>
      </c>
    </row>
    <row r="5" customFormat="false" ht="15" hidden="false" customHeight="false" outlineLevel="0" collapsed="false">
      <c r="A5" s="20" t="n">
        <v>44475</v>
      </c>
      <c r="B5" s="21" t="n">
        <v>406.763062</v>
      </c>
      <c r="C5" s="21" t="n">
        <v>97.580315</v>
      </c>
      <c r="D5" s="22" t="n">
        <f aca="false">LN(B5/B4)</f>
        <v>0.00414759353271617</v>
      </c>
      <c r="E5" s="22" t="n">
        <f aca="false">LN(C5/C4)</f>
        <v>0.000435910353980868</v>
      </c>
      <c r="F5" s="22" t="n">
        <f aca="false">LN(Summary!$B$13*EXP(D5)+Summary!$B$14*EXP(E5))</f>
        <v>0.002664573042355</v>
      </c>
      <c r="G5" s="22" t="n">
        <f aca="false">EXP(F5)-1</f>
        <v>0.0026681261722612</v>
      </c>
    </row>
    <row r="6" customFormat="false" ht="15" hidden="false" customHeight="false" outlineLevel="0" collapsed="false">
      <c r="A6" s="20" t="n">
        <v>44476</v>
      </c>
      <c r="B6" s="21" t="n">
        <v>410.279724</v>
      </c>
      <c r="C6" s="21" t="n">
        <v>97.308098</v>
      </c>
      <c r="D6" s="22" t="n">
        <f aca="false">LN(B6/B5)</f>
        <v>0.00860832205255247</v>
      </c>
      <c r="E6" s="22" t="n">
        <f aca="false">LN(C6/C5)</f>
        <v>-0.0027935696416439</v>
      </c>
      <c r="F6" s="22" t="n">
        <f aca="false">LN(Summary!$B$13*EXP(D6)+Summary!$B$14*EXP(E6))</f>
        <v>0.00406315381850718</v>
      </c>
      <c r="G6" s="22" t="n">
        <f aca="false">EXP(F6)-1</f>
        <v>0.00407141961926527</v>
      </c>
    </row>
    <row r="7" customFormat="false" ht="15" hidden="false" customHeight="false" outlineLevel="0" collapsed="false">
      <c r="A7" s="20" t="n">
        <v>44477</v>
      </c>
      <c r="B7" s="21" t="n">
        <v>409.531494</v>
      </c>
      <c r="C7" s="21" t="n">
        <v>97.095352</v>
      </c>
      <c r="D7" s="22" t="n">
        <f aca="false">LN(B7/B6)</f>
        <v>-0.00182537196693359</v>
      </c>
      <c r="E7" s="22" t="n">
        <f aca="false">LN(C7/C6)</f>
        <v>-0.00218870688692884</v>
      </c>
      <c r="F7" s="22" t="n">
        <f aca="false">LN(Summary!$B$13*EXP(D7)+Summary!$B$14*EXP(E7))</f>
        <v>-0.00197069009384379</v>
      </c>
      <c r="G7" s="22" t="n">
        <f aca="false">EXP(F7)-1</f>
        <v>-0.00196874955906101</v>
      </c>
    </row>
    <row r="8" customFormat="false" ht="15" hidden="false" customHeight="false" outlineLevel="0" collapsed="false">
      <c r="A8" s="20" t="n">
        <v>44480</v>
      </c>
      <c r="B8" s="21" t="n">
        <v>406.566589</v>
      </c>
      <c r="C8" s="21" t="n">
        <v>96.942261</v>
      </c>
      <c r="D8" s="22" t="n">
        <f aca="false">LN(B8/B7)</f>
        <v>-0.00726608261024783</v>
      </c>
      <c r="E8" s="22" t="n">
        <f aca="false">LN(C8/C7)</f>
        <v>-0.00157795212380325</v>
      </c>
      <c r="F8" s="22" t="n">
        <f aca="false">LN(Summary!$B$13*EXP(D8)+Summary!$B$14*EXP(E8))</f>
        <v>-0.004986946368561</v>
      </c>
      <c r="G8" s="22" t="n">
        <f aca="false">EXP(F8)-1</f>
        <v>-0.00497453219636301</v>
      </c>
    </row>
    <row r="9" customFormat="false" ht="15" hidden="false" customHeight="false" outlineLevel="0" collapsed="false">
      <c r="A9" s="20" t="n">
        <v>44481</v>
      </c>
      <c r="B9" s="21" t="n">
        <v>405.565826</v>
      </c>
      <c r="C9" s="21" t="n">
        <v>97.299568</v>
      </c>
      <c r="D9" s="22" t="n">
        <f aca="false">LN(B9/B8)</f>
        <v>-0.00246453284726073</v>
      </c>
      <c r="E9" s="22" t="n">
        <f aca="false">LN(C9/C8)</f>
        <v>0.00367899545481162</v>
      </c>
      <c r="F9" s="22" t="n">
        <f aca="false">LN(Summary!$B$13*EXP(D9)+Summary!$B$14*EXP(E9))</f>
        <v>-2.59052490789915E-006</v>
      </c>
      <c r="G9" s="22" t="n">
        <f aca="false">EXP(F9)-1</f>
        <v>-2.5905215524924E-006</v>
      </c>
    </row>
    <row r="10" customFormat="false" ht="15" hidden="false" customHeight="false" outlineLevel="0" collapsed="false">
      <c r="A10" s="20" t="n">
        <v>44482</v>
      </c>
      <c r="B10" s="21" t="n">
        <v>407.024841</v>
      </c>
      <c r="C10" s="21" t="n">
        <v>97.520782</v>
      </c>
      <c r="D10" s="22" t="n">
        <f aca="false">LN(B10/B9)</f>
        <v>0.0035910246748836</v>
      </c>
      <c r="E10" s="22" t="n">
        <f aca="false">LN(C10/C9)</f>
        <v>0.00227095470335669</v>
      </c>
      <c r="F10" s="22" t="n">
        <f aca="false">LN(Summary!$B$13*EXP(D10)+Summary!$B$14*EXP(E10))</f>
        <v>0.00306320577802447</v>
      </c>
      <c r="G10" s="22" t="n">
        <f aca="false">EXP(F10)-1</f>
        <v>0.00306790218697506</v>
      </c>
    </row>
    <row r="11" customFormat="false" ht="15" hidden="false" customHeight="false" outlineLevel="0" collapsed="false">
      <c r="A11" s="20" t="n">
        <v>44483</v>
      </c>
      <c r="B11" s="21" t="n">
        <v>413.871368</v>
      </c>
      <c r="C11" s="21" t="n">
        <v>97.707886</v>
      </c>
      <c r="D11" s="22" t="n">
        <f aca="false">LN(B11/B10)</f>
        <v>0.0166810022543019</v>
      </c>
      <c r="E11" s="22" t="n">
        <f aca="false">LN(C11/C10)</f>
        <v>0.00191676826156522</v>
      </c>
      <c r="F11" s="22" t="n">
        <f aca="false">LN(Summary!$B$13*EXP(D11)+Summary!$B$14*EXP(E11))</f>
        <v>0.0108014406145424</v>
      </c>
      <c r="G11" s="22" t="n">
        <f aca="false">EXP(F11)-1</f>
        <v>0.0108599867786454</v>
      </c>
    </row>
    <row r="12" customFormat="false" ht="15" hidden="false" customHeight="false" outlineLevel="0" collapsed="false">
      <c r="A12" s="20" t="n">
        <v>44484</v>
      </c>
      <c r="B12" s="21" t="n">
        <v>417.023315</v>
      </c>
      <c r="C12" s="21" t="n">
        <v>97.469681</v>
      </c>
      <c r="D12" s="22" t="n">
        <f aca="false">LN(B12/B11)</f>
        <v>0.00758691127439976</v>
      </c>
      <c r="E12" s="22" t="n">
        <f aca="false">LN(C12/C11)</f>
        <v>-0.00244090672847964</v>
      </c>
      <c r="F12" s="22" t="n">
        <f aca="false">LN(Summary!$B$13*EXP(D12)+Summary!$B$14*EXP(E12))</f>
        <v>0.00358784281795165</v>
      </c>
      <c r="G12" s="22" t="n">
        <f aca="false">EXP(F12)-1</f>
        <v>0.00359428683039131</v>
      </c>
    </row>
    <row r="13" customFormat="false" ht="15" hidden="false" customHeight="false" outlineLevel="0" collapsed="false">
      <c r="A13" s="20" t="n">
        <v>44487</v>
      </c>
      <c r="B13" s="21" t="n">
        <v>418.257874</v>
      </c>
      <c r="C13" s="21" t="n">
        <v>97.401672</v>
      </c>
      <c r="D13" s="22" t="n">
        <f aca="false">LN(B13/B12)</f>
        <v>0.00295603424388582</v>
      </c>
      <c r="E13" s="22" t="n">
        <f aca="false">LN(C13/C12)</f>
        <v>-0.000697988716290083</v>
      </c>
      <c r="F13" s="22" t="n">
        <f aca="false">LN(Summary!$B$13*EXP(D13)+Summary!$B$14*EXP(E13))</f>
        <v>0.00149602689478205</v>
      </c>
      <c r="G13" s="22" t="n">
        <f aca="false">EXP(F13)-1</f>
        <v>0.00149714650126787</v>
      </c>
    </row>
    <row r="14" customFormat="false" ht="15" hidden="false" customHeight="false" outlineLevel="0" collapsed="false">
      <c r="A14" s="20" t="n">
        <v>44488</v>
      </c>
      <c r="B14" s="21" t="n">
        <v>421.484711</v>
      </c>
      <c r="C14" s="21" t="n">
        <v>97.120941</v>
      </c>
      <c r="D14" s="22" t="n">
        <f aca="false">LN(B14/B13)</f>
        <v>0.0076853381982287</v>
      </c>
      <c r="E14" s="22" t="n">
        <f aca="false">LN(C14/C13)</f>
        <v>-0.00288636051685436</v>
      </c>
      <c r="F14" s="22" t="n">
        <f aca="false">LN(Summary!$B$13*EXP(D14)+Summary!$B$14*EXP(E14))</f>
        <v>0.00347006050297057</v>
      </c>
      <c r="G14" s="22" t="n">
        <f aca="false">EXP(F14)-1</f>
        <v>0.00347608813298139</v>
      </c>
    </row>
    <row r="15" customFormat="false" ht="15" hidden="false" customHeight="false" outlineLevel="0" collapsed="false">
      <c r="A15" s="20" t="n">
        <v>44489</v>
      </c>
      <c r="B15" s="21" t="n">
        <v>423.140198</v>
      </c>
      <c r="C15" s="21" t="n">
        <v>97.052849</v>
      </c>
      <c r="D15" s="22" t="n">
        <f aca="false">LN(B15/B14)</f>
        <v>0.0039200575363755</v>
      </c>
      <c r="E15" s="22" t="n">
        <f aca="false">LN(C15/C14)</f>
        <v>-0.000701351122529741</v>
      </c>
      <c r="F15" s="22" t="n">
        <f aca="false">LN(Summary!$B$13*EXP(D15)+Summary!$B$14*EXP(E15))</f>
        <v>0.00207405617135611</v>
      </c>
      <c r="G15" s="22" t="n">
        <f aca="false">EXP(F15)-1</f>
        <v>0.00207620851362611</v>
      </c>
    </row>
    <row r="16" customFormat="false" ht="15" hidden="false" customHeight="false" outlineLevel="0" collapsed="false">
      <c r="A16" s="20" t="n">
        <v>44490</v>
      </c>
      <c r="B16" s="21" t="n">
        <v>424.243866</v>
      </c>
      <c r="C16" s="21" t="n">
        <v>96.848679</v>
      </c>
      <c r="D16" s="22" t="n">
        <f aca="false">LN(B16/B15)</f>
        <v>0.00260488406841443</v>
      </c>
      <c r="E16" s="22" t="n">
        <f aca="false">LN(C16/C15)</f>
        <v>-0.00210591507515866</v>
      </c>
      <c r="F16" s="22" t="n">
        <f aca="false">LN(Summary!$B$13*EXP(D16)+Summary!$B$14*EXP(E16))</f>
        <v>0.000723226567926127</v>
      </c>
      <c r="G16" s="22" t="n">
        <f aca="false">EXP(F16)-1</f>
        <v>0.000723488159319885</v>
      </c>
    </row>
    <row r="17" customFormat="false" ht="15" hidden="false" customHeight="false" outlineLevel="0" collapsed="false">
      <c r="A17" s="20" t="n">
        <v>44491</v>
      </c>
      <c r="B17" s="21" t="n">
        <v>423.804291</v>
      </c>
      <c r="C17" s="21" t="n">
        <v>97.035828</v>
      </c>
      <c r="D17" s="22" t="n">
        <f aca="false">LN(B17/B16)</f>
        <v>-0.00103667471178165</v>
      </c>
      <c r="E17" s="22" t="n">
        <f aca="false">LN(C17/C16)</f>
        <v>0.00193052102016553</v>
      </c>
      <c r="F17" s="22" t="n">
        <f aca="false">LN(Summary!$B$13*EXP(D17)+Summary!$B$14*EXP(E17))</f>
        <v>0.000151260299708905</v>
      </c>
      <c r="G17" s="22" t="n">
        <f aca="false">EXP(F17)-1</f>
        <v>0.000151271740124859</v>
      </c>
    </row>
    <row r="18" customFormat="false" ht="15" hidden="false" customHeight="false" outlineLevel="0" collapsed="false">
      <c r="A18" s="20" t="n">
        <v>44494</v>
      </c>
      <c r="B18" s="21" t="n">
        <v>426.076965</v>
      </c>
      <c r="C18" s="21" t="n">
        <v>97.129395</v>
      </c>
      <c r="D18" s="22" t="n">
        <f aca="false">LN(B18/B17)</f>
        <v>0.00534822812284329</v>
      </c>
      <c r="E18" s="22" t="n">
        <f aca="false">LN(C18/C17)</f>
        <v>0.000963787498060507</v>
      </c>
      <c r="F18" s="22" t="n">
        <f aca="false">LN(Summary!$B$13*EXP(D18)+Summary!$B$14*EXP(E18))</f>
        <v>0.00359675799538839</v>
      </c>
      <c r="G18" s="22" t="n">
        <f aca="false">EXP(F18)-1</f>
        <v>0.00360323409141605</v>
      </c>
    </row>
    <row r="19" customFormat="false" ht="15" hidden="false" customHeight="false" outlineLevel="0" collapsed="false">
      <c r="A19" s="20" t="n">
        <v>44495</v>
      </c>
      <c r="B19" s="21" t="n">
        <v>426.46051</v>
      </c>
      <c r="C19" s="21" t="n">
        <v>97.308098</v>
      </c>
      <c r="D19" s="22" t="n">
        <f aca="false">LN(B19/B18)</f>
        <v>0.000899772824358915</v>
      </c>
      <c r="E19" s="22" t="n">
        <f aca="false">LN(C19/C18)</f>
        <v>0.00183815423208483</v>
      </c>
      <c r="F19" s="22" t="n">
        <f aca="false">LN(Summary!$B$13*EXP(D19)+Summary!$B$14*EXP(E19))</f>
        <v>0.00127523106121624</v>
      </c>
      <c r="G19" s="22" t="n">
        <f aca="false">EXP(F19)-1</f>
        <v>0.00127604451408936</v>
      </c>
    </row>
    <row r="20" customFormat="false" ht="15" hidden="false" customHeight="false" outlineLevel="0" collapsed="false">
      <c r="A20" s="20" t="n">
        <v>44496</v>
      </c>
      <c r="B20" s="21" t="n">
        <v>424.571136</v>
      </c>
      <c r="C20" s="21" t="n">
        <v>97.631363</v>
      </c>
      <c r="D20" s="22" t="n">
        <f aca="false">LN(B20/B19)</f>
        <v>-0.0044402041052841</v>
      </c>
      <c r="E20" s="22" t="n">
        <f aca="false">LN(C20/C19)</f>
        <v>0.00331657115145716</v>
      </c>
      <c r="F20" s="22" t="n">
        <f aca="false">LN(Summary!$B$13*EXP(D20)+Summary!$B$14*EXP(E20))</f>
        <v>-0.00133027017740115</v>
      </c>
      <c r="G20" s="22" t="n">
        <f aca="false">EXP(F20)-1</f>
        <v>-0.00132938576024344</v>
      </c>
    </row>
    <row r="21" customFormat="false" ht="15" hidden="false" customHeight="false" outlineLevel="0" collapsed="false">
      <c r="A21" s="20" t="n">
        <v>44497</v>
      </c>
      <c r="B21" s="21" t="n">
        <v>428.667908</v>
      </c>
      <c r="C21" s="21" t="n">
        <v>97.554779</v>
      </c>
      <c r="D21" s="22" t="n">
        <f aca="false">LN(B21/B20)</f>
        <v>0.00960294424234665</v>
      </c>
      <c r="E21" s="22" t="n">
        <f aca="false">LN(C21/C20)</f>
        <v>-0.000784727882269587</v>
      </c>
      <c r="F21" s="22" t="n">
        <f aca="false">LN(Summary!$B$13*EXP(D21)+Summary!$B$14*EXP(E21))</f>
        <v>0.00546081482227288</v>
      </c>
      <c r="G21" s="22" t="n">
        <f aca="false">EXP(F21)-1</f>
        <v>0.00547575224933095</v>
      </c>
    </row>
    <row r="22" customFormat="false" ht="15" hidden="false" customHeight="false" outlineLevel="0" collapsed="false">
      <c r="A22" s="20" t="n">
        <v>44498</v>
      </c>
      <c r="B22" s="21" t="n">
        <v>429.537628</v>
      </c>
      <c r="C22" s="21" t="n">
        <v>97.529266</v>
      </c>
      <c r="D22" s="22" t="n">
        <f aca="false">LN(B22/B21)</f>
        <v>0.00202683450818084</v>
      </c>
      <c r="E22" s="22" t="n">
        <f aca="false">LN(C22/C21)</f>
        <v>-0.0002615590644067</v>
      </c>
      <c r="F22" s="22" t="n">
        <f aca="false">LN(Summary!$B$13*EXP(D22)+Summary!$B$14*EXP(E22))</f>
        <v>0.0011121053925726</v>
      </c>
      <c r="G22" s="22" t="n">
        <f aca="false">EXP(F22)-1</f>
        <v>0.00111272401107643</v>
      </c>
    </row>
    <row r="23" customFormat="false" ht="15" hidden="false" customHeight="false" outlineLevel="0" collapsed="false">
      <c r="A23" s="20" t="n">
        <v>44501</v>
      </c>
      <c r="B23" s="21" t="n">
        <v>430.276489</v>
      </c>
      <c r="C23" s="21" t="n">
        <v>97.469589</v>
      </c>
      <c r="D23" s="22" t="n">
        <f aca="false">LN(B23/B22)</f>
        <v>0.0017186532932182</v>
      </c>
      <c r="E23" s="22" t="n">
        <f aca="false">LN(C23/C22)</f>
        <v>-0.000612075407961795</v>
      </c>
      <c r="F23" s="22" t="n">
        <f aca="false">LN(Summary!$B$13*EXP(D23)+Summary!$B$14*EXP(E23))</f>
        <v>0.000787013586880251</v>
      </c>
      <c r="G23" s="22" t="n">
        <f aca="false">EXP(F23)-1</f>
        <v>0.000787323363333981</v>
      </c>
    </row>
    <row r="24" customFormat="false" ht="15" hidden="false" customHeight="false" outlineLevel="0" collapsed="false">
      <c r="A24" s="20" t="n">
        <v>44502</v>
      </c>
      <c r="B24" s="21" t="n">
        <v>432.016144</v>
      </c>
      <c r="C24" s="21" t="n">
        <v>97.665604</v>
      </c>
      <c r="D24" s="22" t="n">
        <f aca="false">LN(B24/B23)</f>
        <v>0.00403495818863134</v>
      </c>
      <c r="E24" s="22" t="n">
        <f aca="false">LN(C24/C23)</f>
        <v>0.00200901808551665</v>
      </c>
      <c r="F24" s="22" t="n">
        <f aca="false">LN(Summary!$B$13*EXP(D24)+Summary!$B$14*EXP(E24))</f>
        <v>0.00322507461278489</v>
      </c>
      <c r="G24" s="22" t="n">
        <f aca="false">EXP(F24)-1</f>
        <v>0.0032302807611484</v>
      </c>
    </row>
    <row r="25" customFormat="false" ht="15" hidden="false" customHeight="false" outlineLevel="0" collapsed="false">
      <c r="A25" s="20" t="n">
        <v>44503</v>
      </c>
      <c r="B25" s="21" t="n">
        <v>434.653717</v>
      </c>
      <c r="C25" s="21" t="n">
        <v>97.469589</v>
      </c>
      <c r="D25" s="22" t="n">
        <f aca="false">LN(B25/B24)</f>
        <v>0.00608670328055287</v>
      </c>
      <c r="E25" s="22" t="n">
        <f aca="false">LN(C25/C24)</f>
        <v>-0.0020090180855166</v>
      </c>
      <c r="F25" s="22" t="n">
        <f aca="false">LN(Summary!$B$13*EXP(D25)+Summary!$B$14*EXP(E25))</f>
        <v>0.00285627535498897</v>
      </c>
      <c r="G25" s="22" t="n">
        <f aca="false">EXP(F25)-1</f>
        <v>0.00286035839594501</v>
      </c>
    </row>
    <row r="26" customFormat="false" ht="15" hidden="false" customHeight="false" outlineLevel="0" collapsed="false">
      <c r="A26" s="20" t="n">
        <v>44504</v>
      </c>
      <c r="B26" s="21" t="n">
        <v>436.702118</v>
      </c>
      <c r="C26" s="21" t="n">
        <v>97.793404</v>
      </c>
      <c r="D26" s="22" t="n">
        <f aca="false">LN(B26/B25)</f>
        <v>0.0047016492944248</v>
      </c>
      <c r="E26" s="22" t="n">
        <f aca="false">LN(C26/C25)</f>
        <v>0.00331670934538531</v>
      </c>
      <c r="F26" s="22" t="n">
        <f aca="false">LN(Summary!$B$13*EXP(D26)+Summary!$B$14*EXP(E26))</f>
        <v>0.00414790346058106</v>
      </c>
      <c r="G26" s="22" t="n">
        <f aca="false">EXP(F26)-1</f>
        <v>0.00415651791866889</v>
      </c>
    </row>
    <row r="27" customFormat="false" ht="15" hidden="false" customHeight="false" outlineLevel="0" collapsed="false">
      <c r="A27" s="20" t="n">
        <v>44505</v>
      </c>
      <c r="B27" s="21" t="n">
        <v>438.217224</v>
      </c>
      <c r="C27" s="21" t="n">
        <v>98.17688</v>
      </c>
      <c r="D27" s="22" t="n">
        <f aca="false">LN(B27/B26)</f>
        <v>0.00346342215054464</v>
      </c>
      <c r="E27" s="22" t="n">
        <f aca="false">LN(C27/C26)</f>
        <v>0.00391361875513971</v>
      </c>
      <c r="F27" s="22" t="n">
        <f aca="false">LN(Summary!$B$13*EXP(D27)+Summary!$B$14*EXP(E27))</f>
        <v>0.00364352511435046</v>
      </c>
      <c r="G27" s="22" t="n">
        <f aca="false">EXP(F27)-1</f>
        <v>0.00365017082079477</v>
      </c>
    </row>
    <row r="28" customFormat="false" ht="15" hidden="false" customHeight="false" outlineLevel="0" collapsed="false">
      <c r="A28" s="20" t="n">
        <v>44508</v>
      </c>
      <c r="B28" s="21" t="n">
        <v>438.59137</v>
      </c>
      <c r="C28" s="21" t="n">
        <v>97.997917</v>
      </c>
      <c r="D28" s="22" t="n">
        <f aca="false">LN(B28/B27)</f>
        <v>0.00085342690586985</v>
      </c>
      <c r="E28" s="22" t="n">
        <f aca="false">LN(C28/C27)</f>
        <v>-0.00182452641605918</v>
      </c>
      <c r="F28" s="22" t="n">
        <f aca="false">LN(Summary!$B$13*EXP(D28)+Summary!$B$14*EXP(E28))</f>
        <v>-0.000216894004686672</v>
      </c>
      <c r="G28" s="22" t="n">
        <f aca="false">EXP(F28)-1</f>
        <v>-0.000216870484882503</v>
      </c>
    </row>
    <row r="29" customFormat="false" ht="15" hidden="false" customHeight="false" outlineLevel="0" collapsed="false">
      <c r="A29" s="20" t="n">
        <v>44509</v>
      </c>
      <c r="B29" s="21" t="n">
        <v>437.141754</v>
      </c>
      <c r="C29" s="21" t="n">
        <v>98.270592</v>
      </c>
      <c r="D29" s="22" t="n">
        <f aca="false">LN(B29/B28)</f>
        <v>-0.00331063718910061</v>
      </c>
      <c r="E29" s="22" t="n">
        <f aca="false">LN(C29/C28)</f>
        <v>0.00277859323254018</v>
      </c>
      <c r="F29" s="22" t="n">
        <f aca="false">LN(Summary!$B$13*EXP(D29)+Summary!$B$14*EXP(E29))</f>
        <v>-0.000870493772997189</v>
      </c>
      <c r="G29" s="22" t="n">
        <f aca="false">EXP(F29)-1</f>
        <v>-0.000870115003206329</v>
      </c>
    </row>
    <row r="30" customFormat="false" ht="15" hidden="false" customHeight="false" outlineLevel="0" collapsed="false">
      <c r="A30" s="20" t="n">
        <v>44510</v>
      </c>
      <c r="B30" s="21" t="n">
        <v>433.624939</v>
      </c>
      <c r="C30" s="21" t="n">
        <v>97.605949</v>
      </c>
      <c r="D30" s="22" t="n">
        <f aca="false">LN(B30/B29)</f>
        <v>-0.00807755774315942</v>
      </c>
      <c r="E30" s="22" t="n">
        <f aca="false">LN(C30/C29)</f>
        <v>-0.00678637214482976</v>
      </c>
      <c r="F30" s="22" t="n">
        <f aca="false">LN(Summary!$B$13*EXP(D30)+Summary!$B$14*EXP(E30))</f>
        <v>-0.00756088342738903</v>
      </c>
      <c r="G30" s="22" t="n">
        <f aca="false">EXP(F30)-1</f>
        <v>-0.00753237185110867</v>
      </c>
    </row>
    <row r="31" customFormat="false" ht="15" hidden="false" customHeight="false" outlineLevel="0" collapsed="false">
      <c r="A31" s="20" t="n">
        <v>44511</v>
      </c>
      <c r="B31" s="21" t="n">
        <v>433.765259</v>
      </c>
      <c r="C31" s="21" t="n">
        <v>97.427017</v>
      </c>
      <c r="D31" s="22" t="n">
        <f aca="false">LN(B31/B30)</f>
        <v>0.000323545277656294</v>
      </c>
      <c r="E31" s="22" t="n">
        <f aca="false">LN(C31/C30)</f>
        <v>-0.00183489031492942</v>
      </c>
      <c r="F31" s="22" t="n">
        <f aca="false">LN(Summary!$B$13*EXP(D31)+Summary!$B$14*EXP(E31))</f>
        <v>-0.000539269978615164</v>
      </c>
      <c r="G31" s="22" t="n">
        <f aca="false">EXP(F31)-1</f>
        <v>-0.000539124598694429</v>
      </c>
    </row>
    <row r="32" customFormat="false" ht="15" hidden="false" customHeight="false" outlineLevel="0" collapsed="false">
      <c r="A32" s="20" t="n">
        <v>44512</v>
      </c>
      <c r="B32" s="21" t="n">
        <v>437.038818</v>
      </c>
      <c r="C32" s="21" t="n">
        <v>97.409966</v>
      </c>
      <c r="D32" s="22" t="n">
        <f aca="false">LN(B32/B31)</f>
        <v>0.00751850963285554</v>
      </c>
      <c r="E32" s="22" t="n">
        <f aca="false">LN(C32/C31)</f>
        <v>-0.000175028372755514</v>
      </c>
      <c r="F32" s="22" t="n">
        <f aca="false">LN(Summary!$B$13*EXP(D32)+Summary!$B$14*EXP(E32))</f>
        <v>0.00444819363538461</v>
      </c>
      <c r="G32" s="22" t="n">
        <f aca="false">EXP(F32)-1</f>
        <v>0.00445810153399684</v>
      </c>
    </row>
    <row r="33" customFormat="false" ht="15" hidden="false" customHeight="false" outlineLevel="0" collapsed="false">
      <c r="A33" s="20" t="n">
        <v>44515</v>
      </c>
      <c r="B33" s="21" t="n">
        <v>437.188446</v>
      </c>
      <c r="C33" s="21" t="n">
        <v>97.052101</v>
      </c>
      <c r="D33" s="22" t="n">
        <f aca="false">LN(B33/B32)</f>
        <v>0.000342309162897729</v>
      </c>
      <c r="E33" s="22" t="n">
        <f aca="false">LN(C33/C32)</f>
        <v>-0.0036805677272485</v>
      </c>
      <c r="F33" s="22" t="n">
        <f aca="false">LN(Summary!$B$13*EXP(D33)+Summary!$B$14*EXP(E33))</f>
        <v>-0.00126490009053072</v>
      </c>
      <c r="G33" s="22" t="n">
        <f aca="false">EXP(F33)-1</f>
        <v>-0.00126410044160541</v>
      </c>
    </row>
    <row r="34" customFormat="false" ht="15" hidden="false" customHeight="false" outlineLevel="0" collapsed="false">
      <c r="A34" s="20" t="n">
        <v>44516</v>
      </c>
      <c r="B34" s="21" t="n">
        <v>438.918762</v>
      </c>
      <c r="C34" s="21" t="n">
        <v>97.018013</v>
      </c>
      <c r="D34" s="22" t="n">
        <f aca="false">LN(B34/B33)</f>
        <v>0.00395001487029795</v>
      </c>
      <c r="E34" s="22" t="n">
        <f aca="false">LN(C34/C33)</f>
        <v>-0.000351295721406798</v>
      </c>
      <c r="F34" s="22" t="n">
        <f aca="false">LN(Summary!$B$13*EXP(D34)+Summary!$B$14*EXP(E34))</f>
        <v>0.00223171014821009</v>
      </c>
      <c r="G34" s="22" t="n">
        <f aca="false">EXP(F34)-1</f>
        <v>0.00223420226685356</v>
      </c>
    </row>
    <row r="35" customFormat="false" ht="15" hidden="false" customHeight="false" outlineLevel="0" collapsed="false">
      <c r="A35" s="20" t="n">
        <v>44517</v>
      </c>
      <c r="B35" s="21" t="n">
        <v>437.85257</v>
      </c>
      <c r="C35" s="21" t="n">
        <v>97.248055</v>
      </c>
      <c r="D35" s="22" t="n">
        <f aca="false">LN(B35/B34)</f>
        <v>-0.00243208801801563</v>
      </c>
      <c r="E35" s="22" t="n">
        <f aca="false">LN(C35/C34)</f>
        <v>0.00236832000454437</v>
      </c>
      <c r="F35" s="22" t="n">
        <f aca="false">LN(Summary!$B$13*EXP(D35)+Summary!$B$14*EXP(E35))</f>
        <v>-0.000509158656306498</v>
      </c>
      <c r="G35" s="22" t="n">
        <f aca="false">EXP(F35)-1</f>
        <v>-0.000509029057034316</v>
      </c>
    </row>
    <row r="36" customFormat="false" ht="15" hidden="false" customHeight="false" outlineLevel="0" collapsed="false">
      <c r="A36" s="20" t="n">
        <v>44518</v>
      </c>
      <c r="B36" s="21" t="n">
        <v>439.339539</v>
      </c>
      <c r="C36" s="21" t="n">
        <v>97.333305</v>
      </c>
      <c r="D36" s="22" t="n">
        <f aca="false">LN(B36/B35)</f>
        <v>0.00339029594321482</v>
      </c>
      <c r="E36" s="22" t="n">
        <f aca="false">LN(C36/C35)</f>
        <v>0.000876240205686296</v>
      </c>
      <c r="F36" s="22" t="n">
        <f aca="false">LN(Summary!$B$13*EXP(D36)+Summary!$B$14*EXP(E36))</f>
        <v>0.00238543197805764</v>
      </c>
      <c r="G36" s="22" t="n">
        <f aca="false">EXP(F36)-1</f>
        <v>0.00238827938456665</v>
      </c>
    </row>
    <row r="37" customFormat="false" ht="15" hidden="false" customHeight="false" outlineLevel="0" collapsed="false">
      <c r="A37" s="20" t="n">
        <v>44519</v>
      </c>
      <c r="B37" s="21" t="n">
        <v>438.554016</v>
      </c>
      <c r="C37" s="21" t="n">
        <v>97.520767</v>
      </c>
      <c r="D37" s="22" t="n">
        <f aca="false">LN(B37/B36)</f>
        <v>-0.00178956367811348</v>
      </c>
      <c r="E37" s="22" t="n">
        <f aca="false">LN(C37/C36)</f>
        <v>0.00192412769117001</v>
      </c>
      <c r="F37" s="22" t="n">
        <f aca="false">LN(Summary!$B$13*EXP(D37)+Summary!$B$14*EXP(E37))</f>
        <v>-0.000302431741068019</v>
      </c>
      <c r="G37" s="22" t="n">
        <f aca="false">EXP(F37)-1</f>
        <v>-0.000302386013198985</v>
      </c>
    </row>
    <row r="38" customFormat="false" ht="15" hidden="false" customHeight="false" outlineLevel="0" collapsed="false">
      <c r="A38" s="20" t="n">
        <v>44522</v>
      </c>
      <c r="B38" s="21" t="n">
        <v>437.319366</v>
      </c>
      <c r="C38" s="21" t="n">
        <v>97.052101</v>
      </c>
      <c r="D38" s="22" t="n">
        <f aca="false">LN(B38/B37)</f>
        <v>-0.00281924498023931</v>
      </c>
      <c r="E38" s="22" t="n">
        <f aca="false">LN(C38/C37)</f>
        <v>-0.00481739217999396</v>
      </c>
      <c r="F38" s="22" t="n">
        <f aca="false">LN(Summary!$B$13*EXP(D38)+Summary!$B$14*EXP(E38))</f>
        <v>-0.00361802481296573</v>
      </c>
      <c r="G38" s="22" t="n">
        <f aca="false">EXP(F38)-1</f>
        <v>-0.00361148764744423</v>
      </c>
    </row>
    <row r="39" customFormat="false" ht="15" hidden="false" customHeight="false" outlineLevel="0" collapsed="false">
      <c r="A39" s="20" t="n">
        <v>44523</v>
      </c>
      <c r="B39" s="21" t="n">
        <v>437.899292</v>
      </c>
      <c r="C39" s="21" t="n">
        <v>96.668655</v>
      </c>
      <c r="D39" s="22" t="n">
        <f aca="false">LN(B39/B38)</f>
        <v>0.00132521417264348</v>
      </c>
      <c r="E39" s="22" t="n">
        <f aca="false">LN(C39/C38)</f>
        <v>-0.00395875494902621</v>
      </c>
      <c r="F39" s="22" t="n">
        <f aca="false">LN(Summary!$B$13*EXP(D39)+Summary!$B$14*EXP(E39))</f>
        <v>-0.000785024220131164</v>
      </c>
      <c r="G39" s="22" t="n">
        <f aca="false">EXP(F39)-1</f>
        <v>-0.00078471616923248</v>
      </c>
    </row>
    <row r="40" customFormat="false" ht="15" hidden="false" customHeight="false" outlineLevel="0" collapsed="false">
      <c r="A40" s="20" t="n">
        <v>44524</v>
      </c>
      <c r="B40" s="21" t="n">
        <v>439.06839</v>
      </c>
      <c r="C40" s="21" t="n">
        <v>96.890198</v>
      </c>
      <c r="D40" s="22" t="n">
        <f aca="false">LN(B40/B39)</f>
        <v>0.0026662298202495</v>
      </c>
      <c r="E40" s="22" t="n">
        <f aca="false">LN(C40/C39)</f>
        <v>0.00228915488298208</v>
      </c>
      <c r="F40" s="22" t="n">
        <f aca="false">LN(Summary!$B$13*EXP(D40)+Summary!$B$14*EXP(E40))</f>
        <v>0.00251541690717439</v>
      </c>
      <c r="G40" s="22" t="n">
        <f aca="false">EXP(F40)-1</f>
        <v>0.00251858322259402</v>
      </c>
    </row>
    <row r="41" customFormat="false" ht="15" hidden="false" customHeight="false" outlineLevel="0" collapsed="false">
      <c r="A41" s="20" t="n">
        <v>44526</v>
      </c>
      <c r="B41" s="21" t="n">
        <v>429.275787</v>
      </c>
      <c r="C41" s="21" t="n">
        <v>97.580399</v>
      </c>
      <c r="D41" s="22" t="n">
        <f aca="false">LN(B41/B40)</f>
        <v>-0.0225556142969922</v>
      </c>
      <c r="E41" s="22" t="n">
        <f aca="false">LN(C41/C40)</f>
        <v>0.00709828538261451</v>
      </c>
      <c r="F41" s="22" t="n">
        <f aca="false">LN(Summary!$B$13*EXP(D41)+Summary!$B$14*EXP(E41))</f>
        <v>-0.0105883267824958</v>
      </c>
      <c r="G41" s="22" t="n">
        <f aca="false">EXP(F41)-1</f>
        <v>-0.0105324677754449</v>
      </c>
    </row>
    <row r="42" customFormat="false" ht="15" hidden="false" customHeight="false" outlineLevel="0" collapsed="false">
      <c r="A42" s="20" t="n">
        <v>44529</v>
      </c>
      <c r="B42" s="21" t="n">
        <v>434.541565</v>
      </c>
      <c r="C42" s="21" t="n">
        <v>97.631516</v>
      </c>
      <c r="D42" s="22" t="n">
        <f aca="false">LN(B42/B41)</f>
        <v>0.0121920292884394</v>
      </c>
      <c r="E42" s="22" t="n">
        <f aca="false">LN(C42/C41)</f>
        <v>0.000523707798966388</v>
      </c>
      <c r="F42" s="22" t="n">
        <f aca="false">LN(Summary!$B$13*EXP(D42)+Summary!$B$14*EXP(E42))</f>
        <v>0.0075410258693073</v>
      </c>
      <c r="G42" s="22" t="n">
        <f aca="false">EXP(F42)-1</f>
        <v>0.00756953101251168</v>
      </c>
    </row>
    <row r="43" customFormat="false" ht="15" hidden="false" customHeight="false" outlineLevel="0" collapsed="false">
      <c r="A43" s="20" t="n">
        <v>44530</v>
      </c>
      <c r="B43" s="21" t="n">
        <v>426.086334</v>
      </c>
      <c r="C43" s="21" t="n">
        <v>97.793404</v>
      </c>
      <c r="D43" s="22" t="n">
        <f aca="false">LN(B43/B42)</f>
        <v>-0.0196496141022138</v>
      </c>
      <c r="E43" s="22" t="n">
        <f aca="false">LN(C43/C42)</f>
        <v>0.00165677987260567</v>
      </c>
      <c r="F43" s="22" t="n">
        <f aca="false">LN(Summary!$B$13*EXP(D43)+Summary!$B$14*EXP(E43))</f>
        <v>-0.0110725045530025</v>
      </c>
      <c r="G43" s="22" t="n">
        <f aca="false">EXP(F43)-1</f>
        <v>-0.0110114299983988</v>
      </c>
    </row>
    <row r="44" customFormat="false" ht="15" hidden="false" customHeight="false" outlineLevel="0" collapsed="false">
      <c r="A44" s="20" t="n">
        <v>44531</v>
      </c>
      <c r="B44" s="21" t="n">
        <v>421.35376</v>
      </c>
      <c r="C44" s="21" t="n">
        <v>97.812172</v>
      </c>
      <c r="D44" s="22" t="n">
        <f aca="false">LN(B44/B43)</f>
        <v>-0.0111692218318532</v>
      </c>
      <c r="E44" s="22" t="n">
        <f aca="false">LN(C44/C43)</f>
        <v>0.000191896370659647</v>
      </c>
      <c r="F44" s="22" t="n">
        <f aca="false">LN(Summary!$B$13*EXP(D44)+Summary!$B$14*EXP(E44))</f>
        <v>-0.00660927389198674</v>
      </c>
      <c r="G44" s="22" t="n">
        <f aca="false">EXP(F44)-1</f>
        <v>-0.00658748068016468</v>
      </c>
    </row>
    <row r="45" customFormat="false" ht="15" hidden="false" customHeight="false" outlineLevel="0" collapsed="false">
      <c r="A45" s="20" t="n">
        <v>44532</v>
      </c>
      <c r="B45" s="21" t="n">
        <v>427.807343</v>
      </c>
      <c r="C45" s="21" t="n">
        <v>97.795113</v>
      </c>
      <c r="D45" s="22" t="n">
        <f aca="false">LN(B45/B44)</f>
        <v>0.0152001951876908</v>
      </c>
      <c r="E45" s="22" t="n">
        <f aca="false">LN(C45/C44)</f>
        <v>-0.000174420907107335</v>
      </c>
      <c r="F45" s="22" t="n">
        <f aca="false">LN(Summary!$B$13*EXP(D45)+Summary!$B$14*EXP(E45))</f>
        <v>0.00907868488910944</v>
      </c>
      <c r="G45" s="22" t="n">
        <f aca="false">EXP(F45)-1</f>
        <v>0.00912002114702348</v>
      </c>
    </row>
    <row r="46" customFormat="false" ht="15" hidden="false" customHeight="false" outlineLevel="0" collapsed="false">
      <c r="A46" s="20" t="n">
        <v>44533</v>
      </c>
      <c r="B46" s="21" t="n">
        <v>424.084839</v>
      </c>
      <c r="C46" s="21" t="n">
        <v>98.187607</v>
      </c>
      <c r="D46" s="22" t="n">
        <f aca="false">LN(B46/B45)</f>
        <v>-0.0087394338665164</v>
      </c>
      <c r="E46" s="22" t="n">
        <f aca="false">LN(C46/C45)</f>
        <v>0.00400539929988669</v>
      </c>
      <c r="F46" s="22" t="n">
        <f aca="false">LN(Summary!$B$13*EXP(D46)+Summary!$B$14*EXP(E46))</f>
        <v>-0.00362199246237799</v>
      </c>
      <c r="G46" s="22" t="n">
        <f aca="false">EXP(F46)-1</f>
        <v>-0.00361544095989697</v>
      </c>
    </row>
    <row r="47" customFormat="false" ht="15" hidden="false" customHeight="false" outlineLevel="0" collapsed="false">
      <c r="A47" s="20" t="n">
        <v>44536</v>
      </c>
      <c r="B47" s="21" t="n">
        <v>429.107422</v>
      </c>
      <c r="C47" s="21" t="n">
        <v>97.846306</v>
      </c>
      <c r="D47" s="22" t="n">
        <f aca="false">LN(B47/B46)</f>
        <v>0.0117737613179774</v>
      </c>
      <c r="E47" s="22" t="n">
        <f aca="false">LN(C47/C46)</f>
        <v>-0.0034820642982284</v>
      </c>
      <c r="F47" s="22" t="n">
        <f aca="false">LN(Summary!$B$13*EXP(D47)+Summary!$B$14*EXP(E47))</f>
        <v>0.00569933125445499</v>
      </c>
      <c r="G47" s="22" t="n">
        <f aca="false">EXP(F47)-1</f>
        <v>0.00571560334147936</v>
      </c>
    </row>
    <row r="48" customFormat="false" ht="15" hidden="false" customHeight="false" outlineLevel="0" collapsed="false">
      <c r="A48" s="20" t="n">
        <v>44537</v>
      </c>
      <c r="B48" s="21" t="n">
        <v>437.983459</v>
      </c>
      <c r="C48" s="21" t="n">
        <v>97.692703</v>
      </c>
      <c r="D48" s="22" t="n">
        <f aca="false">LN(B48/B47)</f>
        <v>0.020473856307817</v>
      </c>
      <c r="E48" s="22" t="n">
        <f aca="false">LN(C48/C47)</f>
        <v>-0.00157107302916197</v>
      </c>
      <c r="F48" s="22" t="n">
        <f aca="false">LN(Summary!$B$13*EXP(D48)+Summary!$B$14*EXP(E48))</f>
        <v>0.0117141152999665</v>
      </c>
      <c r="G48" s="22" t="n">
        <f aca="false">EXP(F48)-1</f>
        <v>0.0117829942377874</v>
      </c>
    </row>
    <row r="49" customFormat="false" ht="15" hidden="false" customHeight="false" outlineLevel="0" collapsed="false">
      <c r="A49" s="20" t="n">
        <v>44538</v>
      </c>
      <c r="B49" s="21" t="n">
        <v>439.143158</v>
      </c>
      <c r="C49" s="21" t="n">
        <v>97.436752</v>
      </c>
      <c r="D49" s="22" t="n">
        <f aca="false">LN(B49/B48)</f>
        <v>0.00264431532068515</v>
      </c>
      <c r="E49" s="22" t="n">
        <f aca="false">LN(C49/C48)</f>
        <v>-0.0026233983669206</v>
      </c>
      <c r="F49" s="22" t="n">
        <f aca="false">LN(Summary!$B$13*EXP(D49)+Summary!$B$14*EXP(E49))</f>
        <v>0.000540558529775132</v>
      </c>
      <c r="G49" s="22" t="n">
        <f aca="false">EXP(F49)-1</f>
        <v>0.000540704657866264</v>
      </c>
    </row>
    <row r="50" customFormat="false" ht="15" hidden="false" customHeight="false" outlineLevel="0" collapsed="false">
      <c r="A50" s="20" t="n">
        <v>44539</v>
      </c>
      <c r="B50" s="21" t="n">
        <v>436.178253</v>
      </c>
      <c r="C50" s="21" t="n">
        <v>97.445267</v>
      </c>
      <c r="D50" s="22" t="n">
        <f aca="false">LN(B50/B49)</f>
        <v>-0.0067744631899797</v>
      </c>
      <c r="E50" s="22" t="n">
        <f aca="false">LN(C50/C49)</f>
        <v>8.73862047315545E-005</v>
      </c>
      <c r="F50" s="22" t="n">
        <f aca="false">LN(Summary!$B$13*EXP(D50)+Summary!$B$14*EXP(E50))</f>
        <v>-0.00402407065988726</v>
      </c>
      <c r="G50" s="22" t="n">
        <f aca="false">EXP(F50)-1</f>
        <v>-0.00401598493702549</v>
      </c>
    </row>
    <row r="51" customFormat="false" ht="15" hidden="false" customHeight="false" outlineLevel="0" collapsed="false">
      <c r="A51" s="20" t="n">
        <v>44540</v>
      </c>
      <c r="B51" s="21" t="n">
        <v>440.284302</v>
      </c>
      <c r="C51" s="21" t="n">
        <v>97.470886</v>
      </c>
      <c r="D51" s="22" t="n">
        <f aca="false">LN(B51/B50)</f>
        <v>0.00936966220837853</v>
      </c>
      <c r="E51" s="22" t="n">
        <f aca="false">LN(C51/C50)</f>
        <v>0.000262872006790641</v>
      </c>
      <c r="F51" s="22" t="n">
        <f aca="false">LN(Summary!$B$13*EXP(D51)+Summary!$B$14*EXP(E51))</f>
        <v>0.00573689209078741</v>
      </c>
      <c r="G51" s="22" t="n">
        <f aca="false">EXP(F51)-1</f>
        <v>0.00575337957010236</v>
      </c>
    </row>
    <row r="52" customFormat="false" ht="15" hidden="false" customHeight="false" outlineLevel="0" collapsed="false">
      <c r="A52" s="20" t="n">
        <v>44543</v>
      </c>
      <c r="B52" s="21" t="n">
        <v>436.384064</v>
      </c>
      <c r="C52" s="21" t="n">
        <v>97.812172</v>
      </c>
      <c r="D52" s="22" t="n">
        <f aca="false">LN(B52/B51)</f>
        <v>-0.00889792282700266</v>
      </c>
      <c r="E52" s="22" t="n">
        <f aca="false">LN(C52/C51)</f>
        <v>0.00349529909000939</v>
      </c>
      <c r="F52" s="22" t="n">
        <f aca="false">LN(Summary!$B$13*EXP(D52)+Summary!$B$14*EXP(E52))</f>
        <v>-0.00392218790228394</v>
      </c>
      <c r="G52" s="22" t="n">
        <f aca="false">EXP(F52)-1</f>
        <v>-0.00391450616966149</v>
      </c>
    </row>
    <row r="53" customFormat="false" ht="15" hidden="false" customHeight="false" outlineLevel="0" collapsed="false">
      <c r="A53" s="20" t="n">
        <v>44544</v>
      </c>
      <c r="B53" s="21" t="n">
        <v>433.381775</v>
      </c>
      <c r="C53" s="21" t="n">
        <v>97.624466</v>
      </c>
      <c r="D53" s="22" t="n">
        <f aca="false">LN(B53/B52)</f>
        <v>-0.00690369934004285</v>
      </c>
      <c r="E53" s="22" t="n">
        <f aca="false">LN(C53/C52)</f>
        <v>-0.00192088913969863</v>
      </c>
      <c r="F53" s="22" t="n">
        <f aca="false">LN(Summary!$B$13*EXP(D53)+Summary!$B$14*EXP(E53))</f>
        <v>-0.00490759486519917</v>
      </c>
      <c r="G53" s="22" t="n">
        <f aca="false">EXP(F53)-1</f>
        <v>-0.00489557229685755</v>
      </c>
    </row>
    <row r="54" customFormat="false" ht="15" hidden="false" customHeight="false" outlineLevel="0" collapsed="false">
      <c r="A54" s="20" t="n">
        <v>44545</v>
      </c>
      <c r="B54" s="21" t="n">
        <v>440.153229</v>
      </c>
      <c r="C54" s="21" t="n">
        <v>97.547676</v>
      </c>
      <c r="D54" s="22" t="n">
        <f aca="false">LN(B54/B53)</f>
        <v>0.0155038770202218</v>
      </c>
      <c r="E54" s="22" t="n">
        <f aca="false">LN(C54/C53)</f>
        <v>-0.000786895129350877</v>
      </c>
      <c r="F54" s="22" t="n">
        <f aca="false">LN(Summary!$B$13*EXP(D54)+Summary!$B$14*EXP(E54))</f>
        <v>0.0090193799750618</v>
      </c>
      <c r="G54" s="22" t="n">
        <f aca="false">EXP(F54)-1</f>
        <v>0.00906017714544483</v>
      </c>
    </row>
    <row r="55" customFormat="false" ht="15" hidden="false" customHeight="false" outlineLevel="0" collapsed="false">
      <c r="A55" s="20" t="n">
        <v>44546</v>
      </c>
      <c r="B55" s="21" t="n">
        <v>436.271881</v>
      </c>
      <c r="C55" s="21" t="n">
        <v>97.68177</v>
      </c>
      <c r="D55" s="22" t="n">
        <f aca="false">LN(B55/B54)</f>
        <v>-0.00885728473654121</v>
      </c>
      <c r="E55" s="22" t="n">
        <f aca="false">LN(C55/C54)</f>
        <v>0.00137370692622961</v>
      </c>
      <c r="F55" s="22" t="n">
        <f aca="false">LN(Summary!$B$13*EXP(D55)+Summary!$B$14*EXP(E55))</f>
        <v>-0.00475231876959265</v>
      </c>
      <c r="G55" s="22" t="n">
        <f aca="false">EXP(F55)-1</f>
        <v>-0.00474104436966694</v>
      </c>
    </row>
    <row r="56" customFormat="false" ht="15" hidden="false" customHeight="false" outlineLevel="0" collapsed="false">
      <c r="A56" s="20" t="n">
        <v>44547</v>
      </c>
      <c r="B56" s="21" t="n">
        <v>431.628632</v>
      </c>
      <c r="C56" s="21" t="n">
        <v>97.801331</v>
      </c>
      <c r="D56" s="22" t="n">
        <f aca="false">LN(B56/B55)</f>
        <v>-0.0107000588922753</v>
      </c>
      <c r="E56" s="22" t="n">
        <f aca="false">LN(C56/C55)</f>
        <v>0.00122323632372024</v>
      </c>
      <c r="F56" s="22" t="n">
        <f aca="false">LN(Summary!$B$13*EXP(D56)+Summary!$B$14*EXP(E56))</f>
        <v>-0.00591366753812938</v>
      </c>
      <c r="G56" s="22" t="n">
        <f aca="false">EXP(F56)-1</f>
        <v>-0.00589621622362369</v>
      </c>
    </row>
    <row r="57" customFormat="false" ht="15" hidden="false" customHeight="false" outlineLevel="0" collapsed="false">
      <c r="A57" s="20" t="n">
        <v>44550</v>
      </c>
      <c r="B57" s="21" t="n">
        <v>427.03894</v>
      </c>
      <c r="C57" s="21" t="n">
        <v>97.656143</v>
      </c>
      <c r="D57" s="22" t="n">
        <f aca="false">LN(B57/B56)</f>
        <v>-0.0106903669365366</v>
      </c>
      <c r="E57" s="22" t="n">
        <f aca="false">LN(C57/C56)</f>
        <v>-0.00148562266494248</v>
      </c>
      <c r="F57" s="22" t="n">
        <f aca="false">LN(Summary!$B$13*EXP(D57)+Summary!$B$14*EXP(E57))</f>
        <v>-0.00699829574233593</v>
      </c>
      <c r="G57" s="22" t="n">
        <f aca="false">EXP(F57)-1</f>
        <v>-0.0069738646958053</v>
      </c>
    </row>
    <row r="58" customFormat="false" ht="15" hidden="false" customHeight="false" outlineLevel="0" collapsed="false">
      <c r="A58" s="20" t="n">
        <v>44551</v>
      </c>
      <c r="B58" s="21" t="n">
        <v>434.622742</v>
      </c>
      <c r="C58" s="21" t="n">
        <v>97.579262</v>
      </c>
      <c r="D58" s="22" t="n">
        <f aca="false">LN(B58/B57)</f>
        <v>0.0176031915811787</v>
      </c>
      <c r="E58" s="22" t="n">
        <f aca="false">LN(C58/C57)</f>
        <v>-0.000787572356293803</v>
      </c>
      <c r="F58" s="22" t="n">
        <f aca="false">LN(Summary!$B$13*EXP(D58)+Summary!$B$14*EXP(E58))</f>
        <v>0.0102874221672138</v>
      </c>
      <c r="G58" s="22" t="n">
        <f aca="false">EXP(F58)-1</f>
        <v>0.0103405196170643</v>
      </c>
    </row>
    <row r="59" customFormat="false" ht="15" hidden="false" customHeight="false" outlineLevel="0" collapsed="false">
      <c r="A59" s="20" t="n">
        <v>44552</v>
      </c>
      <c r="B59" s="21" t="n">
        <v>438.968414</v>
      </c>
      <c r="C59" s="21" t="n">
        <v>97.66468</v>
      </c>
      <c r="D59" s="22" t="n">
        <f aca="false">LN(B59/B58)</f>
        <v>0.00994906556930954</v>
      </c>
      <c r="E59" s="22" t="n">
        <f aca="false">LN(C59/C58)</f>
        <v>0.000874987511261082</v>
      </c>
      <c r="F59" s="22" t="n">
        <f aca="false">LN(Summary!$B$13*EXP(D59)+Summary!$B$14*EXP(E59))</f>
        <v>0.00632930900622206</v>
      </c>
      <c r="G59" s="22" t="n">
        <f aca="false">EXP(F59)-1</f>
        <v>0.00634938140826957</v>
      </c>
    </row>
    <row r="60" customFormat="false" ht="15" hidden="false" customHeight="false" outlineLevel="0" collapsed="false">
      <c r="A60" s="20" t="n">
        <v>44553</v>
      </c>
      <c r="B60" s="21" t="n">
        <v>441.699738</v>
      </c>
      <c r="C60" s="21" t="n">
        <v>97.545082</v>
      </c>
      <c r="D60" s="22" t="n">
        <f aca="false">LN(B60/B59)</f>
        <v>0.00620286483897542</v>
      </c>
      <c r="E60" s="22" t="n">
        <f aca="false">LN(C60/C59)</f>
        <v>-0.00122532821861651</v>
      </c>
      <c r="F60" s="22" t="n">
        <f aca="false">LN(Summary!$B$13*EXP(D60)+Summary!$B$14*EXP(E60))</f>
        <v>0.00323820568982583</v>
      </c>
      <c r="G60" s="22" t="n">
        <f aca="false">EXP(F60)-1</f>
        <v>0.00324345434174633</v>
      </c>
    </row>
    <row r="61" customFormat="false" ht="15" hidden="false" customHeight="false" outlineLevel="0" collapsed="false">
      <c r="A61" s="20" t="n">
        <v>44557</v>
      </c>
      <c r="B61" s="21" t="n">
        <v>447.950745</v>
      </c>
      <c r="C61" s="21" t="n">
        <v>97.596375</v>
      </c>
      <c r="D61" s="22" t="n">
        <f aca="false">LN(B61/B60)</f>
        <v>0.0140529567347256</v>
      </c>
      <c r="E61" s="22" t="n">
        <f aca="false">LN(C61/C60)</f>
        <v>0.000525700709319742</v>
      </c>
      <c r="F61" s="22" t="n">
        <f aca="false">LN(Summary!$B$13*EXP(D61)+Summary!$B$14*EXP(E61))</f>
        <v>0.00866399277378574</v>
      </c>
      <c r="G61" s="22" t="n">
        <f aca="false">EXP(F61)-1</f>
        <v>0.00870163378780386</v>
      </c>
    </row>
    <row r="62" customFormat="false" ht="15" hidden="false" customHeight="false" outlineLevel="0" collapsed="false">
      <c r="A62" s="20" t="n">
        <v>44558</v>
      </c>
      <c r="B62" s="21" t="n">
        <v>447.584686</v>
      </c>
      <c r="C62" s="21" t="n">
        <v>97.553665</v>
      </c>
      <c r="D62" s="22" t="n">
        <f aca="false">LN(B62/B61)</f>
        <v>-0.000817519905335021</v>
      </c>
      <c r="E62" s="22" t="n">
        <f aca="false">LN(C62/C61)</f>
        <v>-0.000437714495799339</v>
      </c>
      <c r="F62" s="22" t="n">
        <f aca="false">LN(Summary!$B$13*EXP(D62)+Summary!$B$14*EXP(E62))</f>
        <v>-0.000665580430824666</v>
      </c>
      <c r="G62" s="22" t="n">
        <f aca="false">EXP(F62)-1</f>
        <v>-0.000665358981303266</v>
      </c>
    </row>
    <row r="63" customFormat="false" ht="15" hidden="false" customHeight="false" outlineLevel="0" collapsed="false">
      <c r="A63" s="20" t="n">
        <v>44559</v>
      </c>
      <c r="B63" s="21" t="n">
        <v>448.157257</v>
      </c>
      <c r="C63" s="21" t="n">
        <v>97.263229</v>
      </c>
      <c r="D63" s="22" t="n">
        <f aca="false">LN(B63/B62)</f>
        <v>0.0012784286422171</v>
      </c>
      <c r="E63" s="22" t="n">
        <f aca="false">LN(C63/C62)</f>
        <v>-0.00298163274451834</v>
      </c>
      <c r="F63" s="22" t="n">
        <f aca="false">LN(Summary!$B$13*EXP(D63)+Summary!$B$14*EXP(E63))</f>
        <v>-0.000423418757659958</v>
      </c>
      <c r="G63" s="22" t="n">
        <f aca="false">EXP(F63)-1</f>
        <v>-0.000423329128588446</v>
      </c>
    </row>
    <row r="64" customFormat="false" ht="15" hidden="false" customHeight="false" outlineLevel="0" collapsed="false">
      <c r="A64" s="20" t="n">
        <v>44560</v>
      </c>
      <c r="B64" s="21" t="n">
        <v>446.918213</v>
      </c>
      <c r="C64" s="21" t="n">
        <v>97.476761</v>
      </c>
      <c r="D64" s="22" t="n">
        <f aca="false">LN(B64/B63)</f>
        <v>-0.00276858171846425</v>
      </c>
      <c r="E64" s="22" t="n">
        <f aca="false">LN(C64/C63)</f>
        <v>0.00219299678075492</v>
      </c>
      <c r="F64" s="22" t="n">
        <f aca="false">LN(Summary!$B$13*EXP(D64)+Summary!$B$14*EXP(E64))</f>
        <v>-0.000780995272977067</v>
      </c>
      <c r="G64" s="22" t="n">
        <f aca="false">EXP(F64)-1</f>
        <v>-0.00078069037554851</v>
      </c>
    </row>
    <row r="65" customFormat="false" ht="15" hidden="false" customHeight="false" outlineLevel="0" collapsed="false">
      <c r="A65" s="20" t="n">
        <v>44561</v>
      </c>
      <c r="B65" s="21" t="n">
        <v>445.791901</v>
      </c>
      <c r="C65" s="21" t="n">
        <v>97.442612</v>
      </c>
      <c r="D65" s="22" t="n">
        <f aca="false">LN(B65/B64)</f>
        <v>-0.00252335574554213</v>
      </c>
      <c r="E65" s="22" t="n">
        <f aca="false">LN(C65/C64)</f>
        <v>-0.000350391034239382</v>
      </c>
      <c r="F65" s="22" t="n">
        <f aca="false">LN(Summary!$B$13*EXP(D65)+Summary!$B$14*EXP(E65))</f>
        <v>-0.00165360316596076</v>
      </c>
      <c r="G65" s="22" t="n">
        <f aca="false">EXP(F65)-1</f>
        <v>-0.00165223671753711</v>
      </c>
    </row>
    <row r="66" customFormat="false" ht="15" hidden="false" customHeight="false" outlineLevel="0" collapsed="false">
      <c r="A66" s="20" t="n">
        <v>44564</v>
      </c>
      <c r="B66" s="21" t="n">
        <v>448.373077</v>
      </c>
      <c r="C66" s="21" t="n">
        <v>96.776352</v>
      </c>
      <c r="D66" s="22" t="n">
        <f aca="false">LN(B66/B65)</f>
        <v>0.0057733935753819</v>
      </c>
      <c r="E66" s="22" t="n">
        <f aca="false">LN(C66/C65)</f>
        <v>-0.0068609429256733</v>
      </c>
      <c r="F66" s="22" t="n">
        <f aca="false">LN(Summary!$B$13*EXP(D66)+Summary!$B$14*EXP(E66))</f>
        <v>0.000738797903951671</v>
      </c>
      <c r="G66" s="22" t="n">
        <f aca="false">EXP(F66)-1</f>
        <v>0.000739070882344262</v>
      </c>
    </row>
    <row r="67" customFormat="false" ht="15" hidden="false" customHeight="false" outlineLevel="0" collapsed="false">
      <c r="A67" s="20" t="n">
        <v>44565</v>
      </c>
      <c r="B67" s="21" t="n">
        <v>448.222809</v>
      </c>
      <c r="C67" s="21" t="n">
        <v>96.767815</v>
      </c>
      <c r="D67" s="22" t="n">
        <f aca="false">LN(B67/B66)</f>
        <v>-0.000335196722968306</v>
      </c>
      <c r="E67" s="22" t="n">
        <f aca="false">LN(C67/C66)</f>
        <v>-8.82175902055441E-005</v>
      </c>
      <c r="F67" s="22" t="n">
        <f aca="false">LN(Summary!$B$13*EXP(D67)+Summary!$B$14*EXP(E67))</f>
        <v>-0.000236397749899696</v>
      </c>
      <c r="G67" s="22" t="n">
        <f aca="false">EXP(F67)-1</f>
        <v>-0.000236369810153292</v>
      </c>
    </row>
    <row r="68" customFormat="false" ht="15" hidden="false" customHeight="false" outlineLevel="0" collapsed="false">
      <c r="A68" s="20" t="n">
        <v>44566</v>
      </c>
      <c r="B68" s="21" t="n">
        <v>439.616058</v>
      </c>
      <c r="C68" s="21" t="n">
        <v>96.468857</v>
      </c>
      <c r="D68" s="22" t="n">
        <f aca="false">LN(B68/B67)</f>
        <v>-0.0193886997748086</v>
      </c>
      <c r="E68" s="22" t="n">
        <f aca="false">LN(C68/C67)</f>
        <v>-0.0030942184568703</v>
      </c>
      <c r="F68" s="22" t="n">
        <f aca="false">LN(Summary!$B$13*EXP(D68)+Summary!$B$14*EXP(E68))</f>
        <v>-0.0128390117333051</v>
      </c>
      <c r="G68" s="22" t="n">
        <f aca="false">EXP(F68)-1</f>
        <v>-0.0127569432238077</v>
      </c>
    </row>
    <row r="69" customFormat="false" ht="15" hidden="false" customHeight="false" outlineLevel="0" collapsed="false">
      <c r="A69" s="20" t="n">
        <v>44567</v>
      </c>
      <c r="B69" s="21" t="n">
        <v>439.203033</v>
      </c>
      <c r="C69" s="21" t="n">
        <v>96.366348</v>
      </c>
      <c r="D69" s="22" t="n">
        <f aca="false">LN(B69/B68)</f>
        <v>-0.000939954615550003</v>
      </c>
      <c r="E69" s="22" t="n">
        <f aca="false">LN(C69/C68)</f>
        <v>-0.00106317733482212</v>
      </c>
      <c r="F69" s="22" t="n">
        <f aca="false">LN(Summary!$B$13*EXP(D69)+Summary!$B$14*EXP(E69))</f>
        <v>-0.000989241881213172</v>
      </c>
      <c r="G69" s="22" t="n">
        <f aca="false">EXP(F69)-1</f>
        <v>-0.000988752742768773</v>
      </c>
    </row>
    <row r="70" customFormat="false" ht="15" hidden="false" customHeight="false" outlineLevel="0" collapsed="false">
      <c r="A70" s="20" t="n">
        <v>44568</v>
      </c>
      <c r="B70" s="21" t="n">
        <v>437.466705</v>
      </c>
      <c r="C70" s="21" t="n">
        <v>96.084488</v>
      </c>
      <c r="D70" s="22" t="n">
        <f aca="false">LN(B70/B69)</f>
        <v>-0.00396119586462447</v>
      </c>
      <c r="E70" s="22" t="n">
        <f aca="false">LN(C70/C69)</f>
        <v>-0.00292916577956736</v>
      </c>
      <c r="F70" s="22" t="n">
        <f aca="false">LN(Summary!$B$13*EXP(D70)+Summary!$B$14*EXP(E70))</f>
        <v>-0.0035482560114815</v>
      </c>
      <c r="G70" s="22" t="n">
        <f aca="false">EXP(F70)-1</f>
        <v>-0.0035419683900153</v>
      </c>
    </row>
    <row r="71" customFormat="false" ht="15" hidden="false" customHeight="false" outlineLevel="0" collapsed="false">
      <c r="A71" s="20" t="n">
        <v>44571</v>
      </c>
      <c r="B71" s="21" t="n">
        <v>436.922211</v>
      </c>
      <c r="C71" s="21" t="n">
        <v>95.999054</v>
      </c>
      <c r="D71" s="22" t="n">
        <f aca="false">LN(B71/B70)</f>
        <v>-0.00124542765905767</v>
      </c>
      <c r="E71" s="22" t="n">
        <f aca="false">LN(C71/C70)</f>
        <v>-0.000889550502287705</v>
      </c>
      <c r="F71" s="22" t="n">
        <f aca="false">LN(Summary!$B$13*EXP(D71)+Summary!$B$14*EXP(E71))</f>
        <v>-0.00110306159816315</v>
      </c>
      <c r="G71" s="22" t="n">
        <f aca="false">EXP(F71)-1</f>
        <v>-0.00110245344934756</v>
      </c>
    </row>
    <row r="72" customFormat="false" ht="15" hidden="false" customHeight="false" outlineLevel="0" collapsed="false">
      <c r="A72" s="20" t="n">
        <v>44572</v>
      </c>
      <c r="B72" s="21" t="n">
        <v>440.901947</v>
      </c>
      <c r="C72" s="21" t="n">
        <v>96.178436</v>
      </c>
      <c r="D72" s="22" t="n">
        <f aca="false">LN(B72/B71)</f>
        <v>0.00906733593598185</v>
      </c>
      <c r="E72" s="22" t="n">
        <f aca="false">LN(C72/C71)</f>
        <v>0.00186683728772553</v>
      </c>
      <c r="F72" s="22" t="n">
        <f aca="false">LN(Summary!$B$13*EXP(D72)+Summary!$B$14*EXP(E72))</f>
        <v>0.00619335513995572</v>
      </c>
      <c r="G72" s="22" t="n">
        <f aca="false">EXP(F72)-1</f>
        <v>0.00621257361903704</v>
      </c>
    </row>
    <row r="73" customFormat="false" ht="15" hidden="false" customHeight="false" outlineLevel="0" collapsed="false">
      <c r="A73" s="20" t="n">
        <v>44573</v>
      </c>
      <c r="B73" s="21" t="n">
        <v>442.093872</v>
      </c>
      <c r="C73" s="21" t="n">
        <v>96.178436</v>
      </c>
      <c r="D73" s="22" t="n">
        <f aca="false">LN(B73/B72)</f>
        <v>0.00269973129725598</v>
      </c>
      <c r="E73" s="22" t="n">
        <f aca="false">LN(C73/C72)</f>
        <v>0</v>
      </c>
      <c r="F73" s="22" t="n">
        <f aca="false">LN(Summary!$B$13*EXP(D73)+Summary!$B$14*EXP(E73))</f>
        <v>0.00162071324659238</v>
      </c>
      <c r="G73" s="22" t="n">
        <f aca="false">EXP(F73)-1</f>
        <v>0.00162202731211814</v>
      </c>
    </row>
    <row r="74" customFormat="false" ht="15" hidden="false" customHeight="false" outlineLevel="0" collapsed="false">
      <c r="A74" s="20" t="n">
        <v>44574</v>
      </c>
      <c r="B74" s="21" t="n">
        <v>436.002472</v>
      </c>
      <c r="C74" s="21" t="n">
        <v>96.349258</v>
      </c>
      <c r="D74" s="22" t="n">
        <f aca="false">LN(B74/B73)</f>
        <v>-0.0138743265610049</v>
      </c>
      <c r="E74" s="22" t="n">
        <f aca="false">LN(C74/C73)</f>
        <v>0.00177451920060264</v>
      </c>
      <c r="F74" s="22" t="n">
        <f aca="false">LN(Summary!$B$13*EXP(D74)+Summary!$B$14*EXP(E74))</f>
        <v>-0.00758537149857592</v>
      </c>
      <c r="G74" s="22" t="n">
        <f aca="false">EXP(F74)-1</f>
        <v>-0.00755667517146552</v>
      </c>
    </row>
    <row r="75" customFormat="false" ht="15" hidden="false" customHeight="false" outlineLevel="0" collapsed="false">
      <c r="A75" s="20" t="n">
        <v>44575</v>
      </c>
      <c r="B75" s="21" t="n">
        <v>436.180847</v>
      </c>
      <c r="C75" s="21" t="n">
        <v>95.811142</v>
      </c>
      <c r="D75" s="22" t="n">
        <f aca="false">LN(B75/B74)</f>
        <v>0.000409030988328261</v>
      </c>
      <c r="E75" s="22" t="n">
        <f aca="false">LN(C75/C74)</f>
        <v>-0.00560071072533915</v>
      </c>
      <c r="F75" s="22" t="n">
        <f aca="false">LN(Summary!$B$13*EXP(D75)+Summary!$B$14*EXP(E75))</f>
        <v>-0.00199053339984706</v>
      </c>
      <c r="G75" s="22" t="n">
        <f aca="false">EXP(F75)-1</f>
        <v>-0.00198855360207484</v>
      </c>
    </row>
    <row r="76" customFormat="false" ht="15" hidden="false" customHeight="false" outlineLevel="0" collapsed="false">
      <c r="A76" s="20" t="n">
        <v>44579</v>
      </c>
      <c r="B76" s="21" t="n">
        <v>428.456207</v>
      </c>
      <c r="C76" s="21" t="n">
        <v>95.230286</v>
      </c>
      <c r="D76" s="22" t="n">
        <f aca="false">LN(B76/B75)</f>
        <v>-0.0178684119311899</v>
      </c>
      <c r="E76" s="22" t="n">
        <f aca="false">LN(C76/C75)</f>
        <v>-0.00608096155888436</v>
      </c>
      <c r="F76" s="22" t="n">
        <f aca="false">LN(Summary!$B$13*EXP(D76)+Summary!$B$14*EXP(E76))</f>
        <v>-0.0131367454866657</v>
      </c>
      <c r="G76" s="22" t="n">
        <f aca="false">EXP(F76)-1</f>
        <v>-0.0130508350516514</v>
      </c>
    </row>
    <row r="77" customFormat="false" ht="15" hidden="false" customHeight="false" outlineLevel="0" collapsed="false">
      <c r="A77" s="20" t="n">
        <v>44580</v>
      </c>
      <c r="B77" s="21" t="n">
        <v>424.007355</v>
      </c>
      <c r="C77" s="21" t="n">
        <v>95.435364</v>
      </c>
      <c r="D77" s="22" t="n">
        <f aca="false">LN(B77/B76)</f>
        <v>-0.0104377303352516</v>
      </c>
      <c r="E77" s="22" t="n">
        <f aca="false">LN(C77/C76)</f>
        <v>0.00215118013217908</v>
      </c>
      <c r="F77" s="22" t="n">
        <f aca="false">LN(Summary!$B$13*EXP(D77)+Summary!$B$14*EXP(E77))</f>
        <v>-0.00538313261822486</v>
      </c>
      <c r="G77" s="22" t="n">
        <f aca="false">EXP(F77)-1</f>
        <v>-0.00536866952372195</v>
      </c>
    </row>
    <row r="78" customFormat="false" ht="15" hidden="false" customHeight="false" outlineLevel="0" collapsed="false">
      <c r="A78" s="20" t="n">
        <v>44581</v>
      </c>
      <c r="B78" s="21" t="n">
        <v>419.314301</v>
      </c>
      <c r="C78" s="21" t="n">
        <v>95.486557</v>
      </c>
      <c r="D78" s="22" t="n">
        <f aca="false">LN(B78/B77)</f>
        <v>-0.0111300413397858</v>
      </c>
      <c r="E78" s="22" t="n">
        <f aca="false">LN(C78/C77)</f>
        <v>0.000536271591640579</v>
      </c>
      <c r="F78" s="22" t="n">
        <f aca="false">LN(Summary!$B$13*EXP(D78)+Summary!$B$14*EXP(E78))</f>
        <v>-0.0064471712034448</v>
      </c>
      <c r="G78" s="22" t="n">
        <f aca="false">EXP(F78)-1</f>
        <v>-0.00642643278715616</v>
      </c>
    </row>
    <row r="79" customFormat="false" ht="15" hidden="false" customHeight="false" outlineLevel="0" collapsed="false">
      <c r="A79" s="20" t="n">
        <v>44582</v>
      </c>
      <c r="B79" s="21" t="n">
        <v>411.082947</v>
      </c>
      <c r="C79" s="21" t="n">
        <v>95.862419</v>
      </c>
      <c r="D79" s="22" t="n">
        <f aca="false">LN(B79/B78)</f>
        <v>-0.0198257487877659</v>
      </c>
      <c r="E79" s="22" t="n">
        <f aca="false">LN(C79/C78)</f>
        <v>0.00392855494985004</v>
      </c>
      <c r="F79" s="22" t="n">
        <f aca="false">LN(Summary!$B$13*EXP(D79)+Summary!$B$14*EXP(E79))</f>
        <v>-0.0102562094356374</v>
      </c>
      <c r="G79" s="22" t="n">
        <f aca="false">EXP(F79)-1</f>
        <v>-0.010203793867708</v>
      </c>
    </row>
    <row r="80" customFormat="false" ht="15" hidden="false" customHeight="false" outlineLevel="0" collapsed="false">
      <c r="A80" s="20" t="n">
        <v>44585</v>
      </c>
      <c r="B80" s="21" t="n">
        <v>412.828674</v>
      </c>
      <c r="C80" s="21" t="n">
        <v>95.751373</v>
      </c>
      <c r="D80" s="22" t="n">
        <f aca="false">LN(B80/B79)</f>
        <v>0.00423766231220059</v>
      </c>
      <c r="E80" s="22" t="n">
        <f aca="false">LN(C80/C79)</f>
        <v>-0.00115906074685697</v>
      </c>
      <c r="F80" s="22" t="n">
        <f aca="false">LN(Summary!$B$13*EXP(D80)+Summary!$B$14*EXP(E80))</f>
        <v>0.00208246678180182</v>
      </c>
      <c r="G80" s="22" t="n">
        <f aca="false">EXP(F80)-1</f>
        <v>0.00208463662169556</v>
      </c>
    </row>
    <row r="81" customFormat="false" ht="15" hidden="false" customHeight="false" outlineLevel="0" collapsed="false">
      <c r="A81" s="20" t="n">
        <v>44586</v>
      </c>
      <c r="B81" s="21" t="n">
        <v>407.788422</v>
      </c>
      <c r="C81" s="21" t="n">
        <v>95.657394</v>
      </c>
      <c r="D81" s="22" t="n">
        <f aca="false">LN(B81/B80)</f>
        <v>-0.0122842075952732</v>
      </c>
      <c r="E81" s="22" t="n">
        <f aca="false">LN(C81/C80)</f>
        <v>-0.000981971818999895</v>
      </c>
      <c r="F81" s="22" t="n">
        <f aca="false">LN(Summary!$B$13*EXP(D81)+Summary!$B$14*EXP(E81))</f>
        <v>-0.00774797294264563</v>
      </c>
      <c r="G81" s="22" t="n">
        <f aca="false">EXP(F81)-1</f>
        <v>-0.00771803477023259</v>
      </c>
    </row>
    <row r="82" customFormat="false" ht="15" hidden="false" customHeight="false" outlineLevel="0" collapsed="false">
      <c r="A82" s="20" t="n">
        <v>44587</v>
      </c>
      <c r="B82" s="21" t="n">
        <v>406.765411</v>
      </c>
      <c r="C82" s="21" t="n">
        <v>95.119278</v>
      </c>
      <c r="D82" s="22" t="n">
        <f aca="false">LN(B82/B81)</f>
        <v>-0.00251183284990806</v>
      </c>
      <c r="E82" s="22" t="n">
        <f aca="false">LN(C82/C81)</f>
        <v>-0.0056413336229264</v>
      </c>
      <c r="F82" s="22" t="n">
        <f aca="false">LN(Summary!$B$13*EXP(D82)+Summary!$B$14*EXP(E82))</f>
        <v>-0.00376245815172369</v>
      </c>
      <c r="G82" s="22" t="n">
        <f aca="false">EXP(F82)-1</f>
        <v>-0.00375538897465866</v>
      </c>
    </row>
    <row r="83" customFormat="false" ht="15" hidden="false" customHeight="false" outlineLevel="0" collapsed="false">
      <c r="A83" s="20" t="n">
        <v>44588</v>
      </c>
      <c r="B83" s="21" t="n">
        <v>404.756866</v>
      </c>
      <c r="C83" s="21" t="n">
        <v>95.435364</v>
      </c>
      <c r="D83" s="22" t="n">
        <f aca="false">LN(B83/B82)</f>
        <v>-0.00495007754746971</v>
      </c>
      <c r="E83" s="22" t="n">
        <f aca="false">LN(C83/C82)</f>
        <v>0.00331753964729274</v>
      </c>
      <c r="F83" s="22" t="n">
        <f aca="false">LN(Summary!$B$13*EXP(D83)+Summary!$B$14*EXP(E83))</f>
        <v>-0.00163482374989775</v>
      </c>
      <c r="G83" s="22" t="n">
        <f aca="false">EXP(F83)-1</f>
        <v>-0.00163348815347186</v>
      </c>
    </row>
    <row r="84" customFormat="false" ht="15" hidden="false" customHeight="false" outlineLevel="0" collapsed="false">
      <c r="A84" s="20" t="n">
        <v>44589</v>
      </c>
      <c r="B84" s="21" t="n">
        <v>414.809052</v>
      </c>
      <c r="C84" s="21" t="n">
        <v>95.503677</v>
      </c>
      <c r="D84" s="22" t="n">
        <f aca="false">LN(B84/B83)</f>
        <v>0.0245317427107384</v>
      </c>
      <c r="E84" s="22" t="n">
        <f aca="false">LN(C84/C83)</f>
        <v>0.000715547774378262</v>
      </c>
      <c r="F84" s="22" t="n">
        <f aca="false">LN(Summary!$B$13*EXP(D84)+Summary!$B$14*EXP(E84))</f>
        <v>0.0150732205928548</v>
      </c>
      <c r="G84" s="22" t="n">
        <f aca="false">EXP(F84)-1</f>
        <v>0.0151873945173313</v>
      </c>
    </row>
    <row r="85" customFormat="false" ht="15" hidden="false" customHeight="false" outlineLevel="0" collapsed="false">
      <c r="A85" s="20" t="n">
        <v>44592</v>
      </c>
      <c r="B85" s="21" t="n">
        <v>422.280243</v>
      </c>
      <c r="C85" s="21" t="n">
        <v>95.49511</v>
      </c>
      <c r="D85" s="22" t="n">
        <f aca="false">LN(B85/B84)</f>
        <v>0.0178508778865437</v>
      </c>
      <c r="E85" s="22" t="n">
        <f aca="false">LN(C85/C84)</f>
        <v>-8.97073760551718E-005</v>
      </c>
      <c r="F85" s="22" t="n">
        <f aca="false">LN(Summary!$B$13*EXP(D85)+Summary!$B$14*EXP(E85))</f>
        <v>0.0107132208835171</v>
      </c>
      <c r="G85" s="22" t="n">
        <f aca="false">EXP(F85)-1</f>
        <v>0.0107708129160125</v>
      </c>
    </row>
    <row r="86" customFormat="false" ht="15" hidden="false" customHeight="false" outlineLevel="0" collapsed="false">
      <c r="A86" s="20" t="n">
        <v>44593</v>
      </c>
      <c r="B86" s="21" t="n">
        <v>425.133636</v>
      </c>
      <c r="C86" s="21" t="n">
        <v>95.461761</v>
      </c>
      <c r="D86" s="22" t="n">
        <f aca="false">LN(B86/B85)</f>
        <v>0.00673438057742039</v>
      </c>
      <c r="E86" s="22" t="n">
        <f aca="false">LN(C86/C85)</f>
        <v>-0.00034928306234177</v>
      </c>
      <c r="F86" s="22" t="n">
        <f aca="false">LN(Summary!$B$13*EXP(D86)+Summary!$B$14*EXP(E86))</f>
        <v>0.00390693366174859</v>
      </c>
      <c r="G86" s="22" t="n">
        <f aca="false">EXP(F86)-1</f>
        <v>0.0039145756761072</v>
      </c>
    </row>
    <row r="87" customFormat="false" ht="15" hidden="false" customHeight="false" outlineLevel="0" collapsed="false">
      <c r="A87" s="20" t="n">
        <v>44594</v>
      </c>
      <c r="B87" s="21" t="n">
        <v>429.263428</v>
      </c>
      <c r="C87" s="21" t="n">
        <v>95.5644</v>
      </c>
      <c r="D87" s="22" t="n">
        <f aca="false">LN(B87/B86)</f>
        <v>0.00966722461140287</v>
      </c>
      <c r="E87" s="22" t="n">
        <f aca="false">LN(C87/C86)</f>
        <v>0.0010746068427468</v>
      </c>
      <c r="F87" s="22" t="n">
        <f aca="false">LN(Summary!$B$13*EXP(D87)+Summary!$B$14*EXP(E87))</f>
        <v>0.00623903237424868</v>
      </c>
      <c r="G87" s="22" t="n">
        <f aca="false">EXP(F87)-1</f>
        <v>0.0062585356762126</v>
      </c>
    </row>
    <row r="88" customFormat="false" ht="15" hidden="false" customHeight="false" outlineLevel="0" collapsed="false">
      <c r="A88" s="20" t="n">
        <v>44595</v>
      </c>
      <c r="B88" s="21" t="n">
        <v>419.173553</v>
      </c>
      <c r="C88" s="21" t="n">
        <v>95.179482</v>
      </c>
      <c r="D88" s="22" t="n">
        <f aca="false">LN(B88/B87)</f>
        <v>-0.0237857399586552</v>
      </c>
      <c r="E88" s="22" t="n">
        <f aca="false">LN(C88/C87)</f>
        <v>-0.00403597240928887</v>
      </c>
      <c r="F88" s="22" t="n">
        <f aca="false">LN(Summary!$B$13*EXP(D88)+Summary!$B$14*EXP(E88))</f>
        <v>-0.0158389655846876</v>
      </c>
      <c r="G88" s="22" t="n">
        <f aca="false">EXP(F88)-1</f>
        <v>-0.0157141888162162</v>
      </c>
    </row>
    <row r="89" customFormat="false" ht="15" hidden="false" customHeight="false" outlineLevel="0" collapsed="false">
      <c r="A89" s="20" t="n">
        <v>44596</v>
      </c>
      <c r="B89" s="21" t="n">
        <v>421.144653</v>
      </c>
      <c r="C89" s="21" t="n">
        <v>94.580681</v>
      </c>
      <c r="D89" s="22" t="n">
        <f aca="false">LN(B89/B88)</f>
        <v>0.00469132669270224</v>
      </c>
      <c r="E89" s="22" t="n">
        <f aca="false">LN(C89/C88)</f>
        <v>-0.00631115591477828</v>
      </c>
      <c r="F89" s="22" t="n">
        <f aca="false">LN(Summary!$B$13*EXP(D89)+Summary!$B$14*EXP(E89))</f>
        <v>0.000304849484965309</v>
      </c>
      <c r="G89" s="22" t="n">
        <f aca="false">EXP(F89)-1</f>
        <v>0.000304895956291684</v>
      </c>
    </row>
    <row r="90" customFormat="false" ht="15" hidden="false" customHeight="false" outlineLevel="0" collapsed="false">
      <c r="A90" s="20" t="n">
        <v>44599</v>
      </c>
      <c r="B90" s="21" t="n">
        <v>419.79306</v>
      </c>
      <c r="C90" s="21" t="n">
        <v>94.666222</v>
      </c>
      <c r="D90" s="22" t="n">
        <f aca="false">LN(B90/B89)</f>
        <v>-0.00321449292363941</v>
      </c>
      <c r="E90" s="22" t="n">
        <f aca="false">LN(C90/C89)</f>
        <v>0.000904014855404586</v>
      </c>
      <c r="F90" s="22" t="n">
        <f aca="false">LN(Summary!$B$13*EXP(D90)+Summary!$B$14*EXP(E90))</f>
        <v>-0.00156505380166089</v>
      </c>
      <c r="G90" s="22" t="n">
        <f aca="false">EXP(F90)-1</f>
        <v>-0.00156382974361535</v>
      </c>
    </row>
    <row r="91" customFormat="false" ht="15" hidden="false" customHeight="false" outlineLevel="0" collapsed="false">
      <c r="A91" s="20" t="n">
        <v>44600</v>
      </c>
      <c r="B91" s="21" t="n">
        <v>423.247009</v>
      </c>
      <c r="C91" s="21" t="n">
        <v>94.375397</v>
      </c>
      <c r="D91" s="22" t="n">
        <f aca="false">LN(B91/B90)</f>
        <v>0.0081940786747231</v>
      </c>
      <c r="E91" s="22" t="n">
        <f aca="false">LN(C91/C90)</f>
        <v>-0.00307683811610845</v>
      </c>
      <c r="F91" s="22" t="n">
        <f aca="false">LN(Summary!$B$13*EXP(D91)+Summary!$B$14*EXP(E91))</f>
        <v>0.00370094446108124</v>
      </c>
      <c r="G91" s="22" t="n">
        <f aca="false">EXP(F91)-1</f>
        <v>0.00370780141248916</v>
      </c>
    </row>
    <row r="92" customFormat="false" ht="15" hidden="false" customHeight="false" outlineLevel="0" collapsed="false">
      <c r="A92" s="20" t="n">
        <v>44601</v>
      </c>
      <c r="B92" s="21" t="n">
        <v>429.441772</v>
      </c>
      <c r="C92" s="21" t="n">
        <v>94.435318</v>
      </c>
      <c r="D92" s="22" t="n">
        <f aca="false">LN(B92/B91)</f>
        <v>0.0145302063959203</v>
      </c>
      <c r="E92" s="22" t="n">
        <f aca="false">LN(C92/C91)</f>
        <v>0.00063472035484515</v>
      </c>
      <c r="F92" s="22" t="n">
        <f aca="false">LN(Summary!$B$13*EXP(D92)+Summary!$B$14*EXP(E92))</f>
        <v>0.00899516049569294</v>
      </c>
      <c r="G92" s="22" t="n">
        <f aca="false">EXP(F92)-1</f>
        <v>0.00903573852924899</v>
      </c>
    </row>
    <row r="93" customFormat="false" ht="15" hidden="false" customHeight="false" outlineLevel="0" collapsed="false">
      <c r="A93" s="20" t="n">
        <v>44602</v>
      </c>
      <c r="B93" s="21" t="n">
        <v>421.726562</v>
      </c>
      <c r="C93" s="21" t="n">
        <v>93.562767</v>
      </c>
      <c r="D93" s="22" t="n">
        <f aca="false">LN(B93/B92)</f>
        <v>-0.0181290139638193</v>
      </c>
      <c r="E93" s="22" t="n">
        <f aca="false">LN(C93/C92)</f>
        <v>-0.00928261865451271</v>
      </c>
      <c r="F93" s="22" t="n">
        <f aca="false">LN(Summary!$B$13*EXP(D93)+Summary!$B$14*EXP(E93))</f>
        <v>-0.0145810592834288</v>
      </c>
      <c r="G93" s="22" t="n">
        <f aca="false">EXP(F93)-1</f>
        <v>-0.0144752704338331</v>
      </c>
    </row>
    <row r="94" customFormat="false" ht="15" hidden="false" customHeight="false" outlineLevel="0" collapsed="false">
      <c r="A94" s="20" t="n">
        <v>44603</v>
      </c>
      <c r="B94" s="21" t="n">
        <v>413.410706</v>
      </c>
      <c r="C94" s="21" t="n">
        <v>94.178658</v>
      </c>
      <c r="D94" s="22" t="n">
        <f aca="false">LN(B94/B93)</f>
        <v>-0.0199156023267212</v>
      </c>
      <c r="E94" s="22" t="n">
        <f aca="false">LN(C94/C93)</f>
        <v>0.00656107952086387</v>
      </c>
      <c r="F94" s="22" t="n">
        <f aca="false">LN(Summary!$B$13*EXP(D94)+Summary!$B$14*EXP(E94))</f>
        <v>-0.00924066151350365</v>
      </c>
      <c r="G94" s="22" t="n">
        <f aca="false">EXP(F94)-1</f>
        <v>-0.00919809780739667</v>
      </c>
    </row>
    <row r="95" customFormat="false" ht="15" hidden="false" customHeight="false" outlineLevel="0" collapsed="false">
      <c r="A95" s="20" t="n">
        <v>44606</v>
      </c>
      <c r="B95" s="21" t="n">
        <v>412.059021</v>
      </c>
      <c r="C95" s="21" t="n">
        <v>93.631233</v>
      </c>
      <c r="D95" s="22" t="n">
        <f aca="false">LN(B95/B94)</f>
        <v>-0.00327495040433407</v>
      </c>
      <c r="E95" s="22" t="n">
        <f aca="false">LN(C95/C94)</f>
        <v>-0.00582958168382896</v>
      </c>
      <c r="F95" s="22" t="n">
        <f aca="false">LN(Summary!$B$13*EXP(D95)+Summary!$B$14*EXP(E95))</f>
        <v>-0.00429601991277751</v>
      </c>
      <c r="G95" s="22" t="n">
        <f aca="false">EXP(F95)-1</f>
        <v>-0.00428680521945668</v>
      </c>
    </row>
    <row r="96" customFormat="false" ht="15" hidden="false" customHeight="false" outlineLevel="0" collapsed="false">
      <c r="A96" s="20" t="n">
        <v>44607</v>
      </c>
      <c r="B96" s="21" t="n">
        <v>418.704315</v>
      </c>
      <c r="C96" s="21" t="n">
        <v>93.477272</v>
      </c>
      <c r="D96" s="22" t="n">
        <f aca="false">LN(B96/B95)</f>
        <v>0.0159983847362399</v>
      </c>
      <c r="E96" s="22" t="n">
        <f aca="false">LN(C96/C95)</f>
        <v>-0.00164568718827116</v>
      </c>
      <c r="F96" s="22" t="n">
        <f aca="false">LN(Summary!$B$13*EXP(D96)+Summary!$B$14*EXP(E96))</f>
        <v>0.00897806919151725</v>
      </c>
      <c r="G96" s="22" t="n">
        <f aca="false">EXP(F96)-1</f>
        <v>0.00901849293989288</v>
      </c>
    </row>
    <row r="97" customFormat="false" ht="15" hidden="false" customHeight="false" outlineLevel="0" collapsed="false">
      <c r="A97" s="20" t="n">
        <v>44608</v>
      </c>
      <c r="B97" s="21" t="n">
        <v>419.173553</v>
      </c>
      <c r="C97" s="21" t="n">
        <v>93.588448</v>
      </c>
      <c r="D97" s="22" t="n">
        <f aca="false">LN(B97/B96)</f>
        <v>0.00112006311892838</v>
      </c>
      <c r="E97" s="22" t="n">
        <f aca="false">LN(C97/C96)</f>
        <v>0.00118863053144658</v>
      </c>
      <c r="F97" s="22" t="n">
        <f aca="false">LN(Summary!$B$13*EXP(D97)+Summary!$B$14*EXP(E97))</f>
        <v>0.00114749064811709</v>
      </c>
      <c r="G97" s="22" t="n">
        <f aca="false">EXP(F97)-1</f>
        <v>0.00114814926740658</v>
      </c>
    </row>
    <row r="98" customFormat="false" ht="15" hidden="false" customHeight="false" outlineLevel="0" collapsed="false">
      <c r="A98" s="20" t="n">
        <v>44609</v>
      </c>
      <c r="B98" s="21" t="n">
        <v>410.219452</v>
      </c>
      <c r="C98" s="21" t="n">
        <v>93.785187</v>
      </c>
      <c r="D98" s="22" t="n">
        <f aca="false">LN(B98/B97)</f>
        <v>-0.0215927765147599</v>
      </c>
      <c r="E98" s="22" t="n">
        <f aca="false">LN(C98/C97)</f>
        <v>0.00209996536918535</v>
      </c>
      <c r="F98" s="22" t="n">
        <f aca="false">LN(Summary!$B$13*EXP(D98)+Summary!$B$14*EXP(E98))</f>
        <v>-0.012048213232467</v>
      </c>
      <c r="G98" s="22" t="n">
        <f aca="false">EXP(F98)-1</f>
        <v>-0.01197592412088</v>
      </c>
    </row>
    <row r="99" customFormat="false" ht="15" hidden="false" customHeight="false" outlineLevel="0" collapsed="false">
      <c r="A99" s="20" t="n">
        <v>44610</v>
      </c>
      <c r="B99" s="21" t="n">
        <v>407.563141</v>
      </c>
      <c r="C99" s="21" t="n">
        <v>93.981934</v>
      </c>
      <c r="D99" s="22" t="n">
        <f aca="false">LN(B99/B98)</f>
        <v>-0.00649639736720936</v>
      </c>
      <c r="E99" s="22" t="n">
        <f aca="false">LN(C99/C98)</f>
        <v>0.00209564987690551</v>
      </c>
      <c r="F99" s="22" t="n">
        <f aca="false">LN(Summary!$B$13*EXP(D99)+Summary!$B$14*EXP(E99))</f>
        <v>-0.00305071462613193</v>
      </c>
      <c r="G99" s="22" t="n">
        <f aca="false">EXP(F99)-1</f>
        <v>-0.00304606592475554</v>
      </c>
    </row>
    <row r="100" customFormat="false" ht="15" hidden="false" customHeight="false" outlineLevel="0" collapsed="false">
      <c r="A100" s="20" t="n">
        <v>44614</v>
      </c>
      <c r="B100" s="21" t="n">
        <v>403.189392</v>
      </c>
      <c r="C100" s="21" t="n">
        <v>93.879272</v>
      </c>
      <c r="D100" s="22" t="n">
        <f aca="false">LN(B100/B99)</f>
        <v>-0.0107894610298498</v>
      </c>
      <c r="E100" s="22" t="n">
        <f aca="false">LN(C100/C99)</f>
        <v>-0.00109295593705058</v>
      </c>
      <c r="F100" s="22" t="n">
        <f aca="false">LN(Summary!$B$13*EXP(D100)+Summary!$B$14*EXP(E100))</f>
        <v>-0.00689956907287459</v>
      </c>
      <c r="G100" s="22" t="n">
        <f aca="false">EXP(F100)-1</f>
        <v>-0.00687582169312873</v>
      </c>
    </row>
    <row r="101" customFormat="false" ht="15" hidden="false" customHeight="false" outlineLevel="0" collapsed="false">
      <c r="A101" s="20" t="n">
        <v>44615</v>
      </c>
      <c r="B101" s="21" t="n">
        <v>396.037445</v>
      </c>
      <c r="C101" s="21" t="n">
        <v>93.460114</v>
      </c>
      <c r="D101" s="22" t="n">
        <f aca="false">LN(B101/B100)</f>
        <v>-0.0178976420222927</v>
      </c>
      <c r="E101" s="22" t="n">
        <f aca="false">LN(C101/C100)</f>
        <v>-0.00447485932773931</v>
      </c>
      <c r="F101" s="22" t="n">
        <f aca="false">LN(Summary!$B$13*EXP(D101)+Summary!$B$14*EXP(E101))</f>
        <v>-0.0125068892090174</v>
      </c>
      <c r="G101" s="22" t="n">
        <f aca="false">EXP(F101)-1</f>
        <v>-0.0124290031125713</v>
      </c>
    </row>
    <row r="102" customFormat="false" ht="15" hidden="false" customHeight="false" outlineLevel="0" collapsed="false">
      <c r="A102" s="20" t="n">
        <v>44616</v>
      </c>
      <c r="B102" s="21" t="n">
        <v>401.997437</v>
      </c>
      <c r="C102" s="21" t="n">
        <v>93.631233</v>
      </c>
      <c r="D102" s="22" t="n">
        <f aca="false">LN(B102/B101)</f>
        <v>0.014936948111851</v>
      </c>
      <c r="E102" s="22" t="n">
        <f aca="false">LN(C102/C101)</f>
        <v>0.00182925667552373</v>
      </c>
      <c r="F102" s="22" t="n">
        <f aca="false">LN(Summary!$B$13*EXP(D102)+Summary!$B$14*EXP(E102))</f>
        <v>0.00971447078027754</v>
      </c>
      <c r="G102" s="22" t="n">
        <f aca="false">EXP(F102)-1</f>
        <v>0.00976180941730886</v>
      </c>
    </row>
    <row r="103" customFormat="false" ht="15" hidden="false" customHeight="false" outlineLevel="0" collapsed="false">
      <c r="A103" s="20" t="n">
        <v>44617</v>
      </c>
      <c r="B103" s="21" t="n">
        <v>410.867065</v>
      </c>
      <c r="C103" s="21" t="n">
        <v>93.725334</v>
      </c>
      <c r="D103" s="22" t="n">
        <f aca="false">LN(B103/B102)</f>
        <v>0.0218240063781327</v>
      </c>
      <c r="E103" s="22" t="n">
        <f aca="false">LN(C103/C102)</f>
        <v>0.00100451251236571</v>
      </c>
      <c r="F103" s="22" t="n">
        <f aca="false">LN(Summary!$B$13*EXP(D103)+Summary!$B$14*EXP(E103))</f>
        <v>0.0135481499731959</v>
      </c>
      <c r="G103" s="22" t="n">
        <f aca="false">EXP(F103)-1</f>
        <v>0.013640342030502</v>
      </c>
    </row>
    <row r="104" customFormat="false" ht="15" hidden="false" customHeight="false" outlineLevel="0" collapsed="false">
      <c r="A104" s="20" t="n">
        <v>44620</v>
      </c>
      <c r="B104" s="21" t="n">
        <v>409.815918</v>
      </c>
      <c r="C104" s="21" t="n">
        <v>94.401093</v>
      </c>
      <c r="D104" s="22" t="n">
        <f aca="false">LN(B104/B103)</f>
        <v>-0.00256164096630859</v>
      </c>
      <c r="E104" s="22" t="n">
        <f aca="false">LN(C104/C103)</f>
        <v>0.00718412524166593</v>
      </c>
      <c r="F104" s="22" t="n">
        <f aca="false">LN(Summary!$B$13*EXP(D104)+Summary!$B$14*EXP(E104))</f>
        <v>0.00134807047741963</v>
      </c>
      <c r="G104" s="22" t="n">
        <f aca="false">EXP(F104)-1</f>
        <v>0.00134897953287005</v>
      </c>
    </row>
    <row r="105" customFormat="false" ht="15" hidden="false" customHeight="false" outlineLevel="0" collapsed="false">
      <c r="A105" s="20" t="n">
        <v>44621</v>
      </c>
      <c r="B105" s="21" t="n">
        <v>403.57428</v>
      </c>
      <c r="C105" s="21" t="n">
        <v>94.933052</v>
      </c>
      <c r="D105" s="22" t="n">
        <f aca="false">LN(B105/B104)</f>
        <v>-0.015347518401637</v>
      </c>
      <c r="E105" s="22" t="n">
        <f aca="false">LN(C105/C104)</f>
        <v>0.00561927590791739</v>
      </c>
      <c r="F105" s="22" t="n">
        <f aca="false">LN(Summary!$B$13*EXP(D105)+Summary!$B$14*EXP(E105))</f>
        <v>-0.00690797501841817</v>
      </c>
      <c r="G105" s="22" t="n">
        <f aca="false">EXP(F105)-1</f>
        <v>-0.00688416980580264</v>
      </c>
    </row>
    <row r="106" customFormat="false" ht="15" hidden="false" customHeight="false" outlineLevel="0" collapsed="false">
      <c r="A106" s="20" t="n">
        <v>44622</v>
      </c>
      <c r="B106" s="21" t="n">
        <v>410.998505</v>
      </c>
      <c r="C106" s="21" t="n">
        <v>93.793678</v>
      </c>
      <c r="D106" s="22" t="n">
        <f aca="false">LN(B106/B105)</f>
        <v>0.0182290170330395</v>
      </c>
      <c r="E106" s="22" t="n">
        <f aca="false">LN(C106/C105)</f>
        <v>-0.012074472362073</v>
      </c>
      <c r="F106" s="22" t="n">
        <f aca="false">LN(Summary!$B$13*EXP(D106)+Summary!$B$14*EXP(E106))</f>
        <v>0.00621759113840356</v>
      </c>
      <c r="G106" s="22" t="n">
        <f aca="false">EXP(F106)-1</f>
        <v>0.00623696048092826</v>
      </c>
    </row>
    <row r="107" customFormat="false" ht="15" hidden="false" customHeight="false" outlineLevel="0" collapsed="false">
      <c r="A107" s="20" t="n">
        <v>44623</v>
      </c>
      <c r="B107" s="21" t="n">
        <v>408.952393</v>
      </c>
      <c r="C107" s="21" t="n">
        <v>94.110687</v>
      </c>
      <c r="D107" s="22" t="n">
        <f aca="false">LN(B107/B106)</f>
        <v>-0.00499082628507334</v>
      </c>
      <c r="E107" s="22" t="n">
        <f aca="false">LN(C107/C106)</f>
        <v>0.00337415579207329</v>
      </c>
      <c r="F107" s="22" t="n">
        <f aca="false">LN(Summary!$B$13*EXP(D107)+Summary!$B$14*EXP(E107))</f>
        <v>-0.00163643204219254</v>
      </c>
      <c r="G107" s="22" t="n">
        <f aca="false">EXP(F107)-1</f>
        <v>-0.00163509381734905</v>
      </c>
    </row>
    <row r="108" customFormat="false" ht="15" hidden="false" customHeight="false" outlineLevel="0" collapsed="false">
      <c r="A108" s="20" t="n">
        <v>44624</v>
      </c>
      <c r="B108" s="21" t="n">
        <v>405.629791</v>
      </c>
      <c r="C108" s="21" t="n">
        <v>94.487564</v>
      </c>
      <c r="D108" s="22" t="n">
        <f aca="false">LN(B108/B107)</f>
        <v>-0.00815785194420182</v>
      </c>
      <c r="E108" s="22" t="n">
        <f aca="false">LN(C108/C107)</f>
        <v>0.00399661714416388</v>
      </c>
      <c r="F108" s="22" t="n">
        <f aca="false">LN(Summary!$B$13*EXP(D108)+Summary!$B$14*EXP(E108))</f>
        <v>-0.00327832230607706</v>
      </c>
      <c r="G108" s="22" t="n">
        <f aca="false">EXP(F108)-1</f>
        <v>-0.00327295447493481</v>
      </c>
    </row>
    <row r="109" customFormat="false" ht="15" hidden="false" customHeight="false" outlineLevel="0" collapsed="false">
      <c r="A109" s="20" t="n">
        <v>44627</v>
      </c>
      <c r="B109" s="21" t="n">
        <v>393.67215</v>
      </c>
      <c r="C109" s="21" t="n">
        <v>93.939354</v>
      </c>
      <c r="D109" s="22" t="n">
        <f aca="false">LN(B109/B108)</f>
        <v>-0.0299224424846751</v>
      </c>
      <c r="E109" s="22" t="n">
        <f aca="false">LN(C109/C108)</f>
        <v>-0.00581882411096136</v>
      </c>
      <c r="F109" s="22" t="n">
        <f aca="false">LN(Summary!$B$13*EXP(D109)+Summary!$B$14*EXP(E109))</f>
        <v>-0.0202111664655914</v>
      </c>
      <c r="G109" s="22" t="n">
        <f aca="false">EXP(F109)-1</f>
        <v>-0.0200082899300476</v>
      </c>
    </row>
    <row r="110" customFormat="false" ht="15" hidden="false" customHeight="false" outlineLevel="0" collapsed="false">
      <c r="A110" s="20" t="n">
        <v>44628</v>
      </c>
      <c r="B110" s="21" t="n">
        <v>390.687408</v>
      </c>
      <c r="C110" s="21" t="n">
        <v>93.605232</v>
      </c>
      <c r="D110" s="22" t="n">
        <f aca="false">LN(B110/B109)</f>
        <v>-0.00761068409640188</v>
      </c>
      <c r="E110" s="22" t="n">
        <f aca="false">LN(C110/C109)</f>
        <v>-0.00356312448813624</v>
      </c>
      <c r="F110" s="22" t="n">
        <f aca="false">LN(Summary!$B$13*EXP(D110)+Summary!$B$14*EXP(E110))</f>
        <v>-0.00598969379514249</v>
      </c>
      <c r="G110" s="22" t="n">
        <f aca="false">EXP(F110)-1</f>
        <v>-0.00597179134050374</v>
      </c>
    </row>
    <row r="111" customFormat="false" ht="15" hidden="false" customHeight="false" outlineLevel="0" collapsed="false">
      <c r="A111" s="20" t="n">
        <v>44629</v>
      </c>
      <c r="B111" s="21" t="n">
        <v>401.162079</v>
      </c>
      <c r="C111" s="21" t="n">
        <v>93.408249</v>
      </c>
      <c r="D111" s="22" t="n">
        <f aca="false">LN(B111/B110)</f>
        <v>0.0264577604677326</v>
      </c>
      <c r="E111" s="22" t="n">
        <f aca="false">LN(C111/C110)</f>
        <v>-0.00210661896452595</v>
      </c>
      <c r="F111" s="22" t="n">
        <f aca="false">LN(Summary!$B$13*EXP(D111)+Summary!$B$14*EXP(E111))</f>
        <v>0.0151297301818706</v>
      </c>
      <c r="G111" s="22" t="n">
        <f aca="false">EXP(F111)-1</f>
        <v>0.0152447639607161</v>
      </c>
    </row>
    <row r="112" customFormat="false" ht="15" hidden="false" customHeight="false" outlineLevel="0" collapsed="false">
      <c r="A112" s="20" t="n">
        <v>44630</v>
      </c>
      <c r="B112" s="21" t="n">
        <v>399.350616</v>
      </c>
      <c r="C112" s="21" t="n">
        <v>92.885658</v>
      </c>
      <c r="D112" s="22" t="n">
        <f aca="false">LN(B112/B111)</f>
        <v>-0.00452576480863177</v>
      </c>
      <c r="E112" s="22" t="n">
        <f aca="false">LN(C112/C111)</f>
        <v>-0.00561040754580096</v>
      </c>
      <c r="F112" s="22" t="n">
        <f aca="false">LN(Summary!$B$13*EXP(D112)+Summary!$B$14*EXP(E112))</f>
        <v>-0.00495948073972961</v>
      </c>
      <c r="G112" s="22" t="n">
        <f aca="false">EXP(F112)-1</f>
        <v>-0.00494720282087902</v>
      </c>
    </row>
    <row r="113" customFormat="false" ht="15" hidden="false" customHeight="false" outlineLevel="0" collapsed="false">
      <c r="A113" s="20" t="n">
        <v>44631</v>
      </c>
      <c r="B113" s="21" t="n">
        <v>394.272797</v>
      </c>
      <c r="C113" s="21" t="n">
        <v>92.868568</v>
      </c>
      <c r="D113" s="22" t="n">
        <f aca="false">LN(B113/B112)</f>
        <v>-0.0127967199814439</v>
      </c>
      <c r="E113" s="22" t="n">
        <f aca="false">LN(C113/C112)</f>
        <v>-0.000184006581344021</v>
      </c>
      <c r="F113" s="22" t="n">
        <f aca="false">LN(Summary!$B$13*EXP(D113)+Summary!$B$14*EXP(E113))</f>
        <v>-0.00773252901677657</v>
      </c>
      <c r="G113" s="22" t="n">
        <f aca="false">EXP(F113)-1</f>
        <v>-0.00770270992278277</v>
      </c>
    </row>
    <row r="114" customFormat="false" ht="15" hidden="false" customHeight="false" outlineLevel="0" collapsed="false">
      <c r="A114" s="20" t="n">
        <v>44634</v>
      </c>
      <c r="B114" s="21" t="n">
        <v>391.391357</v>
      </c>
      <c r="C114" s="21" t="n">
        <v>91.96907</v>
      </c>
      <c r="D114" s="22" t="n">
        <f aca="false">LN(B114/B113)</f>
        <v>-0.00733507543795718</v>
      </c>
      <c r="E114" s="22" t="n">
        <f aca="false">LN(C114/C113)</f>
        <v>-0.009732921395131</v>
      </c>
      <c r="F114" s="22" t="n">
        <f aca="false">LN(Summary!$B$13*EXP(D114)+Summary!$B$14*EXP(E114))</f>
        <v>-0.00829352397143852</v>
      </c>
      <c r="G114" s="22" t="n">
        <f aca="false">EXP(F114)-1</f>
        <v>-0.00825922757964659</v>
      </c>
    </row>
    <row r="115" customFormat="false" ht="15" hidden="false" customHeight="false" outlineLevel="0" collapsed="false">
      <c r="A115" s="20" t="n">
        <v>44635</v>
      </c>
      <c r="B115" s="21" t="n">
        <v>399.998199</v>
      </c>
      <c r="C115" s="21" t="n">
        <v>92.174652</v>
      </c>
      <c r="D115" s="22" t="n">
        <f aca="false">LN(B115/B114)</f>
        <v>0.0217520721484654</v>
      </c>
      <c r="E115" s="22" t="n">
        <f aca="false">LN(C115/C114)</f>
        <v>0.00223284381546603</v>
      </c>
      <c r="F115" s="22" t="n">
        <f aca="false">LN(Summary!$B$13*EXP(D115)+Summary!$B$14*EXP(E115))</f>
        <v>0.0139900407170153</v>
      </c>
      <c r="G115" s="22" t="n">
        <f aca="false">EXP(F115)-1</f>
        <v>0.0140883592952581</v>
      </c>
    </row>
    <row r="116" customFormat="false" ht="15" hidden="false" customHeight="false" outlineLevel="0" collapsed="false">
      <c r="A116" s="20" t="n">
        <v>44636</v>
      </c>
      <c r="B116" s="21" t="n">
        <v>408.867798</v>
      </c>
      <c r="C116" s="21" t="n">
        <v>92.243233</v>
      </c>
      <c r="D116" s="22" t="n">
        <f aca="false">LN(B116/B115)</f>
        <v>0.0219318269203063</v>
      </c>
      <c r="E116" s="22" t="n">
        <f aca="false">LN(C116/C115)</f>
        <v>0.00074375653057131</v>
      </c>
      <c r="F116" s="22" t="n">
        <f aca="false">LN(Summary!$B$13*EXP(D116)+Summary!$B$14*EXP(E116))</f>
        <v>0.0135103939036639</v>
      </c>
      <c r="G116" s="22" t="n">
        <f aca="false">EXP(F116)-1</f>
        <v>0.0136020716777414</v>
      </c>
    </row>
    <row r="117" customFormat="false" ht="15" hidden="false" customHeight="false" outlineLevel="0" collapsed="false">
      <c r="A117" s="20" t="n">
        <v>44637</v>
      </c>
      <c r="B117" s="21" t="n">
        <v>413.983185</v>
      </c>
      <c r="C117" s="21" t="n">
        <v>92.397408</v>
      </c>
      <c r="D117" s="22" t="n">
        <f aca="false">LN(B117/B116)</f>
        <v>0.0124334855402837</v>
      </c>
      <c r="E117" s="22" t="n">
        <f aca="false">LN(C117/C116)</f>
        <v>0.00167000108964733</v>
      </c>
      <c r="F117" s="22" t="n">
        <f aca="false">LN(Summary!$B$13*EXP(D117)+Summary!$B$14*EXP(E117))</f>
        <v>0.00814198403696344</v>
      </c>
      <c r="G117" s="22" t="n">
        <f aca="false">EXP(F117)-1</f>
        <v>0.00817522013033756</v>
      </c>
    </row>
    <row r="118" customFormat="false" ht="15" hidden="false" customHeight="false" outlineLevel="0" collapsed="false">
      <c r="A118" s="20" t="n">
        <v>44638</v>
      </c>
      <c r="B118" s="21" t="n">
        <v>418.517426</v>
      </c>
      <c r="C118" s="21" t="n">
        <v>92.602997</v>
      </c>
      <c r="D118" s="22" t="n">
        <f aca="false">LN(B118/B117)</f>
        <v>0.0108931711917821</v>
      </c>
      <c r="E118" s="22" t="n">
        <f aca="false">LN(C118/C117)</f>
        <v>0.002222579833074</v>
      </c>
      <c r="F118" s="22" t="n">
        <f aca="false">LN(Summary!$B$13*EXP(D118)+Summary!$B$14*EXP(E118))</f>
        <v>0.00743395090722662</v>
      </c>
      <c r="G118" s="22" t="n">
        <f aca="false">EXP(F118)-1</f>
        <v>0.00746165131889498</v>
      </c>
    </row>
    <row r="119" customFormat="false" ht="15" hidden="false" customHeight="false" outlineLevel="0" collapsed="false">
      <c r="A119" s="20" t="n">
        <v>44641</v>
      </c>
      <c r="B119" s="21" t="n">
        <v>418.39505</v>
      </c>
      <c r="C119" s="21" t="n">
        <v>91.694954</v>
      </c>
      <c r="D119" s="22" t="n">
        <f aca="false">LN(B119/B118)</f>
        <v>-0.000292446353427688</v>
      </c>
      <c r="E119" s="22" t="n">
        <f aca="false">LN(C119/C118)</f>
        <v>-0.00985415565364703</v>
      </c>
      <c r="F119" s="22" t="n">
        <f aca="false">LN(Summary!$B$13*EXP(D119)+Summary!$B$14*EXP(E119))</f>
        <v>-0.00410616594959707</v>
      </c>
      <c r="G119" s="22" t="n">
        <f aca="false">EXP(F119)-1</f>
        <v>-0.0040977471770951</v>
      </c>
    </row>
    <row r="120" customFormat="false" ht="15" hidden="false" customHeight="false" outlineLevel="0" collapsed="false">
      <c r="A120" s="20" t="n">
        <v>44642</v>
      </c>
      <c r="B120" s="21" t="n">
        <v>423.290894</v>
      </c>
      <c r="C120" s="21" t="n">
        <v>91.44651</v>
      </c>
      <c r="D120" s="22" t="n">
        <f aca="false">LN(B120/B119)</f>
        <v>0.0116335534686298</v>
      </c>
      <c r="E120" s="22" t="n">
        <f aca="false">LN(C120/C119)</f>
        <v>-0.00271313930746183</v>
      </c>
      <c r="F120" s="22" t="n">
        <f aca="false">LN(Summary!$B$13*EXP(D120)+Summary!$B$14*EXP(E120))</f>
        <v>0.00591955185991757</v>
      </c>
      <c r="G120" s="22" t="n">
        <f aca="false">EXP(F120)-1</f>
        <v>0.00593710702951333</v>
      </c>
    </row>
    <row r="121" customFormat="false" ht="15" hidden="false" customHeight="false" outlineLevel="0" collapsed="false">
      <c r="A121" s="20" t="n">
        <v>44643</v>
      </c>
      <c r="B121" s="21" t="n">
        <v>417.839569</v>
      </c>
      <c r="C121" s="21" t="n">
        <v>91.823441</v>
      </c>
      <c r="D121" s="22" t="n">
        <f aca="false">LN(B121/B120)</f>
        <v>-0.0129620827332178</v>
      </c>
      <c r="E121" s="22" t="n">
        <f aca="false">LN(C121/C120)</f>
        <v>0.00411340243633338</v>
      </c>
      <c r="F121" s="22" t="n">
        <f aca="false">LN(Summary!$B$13*EXP(D121)+Summary!$B$14*EXP(E121))</f>
        <v>-0.00609686054739973</v>
      </c>
      <c r="G121" s="22" t="n">
        <f aca="false">EXP(F121)-1</f>
        <v>-0.00607831240741752</v>
      </c>
    </row>
    <row r="122" customFormat="false" ht="15" hidden="false" customHeight="false" outlineLevel="0" collapsed="false">
      <c r="A122" s="20" t="n">
        <v>44644</v>
      </c>
      <c r="B122" s="21" t="n">
        <v>424.138245</v>
      </c>
      <c r="C122" s="21" t="n">
        <v>91.617813</v>
      </c>
      <c r="D122" s="22" t="n">
        <f aca="false">LN(B122/B121)</f>
        <v>0.0149618989854613</v>
      </c>
      <c r="E122" s="22" t="n">
        <f aca="false">LN(C122/C121)</f>
        <v>-0.00224189577471503</v>
      </c>
      <c r="F122" s="22" t="n">
        <f aca="false">LN(Summary!$B$13*EXP(D122)+Summary!$B$14*EXP(E122))</f>
        <v>0.00811585642906114</v>
      </c>
      <c r="G122" s="22" t="n">
        <f aca="false">EXP(F122)-1</f>
        <v>0.00814887926760255</v>
      </c>
    </row>
    <row r="123" customFormat="false" ht="15" hidden="false" customHeight="false" outlineLevel="0" collapsed="false">
      <c r="A123" s="20" t="n">
        <v>44645</v>
      </c>
      <c r="B123" s="21" t="n">
        <v>426.209625</v>
      </c>
      <c r="C123" s="21" t="n">
        <v>90.889687</v>
      </c>
      <c r="D123" s="22" t="n">
        <f aca="false">LN(B123/B122)</f>
        <v>0.00487185108608289</v>
      </c>
      <c r="E123" s="22" t="n">
        <f aca="false">LN(C123/C122)</f>
        <v>-0.00797917743813943</v>
      </c>
      <c r="F123" s="22" t="n">
        <f aca="false">LN(Summary!$B$13*EXP(D123)+Summary!$B$14*EXP(E123))</f>
        <v>-0.00024875954992141</v>
      </c>
      <c r="G123" s="22" t="n">
        <f aca="false">EXP(F123)-1</f>
        <v>-0.000248728611830007</v>
      </c>
    </row>
    <row r="124" customFormat="false" ht="15" hidden="false" customHeight="false" outlineLevel="0" collapsed="false">
      <c r="A124" s="20" t="n">
        <v>44648</v>
      </c>
      <c r="B124" s="21" t="n">
        <v>429.24115</v>
      </c>
      <c r="C124" s="21" t="n">
        <v>91.112427</v>
      </c>
      <c r="D124" s="22" t="n">
        <f aca="false">LN(B124/B123)</f>
        <v>0.007087579505445</v>
      </c>
      <c r="E124" s="22" t="n">
        <f aca="false">LN(C124/C123)</f>
        <v>0.0024476650991443</v>
      </c>
      <c r="F124" s="22" t="n">
        <f aca="false">LN(Summary!$B$13*EXP(D124)+Summary!$B$14*EXP(E124))</f>
        <v>0.00523419639843611</v>
      </c>
      <c r="G124" s="22" t="n">
        <f aca="false">EXP(F124)-1</f>
        <v>0.00524791873576103</v>
      </c>
    </row>
    <row r="125" customFormat="false" ht="15" hidden="false" customHeight="false" outlineLevel="0" collapsed="false">
      <c r="A125" s="20" t="n">
        <v>44649</v>
      </c>
      <c r="B125" s="21" t="n">
        <v>434.551239</v>
      </c>
      <c r="C125" s="21" t="n">
        <v>91.540749</v>
      </c>
      <c r="D125" s="22" t="n">
        <f aca="false">LN(B125/B124)</f>
        <v>0.0122949818956189</v>
      </c>
      <c r="E125" s="22" t="n">
        <f aca="false">LN(C125/C124)</f>
        <v>0.00469001190673514</v>
      </c>
      <c r="F125" s="22" t="n">
        <f aca="false">LN(Summary!$B$13*EXP(D125)+Summary!$B$14*EXP(E125))</f>
        <v>0.00925993063488838</v>
      </c>
      <c r="G125" s="22" t="n">
        <f aca="false">EXP(F125)-1</f>
        <v>0.00930293643364477</v>
      </c>
    </row>
    <row r="126" customFormat="false" ht="15" hidden="false" customHeight="false" outlineLevel="0" collapsed="false">
      <c r="A126" s="20" t="n">
        <v>44650</v>
      </c>
      <c r="B126" s="21" t="n">
        <v>431.86795</v>
      </c>
      <c r="C126" s="21" t="n">
        <v>91.789177</v>
      </c>
      <c r="D126" s="22" t="n">
        <f aca="false">LN(B126/B125)</f>
        <v>-0.00619399388398892</v>
      </c>
      <c r="E126" s="22" t="n">
        <f aca="false">LN(C126/C125)</f>
        <v>0.00271017566504319</v>
      </c>
      <c r="F126" s="22" t="n">
        <f aca="false">LN(Summary!$B$13*EXP(D126)+Summary!$B$14*EXP(E126))</f>
        <v>-0.00262280633615129</v>
      </c>
      <c r="G126" s="22" t="n">
        <f aca="false">EXP(F126)-1</f>
        <v>-0.00261936978473898</v>
      </c>
    </row>
    <row r="127" customFormat="false" ht="15" hidden="false" customHeight="false" outlineLevel="0" collapsed="false">
      <c r="A127" s="20" t="n">
        <v>44651</v>
      </c>
      <c r="B127" s="21" t="n">
        <v>425.221008</v>
      </c>
      <c r="C127" s="21" t="n">
        <v>91.746346</v>
      </c>
      <c r="D127" s="22" t="n">
        <f aca="false">LN(B127/B126)</f>
        <v>-0.0155108176358071</v>
      </c>
      <c r="E127" s="22" t="n">
        <f aca="false">LN(C127/C126)</f>
        <v>-0.000466732543950256</v>
      </c>
      <c r="F127" s="22" t="n">
        <f aca="false">LN(Summary!$B$13*EXP(D127)+Summary!$B$14*EXP(E127))</f>
        <v>-0.00946599764671129</v>
      </c>
      <c r="G127" s="22" t="n">
        <f aca="false">EXP(F127)-1</f>
        <v>-0.00942133612403739</v>
      </c>
    </row>
    <row r="128" customFormat="false" ht="15" hidden="false" customHeight="false" outlineLevel="0" collapsed="false">
      <c r="A128" s="20" t="n">
        <v>44652</v>
      </c>
      <c r="B128" s="21" t="n">
        <v>426.426086</v>
      </c>
      <c r="C128" s="21" t="n">
        <v>91.583336</v>
      </c>
      <c r="D128" s="22" t="n">
        <f aca="false">LN(B128/B127)</f>
        <v>0.00282999569367762</v>
      </c>
      <c r="E128" s="22" t="n">
        <f aca="false">LN(C128/C127)</f>
        <v>-0.00177832679553975</v>
      </c>
      <c r="F128" s="22" t="n">
        <f aca="false">LN(Summary!$B$13*EXP(D128)+Summary!$B$14*EXP(E128))</f>
        <v>0.00098921430942556</v>
      </c>
      <c r="G128" s="22" t="n">
        <f aca="false">EXP(F128)-1</f>
        <v>0.00098970374327223</v>
      </c>
    </row>
    <row r="129" customFormat="false" ht="15" hidden="false" customHeight="false" outlineLevel="0" collapsed="false">
      <c r="A129" s="20" t="n">
        <v>44655</v>
      </c>
      <c r="B129" s="21" t="n">
        <v>430.079102</v>
      </c>
      <c r="C129" s="21" t="n">
        <v>91.660561</v>
      </c>
      <c r="D129" s="22" t="n">
        <f aca="false">LN(B129/B128)</f>
        <v>0.00853010163022764</v>
      </c>
      <c r="E129" s="22" t="n">
        <f aca="false">LN(C129/C128)</f>
        <v>0.000842865774371462</v>
      </c>
      <c r="F129" s="22" t="n">
        <f aca="false">LN(Summary!$B$13*EXP(D129)+Summary!$B$14*EXP(E129))</f>
        <v>0.0054622948698214</v>
      </c>
      <c r="G129" s="22" t="n">
        <f aca="false">EXP(F129)-1</f>
        <v>0.00547724040235442</v>
      </c>
    </row>
    <row r="130" customFormat="false" ht="15" hidden="false" customHeight="false" outlineLevel="0" collapsed="false">
      <c r="A130" s="20" t="n">
        <v>44656</v>
      </c>
      <c r="B130" s="21" t="n">
        <v>424.646637</v>
      </c>
      <c r="C130" s="21" t="n">
        <v>90.733994</v>
      </c>
      <c r="D130" s="22" t="n">
        <f aca="false">LN(B130/B129)</f>
        <v>-0.0127117691773473</v>
      </c>
      <c r="E130" s="22" t="n">
        <f aca="false">LN(C130/C129)</f>
        <v>-0.0101601165738974</v>
      </c>
      <c r="F130" s="22" t="n">
        <f aca="false">LN(Summary!$B$13*EXP(D130)+Summary!$B$14*EXP(E130))</f>
        <v>-0.0116903266915237</v>
      </c>
      <c r="G130" s="22" t="n">
        <f aca="false">EXP(F130)-1</f>
        <v>-0.0116222603200127</v>
      </c>
    </row>
    <row r="131" customFormat="false" ht="15" hidden="false" customHeight="false" outlineLevel="0" collapsed="false">
      <c r="A131" s="20" t="n">
        <v>44657</v>
      </c>
      <c r="B131" s="21" t="n">
        <v>420.400543</v>
      </c>
      <c r="C131" s="21" t="n">
        <v>90.502357</v>
      </c>
      <c r="D131" s="22" t="n">
        <f aca="false">LN(B131/B130)</f>
        <v>-0.0100494501025881</v>
      </c>
      <c r="E131" s="22" t="n">
        <f aca="false">LN(C131/C130)</f>
        <v>-0.00255618836784273</v>
      </c>
      <c r="F131" s="22" t="n">
        <f aca="false">LN(Summary!$B$13*EXP(D131)+Summary!$B$14*EXP(E131))</f>
        <v>-0.007045404180097</v>
      </c>
      <c r="G131" s="22" t="n">
        <f aca="false">EXP(F131)-1</f>
        <v>-0.00702064350384846</v>
      </c>
    </row>
    <row r="132" customFormat="false" ht="15" hidden="false" customHeight="false" outlineLevel="0" collapsed="false">
      <c r="A132" s="20" t="n">
        <v>44658</v>
      </c>
      <c r="B132" s="21" t="n">
        <v>422.518829</v>
      </c>
      <c r="C132" s="21" t="n">
        <v>90.305023</v>
      </c>
      <c r="D132" s="22" t="n">
        <f aca="false">LN(B132/B131)</f>
        <v>0.00502608085569747</v>
      </c>
      <c r="E132" s="22" t="n">
        <f aca="false">LN(C132/C131)</f>
        <v>-0.00218280999760554</v>
      </c>
      <c r="F132" s="22" t="n">
        <f aca="false">LN(Summary!$B$13*EXP(D132)+Summary!$B$14*EXP(E132))</f>
        <v>0.00214875767832872</v>
      </c>
      <c r="G132" s="22" t="n">
        <f aca="false">EXP(F132)-1</f>
        <v>0.00215106791252362</v>
      </c>
    </row>
    <row r="133" customFormat="false" ht="15" hidden="false" customHeight="false" outlineLevel="0" collapsed="false">
      <c r="A133" s="20" t="n">
        <v>44659</v>
      </c>
      <c r="B133" s="21" t="n">
        <v>421.389069</v>
      </c>
      <c r="C133" s="21" t="n">
        <v>89.850357</v>
      </c>
      <c r="D133" s="22" t="n">
        <f aca="false">LN(B133/B132)</f>
        <v>-0.00267745017576033</v>
      </c>
      <c r="E133" s="22" t="n">
        <f aca="false">LN(C133/C132)</f>
        <v>-0.00504749805753639</v>
      </c>
      <c r="F133" s="22" t="n">
        <f aca="false">LN(Summary!$B$13*EXP(D133)+Summary!$B$14*EXP(E133))</f>
        <v>-0.003624795379877</v>
      </c>
      <c r="G133" s="22" t="n">
        <f aca="false">EXP(F133)-1</f>
        <v>-0.00361823373969927</v>
      </c>
    </row>
    <row r="134" customFormat="false" ht="15" hidden="false" customHeight="false" outlineLevel="0" collapsed="false">
      <c r="A134" s="20" t="n">
        <v>44662</v>
      </c>
      <c r="B134" s="21" t="n">
        <v>414.186523</v>
      </c>
      <c r="C134" s="21" t="n">
        <v>89.464249</v>
      </c>
      <c r="D134" s="22" t="n">
        <f aca="false">LN(B134/B133)</f>
        <v>-0.0172401502983261</v>
      </c>
      <c r="E134" s="22" t="n">
        <f aca="false">LN(C134/C133)</f>
        <v>-0.00430649354605375</v>
      </c>
      <c r="F134" s="22" t="n">
        <f aca="false">LN(Summary!$B$13*EXP(D134)+Summary!$B$14*EXP(E134))</f>
        <v>-0.0120465968752899</v>
      </c>
      <c r="G134" s="22" t="n">
        <f aca="false">EXP(F134)-1</f>
        <v>-0.0119743271197832</v>
      </c>
    </row>
    <row r="135" customFormat="false" ht="15" hidden="false" customHeight="false" outlineLevel="0" collapsed="false">
      <c r="A135" s="20" t="n">
        <v>44663</v>
      </c>
      <c r="B135" s="21" t="n">
        <v>412.651917</v>
      </c>
      <c r="C135" s="21" t="n">
        <v>89.747375</v>
      </c>
      <c r="D135" s="22" t="n">
        <f aca="false">LN(B135/B134)</f>
        <v>-0.00371198939926814</v>
      </c>
      <c r="E135" s="22" t="n">
        <f aca="false">LN(C135/C134)</f>
        <v>0.00315968606536093</v>
      </c>
      <c r="F135" s="22" t="n">
        <f aca="false">LN(Summary!$B$13*EXP(D135)+Summary!$B$14*EXP(E135))</f>
        <v>-0.000957650236555981</v>
      </c>
      <c r="G135" s="22" t="n">
        <f aca="false">EXP(F135)-1</f>
        <v>-0.000957191835909033</v>
      </c>
    </row>
    <row r="136" customFormat="false" ht="15" hidden="false" customHeight="false" outlineLevel="0" collapsed="false">
      <c r="A136" s="20" t="n">
        <v>44664</v>
      </c>
      <c r="B136" s="21" t="n">
        <v>417.378204</v>
      </c>
      <c r="C136" s="21" t="n">
        <v>89.927567</v>
      </c>
      <c r="D136" s="22" t="n">
        <f aca="false">LN(B136/B135)</f>
        <v>0.0113883531728925</v>
      </c>
      <c r="E136" s="22" t="n">
        <f aca="false">LN(C136/C135)</f>
        <v>0.00200575615502604</v>
      </c>
      <c r="F136" s="22" t="n">
        <f aca="false">LN(Summary!$B$13*EXP(D136)+Summary!$B$14*EXP(E136))</f>
        <v>0.00764587169908257</v>
      </c>
      <c r="G136" s="22" t="n">
        <f aca="false">EXP(F136)-1</f>
        <v>0.00767517601416912</v>
      </c>
    </row>
    <row r="137" customFormat="false" ht="15" hidden="false" customHeight="false" outlineLevel="0" collapsed="false">
      <c r="A137" s="20" t="n">
        <v>44665</v>
      </c>
      <c r="B137" s="21" t="n">
        <v>412.181061</v>
      </c>
      <c r="C137" s="21" t="n">
        <v>89.198311</v>
      </c>
      <c r="D137" s="22" t="n">
        <f aca="false">LN(B137/B136)</f>
        <v>-0.0125300535260661</v>
      </c>
      <c r="E137" s="22" t="n">
        <f aca="false">LN(C137/C136)</f>
        <v>-0.00814243075570609</v>
      </c>
      <c r="F137" s="22" t="n">
        <f aca="false">LN(Summary!$B$13*EXP(D137)+Summary!$B$14*EXP(E137))</f>
        <v>-0.0107726935957878</v>
      </c>
      <c r="G137" s="22" t="n">
        <f aca="false">EXP(F137)-1</f>
        <v>-0.0107148759356948</v>
      </c>
    </row>
    <row r="138" customFormat="false" ht="15" hidden="false" customHeight="false" outlineLevel="0" collapsed="false">
      <c r="A138" s="20" t="n">
        <v>44669</v>
      </c>
      <c r="B138" s="21" t="n">
        <v>412.350616</v>
      </c>
      <c r="C138" s="21" t="n">
        <v>88.923767</v>
      </c>
      <c r="D138" s="22" t="n">
        <f aca="false">LN(B138/B137)</f>
        <v>0.000411275896656636</v>
      </c>
      <c r="E138" s="22" t="n">
        <f aca="false">LN(C138/C137)</f>
        <v>-0.00308265230781905</v>
      </c>
      <c r="F138" s="22" t="n">
        <f aca="false">LN(Summary!$B$13*EXP(D138)+Summary!$B$14*EXP(E138))</f>
        <v>-0.000984830822891087</v>
      </c>
      <c r="G138" s="22" t="n">
        <f aca="false">EXP(F138)-1</f>
        <v>-0.000984346036173589</v>
      </c>
    </row>
    <row r="139" customFormat="false" ht="15" hidden="false" customHeight="false" outlineLevel="0" collapsed="false">
      <c r="A139" s="20" t="n">
        <v>44670</v>
      </c>
      <c r="B139" s="21" t="n">
        <v>419.006958</v>
      </c>
      <c r="C139" s="21" t="n">
        <v>88.383255</v>
      </c>
      <c r="D139" s="22" t="n">
        <f aca="false">LN(B139/B138)</f>
        <v>0.016013528834697</v>
      </c>
      <c r="E139" s="22" t="n">
        <f aca="false">LN(C139/C138)</f>
        <v>-0.00609692349743941</v>
      </c>
      <c r="F139" s="22" t="n">
        <f aca="false">LN(Summary!$B$13*EXP(D139)+Summary!$B$14*EXP(E139))</f>
        <v>0.00722792503307494</v>
      </c>
      <c r="G139" s="22" t="n">
        <f aca="false">EXP(F139)-1</f>
        <v>0.00725410953173089</v>
      </c>
    </row>
    <row r="140" customFormat="false" ht="15" hidden="false" customHeight="false" outlineLevel="0" collapsed="false">
      <c r="A140" s="20" t="n">
        <v>44671</v>
      </c>
      <c r="B140" s="21" t="n">
        <v>418.69635</v>
      </c>
      <c r="C140" s="21" t="n">
        <v>88.889473</v>
      </c>
      <c r="D140" s="22" t="n">
        <f aca="false">LN(B140/B139)</f>
        <v>-0.000741570461207552</v>
      </c>
      <c r="E140" s="22" t="n">
        <f aca="false">LN(C140/C139)</f>
        <v>0.0057111929362594</v>
      </c>
      <c r="F140" s="22" t="n">
        <f aca="false">LN(Summary!$B$13*EXP(D140)+Summary!$B$14*EXP(E140))</f>
        <v>0.0018445336182473</v>
      </c>
      <c r="G140" s="22" t="n">
        <f aca="false">EXP(F140)-1</f>
        <v>0.00184623581680832</v>
      </c>
    </row>
    <row r="141" customFormat="false" ht="15" hidden="false" customHeight="false" outlineLevel="0" collapsed="false">
      <c r="A141" s="20" t="n">
        <v>44672</v>
      </c>
      <c r="B141" s="21" t="n">
        <v>412.435303</v>
      </c>
      <c r="C141" s="21" t="n">
        <v>88.400467</v>
      </c>
      <c r="D141" s="22" t="n">
        <f aca="false">LN(B141/B140)</f>
        <v>-0.0150666032665541</v>
      </c>
      <c r="E141" s="22" t="n">
        <f aca="false">LN(C141/C140)</f>
        <v>-0.00551646912504361</v>
      </c>
      <c r="F141" s="22" t="n">
        <f aca="false">LN(Summary!$B$13*EXP(D141)+Summary!$B$14*EXP(E141))</f>
        <v>-0.0112355980709912</v>
      </c>
      <c r="G141" s="22" t="n">
        <f aca="false">EXP(F141)-1</f>
        <v>-0.0111727144709474</v>
      </c>
    </row>
    <row r="142" customFormat="false" ht="15" hidden="false" customHeight="false" outlineLevel="0" collapsed="false">
      <c r="A142" s="20" t="n">
        <v>44673</v>
      </c>
      <c r="B142" s="21" t="n">
        <v>401.1185</v>
      </c>
      <c r="C142" s="21" t="n">
        <v>88.314636</v>
      </c>
      <c r="D142" s="22" t="n">
        <f aca="false">LN(B142/B141)</f>
        <v>-0.0278224573880721</v>
      </c>
      <c r="E142" s="22" t="n">
        <f aca="false">LN(C142/C141)</f>
        <v>-0.00097140544630631</v>
      </c>
      <c r="F142" s="22" t="n">
        <f aca="false">LN(Summary!$B$13*EXP(D142)+Summary!$B$14*EXP(E142))</f>
        <v>-0.0169953665577392</v>
      </c>
      <c r="G142" s="22" t="n">
        <f aca="false">EXP(F142)-1</f>
        <v>-0.0168517600150401</v>
      </c>
    </row>
    <row r="143" customFormat="false" ht="15" hidden="false" customHeight="false" outlineLevel="0" collapsed="false">
      <c r="A143" s="20" t="n">
        <v>44676</v>
      </c>
      <c r="B143" s="21" t="n">
        <v>403.444031</v>
      </c>
      <c r="C143" s="21" t="n">
        <v>88.906624</v>
      </c>
      <c r="D143" s="22" t="n">
        <f aca="false">LN(B143/B142)</f>
        <v>0.00578087441735797</v>
      </c>
      <c r="E143" s="22" t="n">
        <f aca="false">LN(C143/C142)</f>
        <v>0.00668080344147238</v>
      </c>
      <c r="F143" s="22" t="n">
        <f aca="false">LN(Summary!$B$13*EXP(D143)+Summary!$B$14*EXP(E143))</f>
        <v>0.00614094321750128</v>
      </c>
      <c r="G143" s="22" t="n">
        <f aca="false">EXP(F143)-1</f>
        <v>0.0061598374656695</v>
      </c>
    </row>
    <row r="144" customFormat="false" ht="15" hidden="false" customHeight="false" outlineLevel="0" collapsed="false">
      <c r="A144" s="20" t="n">
        <v>44677</v>
      </c>
      <c r="B144" s="21" t="n">
        <v>391.759918</v>
      </c>
      <c r="C144" s="21" t="n">
        <v>89.181129</v>
      </c>
      <c r="D144" s="22" t="n">
        <f aca="false">LN(B144/B143)</f>
        <v>-0.0293885712088146</v>
      </c>
      <c r="E144" s="22" t="n">
        <f aca="false">LN(C144/C143)</f>
        <v>0.00308280847814666</v>
      </c>
      <c r="F144" s="22" t="n">
        <f aca="false">LN(Summary!$B$13*EXP(D144)+Summary!$B$14*EXP(E144))</f>
        <v>-0.0162732234925825</v>
      </c>
      <c r="G144" s="22" t="n">
        <f aca="false">EXP(F144)-1</f>
        <v>-0.0161415299185094</v>
      </c>
    </row>
    <row r="145" customFormat="false" ht="15" hidden="false" customHeight="false" outlineLevel="0" collapsed="false">
      <c r="A145" s="20" t="n">
        <v>44678</v>
      </c>
      <c r="B145" s="21" t="n">
        <v>392.861481</v>
      </c>
      <c r="C145" s="21" t="n">
        <v>88.820831</v>
      </c>
      <c r="D145" s="22" t="n">
        <f aca="false">LN(B145/B144)</f>
        <v>0.00280788600757338</v>
      </c>
      <c r="E145" s="22" t="n">
        <f aca="false">LN(C145/C144)</f>
        <v>-0.00404825308729679</v>
      </c>
      <c r="F145" s="22" t="n">
        <f aca="false">LN(Summary!$B$13*EXP(D145)+Summary!$B$14*EXP(E145))</f>
        <v>7.10685788362424E-005</v>
      </c>
      <c r="G145" s="22" t="n">
        <f aca="false">EXP(F145)-1</f>
        <v>7.10711042675172E-005</v>
      </c>
    </row>
    <row r="146" customFormat="false" ht="15" hidden="false" customHeight="false" outlineLevel="0" collapsed="false">
      <c r="A146" s="20" t="n">
        <v>44679</v>
      </c>
      <c r="B146" s="21" t="n">
        <v>402.784973</v>
      </c>
      <c r="C146" s="21" t="n">
        <v>88.786514</v>
      </c>
      <c r="D146" s="22" t="n">
        <f aca="false">LN(B146/B145)</f>
        <v>0.0249457697032066</v>
      </c>
      <c r="E146" s="22" t="n">
        <f aca="false">LN(C146/C145)</f>
        <v>-0.00038643672565518</v>
      </c>
      <c r="F146" s="22" t="n">
        <f aca="false">LN(Summary!$B$13*EXP(D146)+Summary!$B$14*EXP(E146))</f>
        <v>0.0148897617599251</v>
      </c>
      <c r="G146" s="22" t="n">
        <f aca="false">EXP(F146)-1</f>
        <v>0.0150011665058374</v>
      </c>
    </row>
    <row r="147" customFormat="false" ht="15" hidden="false" customHeight="false" outlineLevel="0" collapsed="false">
      <c r="A147" s="20" t="n">
        <v>44680</v>
      </c>
      <c r="B147" s="21" t="n">
        <v>387.899719</v>
      </c>
      <c r="C147" s="21" t="n">
        <v>88.254585</v>
      </c>
      <c r="D147" s="22" t="n">
        <f aca="false">LN(B147/B146)</f>
        <v>-0.0376560037608459</v>
      </c>
      <c r="E147" s="22" t="n">
        <f aca="false">LN(C147/C146)</f>
        <v>-0.00600911995740469</v>
      </c>
      <c r="F147" s="22" t="n">
        <f aca="false">LN(Summary!$B$13*EXP(D147)+Summary!$B$14*EXP(E147))</f>
        <v>-0.0248768180847693</v>
      </c>
      <c r="G147" s="22" t="n">
        <f aca="false">EXP(F147)-1</f>
        <v>-0.0245699400288852</v>
      </c>
    </row>
    <row r="148" customFormat="false" ht="15" hidden="false" customHeight="false" outlineLevel="0" collapsed="false">
      <c r="A148" s="20" t="n">
        <v>44683</v>
      </c>
      <c r="B148" s="21" t="n">
        <v>390.23468</v>
      </c>
      <c r="C148" s="21" t="n">
        <v>87.774147</v>
      </c>
      <c r="D148" s="22" t="n">
        <f aca="false">LN(B148/B147)</f>
        <v>0.00600145170620812</v>
      </c>
      <c r="E148" s="22" t="n">
        <f aca="false">LN(C148/C147)</f>
        <v>-0.00545864515980578</v>
      </c>
      <c r="F148" s="22" t="n">
        <f aca="false">LN(Summary!$B$13*EXP(D148)+Summary!$B$14*EXP(E148))</f>
        <v>0.00143316090169307</v>
      </c>
      <c r="G148" s="22" t="n">
        <f aca="false">EXP(F148)-1</f>
        <v>0.00143418836756082</v>
      </c>
    </row>
    <row r="149" customFormat="false" ht="15" hidden="false" customHeight="false" outlineLevel="0" collapsed="false">
      <c r="A149" s="20" t="n">
        <v>44684</v>
      </c>
      <c r="B149" s="21" t="n">
        <v>392.023529</v>
      </c>
      <c r="C149" s="21" t="n">
        <v>87.97184</v>
      </c>
      <c r="D149" s="22" t="n">
        <f aca="false">LN(B149/B148)</f>
        <v>0.00457355920998189</v>
      </c>
      <c r="E149" s="22" t="n">
        <f aca="false">LN(C149/C148)</f>
        <v>0.00224975928905725</v>
      </c>
      <c r="F149" s="22" t="n">
        <f aca="false">LN(Summary!$B$13*EXP(D149)+Summary!$B$14*EXP(E149))</f>
        <v>0.00364468714662346</v>
      </c>
      <c r="G149" s="22" t="n">
        <f aca="false">EXP(F149)-1</f>
        <v>0.0036513370953617</v>
      </c>
    </row>
    <row r="150" customFormat="false" ht="15" hidden="false" customHeight="false" outlineLevel="0" collapsed="false">
      <c r="A150" s="20" t="n">
        <v>44685</v>
      </c>
      <c r="B150" s="21" t="n">
        <v>403.961853</v>
      </c>
      <c r="C150" s="21" t="n">
        <v>88.53904</v>
      </c>
      <c r="D150" s="22" t="n">
        <f aca="false">LN(B150/B149)</f>
        <v>0.0299985892873257</v>
      </c>
      <c r="E150" s="22" t="n">
        <f aca="false">LN(C150/C149)</f>
        <v>0.00642682142089651</v>
      </c>
      <c r="F150" s="22" t="n">
        <f aca="false">LN(Summary!$B$13*EXP(D150)+Summary!$B$14*EXP(E150))</f>
        <v>0.0206364513996096</v>
      </c>
      <c r="G150" s="22" t="n">
        <f aca="false">EXP(F150)-1</f>
        <v>0.0208508552680167</v>
      </c>
    </row>
    <row r="151" customFormat="false" ht="15" hidden="false" customHeight="false" outlineLevel="0" collapsed="false">
      <c r="A151" s="20" t="n">
        <v>44686</v>
      </c>
      <c r="B151" s="21" t="n">
        <v>389.603882</v>
      </c>
      <c r="C151" s="21" t="n">
        <v>87.662437</v>
      </c>
      <c r="D151" s="22" t="n">
        <f aca="false">LN(B151/B150)</f>
        <v>-0.0361899144512185</v>
      </c>
      <c r="E151" s="22" t="n">
        <f aca="false">LN(C151/C150)</f>
        <v>-0.0099500894907429</v>
      </c>
      <c r="F151" s="22" t="n">
        <f aca="false">LN(Summary!$B$13*EXP(D151)+Summary!$B$14*EXP(E151))</f>
        <v>-0.0256112186176235</v>
      </c>
      <c r="G151" s="22" t="n">
        <f aca="false">EXP(F151)-1</f>
        <v>-0.0252860334028273</v>
      </c>
    </row>
    <row r="152" customFormat="false" ht="15" hidden="false" customHeight="false" outlineLevel="0" collapsed="false">
      <c r="A152" s="20" t="n">
        <v>44687</v>
      </c>
      <c r="B152" s="21" t="n">
        <v>387.278442</v>
      </c>
      <c r="C152" s="21" t="n">
        <v>87.29287</v>
      </c>
      <c r="D152" s="22" t="n">
        <f aca="false">LN(B152/B151)</f>
        <v>-0.00598661309024752</v>
      </c>
      <c r="E152" s="22" t="n">
        <f aca="false">LN(C152/C151)</f>
        <v>-0.00422470808129344</v>
      </c>
      <c r="F152" s="22" t="n">
        <f aca="false">LN(Summary!$B$13*EXP(D152)+Summary!$B$14*EXP(E152))</f>
        <v>-0.00528147852584109</v>
      </c>
      <c r="G152" s="22" t="n">
        <f aca="false">EXP(F152)-1</f>
        <v>-0.00526755603935325</v>
      </c>
    </row>
    <row r="153" customFormat="false" ht="15" hidden="false" customHeight="false" outlineLevel="0" collapsed="false">
      <c r="A153" s="20" t="n">
        <v>44690</v>
      </c>
      <c r="B153" s="21" t="n">
        <v>374.878754</v>
      </c>
      <c r="C153" s="21" t="n">
        <v>87.72258</v>
      </c>
      <c r="D153" s="22" t="n">
        <f aca="false">LN(B153/B152)</f>
        <v>-0.0325412716704984</v>
      </c>
      <c r="E153" s="22" t="n">
        <f aca="false">LN(C153/C152)</f>
        <v>0.00491054776573444</v>
      </c>
      <c r="F153" s="22" t="n">
        <f aca="false">LN(Summary!$B$13*EXP(D153)+Summary!$B$14*EXP(E153))</f>
        <v>-0.0173918157028084</v>
      </c>
      <c r="G153" s="22" t="n">
        <f aca="false">EXP(F153)-1</f>
        <v>-0.0172414510428169</v>
      </c>
    </row>
    <row r="154" customFormat="false" ht="15" hidden="false" customHeight="false" outlineLevel="0" collapsed="false">
      <c r="A154" s="20" t="n">
        <v>44691</v>
      </c>
      <c r="B154" s="21" t="n">
        <v>375.744965</v>
      </c>
      <c r="C154" s="21" t="n">
        <v>87.989044</v>
      </c>
      <c r="D154" s="22" t="n">
        <f aca="false">LN(B154/B153)</f>
        <v>0.0023079776526704</v>
      </c>
      <c r="E154" s="22" t="n">
        <f aca="false">LN(C154/C153)</f>
        <v>0.00303297184556246</v>
      </c>
      <c r="F154" s="22" t="n">
        <f aca="false">LN(Summary!$B$13*EXP(D154)+Summary!$B$14*EXP(E154))</f>
        <v>0.00259803840686404</v>
      </c>
      <c r="G154" s="22" t="n">
        <f aca="false">EXP(F154)-1</f>
        <v>0.00260141623325327</v>
      </c>
    </row>
    <row r="155" customFormat="false" ht="15" hidden="false" customHeight="false" outlineLevel="0" collapsed="false">
      <c r="A155" s="20" t="n">
        <v>44692</v>
      </c>
      <c r="B155" s="21" t="n">
        <v>369.775818</v>
      </c>
      <c r="C155" s="21" t="n">
        <v>88.315636</v>
      </c>
      <c r="D155" s="22" t="n">
        <f aca="false">LN(B155/B154)</f>
        <v>-0.0160137039653442</v>
      </c>
      <c r="E155" s="22" t="n">
        <f aca="false">LN(C155/C154)</f>
        <v>0.00370486334868779</v>
      </c>
      <c r="F155" s="22" t="n">
        <f aca="false">LN(Summary!$B$13*EXP(D155)+Summary!$B$14*EXP(E155))</f>
        <v>-0.00807955774344585</v>
      </c>
      <c r="G155" s="22" t="n">
        <f aca="false">EXP(F155)-1</f>
        <v>-0.00804700584409279</v>
      </c>
    </row>
    <row r="156" customFormat="false" ht="15" hidden="false" customHeight="false" outlineLevel="0" collapsed="false">
      <c r="A156" s="20" t="n">
        <v>44693</v>
      </c>
      <c r="B156" s="21" t="n">
        <v>369.389771</v>
      </c>
      <c r="C156" s="21" t="n">
        <v>88.478912</v>
      </c>
      <c r="D156" s="22" t="n">
        <f aca="false">LN(B156/B155)</f>
        <v>-0.00104454817931389</v>
      </c>
      <c r="E156" s="22" t="n">
        <f aca="false">LN(C156/C155)</f>
        <v>0.00184707105809998</v>
      </c>
      <c r="F156" s="22" t="n">
        <f aca="false">LN(Summary!$B$13*EXP(D156)+Summary!$B$14*EXP(E156))</f>
        <v>0.000113103084186767</v>
      </c>
      <c r="G156" s="22" t="n">
        <f aca="false">EXP(F156)-1</f>
        <v>0.000113109480581741</v>
      </c>
    </row>
    <row r="157" customFormat="false" ht="15" hidden="false" customHeight="false" outlineLevel="0" collapsed="false">
      <c r="A157" s="20" t="n">
        <v>44694</v>
      </c>
      <c r="B157" s="21" t="n">
        <v>378.2211</v>
      </c>
      <c r="C157" s="21" t="n">
        <v>88.100761</v>
      </c>
      <c r="D157" s="22" t="n">
        <f aca="false">LN(B157/B156)</f>
        <v>0.0236265687233972</v>
      </c>
      <c r="E157" s="22" t="n">
        <f aca="false">LN(C157/C156)</f>
        <v>-0.00428307031793438</v>
      </c>
      <c r="F157" s="22" t="n">
        <f aca="false">LN(Summary!$B$13*EXP(D157)+Summary!$B$14*EXP(E157))</f>
        <v>0.0125560102828877</v>
      </c>
      <c r="G157" s="22" t="n">
        <f aca="false">EXP(F157)-1</f>
        <v>0.0126351679344869</v>
      </c>
    </row>
    <row r="158" customFormat="false" ht="15" hidden="false" customHeight="false" outlineLevel="0" collapsed="false">
      <c r="A158" s="20" t="n">
        <v>44697</v>
      </c>
      <c r="B158" s="21" t="n">
        <v>376.686401</v>
      </c>
      <c r="C158" s="21" t="n">
        <v>88.298454</v>
      </c>
      <c r="D158" s="22" t="n">
        <f aca="false">LN(B158/B157)</f>
        <v>-0.00406593155385117</v>
      </c>
      <c r="E158" s="22" t="n">
        <f aca="false">LN(C158/C157)</f>
        <v>0.00224142814657621</v>
      </c>
      <c r="F158" s="22" t="n">
        <f aca="false">LN(Summary!$B$13*EXP(D158)+Summary!$B$14*EXP(E158))</f>
        <v>-0.0015382117388898</v>
      </c>
      <c r="G158" s="22" t="n">
        <f aca="false">EXP(F158)-1</f>
        <v>-0.00153702929757238</v>
      </c>
    </row>
    <row r="159" customFormat="false" ht="15" hidden="false" customHeight="false" outlineLevel="0" collapsed="false">
      <c r="A159" s="20" t="n">
        <v>44698</v>
      </c>
      <c r="B159" s="21" t="n">
        <v>384.435059</v>
      </c>
      <c r="C159" s="21" t="n">
        <v>87.817162</v>
      </c>
      <c r="D159" s="22" t="n">
        <f aca="false">LN(B159/B158)</f>
        <v>0.020361863710508</v>
      </c>
      <c r="E159" s="22" t="n">
        <f aca="false">LN(C159/C158)</f>
        <v>-0.00546565045258868</v>
      </c>
      <c r="F159" s="22" t="n">
        <f aca="false">LN(Summary!$B$13*EXP(D159)+Summary!$B$14*EXP(E159))</f>
        <v>0.0101107655265427</v>
      </c>
      <c r="G159" s="22" t="n">
        <f aca="false">EXP(F159)-1</f>
        <v>0.0101620520191421</v>
      </c>
    </row>
    <row r="160" customFormat="false" ht="15" hidden="false" customHeight="false" outlineLevel="0" collapsed="false">
      <c r="A160" s="20" t="n">
        <v>44699</v>
      </c>
      <c r="B160" s="21" t="n">
        <v>368.937836</v>
      </c>
      <c r="C160" s="21" t="n">
        <v>88.169502</v>
      </c>
      <c r="D160" s="22" t="n">
        <f aca="false">LN(B160/B159)</f>
        <v>-0.0411467136879135</v>
      </c>
      <c r="E160" s="22" t="n">
        <f aca="false">LN(C160/C159)</f>
        <v>0.00400417239305275</v>
      </c>
      <c r="F160" s="22" t="n">
        <f aca="false">LN(Summary!$B$13*EXP(D160)+Summary!$B$14*EXP(E160))</f>
        <v>-0.0228410090212114</v>
      </c>
      <c r="G160" s="22" t="n">
        <f aca="false">EXP(F160)-1</f>
        <v>-0.0225821279555551</v>
      </c>
    </row>
    <row r="161" customFormat="false" ht="15" hidden="false" customHeight="false" outlineLevel="0" collapsed="false">
      <c r="A161" s="20" t="n">
        <v>44700</v>
      </c>
      <c r="B161" s="21" t="n">
        <v>366.678223</v>
      </c>
      <c r="C161" s="21" t="n">
        <v>88.392975</v>
      </c>
      <c r="D161" s="22" t="n">
        <f aca="false">LN(B161/B160)</f>
        <v>-0.00614347682943375</v>
      </c>
      <c r="E161" s="22" t="n">
        <f aca="false">LN(C161/C160)</f>
        <v>0.00253137725669967</v>
      </c>
      <c r="F161" s="22" t="n">
        <f aca="false">LN(Summary!$B$13*EXP(D161)+Summary!$B$14*EXP(E161))</f>
        <v>-0.00266449962624778</v>
      </c>
      <c r="G161" s="22" t="n">
        <f aca="false">EXP(F161)-1</f>
        <v>-0.00266095299781466</v>
      </c>
    </row>
    <row r="162" customFormat="false" ht="15" hidden="false" customHeight="false" outlineLevel="0" collapsed="false">
      <c r="A162" s="20" t="n">
        <v>44701</v>
      </c>
      <c r="B162" s="21" t="n">
        <v>366.838318</v>
      </c>
      <c r="C162" s="21" t="n">
        <v>88.659409</v>
      </c>
      <c r="D162" s="22" t="n">
        <f aca="false">LN(B162/B161)</f>
        <v>0.000436513680588138</v>
      </c>
      <c r="E162" s="22" t="n">
        <f aca="false">LN(C162/C161)</f>
        <v>0.0030096652199285</v>
      </c>
      <c r="F162" s="22" t="n">
        <f aca="false">LN(Summary!$B$13*EXP(D162)+Summary!$B$14*EXP(E162))</f>
        <v>0.00146656896548952</v>
      </c>
      <c r="G162" s="22" t="n">
        <f aca="false">EXP(F162)-1</f>
        <v>0.00146764490366968</v>
      </c>
    </row>
    <row r="163" customFormat="false" ht="15" hidden="false" customHeight="false" outlineLevel="0" collapsed="false">
      <c r="A163" s="20" t="n">
        <v>44704</v>
      </c>
      <c r="B163" s="21" t="n">
        <v>373.701843</v>
      </c>
      <c r="C163" s="21" t="n">
        <v>88.36718</v>
      </c>
      <c r="D163" s="22" t="n">
        <f aca="false">LN(B163/B162)</f>
        <v>0.0185370676677149</v>
      </c>
      <c r="E163" s="22" t="n">
        <f aca="false">LN(C163/C162)</f>
        <v>-0.00330152964133164</v>
      </c>
      <c r="F163" s="22" t="n">
        <f aca="false">LN(Summary!$B$13*EXP(D163)+Summary!$B$14*EXP(E163))</f>
        <v>0.00985877534407089</v>
      </c>
      <c r="G163" s="22" t="n">
        <f aca="false">EXP(F163)-1</f>
        <v>0.00990753316880033</v>
      </c>
    </row>
    <row r="164" customFormat="false" ht="15" hidden="false" customHeight="false" outlineLevel="0" collapsed="false">
      <c r="A164" s="20" t="n">
        <v>44705</v>
      </c>
      <c r="B164" s="21" t="n">
        <v>370.849121</v>
      </c>
      <c r="C164" s="21" t="n">
        <v>89.046158</v>
      </c>
      <c r="D164" s="22" t="n">
        <f aca="false">LN(B164/B163)</f>
        <v>-0.00766297029351706</v>
      </c>
      <c r="E164" s="22" t="n">
        <f aca="false">LN(C164/C163)</f>
        <v>0.00765423076534604</v>
      </c>
      <c r="F164" s="22" t="n">
        <f aca="false">LN(Summary!$B$13*EXP(D164)+Summary!$B$14*EXP(E164))</f>
        <v>-0.00150790736564437</v>
      </c>
      <c r="G164" s="22" t="n">
        <f aca="false">EXP(F164)-1</f>
        <v>-0.0015067710445601</v>
      </c>
    </row>
    <row r="165" customFormat="false" ht="15" hidden="false" customHeight="false" outlineLevel="0" collapsed="false">
      <c r="A165" s="20" t="n">
        <v>44706</v>
      </c>
      <c r="B165" s="21" t="n">
        <v>374.12558</v>
      </c>
      <c r="C165" s="21" t="n">
        <v>89.41571</v>
      </c>
      <c r="D165" s="22" t="n">
        <f aca="false">LN(B165/B164)</f>
        <v>0.00879621850645071</v>
      </c>
      <c r="E165" s="22" t="n">
        <f aca="false">LN(C165/C164)</f>
        <v>0.00414152930665278</v>
      </c>
      <c r="F165" s="22" t="n">
        <f aca="false">LN(Summary!$B$13*EXP(D165)+Summary!$B$14*EXP(E165))</f>
        <v>0.00693694195346038</v>
      </c>
      <c r="G165" s="22" t="n">
        <f aca="false">EXP(F165)-1</f>
        <v>0.00696105826753235</v>
      </c>
    </row>
    <row r="166" customFormat="false" ht="15" hidden="false" customHeight="false" outlineLevel="0" collapsed="false">
      <c r="A166" s="20" t="n">
        <v>44707</v>
      </c>
      <c r="B166" s="21" t="n">
        <v>381.601105</v>
      </c>
      <c r="C166" s="21" t="n">
        <v>89.346924</v>
      </c>
      <c r="D166" s="22" t="n">
        <f aca="false">LN(B166/B165)</f>
        <v>0.0197843188165877</v>
      </c>
      <c r="E166" s="22" t="n">
        <f aca="false">LN(C166/C165)</f>
        <v>-0.000769579210775013</v>
      </c>
      <c r="F166" s="22" t="n">
        <f aca="false">LN(Summary!$B$13*EXP(D166)+Summary!$B$14*EXP(E166))</f>
        <v>0.0116133848839784</v>
      </c>
      <c r="G166" s="22" t="n">
        <f aca="false">EXP(F166)-1</f>
        <v>0.0116810820488029</v>
      </c>
    </row>
    <row r="167" customFormat="false" ht="15" hidden="false" customHeight="false" outlineLevel="0" collapsed="false">
      <c r="A167" s="20" t="n">
        <v>44708</v>
      </c>
      <c r="B167" s="21" t="n">
        <v>390.969025</v>
      </c>
      <c r="C167" s="21" t="n">
        <v>89.493034</v>
      </c>
      <c r="D167" s="22" t="n">
        <f aca="false">LN(B167/B166)</f>
        <v>0.0242525016262058</v>
      </c>
      <c r="E167" s="22" t="n">
        <f aca="false">LN(C167/C166)</f>
        <v>0.00163397524962454</v>
      </c>
      <c r="F167" s="22" t="n">
        <f aca="false">LN(Summary!$B$13*EXP(D167)+Summary!$B$14*EXP(E167))</f>
        <v>0.0152663890839936</v>
      </c>
      <c r="G167" s="22" t="n">
        <f aca="false">EXP(F167)-1</f>
        <v>0.0153835156761577</v>
      </c>
    </row>
    <row r="168" customFormat="false" ht="15" hidden="false" customHeight="false" outlineLevel="0" collapsed="false">
      <c r="A168" s="20" t="n">
        <v>44712</v>
      </c>
      <c r="B168" s="21" t="n">
        <v>388.77533</v>
      </c>
      <c r="C168" s="21" t="n">
        <v>88.925827</v>
      </c>
      <c r="D168" s="22" t="n">
        <f aca="false">LN(B168/B167)</f>
        <v>-0.00562671797139812</v>
      </c>
      <c r="E168" s="22" t="n">
        <f aca="false">LN(C168/C167)</f>
        <v>-0.00635817208631552</v>
      </c>
      <c r="F168" s="22" t="n">
        <f aca="false">LN(Summary!$B$13*EXP(D168)+Summary!$B$14*EXP(E168))</f>
        <v>-0.00591923541748245</v>
      </c>
      <c r="G168" s="22" t="n">
        <f aca="false">EXP(F168)-1</f>
        <v>-0.00590175125814696</v>
      </c>
    </row>
    <row r="169" customFormat="false" ht="15" hidden="false" customHeight="false" outlineLevel="0" collapsed="false">
      <c r="A169" s="20" t="n">
        <v>44713</v>
      </c>
      <c r="B169" s="21" t="n">
        <v>385.630676</v>
      </c>
      <c r="C169" s="21" t="n">
        <v>88.560776</v>
      </c>
      <c r="D169" s="22" t="n">
        <f aca="false">LN(B169/B168)</f>
        <v>-0.00812150541300041</v>
      </c>
      <c r="E169" s="22" t="n">
        <f aca="false">LN(C169/C168)</f>
        <v>-0.00411356698021153</v>
      </c>
      <c r="F169" s="22" t="n">
        <f aca="false">LN(Summary!$B$13*EXP(D169)+Summary!$B$14*EXP(E169))</f>
        <v>-0.00651640189750891</v>
      </c>
      <c r="G169" s="22" t="n">
        <f aca="false">EXP(F169)-1</f>
        <v>-0.00649521619382909</v>
      </c>
    </row>
    <row r="170" customFormat="false" ht="15" hidden="false" customHeight="false" outlineLevel="0" collapsed="false">
      <c r="A170" s="20" t="n">
        <v>44714</v>
      </c>
      <c r="B170" s="21" t="n">
        <v>392.974457</v>
      </c>
      <c r="C170" s="21" t="n">
        <v>88.672684</v>
      </c>
      <c r="D170" s="22" t="n">
        <f aca="false">LN(B170/B169)</f>
        <v>0.0188645013320068</v>
      </c>
      <c r="E170" s="22" t="n">
        <f aca="false">LN(C170/C169)</f>
        <v>0.00126283168959245</v>
      </c>
      <c r="F170" s="22" t="n">
        <f aca="false">LN(Summary!$B$13*EXP(D170)+Summary!$B$14*EXP(E170))</f>
        <v>0.0118609676802551</v>
      </c>
      <c r="G170" s="22" t="n">
        <f aca="false">EXP(F170)-1</f>
        <v>0.0119315878892254</v>
      </c>
    </row>
    <row r="171" customFormat="false" ht="15" hidden="false" customHeight="false" outlineLevel="0" collapsed="false">
      <c r="A171" s="20" t="n">
        <v>44715</v>
      </c>
      <c r="B171" s="21" t="n">
        <v>386.525146</v>
      </c>
      <c r="C171" s="21" t="n">
        <v>88.526321</v>
      </c>
      <c r="D171" s="22" t="n">
        <f aca="false">LN(B171/B170)</f>
        <v>-0.0165476881328747</v>
      </c>
      <c r="E171" s="22" t="n">
        <f aca="false">LN(C171/C170)</f>
        <v>-0.00165196224758865</v>
      </c>
      <c r="F171" s="22" t="n">
        <f aca="false">LN(Summary!$B$13*EXP(D171)+Summary!$B$14*EXP(E171))</f>
        <v>-0.0105627456371465</v>
      </c>
      <c r="G171" s="22" t="n">
        <f aca="false">EXP(F171)-1</f>
        <v>-0.0105071557389307</v>
      </c>
    </row>
    <row r="172" customFormat="false" ht="15" hidden="false" customHeight="false" outlineLevel="0" collapsed="false">
      <c r="A172" s="20" t="n">
        <v>44718</v>
      </c>
      <c r="B172" s="21" t="n">
        <v>387.702057</v>
      </c>
      <c r="C172" s="21" t="n">
        <v>87.983894</v>
      </c>
      <c r="D172" s="22" t="n">
        <f aca="false">LN(B172/B171)</f>
        <v>0.00304022359832176</v>
      </c>
      <c r="E172" s="22" t="n">
        <f aca="false">LN(C172/C171)</f>
        <v>-0.00614614522472236</v>
      </c>
      <c r="F172" s="22" t="n">
        <f aca="false">LN(Summary!$B$13*EXP(D172)+Summary!$B$14*EXP(E172))</f>
        <v>-0.000624203439378301</v>
      </c>
      <c r="G172" s="22" t="n">
        <f aca="false">EXP(F172)-1</f>
        <v>-0.000624008664939835</v>
      </c>
    </row>
    <row r="173" customFormat="false" ht="15" hidden="false" customHeight="false" outlineLevel="0" collapsed="false">
      <c r="A173" s="20" t="n">
        <v>44719</v>
      </c>
      <c r="B173" s="21" t="n">
        <v>391.42099</v>
      </c>
      <c r="C173" s="21" t="n">
        <v>88.319656</v>
      </c>
      <c r="D173" s="22" t="n">
        <f aca="false">LN(B173/B172)</f>
        <v>0.00954653121458388</v>
      </c>
      <c r="E173" s="22" t="n">
        <f aca="false">LN(C173/C172)</f>
        <v>0.00380891259343307</v>
      </c>
      <c r="F173" s="22" t="n">
        <f aca="false">LN(Summary!$B$13*EXP(D173)+Summary!$B$14*EXP(E173))</f>
        <v>0.00725543268238135</v>
      </c>
      <c r="G173" s="22" t="n">
        <f aca="false">EXP(F173)-1</f>
        <v>0.0072818171056217</v>
      </c>
    </row>
    <row r="174" customFormat="false" ht="15" hidden="false" customHeight="false" outlineLevel="0" collapsed="false">
      <c r="A174" s="20" t="n">
        <v>44720</v>
      </c>
      <c r="B174" s="21" t="n">
        <v>387.165375</v>
      </c>
      <c r="C174" s="21" t="n">
        <v>87.958069</v>
      </c>
      <c r="D174" s="22" t="n">
        <f aca="false">LN(B174/B173)</f>
        <v>-0.0109317541924865</v>
      </c>
      <c r="E174" s="22" t="n">
        <f aca="false">LN(C174/C173)</f>
        <v>-0.00410247530860498</v>
      </c>
      <c r="F174" s="22" t="n">
        <f aca="false">LN(Summary!$B$13*EXP(D174)+Summary!$B$14*EXP(E174))</f>
        <v>-0.00819444341441836</v>
      </c>
      <c r="G174" s="22" t="n">
        <f aca="false">EXP(F174)-1</f>
        <v>-0.00816096048339665</v>
      </c>
    </row>
    <row r="175" customFormat="false" ht="15" hidden="false" customHeight="false" outlineLevel="0" collapsed="false">
      <c r="A175" s="20" t="n">
        <v>44721</v>
      </c>
      <c r="B175" s="21" t="n">
        <v>377.957489</v>
      </c>
      <c r="C175" s="21" t="n">
        <v>87.863342</v>
      </c>
      <c r="D175" s="22" t="n">
        <f aca="false">LN(B175/B174)</f>
        <v>-0.0240702010014119</v>
      </c>
      <c r="E175" s="22" t="n">
        <f aca="false">LN(C175/C174)</f>
        <v>-0.00107753667345444</v>
      </c>
      <c r="F175" s="22" t="n">
        <f aca="false">LN(Summary!$B$13*EXP(D175)+Summary!$B$14*EXP(E175))</f>
        <v>-0.0148095997483126</v>
      </c>
      <c r="G175" s="22" t="n">
        <f aca="false">EXP(F175)-1</f>
        <v>-0.0147004769782982</v>
      </c>
    </row>
    <row r="176" customFormat="false" ht="15" hidden="false" customHeight="false" outlineLevel="0" collapsed="false">
      <c r="A176" s="20" t="n">
        <v>44722</v>
      </c>
      <c r="B176" s="21" t="n">
        <v>366.998322</v>
      </c>
      <c r="C176" s="21" t="n">
        <v>87.183159</v>
      </c>
      <c r="D176" s="22" t="n">
        <f aca="false">LN(B176/B175)</f>
        <v>-0.0294244504951584</v>
      </c>
      <c r="E176" s="22" t="n">
        <f aca="false">LN(C176/C175)</f>
        <v>-0.00777149408275702</v>
      </c>
      <c r="F176" s="22" t="n">
        <f aca="false">LN(Summary!$B$13*EXP(D176)+Summary!$B$14*EXP(E176))</f>
        <v>-0.0207069256223973</v>
      </c>
      <c r="G176" s="22" t="n">
        <f aca="false">EXP(F176)-1</f>
        <v>-0.0204940093840269</v>
      </c>
    </row>
    <row r="177" customFormat="false" ht="15" hidden="false" customHeight="false" outlineLevel="0" collapsed="false">
      <c r="A177" s="20" t="n">
        <v>44725</v>
      </c>
      <c r="B177" s="21" t="n">
        <v>353.064056</v>
      </c>
      <c r="C177" s="21" t="n">
        <v>85.753944</v>
      </c>
      <c r="D177" s="22" t="n">
        <f aca="false">LN(B177/B176)</f>
        <v>-0.0387077736095555</v>
      </c>
      <c r="E177" s="22" t="n">
        <f aca="false">LN(C177/C176)</f>
        <v>-0.0165291023714011</v>
      </c>
      <c r="F177" s="22" t="n">
        <f aca="false">LN(Summary!$B$13*EXP(D177)+Summary!$B$14*EXP(E177))</f>
        <v>-0.0297771916916281</v>
      </c>
      <c r="G177" s="22" t="n">
        <f aca="false">EXP(F177)-1</f>
        <v>-0.0293382190338287</v>
      </c>
    </row>
    <row r="178" customFormat="false" ht="15" hidden="false" customHeight="false" outlineLevel="0" collapsed="false">
      <c r="A178" s="20" t="n">
        <v>44726</v>
      </c>
      <c r="B178" s="21" t="n">
        <v>352.000214</v>
      </c>
      <c r="C178" s="21" t="n">
        <v>85.246002</v>
      </c>
      <c r="D178" s="22" t="n">
        <f aca="false">LN(B178/B177)</f>
        <v>-0.00301771867501979</v>
      </c>
      <c r="E178" s="22" t="n">
        <f aca="false">LN(C178/C177)</f>
        <v>-0.00594086145423934</v>
      </c>
      <c r="F178" s="22" t="n">
        <f aca="false">LN(Summary!$B$13*EXP(D178)+Summary!$B$14*EXP(E178))</f>
        <v>-0.00418595061520436</v>
      </c>
      <c r="G178" s="22" t="n">
        <f aca="false">EXP(F178)-1</f>
        <v>-0.00417720173564429</v>
      </c>
    </row>
    <row r="179" customFormat="false" ht="15" hidden="false" customHeight="false" outlineLevel="0" collapsed="false">
      <c r="A179" s="20" t="n">
        <v>44727</v>
      </c>
      <c r="B179" s="21" t="n">
        <v>357.018433</v>
      </c>
      <c r="C179" s="21" t="n">
        <v>86.193054</v>
      </c>
      <c r="D179" s="22" t="n">
        <f aca="false">LN(B179/B178)</f>
        <v>0.0141556299474623</v>
      </c>
      <c r="E179" s="22" t="n">
        <f aca="false">LN(C179/C178)</f>
        <v>0.0110483766732905</v>
      </c>
      <c r="F179" s="22" t="n">
        <f aca="false">LN(Summary!$B$13*EXP(D179)+Summary!$B$14*EXP(E179))</f>
        <v>0.012913887000128</v>
      </c>
      <c r="G179" s="22" t="n">
        <f aca="false">EXP(F179)-1</f>
        <v>0.0129976313388875</v>
      </c>
    </row>
    <row r="180" customFormat="false" ht="15" hidden="false" customHeight="false" outlineLevel="0" collapsed="false">
      <c r="A180" s="20" t="n">
        <v>44728</v>
      </c>
      <c r="B180" s="21" t="n">
        <v>345.202515</v>
      </c>
      <c r="C180" s="21" t="n">
        <v>86.399689</v>
      </c>
      <c r="D180" s="22" t="n">
        <f aca="false">LN(B180/B179)</f>
        <v>-0.0336561686856694</v>
      </c>
      <c r="E180" s="22" t="n">
        <f aca="false">LN(C180/C179)</f>
        <v>0.00239448188999719</v>
      </c>
      <c r="F180" s="22" t="n">
        <f aca="false">LN(Summary!$B$13*EXP(D180)+Summary!$B$14*EXP(E180))</f>
        <v>-0.0190795831781728</v>
      </c>
      <c r="G180" s="22" t="n">
        <f aca="false">EXP(F180)-1</f>
        <v>-0.0188987200221402</v>
      </c>
    </row>
    <row r="181" customFormat="false" ht="15" hidden="false" customHeight="false" outlineLevel="0" collapsed="false">
      <c r="A181" s="20" t="n">
        <v>44729</v>
      </c>
      <c r="B181" s="21" t="n">
        <v>345.946594</v>
      </c>
      <c r="C181" s="21" t="n">
        <v>86.391052</v>
      </c>
      <c r="D181" s="22" t="n">
        <f aca="false">LN(B181/B180)</f>
        <v>0.00215316572872866</v>
      </c>
      <c r="E181" s="22" t="n">
        <f aca="false">LN(C181/C180)</f>
        <v>-9.997063450509E-005</v>
      </c>
      <c r="F181" s="22" t="n">
        <f aca="false">LN(Summary!$B$13*EXP(D181)+Summary!$B$14*EXP(E181))</f>
        <v>0.00125252028663176</v>
      </c>
      <c r="G181" s="22" t="n">
        <f aca="false">EXP(F181)-1</f>
        <v>0.00125330501776233</v>
      </c>
    </row>
    <row r="182" customFormat="false" ht="15" hidden="false" customHeight="false" outlineLevel="0" collapsed="false">
      <c r="A182" s="20" t="n">
        <v>44733</v>
      </c>
      <c r="B182" s="21" t="n">
        <v>354.655457</v>
      </c>
      <c r="C182" s="21" t="n">
        <v>86.046684</v>
      </c>
      <c r="D182" s="22" t="n">
        <f aca="false">LN(B182/B181)</f>
        <v>0.0248623639880065</v>
      </c>
      <c r="E182" s="22" t="n">
        <f aca="false">LN(C182/C181)</f>
        <v>-0.00399411945199925</v>
      </c>
      <c r="F182" s="22" t="n">
        <f aca="false">LN(Summary!$B$13*EXP(D182)+Summary!$B$14*EXP(E182))</f>
        <v>0.0134194989431074</v>
      </c>
      <c r="G182" s="22" t="n">
        <f aca="false">EXP(F182)-1</f>
        <v>0.0135099445444258</v>
      </c>
    </row>
    <row r="183" customFormat="false" ht="15" hidden="false" customHeight="false" outlineLevel="0" collapsed="false">
      <c r="A183" s="20" t="n">
        <v>44734</v>
      </c>
      <c r="B183" s="21" t="n">
        <v>354.012451</v>
      </c>
      <c r="C183" s="21" t="n">
        <v>86.778519</v>
      </c>
      <c r="D183" s="22" t="n">
        <f aca="false">LN(B183/B182)</f>
        <v>-0.00181468969935874</v>
      </c>
      <c r="E183" s="22" t="n">
        <f aca="false">LN(C183/C182)</f>
        <v>0.00846912790031331</v>
      </c>
      <c r="F183" s="22" t="n">
        <f aca="false">LN(Summary!$B$13*EXP(D183)+Summary!$B$14*EXP(E183))</f>
        <v>0.00231153682042053</v>
      </c>
      <c r="G183" s="22" t="n">
        <f aca="false">EXP(F183)-1</f>
        <v>0.00231421048134828</v>
      </c>
    </row>
    <row r="184" customFormat="false" ht="15" hidden="false" customHeight="false" outlineLevel="0" collapsed="false">
      <c r="A184" s="20" t="n">
        <v>44735</v>
      </c>
      <c r="B184" s="21" t="n">
        <v>357.482635</v>
      </c>
      <c r="C184" s="21" t="n">
        <v>87.140137</v>
      </c>
      <c r="D184" s="22" t="n">
        <f aca="false">LN(B184/B183)</f>
        <v>0.00975470269613471</v>
      </c>
      <c r="E184" s="22" t="n">
        <f aca="false">LN(C184/C183)</f>
        <v>0.00415847879045105</v>
      </c>
      <c r="F184" s="22" t="n">
        <f aca="false">LN(Summary!$B$13*EXP(D184)+Summary!$B$14*EXP(E184))</f>
        <v>0.00751996985410224</v>
      </c>
      <c r="G184" s="22" t="n">
        <f aca="false">EXP(F184)-1</f>
        <v>0.00754831583650084</v>
      </c>
    </row>
    <row r="185" customFormat="false" ht="15" hidden="false" customHeight="false" outlineLevel="0" collapsed="false">
      <c r="A185" s="20" t="n">
        <v>44736</v>
      </c>
      <c r="B185" s="21" t="n">
        <v>368.84845</v>
      </c>
      <c r="C185" s="21" t="n">
        <v>87.002411</v>
      </c>
      <c r="D185" s="22" t="n">
        <f aca="false">LN(B185/B184)</f>
        <v>0.0312990675434826</v>
      </c>
      <c r="E185" s="22" t="n">
        <f aca="false">LN(C185/C184)</f>
        <v>-0.00158176195648105</v>
      </c>
      <c r="F185" s="22" t="n">
        <f aca="false">LN(Summary!$B$13*EXP(D185)+Summary!$B$14*EXP(E185))</f>
        <v>0.0182761841108497</v>
      </c>
      <c r="G185" s="22" t="n">
        <f aca="false">EXP(F185)-1</f>
        <v>0.0184442156612494</v>
      </c>
    </row>
    <row r="186" customFormat="false" ht="15" hidden="false" customHeight="false" outlineLevel="0" collapsed="false">
      <c r="A186" s="20" t="n">
        <v>44739</v>
      </c>
      <c r="B186" s="21" t="n">
        <v>367.439545</v>
      </c>
      <c r="C186" s="21" t="n">
        <v>86.614922</v>
      </c>
      <c r="D186" s="22" t="n">
        <f aca="false">LN(B186/B185)</f>
        <v>-0.00382705335188238</v>
      </c>
      <c r="E186" s="22" t="n">
        <f aca="false">LN(C186/C185)</f>
        <v>-0.00446372072063331</v>
      </c>
      <c r="F186" s="22" t="n">
        <f aca="false">LN(Summary!$B$13*EXP(D186)+Summary!$B$14*EXP(E186))</f>
        <v>-0.00408167166000733</v>
      </c>
      <c r="G186" s="22" t="n">
        <f aca="false">EXP(F186)-1</f>
        <v>-0.0040733529601531</v>
      </c>
    </row>
    <row r="187" customFormat="false" ht="15" hidden="false" customHeight="false" outlineLevel="0" collapsed="false">
      <c r="A187" s="20" t="n">
        <v>44740</v>
      </c>
      <c r="B187" s="21" t="n">
        <v>359.931763</v>
      </c>
      <c r="C187" s="21" t="n">
        <v>86.649376</v>
      </c>
      <c r="D187" s="22" t="n">
        <f aca="false">LN(B187/B186)</f>
        <v>-0.0206443354577739</v>
      </c>
      <c r="E187" s="22" t="n">
        <f aca="false">LN(C187/C186)</f>
        <v>0.000397704557163113</v>
      </c>
      <c r="F187" s="22" t="n">
        <f aca="false">LN(Summary!$B$13*EXP(D187)+Summary!$B$14*EXP(E187))</f>
        <v>-0.012174313689868</v>
      </c>
      <c r="G187" s="22" t="n">
        <f aca="false">EXP(F187)-1</f>
        <v>-0.0121005065536557</v>
      </c>
    </row>
    <row r="188" customFormat="false" ht="15" hidden="false" customHeight="false" outlineLevel="0" collapsed="false">
      <c r="A188" s="20" t="n">
        <v>44741</v>
      </c>
      <c r="B188" s="21" t="n">
        <v>359.63855</v>
      </c>
      <c r="C188" s="21" t="n">
        <v>87.148727</v>
      </c>
      <c r="D188" s="22" t="n">
        <f aca="false">LN(B188/B187)</f>
        <v>-0.000814966962731305</v>
      </c>
      <c r="E188" s="22" t="n">
        <f aca="false">LN(C188/C187)</f>
        <v>0.00574635010911693</v>
      </c>
      <c r="F188" s="22" t="n">
        <f aca="false">LN(Summary!$B$13*EXP(D188)+Summary!$B$14*EXP(E188))</f>
        <v>0.00181472822341407</v>
      </c>
      <c r="G188" s="22" t="n">
        <f aca="false">EXP(F188)-1</f>
        <v>0.00181637583918404</v>
      </c>
    </row>
    <row r="189" customFormat="false" ht="15" hidden="false" customHeight="false" outlineLevel="0" collapsed="false">
      <c r="A189" s="20" t="n">
        <v>44742</v>
      </c>
      <c r="B189" s="21" t="n">
        <v>356.716736</v>
      </c>
      <c r="C189" s="21" t="n">
        <v>87.544792</v>
      </c>
      <c r="D189" s="22" t="n">
        <f aca="false">LN(B189/B188)</f>
        <v>-0.00815748905513737</v>
      </c>
      <c r="E189" s="22" t="n">
        <f aca="false">LN(C189/C188)</f>
        <v>0.00453440609458241</v>
      </c>
      <c r="F189" s="22" t="n">
        <f aca="false">LN(Summary!$B$13*EXP(D189)+Summary!$B$14*EXP(E189))</f>
        <v>-0.00306138464965838</v>
      </c>
      <c r="G189" s="22" t="n">
        <f aca="false">EXP(F189)-1</f>
        <v>-0.0030567033899358</v>
      </c>
    </row>
    <row r="190" customFormat="false" ht="15" hidden="false" customHeight="false" outlineLevel="0" collapsed="false">
      <c r="A190" s="20" t="n">
        <v>44743</v>
      </c>
      <c r="B190" s="21" t="n">
        <v>360.489532</v>
      </c>
      <c r="C190" s="21" t="n">
        <v>88.274536</v>
      </c>
      <c r="D190" s="22" t="n">
        <f aca="false">LN(B190/B189)</f>
        <v>0.0105209086117004</v>
      </c>
      <c r="E190" s="22" t="n">
        <f aca="false">LN(C190/C189)</f>
        <v>0.00830111454480199</v>
      </c>
      <c r="F190" s="22" t="n">
        <f aca="false">LN(Summary!$B$13*EXP(D190)+Summary!$B$14*EXP(E190))</f>
        <v>0.009633582195614</v>
      </c>
      <c r="G190" s="22" t="n">
        <f aca="false">EXP(F190)-1</f>
        <v>0.00968013451702587</v>
      </c>
    </row>
    <row r="191" customFormat="false" ht="15" hidden="false" customHeight="false" outlineLevel="0" collapsed="false">
      <c r="A191" s="20" t="n">
        <v>44747</v>
      </c>
      <c r="B191" s="21" t="n">
        <v>361.170441</v>
      </c>
      <c r="C191" s="21" t="n">
        <v>88.438423</v>
      </c>
      <c r="D191" s="22" t="n">
        <f aca="false">LN(B191/B190)</f>
        <v>0.00188706379052642</v>
      </c>
      <c r="E191" s="22" t="n">
        <f aca="false">LN(C191/C190)</f>
        <v>0.00185483903290631</v>
      </c>
      <c r="F191" s="22" t="n">
        <f aca="false">LN(Summary!$B$13*EXP(D191)+Summary!$B$14*EXP(E191))</f>
        <v>0.00187417401209027</v>
      </c>
      <c r="G191" s="22" t="n">
        <f aca="false">EXP(F191)-1</f>
        <v>0.00187593137389985</v>
      </c>
    </row>
    <row r="192" customFormat="false" ht="15" hidden="false" customHeight="false" outlineLevel="0" collapsed="false">
      <c r="A192" s="20" t="n">
        <v>44748</v>
      </c>
      <c r="B192" s="21" t="n">
        <v>362.390137</v>
      </c>
      <c r="C192" s="21" t="n">
        <v>87.843224</v>
      </c>
      <c r="D192" s="22" t="n">
        <f aca="false">LN(B192/B191)</f>
        <v>0.00337137536885717</v>
      </c>
      <c r="E192" s="22" t="n">
        <f aca="false">LN(C192/C191)</f>
        <v>-0.00675284434799327</v>
      </c>
      <c r="F192" s="22" t="n">
        <f aca="false">LN(Summary!$B$13*EXP(D192)+Summary!$B$14*EXP(E192))</f>
        <v>-0.000666020886891124</v>
      </c>
      <c r="G192" s="22" t="n">
        <f aca="false">EXP(F192)-1</f>
        <v>-0.000665799144211388</v>
      </c>
    </row>
    <row r="193" customFormat="false" ht="15" hidden="false" customHeight="false" outlineLevel="0" collapsed="false">
      <c r="A193" s="20" t="n">
        <v>44749</v>
      </c>
      <c r="B193" s="21" t="n">
        <v>367.817657</v>
      </c>
      <c r="C193" s="21" t="n">
        <v>87.644867</v>
      </c>
      <c r="D193" s="22" t="n">
        <f aca="false">LN(B193/B192)</f>
        <v>0.0148659600721739</v>
      </c>
      <c r="E193" s="22" t="n">
        <f aca="false">LN(C193/C192)</f>
        <v>-0.00226063299616892</v>
      </c>
      <c r="F193" s="22" t="n">
        <f aca="false">LN(Summary!$B$13*EXP(D193)+Summary!$B$14*EXP(E193))</f>
        <v>0.00805048070160026</v>
      </c>
      <c r="G193" s="22" t="n">
        <f aca="false">EXP(F193)-1</f>
        <v>0.00808297295559157</v>
      </c>
    </row>
    <row r="194" customFormat="false" ht="15" hidden="false" customHeight="false" outlineLevel="0" collapsed="false">
      <c r="A194" s="20" t="n">
        <v>44750</v>
      </c>
      <c r="B194" s="21" t="n">
        <v>367.515137</v>
      </c>
      <c r="C194" s="21" t="n">
        <v>87.317078</v>
      </c>
      <c r="D194" s="22" t="n">
        <f aca="false">LN(B194/B193)</f>
        <v>-0.00082281116668823</v>
      </c>
      <c r="E194" s="22" t="n">
        <f aca="false">LN(C194/C193)</f>
        <v>-0.00374697919034944</v>
      </c>
      <c r="F194" s="22" t="n">
        <f aca="false">LN(Summary!$B$13*EXP(D194)+Summary!$B$14*EXP(E194))</f>
        <v>-0.00199145248546941</v>
      </c>
      <c r="G194" s="22" t="n">
        <f aca="false">EXP(F194)-1</f>
        <v>-0.00198947085962464</v>
      </c>
    </row>
    <row r="195" customFormat="false" ht="15" hidden="false" customHeight="false" outlineLevel="0" collapsed="false">
      <c r="A195" s="20" t="n">
        <v>44753</v>
      </c>
      <c r="B195" s="21" t="n">
        <v>363.316864</v>
      </c>
      <c r="C195" s="21" t="n">
        <v>87.722488</v>
      </c>
      <c r="D195" s="22" t="n">
        <f aca="false">LN(B195/B194)</f>
        <v>-0.0114891498329413</v>
      </c>
      <c r="E195" s="22" t="n">
        <f aca="false">LN(C195/C194)</f>
        <v>0.00463221812286298</v>
      </c>
      <c r="F195" s="22" t="n">
        <f aca="false">LN(Summary!$B$13*EXP(D195)+Summary!$B$14*EXP(E195))</f>
        <v>-0.0050093816087147</v>
      </c>
      <c r="G195" s="22" t="n">
        <f aca="false">EXP(F195)-1</f>
        <v>-0.00499685558127605</v>
      </c>
    </row>
    <row r="196" customFormat="false" ht="15" hidden="false" customHeight="false" outlineLevel="0" collapsed="false">
      <c r="A196" s="20" t="n">
        <v>44754</v>
      </c>
      <c r="B196" s="21" t="n">
        <v>360.101868</v>
      </c>
      <c r="C196" s="21" t="n">
        <v>87.843224</v>
      </c>
      <c r="D196" s="22" t="n">
        <f aca="false">LN(B196/B195)</f>
        <v>-0.00888839899804199</v>
      </c>
      <c r="E196" s="22" t="n">
        <f aca="false">LN(C196/C195)</f>
        <v>0.00137539406365535</v>
      </c>
      <c r="F196" s="22" t="n">
        <f aca="false">LN(Summary!$B$13*EXP(D196)+Summary!$B$14*EXP(E196))</f>
        <v>-0.0047702317185655</v>
      </c>
      <c r="G196" s="22" t="n">
        <f aca="false">EXP(F196)-1</f>
        <v>-0.00475887223287863</v>
      </c>
    </row>
    <row r="197" customFormat="false" ht="15" hidden="false" customHeight="false" outlineLevel="0" collapsed="false">
      <c r="A197" s="20" t="n">
        <v>44755</v>
      </c>
      <c r="B197" s="21" t="n">
        <v>358.210754</v>
      </c>
      <c r="C197" s="21" t="n">
        <v>88.162361</v>
      </c>
      <c r="D197" s="22" t="n">
        <f aca="false">LN(B197/B196)</f>
        <v>-0.0052654465794641</v>
      </c>
      <c r="E197" s="22" t="n">
        <f aca="false">LN(C197/C196)</f>
        <v>0.00362644571478076</v>
      </c>
      <c r="F197" s="22" t="n">
        <f aca="false">LN(Summary!$B$13*EXP(D197)+Summary!$B$14*EXP(E197))</f>
        <v>-0.00169919617513231</v>
      </c>
      <c r="G197" s="22" t="n">
        <f aca="false">EXP(F197)-1</f>
        <v>-0.00169775335863664</v>
      </c>
    </row>
    <row r="198" customFormat="false" ht="15" hidden="false" customHeight="false" outlineLevel="0" collapsed="false">
      <c r="A198" s="20" t="n">
        <v>44756</v>
      </c>
      <c r="B198" s="21" t="n">
        <v>357.34082</v>
      </c>
      <c r="C198" s="21" t="n">
        <v>87.851845</v>
      </c>
      <c r="D198" s="22" t="n">
        <f aca="false">LN(B198/B197)</f>
        <v>-0.0024315072741464</v>
      </c>
      <c r="E198" s="22" t="n">
        <f aca="false">LN(C198/C197)</f>
        <v>-0.00352830977896898</v>
      </c>
      <c r="F198" s="22" t="n">
        <f aca="false">LN(Summary!$B$13*EXP(D198)+Summary!$B$14*EXP(E198))</f>
        <v>-0.00287008392954902</v>
      </c>
      <c r="G198" s="22" t="n">
        <f aca="false">EXP(F198)-1</f>
        <v>-0.00286596917617155</v>
      </c>
    </row>
    <row r="199" customFormat="false" ht="15" hidden="false" customHeight="false" outlineLevel="0" collapsed="false">
      <c r="A199" s="20" t="n">
        <v>44757</v>
      </c>
      <c r="B199" s="21" t="n">
        <v>364.167938</v>
      </c>
      <c r="C199" s="21" t="n">
        <v>88.196899</v>
      </c>
      <c r="D199" s="22" t="n">
        <f aca="false">LN(B199/B198)</f>
        <v>0.018925125135361</v>
      </c>
      <c r="E199" s="22" t="n">
        <f aca="false">LN(C199/C198)</f>
        <v>0.00391998754447498</v>
      </c>
      <c r="F199" s="22" t="n">
        <f aca="false">LN(Summary!$B$13*EXP(D199)+Summary!$B$14*EXP(E199))</f>
        <v>0.0129500613472681</v>
      </c>
      <c r="G199" s="22" t="n">
        <f aca="false">EXP(F199)-1</f>
        <v>0.0130342765296596</v>
      </c>
    </row>
    <row r="200" customFormat="false" ht="15" hidden="false" customHeight="false" outlineLevel="0" collapsed="false">
      <c r="A200" s="20" t="n">
        <v>44760</v>
      </c>
      <c r="B200" s="21" t="n">
        <v>361.16095</v>
      </c>
      <c r="C200" s="21" t="n">
        <v>87.91227</v>
      </c>
      <c r="D200" s="22" t="n">
        <f aca="false">LN(B200/B199)</f>
        <v>-0.00829142552212436</v>
      </c>
      <c r="E200" s="22" t="n">
        <f aca="false">LN(C200/C199)</f>
        <v>-0.00323241827152629</v>
      </c>
      <c r="F200" s="22" t="n">
        <f aca="false">LN(Summary!$B$13*EXP(D200)+Summary!$B$14*EXP(E200))</f>
        <v>-0.00626475036242252</v>
      </c>
      <c r="G200" s="22" t="n">
        <f aca="false">EXP(F200)-1</f>
        <v>-0.00624516772864814</v>
      </c>
    </row>
    <row r="201" customFormat="false" ht="15" hidden="false" customHeight="false" outlineLevel="0" collapsed="false">
      <c r="A201" s="20" t="n">
        <v>44761</v>
      </c>
      <c r="B201" s="21" t="n">
        <v>370.91922</v>
      </c>
      <c r="C201" s="21" t="n">
        <v>87.791496</v>
      </c>
      <c r="D201" s="22" t="n">
        <f aca="false">LN(B201/B200)</f>
        <v>0.0266605992015549</v>
      </c>
      <c r="E201" s="22" t="n">
        <f aca="false">LN(C201/C200)</f>
        <v>-0.00137474593482727</v>
      </c>
      <c r="F201" s="22" t="n">
        <f aca="false">LN(Summary!$B$13*EXP(D201)+Summary!$B$14*EXP(E201))</f>
        <v>0.0155405998293083</v>
      </c>
      <c r="G201" s="22" t="n">
        <f aca="false">EXP(F201)-1</f>
        <v>0.0156619829243825</v>
      </c>
    </row>
    <row r="202" customFormat="false" ht="15" hidden="false" customHeight="false" outlineLevel="0" collapsed="false">
      <c r="A202" s="20" t="n">
        <v>44762</v>
      </c>
      <c r="B202" s="21" t="n">
        <v>373.283142</v>
      </c>
      <c r="C202" s="21" t="n">
        <v>87.731133</v>
      </c>
      <c r="D202" s="22" t="n">
        <f aca="false">LN(B202/B201)</f>
        <v>0.00635292246110405</v>
      </c>
      <c r="E202" s="22" t="n">
        <f aca="false">LN(C202/C201)</f>
        <v>-0.000687808776835438</v>
      </c>
      <c r="F202" s="22" t="n">
        <f aca="false">LN(Summary!$B$13*EXP(D202)+Summary!$B$14*EXP(E202))</f>
        <v>0.00354257579051349</v>
      </c>
      <c r="G202" s="22" t="n">
        <f aca="false">EXP(F202)-1</f>
        <v>0.00354885812849148</v>
      </c>
    </row>
    <row r="203" customFormat="false" ht="15" hidden="false" customHeight="false" outlineLevel="0" collapsed="false">
      <c r="A203" s="20" t="n">
        <v>44763</v>
      </c>
      <c r="B203" s="21" t="n">
        <v>377.08429</v>
      </c>
      <c r="C203" s="21" t="n">
        <v>88.464287</v>
      </c>
      <c r="D203" s="22" t="n">
        <f aca="false">LN(B203/B202)</f>
        <v>0.0101315178477915</v>
      </c>
      <c r="E203" s="22" t="n">
        <f aca="false">LN(C203/C202)</f>
        <v>0.00832210316655044</v>
      </c>
      <c r="F203" s="22" t="n">
        <f aca="false">LN(Summary!$B$13*EXP(D203)+Summary!$B$14*EXP(E203))</f>
        <v>0.00940814480563454</v>
      </c>
      <c r="G203" s="22" t="n">
        <f aca="false">EXP(F203)-1</f>
        <v>0.00945254051784872</v>
      </c>
    </row>
    <row r="204" customFormat="false" ht="15" hidden="false" customHeight="false" outlineLevel="0" collapsed="false">
      <c r="A204" s="20" t="n">
        <v>44764</v>
      </c>
      <c r="B204" s="21" t="n">
        <v>373.585724</v>
      </c>
      <c r="C204" s="21" t="n">
        <v>89.154335</v>
      </c>
      <c r="D204" s="22" t="n">
        <f aca="false">LN(B204/B203)</f>
        <v>-0.00932124972622637</v>
      </c>
      <c r="E204" s="22" t="n">
        <f aca="false">LN(C204/C203)</f>
        <v>0.00777003519046788</v>
      </c>
      <c r="F204" s="22" t="n">
        <f aca="false">LN(Summary!$B$13*EXP(D204)+Summary!$B$14*EXP(E204))</f>
        <v>-0.00244964275311839</v>
      </c>
      <c r="G204" s="22" t="n">
        <f aca="false">EXP(F204)-1</f>
        <v>-0.0024466448267586</v>
      </c>
    </row>
    <row r="205" customFormat="false" ht="15" hidden="false" customHeight="false" outlineLevel="0" collapsed="false">
      <c r="A205" s="20" t="n">
        <v>44767</v>
      </c>
      <c r="B205" s="21" t="n">
        <v>374.039612</v>
      </c>
      <c r="C205" s="21" t="n">
        <v>88.826576</v>
      </c>
      <c r="D205" s="22" t="n">
        <f aca="false">LN(B205/B204)</f>
        <v>0.00121421261134031</v>
      </c>
      <c r="E205" s="22" t="n">
        <f aca="false">LN(C205/C204)</f>
        <v>-0.00368308453603998</v>
      </c>
      <c r="F205" s="22" t="n">
        <f aca="false">LN(Summary!$B$13*EXP(D205)+Summary!$B$14*EXP(E205))</f>
        <v>-0.000741829167453977</v>
      </c>
      <c r="G205" s="22" t="n">
        <f aca="false">EXP(F205)-1</f>
        <v>-0.000741554080223916</v>
      </c>
    </row>
    <row r="206" customFormat="false" ht="15" hidden="false" customHeight="false" outlineLevel="0" collapsed="false">
      <c r="A206" s="20" t="n">
        <v>44768</v>
      </c>
      <c r="B206" s="21" t="n">
        <v>369.614349</v>
      </c>
      <c r="C206" s="21" t="n">
        <v>88.809311</v>
      </c>
      <c r="D206" s="22" t="n">
        <f aca="false">LN(B206/B205)</f>
        <v>-0.0119015441786144</v>
      </c>
      <c r="E206" s="22" t="n">
        <f aca="false">LN(C206/C205)</f>
        <v>-0.000194386397320438</v>
      </c>
      <c r="F206" s="22" t="n">
        <f aca="false">LN(Summary!$B$13*EXP(D206)+Summary!$B$14*EXP(E206))</f>
        <v>-0.00720222140728242</v>
      </c>
      <c r="G206" s="22" t="n">
        <f aca="false">EXP(F206)-1</f>
        <v>-0.00717634756432795</v>
      </c>
    </row>
    <row r="207" customFormat="false" ht="15" hidden="false" customHeight="false" outlineLevel="0" collapsed="false">
      <c r="A207" s="20" t="n">
        <v>44769</v>
      </c>
      <c r="B207" s="21" t="n">
        <v>379.211914</v>
      </c>
      <c r="C207" s="21" t="n">
        <v>89.119812</v>
      </c>
      <c r="D207" s="22" t="n">
        <f aca="false">LN(B207/B206)</f>
        <v>0.0256350265977966</v>
      </c>
      <c r="E207" s="22" t="n">
        <f aca="false">LN(C207/C206)</f>
        <v>0.00349016855651533</v>
      </c>
      <c r="F207" s="22" t="n">
        <f aca="false">LN(Summary!$B$13*EXP(D207)+Summary!$B$14*EXP(E207))</f>
        <v>0.0168358428179194</v>
      </c>
      <c r="G207" s="22" t="n">
        <f aca="false">EXP(F207)-1</f>
        <v>0.0169783643194141</v>
      </c>
    </row>
    <row r="208" customFormat="false" ht="15" hidden="false" customHeight="false" outlineLevel="0" collapsed="false">
      <c r="A208" s="20" t="n">
        <v>44770</v>
      </c>
      <c r="B208" s="21" t="n">
        <v>383.96817</v>
      </c>
      <c r="C208" s="21" t="n">
        <v>89.758102</v>
      </c>
      <c r="D208" s="22" t="n">
        <f aca="false">LN(B208/B207)</f>
        <v>0.0124644698634305</v>
      </c>
      <c r="E208" s="22" t="n">
        <f aca="false">LN(C208/C207)</f>
        <v>0.00713662961304075</v>
      </c>
      <c r="F208" s="22" t="n">
        <f aca="false">LN(Summary!$B$13*EXP(D208)+Summary!$B$14*EXP(E208))</f>
        <v>0.0103367388556571</v>
      </c>
      <c r="G208" s="22" t="n">
        <f aca="false">EXP(F208)-1</f>
        <v>0.0103903474943547</v>
      </c>
    </row>
    <row r="209" customFormat="false" ht="15" hidden="false" customHeight="false" outlineLevel="0" collapsed="false">
      <c r="A209" s="20" t="n">
        <v>44771</v>
      </c>
      <c r="B209" s="21" t="n">
        <v>389.565948</v>
      </c>
      <c r="C209" s="21" t="n">
        <v>89.766739</v>
      </c>
      <c r="D209" s="22" t="n">
        <f aca="false">LN(B209/B208)</f>
        <v>0.0144735069573872</v>
      </c>
      <c r="E209" s="22" t="n">
        <f aca="false">LN(C209/C208)</f>
        <v>9.62206673857965E-005</v>
      </c>
      <c r="F209" s="22" t="n">
        <f aca="false">LN(Summary!$B$13*EXP(D209)+Summary!$B$14*EXP(E209))</f>
        <v>0.00874737324216516</v>
      </c>
      <c r="G209" s="22" t="n">
        <f aca="false">EXP(F209)-1</f>
        <v>0.00878574330898108</v>
      </c>
    </row>
    <row r="210" customFormat="false" ht="15" hidden="false" customHeight="false" outlineLevel="0" collapsed="false">
      <c r="A210" s="20" t="n">
        <v>44774</v>
      </c>
      <c r="B210" s="21" t="n">
        <v>388.412231</v>
      </c>
      <c r="C210" s="21" t="n">
        <v>90.077866</v>
      </c>
      <c r="D210" s="22" t="n">
        <f aca="false">LN(B210/B209)</f>
        <v>-0.00296593883194415</v>
      </c>
      <c r="E210" s="22" t="n">
        <f aca="false">LN(C210/C209)</f>
        <v>0.00345995711556547</v>
      </c>
      <c r="F210" s="22" t="n">
        <f aca="false">LN(Summary!$B$13*EXP(D210)+Summary!$B$14*EXP(E210))</f>
        <v>-0.0003906232810914</v>
      </c>
      <c r="G210" s="22" t="n">
        <f aca="false">EXP(F210)-1</f>
        <v>-0.00039054699775054</v>
      </c>
    </row>
    <row r="211" customFormat="false" ht="15" hidden="false" customHeight="false" outlineLevel="0" collapsed="false">
      <c r="A211" s="20" t="n">
        <v>44775</v>
      </c>
      <c r="B211" s="21" t="n">
        <v>385.849792</v>
      </c>
      <c r="C211" s="21" t="n">
        <v>89.153145</v>
      </c>
      <c r="D211" s="22" t="n">
        <f aca="false">LN(B211/B210)</f>
        <v>-0.00661907281867209</v>
      </c>
      <c r="E211" s="22" t="n">
        <f aca="false">LN(C211/C210)</f>
        <v>-0.0103188527485864</v>
      </c>
      <c r="F211" s="22" t="n">
        <f aca="false">LN(Summary!$B$13*EXP(D211)+Summary!$B$14*EXP(E211))</f>
        <v>-0.00809734259202993</v>
      </c>
      <c r="G211" s="22" t="n">
        <f aca="false">EXP(F211)-1</f>
        <v>-0.00806464742101953</v>
      </c>
    </row>
    <row r="212" customFormat="false" ht="15" hidden="false" customHeight="false" outlineLevel="0" collapsed="false">
      <c r="A212" s="20" t="n">
        <v>44776</v>
      </c>
      <c r="B212" s="21" t="n">
        <v>391.892059</v>
      </c>
      <c r="C212" s="21" t="n">
        <v>89.550705</v>
      </c>
      <c r="D212" s="22" t="n">
        <f aca="false">LN(B212/B211)</f>
        <v>0.0155382883442635</v>
      </c>
      <c r="E212" s="22" t="n">
        <f aca="false">LN(C212/C211)</f>
        <v>0.00444937986365443</v>
      </c>
      <c r="F212" s="22" t="n">
        <f aca="false">LN(Summary!$B$13*EXP(D212)+Summary!$B$14*EXP(E212))</f>
        <v>0.0111174696442901</v>
      </c>
      <c r="G212" s="22" t="n">
        <f aca="false">EXP(F212)-1</f>
        <v>0.0111794983642868</v>
      </c>
    </row>
    <row r="213" customFormat="false" ht="15" hidden="false" customHeight="false" outlineLevel="0" collapsed="false">
      <c r="A213" s="20" t="n">
        <v>44777</v>
      </c>
      <c r="B213" s="21" t="n">
        <v>391.627228</v>
      </c>
      <c r="C213" s="21" t="n">
        <v>89.766747</v>
      </c>
      <c r="D213" s="22" t="n">
        <f aca="false">LN(B213/B212)</f>
        <v>-0.000676003806107269</v>
      </c>
      <c r="E213" s="22" t="n">
        <f aca="false">LN(C213/C212)</f>
        <v>0.00240960488923119</v>
      </c>
      <c r="F213" s="22" t="n">
        <f aca="false">LN(Summary!$B$13*EXP(D213)+Summary!$B$14*EXP(E213))</f>
        <v>0.000559382424375691</v>
      </c>
      <c r="G213" s="22" t="n">
        <f aca="false">EXP(F213)-1</f>
        <v>0.000559538907900725</v>
      </c>
    </row>
    <row r="214" customFormat="false" ht="15" hidden="false" customHeight="false" outlineLevel="0" collapsed="false">
      <c r="A214" s="20" t="n">
        <v>44778</v>
      </c>
      <c r="B214" s="21" t="n">
        <v>390.965363</v>
      </c>
      <c r="C214" s="21" t="n">
        <v>88.764252</v>
      </c>
      <c r="D214" s="22" t="n">
        <f aca="false">LN(B214/B213)</f>
        <v>-0.00169146798836271</v>
      </c>
      <c r="E214" s="22" t="n">
        <f aca="false">LN(C214/C213)</f>
        <v>-0.0112306046832996</v>
      </c>
      <c r="F214" s="22" t="n">
        <f aca="false">LN(Summary!$B$13*EXP(D214)+Summary!$B$14*EXP(E214))</f>
        <v>-0.00549621023136399</v>
      </c>
      <c r="G214" s="22" t="n">
        <f aca="false">EXP(F214)-1</f>
        <v>-0.00548113370181536</v>
      </c>
    </row>
    <row r="215" customFormat="false" ht="15" hidden="false" customHeight="false" outlineLevel="0" collapsed="false">
      <c r="A215" s="20" t="n">
        <v>44781</v>
      </c>
      <c r="B215" s="21" t="n">
        <v>390.511383</v>
      </c>
      <c r="C215" s="21" t="n">
        <v>89.170448</v>
      </c>
      <c r="D215" s="22" t="n">
        <f aca="false">LN(B215/B214)</f>
        <v>-0.00116185172084169</v>
      </c>
      <c r="E215" s="22" t="n">
        <f aca="false">LN(C215/C214)</f>
        <v>0.00456568286693509</v>
      </c>
      <c r="F215" s="22" t="n">
        <f aca="false">LN(Summary!$B$13*EXP(D215)+Summary!$B$14*EXP(E215))</f>
        <v>0.00113310017094204</v>
      </c>
      <c r="G215" s="22" t="n">
        <f aca="false">EXP(F215)-1</f>
        <v>0.00113374237147701</v>
      </c>
    </row>
    <row r="216" customFormat="false" ht="15" hidden="false" customHeight="false" outlineLevel="0" collapsed="false">
      <c r="A216" s="20" t="n">
        <v>44782</v>
      </c>
      <c r="B216" s="21" t="n">
        <v>388.960754</v>
      </c>
      <c r="C216" s="21" t="n">
        <v>88.971664</v>
      </c>
      <c r="D216" s="22" t="n">
        <f aca="false">LN(B216/B215)</f>
        <v>-0.00397866959422372</v>
      </c>
      <c r="E216" s="22" t="n">
        <f aca="false">LN(C216/C215)</f>
        <v>-0.00223174723006386</v>
      </c>
      <c r="F216" s="22" t="n">
        <f aca="false">LN(Summary!$B$13*EXP(D216)+Summary!$B$14*EXP(E216))</f>
        <v>-0.00327953439742205</v>
      </c>
      <c r="G216" s="22" t="n">
        <f aca="false">EXP(F216)-1</f>
        <v>-0.00327416259842783</v>
      </c>
    </row>
    <row r="217" customFormat="false" ht="15" hidden="false" customHeight="false" outlineLevel="0" collapsed="false">
      <c r="A217" s="20" t="n">
        <v>44783</v>
      </c>
      <c r="B217" s="21" t="n">
        <v>397.130463</v>
      </c>
      <c r="C217" s="21" t="n">
        <v>89.196335</v>
      </c>
      <c r="D217" s="22" t="n">
        <f aca="false">LN(B217/B216)</f>
        <v>0.0207863998003918</v>
      </c>
      <c r="E217" s="22" t="n">
        <f aca="false">LN(C217/C216)</f>
        <v>0.00252201428255389</v>
      </c>
      <c r="F217" s="22" t="n">
        <f aca="false">LN(Summary!$B$13*EXP(D217)+Summary!$B$14*EXP(E217))</f>
        <v>0.0135206268963534</v>
      </c>
      <c r="G217" s="22" t="n">
        <f aca="false">EXP(F217)-1</f>
        <v>0.0136124439134004</v>
      </c>
    </row>
    <row r="218" customFormat="false" ht="15" hidden="false" customHeight="false" outlineLevel="0" collapsed="false">
      <c r="A218" s="20" t="n">
        <v>44784</v>
      </c>
      <c r="B218" s="21" t="n">
        <v>397.130463</v>
      </c>
      <c r="C218" s="21" t="n">
        <v>88.721054</v>
      </c>
      <c r="D218" s="22" t="n">
        <f aca="false">LN(B218/B217)</f>
        <v>0</v>
      </c>
      <c r="E218" s="22" t="n">
        <f aca="false">LN(C218/C217)</f>
        <v>-0.00534272825422432</v>
      </c>
      <c r="F218" s="22" t="n">
        <f aca="false">LN(Summary!$B$13*EXP(D218)+Summary!$B$14*EXP(E218))</f>
        <v>-0.00213366715590234</v>
      </c>
      <c r="G218" s="22" t="n">
        <f aca="false">EXP(F218)-1</f>
        <v>-0.00213139250620564</v>
      </c>
    </row>
    <row r="219" customFormat="false" ht="15" hidden="false" customHeight="false" outlineLevel="0" collapsed="false">
      <c r="A219" s="20" t="n">
        <v>44785</v>
      </c>
      <c r="B219" s="21" t="n">
        <v>403.853485</v>
      </c>
      <c r="C219" s="21" t="n">
        <v>89.118584</v>
      </c>
      <c r="D219" s="22" t="n">
        <f aca="false">LN(B219/B218)</f>
        <v>0.0167873024236964</v>
      </c>
      <c r="E219" s="22" t="n">
        <f aca="false">LN(C219/C218)</f>
        <v>0.00447066431965858</v>
      </c>
      <c r="F219" s="22" t="n">
        <f aca="false">LN(Summary!$B$13*EXP(D219)+Summary!$B$14*EXP(E219))</f>
        <v>0.0118788360825113</v>
      </c>
      <c r="G219" s="22" t="n">
        <f aca="false">EXP(F219)-1</f>
        <v>0.0119496696514392</v>
      </c>
    </row>
    <row r="220" customFormat="false" ht="15" hidden="false" customHeight="false" outlineLevel="0" collapsed="false">
      <c r="A220" s="20" t="n">
        <v>44788</v>
      </c>
      <c r="B220" s="21" t="n">
        <v>405.51767</v>
      </c>
      <c r="C220" s="21" t="n">
        <v>89.230934</v>
      </c>
      <c r="D220" s="22" t="n">
        <f aca="false">LN(B220/B219)</f>
        <v>0.00411229714567821</v>
      </c>
      <c r="E220" s="22" t="n">
        <f aca="false">LN(C220/C219)</f>
        <v>0.00125988582555314</v>
      </c>
      <c r="F220" s="22" t="n">
        <f aca="false">LN(Summary!$B$13*EXP(D220)+Summary!$B$14*EXP(E220))</f>
        <v>0.0029723087817142</v>
      </c>
      <c r="G220" s="22" t="n">
        <f aca="false">EXP(F220)-1</f>
        <v>0.00297673047125135</v>
      </c>
    </row>
    <row r="221" customFormat="false" ht="15" hidden="false" customHeight="false" outlineLevel="0" collapsed="false">
      <c r="A221" s="20" t="n">
        <v>44789</v>
      </c>
      <c r="B221" s="21" t="n">
        <v>406.31192</v>
      </c>
      <c r="C221" s="21" t="n">
        <v>89.101303</v>
      </c>
      <c r="D221" s="22" t="n">
        <f aca="false">LN(B221/B220)</f>
        <v>0.00195669205259777</v>
      </c>
      <c r="E221" s="22" t="n">
        <f aca="false">LN(C221/C220)</f>
        <v>-0.00145381480110182</v>
      </c>
      <c r="F221" s="22" t="n">
        <f aca="false">LN(Summary!$B$13*EXP(D221)+Summary!$B$14*EXP(E221))</f>
        <v>0.00059388478000676</v>
      </c>
      <c r="G221" s="22" t="n">
        <f aca="false">EXP(F221)-1</f>
        <v>0.000594061164488346</v>
      </c>
    </row>
    <row r="222" customFormat="false" ht="15" hidden="false" customHeight="false" outlineLevel="0" collapsed="false">
      <c r="A222" s="20" t="n">
        <v>44790</v>
      </c>
      <c r="B222" s="21" t="n">
        <v>403.427917</v>
      </c>
      <c r="C222" s="21" t="n">
        <v>88.574112</v>
      </c>
      <c r="D222" s="22" t="n">
        <f aca="false">LN(B222/B221)</f>
        <v>-0.00712331310160732</v>
      </c>
      <c r="E222" s="22" t="n">
        <f aca="false">LN(C222/C221)</f>
        <v>-0.00593433308871165</v>
      </c>
      <c r="F222" s="22" t="n">
        <f aca="false">LN(Summary!$B$13*EXP(D222)+Summary!$B$14*EXP(E222))</f>
        <v>-0.00664755144219473</v>
      </c>
      <c r="G222" s="22" t="n">
        <f aca="false">EXP(F222)-1</f>
        <v>-0.00662550534999995</v>
      </c>
    </row>
    <row r="223" customFormat="false" ht="15" hidden="false" customHeight="false" outlineLevel="0" collapsed="false">
      <c r="A223" s="20" t="n">
        <v>44791</v>
      </c>
      <c r="B223" s="21" t="n">
        <v>404.600464</v>
      </c>
      <c r="C223" s="21" t="n">
        <v>88.764252</v>
      </c>
      <c r="D223" s="22" t="n">
        <f aca="false">LN(B223/B222)</f>
        <v>0.0029022441552885</v>
      </c>
      <c r="E223" s="22" t="n">
        <f aca="false">LN(C223/C222)</f>
        <v>0.00214437607940078</v>
      </c>
      <c r="F223" s="22" t="n">
        <f aca="false">LN(Summary!$B$13*EXP(D223)+Summary!$B$14*EXP(E223))</f>
        <v>0.00259916584513208</v>
      </c>
      <c r="G223" s="22" t="n">
        <f aca="false">EXP(F223)-1</f>
        <v>0.00260254660509474</v>
      </c>
    </row>
    <row r="224" customFormat="false" ht="15" hidden="false" customHeight="false" outlineLevel="0" collapsed="false">
      <c r="A224" s="20" t="n">
        <v>44792</v>
      </c>
      <c r="B224" s="21" t="n">
        <v>399.163452</v>
      </c>
      <c r="C224" s="21" t="n">
        <v>88.141998</v>
      </c>
      <c r="D224" s="22" t="n">
        <f aca="false">LN(B224/B223)</f>
        <v>-0.0135290844047983</v>
      </c>
      <c r="E224" s="22" t="n">
        <f aca="false">LN(C224/C223)</f>
        <v>-0.00703487373960491</v>
      </c>
      <c r="F224" s="22" t="n">
        <f aca="false">LN(Summary!$B$13*EXP(D224)+Summary!$B$14*EXP(E224))</f>
        <v>-0.0109263369827615</v>
      </c>
      <c r="G224" s="22" t="n">
        <f aca="false">EXP(F224)-1</f>
        <v>-0.0108668613767607</v>
      </c>
    </row>
    <row r="225" customFormat="false" ht="15" hidden="false" customHeight="false" outlineLevel="0" collapsed="false">
      <c r="A225" s="20" t="n">
        <v>44795</v>
      </c>
      <c r="B225" s="21" t="n">
        <v>390.851929</v>
      </c>
      <c r="C225" s="21" t="n">
        <v>87.76178</v>
      </c>
      <c r="D225" s="22" t="n">
        <f aca="false">LN(B225/B224)</f>
        <v>-0.0210421970884835</v>
      </c>
      <c r="E225" s="22" t="n">
        <f aca="false">LN(C225/C224)</f>
        <v>-0.00432302928871064</v>
      </c>
      <c r="F225" s="22" t="n">
        <f aca="false">LN(Summary!$B$13*EXP(D225)+Summary!$B$14*EXP(E225))</f>
        <v>-0.0143209492565775</v>
      </c>
      <c r="G225" s="22" t="n">
        <f aca="false">EXP(F225)-1</f>
        <v>-0.0142188922281375</v>
      </c>
    </row>
    <row r="226" customFormat="false" ht="15" hidden="false" customHeight="false" outlineLevel="0" collapsed="false">
      <c r="A226" s="20" t="n">
        <v>44796</v>
      </c>
      <c r="B226" s="21" t="n">
        <v>389.906311</v>
      </c>
      <c r="C226" s="21" t="n">
        <v>87.727196</v>
      </c>
      <c r="D226" s="22" t="n">
        <f aca="false">LN(B226/B225)</f>
        <v>-0.00242230799222487</v>
      </c>
      <c r="E226" s="22" t="n">
        <f aca="false">LN(C226/C225)</f>
        <v>-0.00039414442133063</v>
      </c>
      <c r="F226" s="22" t="n">
        <f aca="false">LN(Summary!$B$13*EXP(D226)+Summary!$B$14*EXP(E226))</f>
        <v>-0.00161054888350326</v>
      </c>
      <c r="G226" s="22" t="n">
        <f aca="false">EXP(F226)-1</f>
        <v>-0.00160925264562839</v>
      </c>
    </row>
    <row r="227" customFormat="false" ht="15" hidden="false" customHeight="false" outlineLevel="0" collapsed="false">
      <c r="A227" s="20" t="n">
        <v>44797</v>
      </c>
      <c r="B227" s="21" t="n">
        <v>391.154449</v>
      </c>
      <c r="C227" s="21" t="n">
        <v>87.493866</v>
      </c>
      <c r="D227" s="22" t="n">
        <f aca="false">LN(B227/B226)</f>
        <v>0.0031960101603959</v>
      </c>
      <c r="E227" s="22" t="n">
        <f aca="false">LN(C227/C226)</f>
        <v>-0.00266326587972834</v>
      </c>
      <c r="F227" s="22" t="n">
        <f aca="false">LN(Summary!$B$13*EXP(D227)+Summary!$B$14*EXP(E227))</f>
        <v>0.000856417863807306</v>
      </c>
      <c r="G227" s="22" t="n">
        <f aca="false">EXP(F227)-1</f>
        <v>0.000856784694298618</v>
      </c>
    </row>
    <row r="228" customFormat="false" ht="15" hidden="false" customHeight="false" outlineLevel="0" collapsed="false">
      <c r="A228" s="20" t="n">
        <v>44798</v>
      </c>
      <c r="B228" s="21" t="n">
        <v>396.676575</v>
      </c>
      <c r="C228" s="21" t="n">
        <v>87.977829</v>
      </c>
      <c r="D228" s="22" t="n">
        <f aca="false">LN(B228/B227)</f>
        <v>0.0140187838975495</v>
      </c>
      <c r="E228" s="22" t="n">
        <f aca="false">LN(C228/C227)</f>
        <v>0.00551615150426748</v>
      </c>
      <c r="F228" s="22" t="n">
        <f aca="false">LN(Summary!$B$13*EXP(D228)+Summary!$B$14*EXP(E228))</f>
        <v>0.0106264013706212</v>
      </c>
      <c r="G228" s="22" t="n">
        <f aca="false">EXP(F228)-1</f>
        <v>0.0106830620956826</v>
      </c>
    </row>
    <row r="229" customFormat="false" ht="15" hidden="false" customHeight="false" outlineLevel="0" collapsed="false">
      <c r="A229" s="20" t="n">
        <v>44799</v>
      </c>
      <c r="B229" s="21" t="n">
        <v>383.249542</v>
      </c>
      <c r="C229" s="21" t="n">
        <v>87.813614</v>
      </c>
      <c r="D229" s="22" t="n">
        <f aca="false">LN(B229/B228)</f>
        <v>-0.0344349534082832</v>
      </c>
      <c r="E229" s="22" t="n">
        <f aca="false">LN(C229/C228)</f>
        <v>-0.00186829398477996</v>
      </c>
      <c r="F229" s="22" t="n">
        <f aca="false">LN(Summary!$B$13*EXP(D229)+Summary!$B$14*EXP(E229))</f>
        <v>-0.0212807478204581</v>
      </c>
      <c r="G229" s="22" t="n">
        <f aca="false">EXP(F229)-1</f>
        <v>-0.0210559104335101</v>
      </c>
    </row>
    <row r="230" customFormat="false" ht="15" hidden="false" customHeight="false" outlineLevel="0" collapsed="false">
      <c r="A230" s="20" t="n">
        <v>44802</v>
      </c>
      <c r="B230" s="21" t="n">
        <v>380.715363</v>
      </c>
      <c r="C230" s="21" t="n">
        <v>87.390121</v>
      </c>
      <c r="D230" s="22" t="n">
        <f aca="false">LN(B230/B229)</f>
        <v>-0.00663430552465351</v>
      </c>
      <c r="E230" s="22" t="n">
        <f aca="false">LN(C230/C229)</f>
        <v>-0.00483430133231887</v>
      </c>
      <c r="F230" s="22" t="n">
        <f aca="false">LN(Summary!$B$13*EXP(D230)+Summary!$B$14*EXP(E230))</f>
        <v>-0.00591391499929844</v>
      </c>
      <c r="G230" s="22" t="n">
        <f aca="false">EXP(F230)-1</f>
        <v>-0.00589646222567775</v>
      </c>
    </row>
    <row r="231" customFormat="false" ht="15" hidden="false" customHeight="false" outlineLevel="0" collapsed="false">
      <c r="A231" s="20" t="n">
        <v>44803</v>
      </c>
      <c r="B231" s="21" t="n">
        <v>376.535889</v>
      </c>
      <c r="C231" s="21" t="n">
        <v>87.502495</v>
      </c>
      <c r="D231" s="22" t="n">
        <f aca="false">LN(B231/B230)</f>
        <v>-0.0110386517779646</v>
      </c>
      <c r="E231" s="22" t="n">
        <f aca="false">LN(C231/C230)</f>
        <v>0.00128506300648403</v>
      </c>
      <c r="F231" s="22" t="n">
        <f aca="false">LN(Summary!$B$13*EXP(D231)+Summary!$B$14*EXP(E231))</f>
        <v>-0.00609092611914704</v>
      </c>
      <c r="G231" s="22" t="n">
        <f aca="false">EXP(F231)-1</f>
        <v>-0.00607241403297198</v>
      </c>
    </row>
    <row r="232" customFormat="false" ht="15" hidden="false" customHeight="false" outlineLevel="0" collapsed="false">
      <c r="A232" s="20" t="n">
        <v>44804</v>
      </c>
      <c r="B232" s="21" t="n">
        <v>373.670868</v>
      </c>
      <c r="C232" s="21" t="n">
        <v>87.035805</v>
      </c>
      <c r="D232" s="22" t="n">
        <f aca="false">LN(B232/B231)</f>
        <v>-0.00763798753278849</v>
      </c>
      <c r="E232" s="22" t="n">
        <f aca="false">LN(C232/C231)</f>
        <v>-0.00534772152821934</v>
      </c>
      <c r="F232" s="22" t="n">
        <f aca="false">LN(Summary!$B$13*EXP(D232)+Summary!$B$14*EXP(E232))</f>
        <v>-0.00672125159677198</v>
      </c>
      <c r="G232" s="22" t="n">
        <f aca="false">EXP(F232)-1</f>
        <v>-0.00669871450601256</v>
      </c>
    </row>
    <row r="233" customFormat="false" ht="15" hidden="false" customHeight="false" outlineLevel="0" collapsed="false">
      <c r="A233" s="20" t="n">
        <v>44805</v>
      </c>
      <c r="B233" s="21" t="n">
        <v>374.843384</v>
      </c>
      <c r="C233" s="21" t="n">
        <v>86.658241</v>
      </c>
      <c r="D233" s="22" t="n">
        <f aca="false">LN(B233/B232)</f>
        <v>0.00313291819335311</v>
      </c>
      <c r="E233" s="22" t="n">
        <f aca="false">LN(C233/C232)</f>
        <v>-0.00434746732398602</v>
      </c>
      <c r="F233" s="22" t="n">
        <f aca="false">LN(Summary!$B$13*EXP(D233)+Summary!$B$14*EXP(E233))</f>
        <v>0.00014747536416714</v>
      </c>
      <c r="G233" s="22" t="n">
        <f aca="false">EXP(F233)-1</f>
        <v>0.000147486239193251</v>
      </c>
    </row>
    <row r="234" customFormat="false" ht="15" hidden="false" customHeight="false" outlineLevel="0" collapsed="false">
      <c r="A234" s="20" t="n">
        <v>44806</v>
      </c>
      <c r="B234" s="21" t="n">
        <v>370.8909</v>
      </c>
      <c r="C234" s="21" t="n">
        <v>86.909378</v>
      </c>
      <c r="D234" s="22" t="n">
        <f aca="false">LN(B234/B233)</f>
        <v>-0.0106003467872679</v>
      </c>
      <c r="E234" s="22" t="n">
        <f aca="false">LN(C234/C233)</f>
        <v>0.0028938252043019</v>
      </c>
      <c r="F234" s="22" t="n">
        <f aca="false">LN(Summary!$B$13*EXP(D234)+Summary!$B$14*EXP(E234))</f>
        <v>-0.0051808073580213</v>
      </c>
      <c r="G234" s="22" t="n">
        <f aca="false">EXP(F234)-1</f>
        <v>-0.00516741012173283</v>
      </c>
    </row>
    <row r="235" customFormat="false" ht="15" hidden="false" customHeight="false" outlineLevel="0" collapsed="false">
      <c r="A235" s="20" t="n">
        <v>44810</v>
      </c>
      <c r="B235" s="21" t="n">
        <v>369.491486</v>
      </c>
      <c r="C235" s="21" t="n">
        <v>86.09536</v>
      </c>
      <c r="D235" s="22" t="n">
        <f aca="false">LN(B235/B234)</f>
        <v>-0.00378025110528011</v>
      </c>
      <c r="E235" s="22" t="n">
        <f aca="false">LN(C235/C234)</f>
        <v>-0.00941042443795513</v>
      </c>
      <c r="F235" s="22" t="n">
        <f aca="false">LN(Summary!$B$13*EXP(D235)+Summary!$B$14*EXP(E235))</f>
        <v>-0.00602851800831662</v>
      </c>
      <c r="G235" s="22" t="n">
        <f aca="false">EXP(F235)-1</f>
        <v>-0.00601038295442846</v>
      </c>
    </row>
    <row r="236" customFormat="false" ht="15" hidden="false" customHeight="false" outlineLevel="0" collapsed="false">
      <c r="A236" s="20" t="n">
        <v>44811</v>
      </c>
      <c r="B236" s="21" t="n">
        <v>376.129364</v>
      </c>
      <c r="C236" s="21" t="n">
        <v>86.692879</v>
      </c>
      <c r="D236" s="22" t="n">
        <f aca="false">LN(B236/B235)</f>
        <v>0.017805439234449</v>
      </c>
      <c r="E236" s="22" t="n">
        <f aca="false">LN(C236/C235)</f>
        <v>0.00691622746173724</v>
      </c>
      <c r="F236" s="22" t="n">
        <f aca="false">LN(Summary!$B$13*EXP(D236)+Summary!$B$14*EXP(E236))</f>
        <v>0.013463973126079</v>
      </c>
      <c r="G236" s="22" t="n">
        <f aca="false">EXP(F236)-1</f>
        <v>0.0135550205734953</v>
      </c>
    </row>
    <row r="237" customFormat="false" ht="15" hidden="false" customHeight="false" outlineLevel="0" collapsed="false">
      <c r="A237" s="20" t="n">
        <v>44812</v>
      </c>
      <c r="B237" s="21" t="n">
        <v>378.58783</v>
      </c>
      <c r="C237" s="21" t="n">
        <v>86.415779</v>
      </c>
      <c r="D237" s="22" t="n">
        <f aca="false">LN(B237/B236)</f>
        <v>0.0065149561061195</v>
      </c>
      <c r="E237" s="22" t="n">
        <f aca="false">LN(C237/C236)</f>
        <v>-0.00320146016815025</v>
      </c>
      <c r="F237" s="22" t="n">
        <f aca="false">LN(Summary!$B$13*EXP(D237)+Summary!$B$14*EXP(E237))</f>
        <v>0.00263971126816798</v>
      </c>
      <c r="G237" s="22" t="n">
        <f aca="false">EXP(F237)-1</f>
        <v>0.00264319837359972</v>
      </c>
    </row>
    <row r="238" customFormat="false" ht="15" hidden="false" customHeight="false" outlineLevel="0" collapsed="false">
      <c r="A238" s="20" t="n">
        <v>44813</v>
      </c>
      <c r="B238" s="21" t="n">
        <v>384.469269</v>
      </c>
      <c r="C238" s="21" t="n">
        <v>86.407097</v>
      </c>
      <c r="D238" s="22" t="n">
        <f aca="false">LN(B238/B237)</f>
        <v>0.01541576765941</v>
      </c>
      <c r="E238" s="22" t="n">
        <f aca="false">LN(C238/C237)</f>
        <v>-0.000100472810177226</v>
      </c>
      <c r="F238" s="22" t="n">
        <f aca="false">LN(Summary!$B$13*EXP(D238)+Summary!$B$14*EXP(E238))</f>
        <v>0.0092381317786768</v>
      </c>
      <c r="G238" s="22" t="n">
        <f aca="false">EXP(F238)-1</f>
        <v>0.00928093502386318</v>
      </c>
    </row>
    <row r="239" customFormat="false" ht="15" hidden="false" customHeight="false" outlineLevel="0" collapsed="false">
      <c r="A239" s="20" t="n">
        <v>44816</v>
      </c>
      <c r="B239" s="21" t="n">
        <v>388.60141</v>
      </c>
      <c r="C239" s="21" t="n">
        <v>86.277214</v>
      </c>
      <c r="D239" s="22" t="n">
        <f aca="false">LN(B239/B238)</f>
        <v>0.0106903041722467</v>
      </c>
      <c r="E239" s="22" t="n">
        <f aca="false">LN(C239/C238)</f>
        <v>-0.00150428285858956</v>
      </c>
      <c r="F239" s="22" t="n">
        <f aca="false">LN(Summary!$B$13*EXP(D239)+Summary!$B$14*EXP(E239))</f>
        <v>0.00583029970969959</v>
      </c>
      <c r="G239" s="22" t="n">
        <f aca="false">EXP(F239)-1</f>
        <v>0.0058473289862282</v>
      </c>
    </row>
    <row r="240" customFormat="false" ht="15" hidden="false" customHeight="false" outlineLevel="0" collapsed="false">
      <c r="A240" s="20" t="n">
        <v>44817</v>
      </c>
      <c r="B240" s="21" t="n">
        <v>371.704102</v>
      </c>
      <c r="C240" s="21" t="n">
        <v>85.792282</v>
      </c>
      <c r="D240" s="22" t="n">
        <f aca="false">LN(B240/B239)</f>
        <v>-0.0444560523225759</v>
      </c>
      <c r="E240" s="22" t="n">
        <f aca="false">LN(C240/C239)</f>
        <v>-0.00563648171380485</v>
      </c>
      <c r="F240" s="22" t="n">
        <f aca="false">LN(Summary!$B$13*EXP(D240)+Summary!$B$14*EXP(E240))</f>
        <v>-0.0287469310531126</v>
      </c>
      <c r="G240" s="22" t="n">
        <f aca="false">EXP(F240)-1</f>
        <v>-0.0283376690824738</v>
      </c>
    </row>
    <row r="241" customFormat="false" ht="15" hidden="false" customHeight="false" outlineLevel="0" collapsed="false">
      <c r="A241" s="20" t="n">
        <v>44818</v>
      </c>
      <c r="B241" s="21" t="n">
        <v>373.122498</v>
      </c>
      <c r="C241" s="21" t="n">
        <v>85.904854</v>
      </c>
      <c r="D241" s="22" t="n">
        <f aca="false">LN(B241/B240)</f>
        <v>0.00380866557288937</v>
      </c>
      <c r="E241" s="22" t="n">
        <f aca="false">LN(C241/C240)</f>
        <v>0.00131128589274023</v>
      </c>
      <c r="F241" s="22" t="n">
        <f aca="false">LN(Summary!$B$13*EXP(D241)+Summary!$B$14*EXP(E241))</f>
        <v>0.00281046200468338</v>
      </c>
      <c r="G241" s="22" t="n">
        <f aca="false">EXP(F241)-1</f>
        <v>0.00281441505545543</v>
      </c>
    </row>
    <row r="242" customFormat="false" ht="15" hidden="false" customHeight="false" outlineLevel="0" collapsed="false">
      <c r="A242" s="20" t="n">
        <v>44819</v>
      </c>
      <c r="B242" s="21" t="n">
        <v>368.88623</v>
      </c>
      <c r="C242" s="21" t="n">
        <v>85.645058</v>
      </c>
      <c r="D242" s="22" t="n">
        <f aca="false">LN(B242/B241)</f>
        <v>-0.0114185018797332</v>
      </c>
      <c r="E242" s="22" t="n">
        <f aca="false">LN(C242/C241)</f>
        <v>-0.00302881179685509</v>
      </c>
      <c r="F242" s="22" t="n">
        <f aca="false">LN(Summary!$B$13*EXP(D242)+Summary!$B$14*EXP(E242))</f>
        <v>-0.00805417471625551</v>
      </c>
      <c r="G242" s="22" t="n">
        <f aca="false">EXP(F242)-1</f>
        <v>-0.00802182675471119</v>
      </c>
    </row>
    <row r="243" customFormat="false" ht="15" hidden="false" customHeight="false" outlineLevel="0" collapsed="false">
      <c r="A243" s="20" t="n">
        <v>44820</v>
      </c>
      <c r="B243" s="21" t="n">
        <v>366.072083</v>
      </c>
      <c r="C243" s="21" t="n">
        <v>85.584412</v>
      </c>
      <c r="D243" s="22" t="n">
        <f aca="false">LN(B243/B242)</f>
        <v>-0.00765801461994348</v>
      </c>
      <c r="E243" s="22" t="n">
        <f aca="false">LN(C243/C242)</f>
        <v>-0.000708359402571074</v>
      </c>
      <c r="F243" s="22" t="n">
        <f aca="false">LN(Summary!$B$13*EXP(D243)+Summary!$B$14*EXP(E243))</f>
        <v>-0.00487235413313426</v>
      </c>
      <c r="G243" s="22" t="n">
        <f aca="false">EXP(F243)-1</f>
        <v>-0.00486050347042233</v>
      </c>
    </row>
    <row r="244" customFormat="false" ht="15" hidden="false" customHeight="false" outlineLevel="0" collapsed="false">
      <c r="A244" s="20" t="n">
        <v>44823</v>
      </c>
      <c r="B244" s="21" t="n">
        <v>368.91095</v>
      </c>
      <c r="C244" s="21" t="n">
        <v>85.454536</v>
      </c>
      <c r="D244" s="22" t="n">
        <f aca="false">LN(B244/B243)</f>
        <v>0.00772502490591195</v>
      </c>
      <c r="E244" s="22" t="n">
        <f aca="false">LN(C244/C243)</f>
        <v>-0.00151867193385427</v>
      </c>
      <c r="F244" s="22" t="n">
        <f aca="false">LN(Summary!$B$13*EXP(D244)+Summary!$B$14*EXP(E244))</f>
        <v>0.00403779333099338</v>
      </c>
      <c r="G244" s="22" t="n">
        <f aca="false">EXP(F244)-1</f>
        <v>0.00404595620144876</v>
      </c>
    </row>
    <row r="245" customFormat="false" ht="15" hidden="false" customHeight="false" outlineLevel="0" collapsed="false">
      <c r="A245" s="20" t="n">
        <v>44824</v>
      </c>
      <c r="B245" s="21" t="n">
        <v>364.676361</v>
      </c>
      <c r="C245" s="21" t="n">
        <v>85.073479</v>
      </c>
      <c r="D245" s="22" t="n">
        <f aca="false">LN(B245/B244)</f>
        <v>-0.0115450089474515</v>
      </c>
      <c r="E245" s="22" t="n">
        <f aca="false">LN(C245/C244)</f>
        <v>-0.00446914994286388</v>
      </c>
      <c r="F245" s="22" t="n">
        <f aca="false">LN(Summary!$B$13*EXP(D245)+Summary!$B$14*EXP(E245))</f>
        <v>-0.00870865438880075</v>
      </c>
      <c r="G245" s="22" t="n">
        <f aca="false">EXP(F245)-1</f>
        <v>-0.00867084389727846</v>
      </c>
    </row>
    <row r="246" customFormat="false" ht="15" hidden="false" customHeight="false" outlineLevel="0" collapsed="false">
      <c r="A246" s="20" t="n">
        <v>44825</v>
      </c>
      <c r="B246" s="21" t="n">
        <v>358.314972</v>
      </c>
      <c r="C246" s="21" t="n">
        <v>85.341957</v>
      </c>
      <c r="D246" s="22" t="n">
        <f aca="false">LN(B246/B245)</f>
        <v>-0.0175978684049703</v>
      </c>
      <c r="E246" s="22" t="n">
        <f aca="false">LN(C246/C245)</f>
        <v>0.00315086741461596</v>
      </c>
      <c r="F246" s="22" t="n">
        <f aca="false">LN(Summary!$B$13*EXP(D246)+Summary!$B$14*EXP(E246))</f>
        <v>-0.00924664223061402</v>
      </c>
      <c r="G246" s="22" t="n">
        <f aca="false">EXP(F246)-1</f>
        <v>-0.00920402349556615</v>
      </c>
    </row>
    <row r="247" customFormat="false" ht="15" hidden="false" customHeight="false" outlineLevel="0" collapsed="false">
      <c r="A247" s="20" t="n">
        <v>44826</v>
      </c>
      <c r="B247" s="21" t="n">
        <v>355.305237</v>
      </c>
      <c r="C247" s="21" t="n">
        <v>84.432701</v>
      </c>
      <c r="D247" s="22" t="n">
        <f aca="false">LN(B247/B246)</f>
        <v>-0.00843516707557774</v>
      </c>
      <c r="E247" s="22" t="n">
        <f aca="false">LN(C247/C246)</f>
        <v>-0.0107114301309594</v>
      </c>
      <c r="F247" s="22" t="n">
        <f aca="false">LN(Summary!$B$13*EXP(D247)+Summary!$B$14*EXP(E247))</f>
        <v>-0.00934505062738215</v>
      </c>
      <c r="G247" s="22" t="n">
        <f aca="false">EXP(F247)-1</f>
        <v>-0.00930152134175621</v>
      </c>
    </row>
    <row r="248" customFormat="false" ht="15" hidden="false" customHeight="false" outlineLevel="0" collapsed="false">
      <c r="A248" s="20" t="n">
        <v>44827</v>
      </c>
      <c r="B248" s="21" t="n">
        <v>349.352112</v>
      </c>
      <c r="C248" s="21" t="n">
        <v>84.17289</v>
      </c>
      <c r="D248" s="22" t="n">
        <f aca="false">LN(B248/B247)</f>
        <v>-0.0168969120817005</v>
      </c>
      <c r="E248" s="22" t="n">
        <f aca="false">LN(C248/C247)</f>
        <v>-0.0030818812602745</v>
      </c>
      <c r="F248" s="22" t="n">
        <f aca="false">LN(Summary!$B$13*EXP(D248)+Summary!$B$14*EXP(E248))</f>
        <v>-0.0113479762112381</v>
      </c>
      <c r="G248" s="22" t="n">
        <f aca="false">EXP(F248)-1</f>
        <v>-0.0112838307986805</v>
      </c>
    </row>
    <row r="249" customFormat="false" ht="15" hidden="false" customHeight="false" outlineLevel="0" collapsed="false">
      <c r="A249" s="20" t="n">
        <v>44830</v>
      </c>
      <c r="B249" s="21" t="n">
        <v>345.896179</v>
      </c>
      <c r="C249" s="21" t="n">
        <v>83.090424</v>
      </c>
      <c r="D249" s="22" t="n">
        <f aca="false">LN(B249/B248)</f>
        <v>-0.00994166115641606</v>
      </c>
      <c r="E249" s="22" t="n">
        <f aca="false">LN(C249/C248)</f>
        <v>-0.0129434373435536</v>
      </c>
      <c r="F249" s="22" t="n">
        <f aca="false">LN(Summary!$B$13*EXP(D249)+Summary!$B$14*EXP(E249))</f>
        <v>-0.0111412905687786</v>
      </c>
      <c r="G249" s="22" t="n">
        <f aca="false">EXP(F249)-1</f>
        <v>-0.0110794562421233</v>
      </c>
    </row>
    <row r="250" customFormat="false" ht="15" hidden="false" customHeight="false" outlineLevel="0" collapsed="false">
      <c r="A250" s="20" t="n">
        <v>44831</v>
      </c>
      <c r="B250" s="21" t="n">
        <v>345.013153</v>
      </c>
      <c r="C250" s="21" t="n">
        <v>82.735397</v>
      </c>
      <c r="D250" s="22" t="n">
        <f aca="false">LN(B250/B249)</f>
        <v>-0.0025561283945499</v>
      </c>
      <c r="E250" s="22" t="n">
        <f aca="false">LN(C250/C249)</f>
        <v>-0.00428193317915268</v>
      </c>
      <c r="F250" s="22" t="n">
        <f aca="false">LN(Summary!$B$13*EXP(D250)+Summary!$B$14*EXP(E250))</f>
        <v>-0.0032460929412927</v>
      </c>
      <c r="G250" s="22" t="n">
        <f aca="false">EXP(F250)-1</f>
        <v>-0.00324083007772247</v>
      </c>
    </row>
    <row r="251" customFormat="false" ht="15" hidden="false" customHeight="false" outlineLevel="0" collapsed="false">
      <c r="A251" s="20" t="n">
        <v>44832</v>
      </c>
      <c r="B251" s="21" t="n">
        <v>351.801758</v>
      </c>
      <c r="C251" s="21" t="n">
        <v>84.068985</v>
      </c>
      <c r="D251" s="22" t="n">
        <f aca="false">LN(B251/B250)</f>
        <v>0.0194852885061326</v>
      </c>
      <c r="E251" s="22" t="n">
        <f aca="false">LN(C251/C250)</f>
        <v>0.015990184416863</v>
      </c>
      <c r="F251" s="22" t="n">
        <f aca="false">LN(Summary!$B$13*EXP(D251)+Summary!$B$14*EXP(E251))</f>
        <v>0.0180887124185173</v>
      </c>
      <c r="G251" s="22" t="n">
        <f aca="false">EXP(F251)-1</f>
        <v>0.0182533040964095</v>
      </c>
    </row>
    <row r="252" customFormat="false" ht="15" hidden="false" customHeight="false" outlineLevel="0" collapsed="false">
      <c r="A252" s="20" t="n">
        <v>44833</v>
      </c>
      <c r="B252" s="21" t="n">
        <v>344.453033</v>
      </c>
      <c r="C252" s="21" t="n">
        <v>83.627319</v>
      </c>
      <c r="D252" s="22" t="n">
        <f aca="false">LN(B252/B251)</f>
        <v>-0.0211100821061605</v>
      </c>
      <c r="E252" s="22" t="n">
        <f aca="false">LN(C252/C251)</f>
        <v>-0.00526746279644866</v>
      </c>
      <c r="F252" s="22" t="n">
        <f aca="false">LN(Summary!$B$13*EXP(D252)+Summary!$B$14*EXP(E252))</f>
        <v>-0.0147428842192775</v>
      </c>
      <c r="G252" s="22" t="n">
        <f aca="false">EXP(F252)-1</f>
        <v>-0.0146347400065479</v>
      </c>
    </row>
    <row r="253" customFormat="false" ht="15" hidden="false" customHeight="false" outlineLevel="0" collapsed="false">
      <c r="A253" s="20" t="n">
        <v>44834</v>
      </c>
      <c r="B253" s="21" t="n">
        <v>339.126526</v>
      </c>
      <c r="C253" s="21" t="n">
        <v>83.428146</v>
      </c>
      <c r="D253" s="22" t="n">
        <f aca="false">LN(B253/B252)</f>
        <v>-0.0155844765576135</v>
      </c>
      <c r="E253" s="22" t="n">
        <f aca="false">LN(C253/C252)</f>
        <v>-0.00238451456075739</v>
      </c>
      <c r="F253" s="22" t="n">
        <f aca="false">LN(Summary!$B$13*EXP(D253)+Summary!$B$14*EXP(E253))</f>
        <v>-0.0102835648135605</v>
      </c>
      <c r="G253" s="22" t="n">
        <f aca="false">EXP(F253)-1</f>
        <v>-0.0102308697466564</v>
      </c>
    </row>
    <row r="254" customFormat="false" ht="15" hidden="false" customHeight="false" outlineLevel="0" collapsed="false">
      <c r="A254" s="20" t="n">
        <v>44837</v>
      </c>
      <c r="B254" s="21" t="n">
        <v>348.079803</v>
      </c>
      <c r="C254" s="21" t="n">
        <v>84.10598</v>
      </c>
      <c r="D254" s="22" t="n">
        <f aca="false">LN(B254/B253)</f>
        <v>0.0260585016657429</v>
      </c>
      <c r="E254" s="22" t="n">
        <f aca="false">LN(C254/C253)</f>
        <v>0.00809193583255638</v>
      </c>
      <c r="F254" s="22" t="n">
        <f aca="false">LN(Summary!$B$13*EXP(D254)+Summary!$B$14*EXP(E254))</f>
        <v>0.018910564177454</v>
      </c>
      <c r="G254" s="22" t="n">
        <f aca="false">EXP(F254)-1</f>
        <v>0.0190905013443166</v>
      </c>
      <c r="H254" s="21" t="n">
        <f aca="false">EXP(SUM(F3:F254))-1</f>
        <v>-0.137058697713882</v>
      </c>
    </row>
    <row r="255" customFormat="false" ht="15" hidden="false" customHeight="false" outlineLevel="0" collapsed="false">
      <c r="A255" s="20" t="n">
        <v>44838</v>
      </c>
      <c r="B255" s="21" t="n">
        <v>358.865692</v>
      </c>
      <c r="C255" s="21" t="n">
        <v>84.331604</v>
      </c>
      <c r="D255" s="22" t="n">
        <f aca="false">LN(B255/B254)</f>
        <v>0.030516429046998</v>
      </c>
      <c r="E255" s="22" t="n">
        <f aca="false">LN(C255/C254)</f>
        <v>0.00267902364290724</v>
      </c>
      <c r="F255" s="22" t="n">
        <f aca="false">LN(Summary!$B$13*EXP(D255)+Summary!$B$14*EXP(E255))</f>
        <v>0.0194742822182342</v>
      </c>
      <c r="G255" s="22" t="n">
        <f aca="false">EXP(F255)-1</f>
        <v>0.0196651429978283</v>
      </c>
      <c r="H255" s="21" t="n">
        <f aca="false">EXP(SUM(F4:F255))-1</f>
        <v>-0.112978619618801</v>
      </c>
    </row>
    <row r="256" customFormat="false" ht="15" hidden="false" customHeight="false" outlineLevel="0" collapsed="false">
      <c r="A256" s="20" t="n">
        <v>44839</v>
      </c>
      <c r="B256" s="21" t="n">
        <v>358.030151</v>
      </c>
      <c r="C256" s="21" t="n">
        <v>83.888985</v>
      </c>
      <c r="D256" s="22" t="n">
        <f aca="false">LN(B256/B255)</f>
        <v>-0.00233099797268479</v>
      </c>
      <c r="E256" s="22" t="n">
        <f aca="false">LN(C256/C255)</f>
        <v>-0.00526237631279401</v>
      </c>
      <c r="F256" s="22" t="n">
        <f aca="false">LN(Summary!$B$13*EXP(D256)+Summary!$B$14*EXP(E256))</f>
        <v>-0.00350251835309069</v>
      </c>
      <c r="G256" s="22" t="n">
        <f aca="false">EXP(F256)-1</f>
        <v>-0.00349639169068694</v>
      </c>
      <c r="H256" s="21" t="n">
        <f aca="false">EXP(SUM(F5:F256))-1</f>
        <v>-0.120742824726666</v>
      </c>
    </row>
    <row r="257" customFormat="false" ht="15" hidden="false" customHeight="false" outlineLevel="0" collapsed="false">
      <c r="A257" s="20" t="n">
        <v>44840</v>
      </c>
      <c r="B257" s="21" t="n">
        <v>354.336823</v>
      </c>
      <c r="C257" s="21" t="n">
        <v>83.559189</v>
      </c>
      <c r="D257" s="22" t="n">
        <f aca="false">LN(B257/B256)</f>
        <v>-0.0103692653575255</v>
      </c>
      <c r="E257" s="22" t="n">
        <f aca="false">LN(C257/C256)</f>
        <v>-0.00393908656701376</v>
      </c>
      <c r="F257" s="22" t="n">
        <f aca="false">LN(Summary!$B$13*EXP(D257)+Summary!$B$14*EXP(E257))</f>
        <v>-0.00779223005797881</v>
      </c>
      <c r="G257" s="22" t="n">
        <f aca="false">EXP(F257)-1</f>
        <v>-0.00776194933583763</v>
      </c>
      <c r="H257" s="21" t="n">
        <f aca="false">EXP(SUM(F6:F257))-1</f>
        <v>-0.129889139932823</v>
      </c>
    </row>
    <row r="258" customFormat="false" ht="15" hidden="false" customHeight="false" outlineLevel="0" collapsed="false">
      <c r="A258" s="20" t="n">
        <v>44841</v>
      </c>
      <c r="B258" s="21" t="n">
        <v>344.453033</v>
      </c>
      <c r="C258" s="21" t="n">
        <v>83.116608</v>
      </c>
      <c r="D258" s="22" t="n">
        <f aca="false">LN(B258/B257)</f>
        <v>-0.0282901908249168</v>
      </c>
      <c r="E258" s="22" t="n">
        <f aca="false">LN(C258/C257)</f>
        <v>-0.00531069355189819</v>
      </c>
      <c r="F258" s="22" t="n">
        <f aca="false">LN(Summary!$B$13*EXP(D258)+Summary!$B$14*EXP(E258))</f>
        <v>-0.0190349291960889</v>
      </c>
      <c r="G258" s="22" t="n">
        <f aca="false">EXP(F258)-1</f>
        <v>-0.0188549089649998</v>
      </c>
      <c r="H258" s="21" t="n">
        <f aca="false">EXP(SUM(F7:F258))-1</f>
        <v>-0.149756698248746</v>
      </c>
    </row>
    <row r="259" customFormat="false" ht="15" hidden="false" customHeight="false" outlineLevel="0" collapsed="false">
      <c r="A259" s="20" t="n">
        <v>44844</v>
      </c>
      <c r="B259" s="21" t="n">
        <v>341.822937</v>
      </c>
      <c r="C259" s="21" t="n">
        <v>82.743362</v>
      </c>
      <c r="D259" s="22" t="n">
        <f aca="false">LN(B259/B258)</f>
        <v>-0.00766487241731058</v>
      </c>
      <c r="E259" s="22" t="n">
        <f aca="false">LN(C259/C258)</f>
        <v>-0.00450074397168516</v>
      </c>
      <c r="F259" s="22" t="n">
        <f aca="false">LN(Summary!$B$13*EXP(D259)+Summary!$B$14*EXP(E259))</f>
        <v>-0.00639801938101664</v>
      </c>
      <c r="G259" s="22" t="n">
        <f aca="false">EXP(F259)-1</f>
        <v>-0.00637759563540352</v>
      </c>
      <c r="H259" s="21" t="n">
        <f aca="false">EXP(SUM(F8:F259))-1</f>
        <v>-0.153512684690259</v>
      </c>
    </row>
    <row r="260" customFormat="false" ht="15" hidden="false" customHeight="false" outlineLevel="0" collapsed="false">
      <c r="A260" s="20" t="n">
        <v>44845</v>
      </c>
      <c r="B260" s="21" t="n">
        <v>339.658142</v>
      </c>
      <c r="C260" s="21" t="n">
        <v>82.795464</v>
      </c>
      <c r="D260" s="22" t="n">
        <f aca="false">LN(B260/B259)</f>
        <v>-0.00635322783937312</v>
      </c>
      <c r="E260" s="22" t="n">
        <f aca="false">LN(C260/C259)</f>
        <v>0.00062948376498031</v>
      </c>
      <c r="F260" s="22" t="n">
        <f aca="false">LN(Summary!$B$13*EXP(D260)+Summary!$B$14*EXP(E260))</f>
        <v>-0.00355428949302368</v>
      </c>
      <c r="G260" s="22" t="n">
        <f aca="false">EXP(F260)-1</f>
        <v>-0.00354798048301963</v>
      </c>
      <c r="H260" s="21" t="n">
        <f aca="false">EXP(SUM(F9:F260))-1</f>
        <v>-0.152299089692893</v>
      </c>
    </row>
    <row r="261" customFormat="false" ht="15" hidden="false" customHeight="false" outlineLevel="0" collapsed="false">
      <c r="A261" s="20" t="n">
        <v>44846</v>
      </c>
      <c r="B261" s="21" t="n">
        <v>338.537811</v>
      </c>
      <c r="C261" s="21" t="n">
        <v>82.864906</v>
      </c>
      <c r="D261" s="22" t="n">
        <f aca="false">LN(B261/B260)</f>
        <v>-0.0033038593466206</v>
      </c>
      <c r="E261" s="22" t="n">
        <f aca="false">LN(C261/C260)</f>
        <v>0.000838365917778948</v>
      </c>
      <c r="F261" s="22" t="n">
        <f aca="false">LN(Summary!$B$13*EXP(D261)+Summary!$B$14*EXP(E261))</f>
        <v>-0.00164490970996069</v>
      </c>
      <c r="G261" s="22" t="n">
        <f aca="false">EXP(F261)-1</f>
        <v>-0.00164355758745849</v>
      </c>
      <c r="H261" s="21" t="n">
        <f aca="false">EXP(SUM(F10:F261))-1</f>
        <v>-0.153690142571998</v>
      </c>
    </row>
    <row r="262" customFormat="false" ht="15" hidden="false" customHeight="false" outlineLevel="0" collapsed="false">
      <c r="A262" s="20" t="n">
        <v>44847</v>
      </c>
      <c r="B262" s="21" t="n">
        <v>347.47226</v>
      </c>
      <c r="C262" s="21" t="n">
        <v>82.604546</v>
      </c>
      <c r="D262" s="22" t="n">
        <f aca="false">LN(B262/B261)</f>
        <v>0.0260490467413627</v>
      </c>
      <c r="E262" s="22" t="n">
        <f aca="false">LN(C262/C261)</f>
        <v>-0.00314692786757306</v>
      </c>
      <c r="F262" s="22" t="n">
        <f aca="false">LN(Summary!$B$13*EXP(D262)+Summary!$B$14*EXP(E262))</f>
        <v>0.014472743214534</v>
      </c>
      <c r="G262" s="22" t="n">
        <f aca="false">EXP(F262)-1</f>
        <v>0.0145779804401625</v>
      </c>
      <c r="H262" s="21" t="n">
        <f aca="false">EXP(SUM(F11:F262))-1</f>
        <v>-0.14397884320313</v>
      </c>
    </row>
    <row r="263" customFormat="false" ht="15" hidden="false" customHeight="false" outlineLevel="0" collapsed="false">
      <c r="A263" s="20" t="n">
        <v>44848</v>
      </c>
      <c r="B263" s="21" t="n">
        <v>339.553741</v>
      </c>
      <c r="C263" s="21" t="n">
        <v>82.153229</v>
      </c>
      <c r="D263" s="22" t="n">
        <f aca="false">LN(B263/B262)</f>
        <v>-0.0230526054580454</v>
      </c>
      <c r="E263" s="22" t="n">
        <f aca="false">LN(C263/C262)</f>
        <v>-0.00547856547400006</v>
      </c>
      <c r="F263" s="22" t="n">
        <f aca="false">LN(Summary!$B$13*EXP(D263)+Summary!$B$14*EXP(E263))</f>
        <v>-0.0159858848381181</v>
      </c>
      <c r="G263" s="22" t="n">
        <f aca="false">EXP(F263)-1</f>
        <v>-0.0158587887302417</v>
      </c>
      <c r="H263" s="21" t="n">
        <f aca="false">EXP(SUM(F12:F263))-1</f>
        <v>-0.166604960982507</v>
      </c>
    </row>
    <row r="264" customFormat="false" ht="15" hidden="false" customHeight="false" outlineLevel="0" collapsed="false">
      <c r="A264" s="20" t="n">
        <v>44851</v>
      </c>
      <c r="B264" s="21" t="n">
        <v>348.279266</v>
      </c>
      <c r="C264" s="21" t="n">
        <v>82.326828</v>
      </c>
      <c r="D264" s="22" t="n">
        <f aca="false">LN(B264/B263)</f>
        <v>0.0253724174361807</v>
      </c>
      <c r="E264" s="22" t="n">
        <f aca="false">LN(C264/C263)</f>
        <v>0.00211088283439231</v>
      </c>
      <c r="F264" s="22" t="n">
        <f aca="false">LN(Summary!$B$13*EXP(D264)+Summary!$B$14*EXP(E264))</f>
        <v>0.0161326334970568</v>
      </c>
      <c r="G264" s="22" t="n">
        <f aca="false">EXP(F264)-1</f>
        <v>0.0162634670451824</v>
      </c>
      <c r="H264" s="21" t="n">
        <f aca="false">EXP(SUM(F13:F264))-1</f>
        <v>-0.156084343161164</v>
      </c>
    </row>
    <row r="265" customFormat="false" ht="15" hidden="false" customHeight="false" outlineLevel="0" collapsed="false">
      <c r="A265" s="20" t="n">
        <v>44852</v>
      </c>
      <c r="B265" s="21" t="n">
        <v>352.371429</v>
      </c>
      <c r="C265" s="21" t="n">
        <v>82.465683</v>
      </c>
      <c r="D265" s="22" t="n">
        <f aca="false">LN(B265/B264)</f>
        <v>0.0116811688343422</v>
      </c>
      <c r="E265" s="22" t="n">
        <f aca="false">LN(C265/C264)</f>
        <v>0.00168521047490547</v>
      </c>
      <c r="F265" s="22" t="n">
        <f aca="false">LN(Summary!$B$13*EXP(D265)+Summary!$B$14*EXP(E265))</f>
        <v>0.00769476775843284</v>
      </c>
      <c r="G265" s="22" t="n">
        <f aca="false">EXP(F265)-1</f>
        <v>0.00772444856398824</v>
      </c>
      <c r="H265" s="21" t="n">
        <f aca="false">EXP(SUM(F14:F265))-1</f>
        <v>-0.150836881669183</v>
      </c>
    </row>
    <row r="266" customFormat="false" ht="15" hidden="false" customHeight="false" outlineLevel="0" collapsed="false">
      <c r="A266" s="20" t="n">
        <v>44853</v>
      </c>
      <c r="B266" s="21" t="n">
        <v>349.87439</v>
      </c>
      <c r="C266" s="21" t="n">
        <v>81.754021</v>
      </c>
      <c r="D266" s="22" t="n">
        <f aca="false">LN(B266/B265)</f>
        <v>-0.00711161093853988</v>
      </c>
      <c r="E266" s="22" t="n">
        <f aca="false">LN(C266/C265)</f>
        <v>-0.00866724805531319</v>
      </c>
      <c r="F266" s="22" t="n">
        <f aca="false">LN(Summary!$B$13*EXP(D266)+Summary!$B$14*EXP(E266))</f>
        <v>-0.00773357541457154</v>
      </c>
      <c r="G266" s="22" t="n">
        <f aca="false">EXP(F266)-1</f>
        <v>-0.00770374825993581</v>
      </c>
      <c r="H266" s="21" t="n">
        <f aca="false">EXP(SUM(F15:F266))-1</f>
        <v>-0.160297500458318</v>
      </c>
    </row>
    <row r="267" customFormat="false" ht="15" hidden="false" customHeight="false" outlineLevel="0" collapsed="false">
      <c r="A267" s="20" t="n">
        <v>44854</v>
      </c>
      <c r="B267" s="21" t="n">
        <v>346.940552</v>
      </c>
      <c r="C267" s="21" t="n">
        <v>81.259338</v>
      </c>
      <c r="D267" s="22" t="n">
        <f aca="false">LN(B267/B266)</f>
        <v>-0.00842075896907825</v>
      </c>
      <c r="E267" s="22" t="n">
        <f aca="false">LN(C267/C266)</f>
        <v>-0.00606925127532875</v>
      </c>
      <c r="F267" s="22" t="n">
        <f aca="false">LN(Summary!$B$13*EXP(D267)+Summary!$B$14*EXP(E267))</f>
        <v>-0.0074794922370781</v>
      </c>
      <c r="G267" s="22" t="n">
        <f aca="false">EXP(F267)-1</f>
        <v>-0.00745159044210564</v>
      </c>
      <c r="H267" s="21" t="n">
        <f aca="false">EXP(SUM(F16:F267))-1</f>
        <v>-0.168281440731808</v>
      </c>
    </row>
    <row r="268" customFormat="false" ht="15" hidden="false" customHeight="false" outlineLevel="0" collapsed="false">
      <c r="A268" s="20" t="n">
        <v>44855</v>
      </c>
      <c r="B268" s="21" t="n">
        <v>355.371674</v>
      </c>
      <c r="C268" s="21" t="n">
        <v>81.380859</v>
      </c>
      <c r="D268" s="22" t="n">
        <f aca="false">LN(B268/B267)</f>
        <v>0.0240107654144797</v>
      </c>
      <c r="E268" s="22" t="n">
        <f aca="false">LN(C268/C267)</f>
        <v>0.00149435410009964</v>
      </c>
      <c r="F268" s="22" t="n">
        <f aca="false">LN(Summary!$B$13*EXP(D268)+Summary!$B$14*EXP(E268))</f>
        <v>0.0150649470910195</v>
      </c>
      <c r="G268" s="22" t="n">
        <f aca="false">EXP(F268)-1</f>
        <v>0.0151789953973047</v>
      </c>
      <c r="H268" s="21" t="n">
        <f aca="false">EXP(SUM(F17:F268))-1</f>
        <v>-0.156267219225344</v>
      </c>
    </row>
    <row r="269" customFormat="false" ht="15" hidden="false" customHeight="false" outlineLevel="0" collapsed="false">
      <c r="A269" s="20" t="n">
        <v>44858</v>
      </c>
      <c r="B269" s="21" t="n">
        <v>359.720184</v>
      </c>
      <c r="C269" s="21" t="n">
        <v>81.268005</v>
      </c>
      <c r="D269" s="22" t="n">
        <f aca="false">LN(B269/B268)</f>
        <v>0.0121622517554504</v>
      </c>
      <c r="E269" s="22" t="n">
        <f aca="false">LN(C269/C268)</f>
        <v>-0.0013877012766641</v>
      </c>
      <c r="F269" s="22" t="n">
        <f aca="false">LN(Summary!$B$13*EXP(D269)+Summary!$B$14*EXP(E269))</f>
        <v>0.00676428263958487</v>
      </c>
      <c r="G269" s="22" t="n">
        <f aca="false">EXP(F269)-1</f>
        <v>0.00678721207062694</v>
      </c>
      <c r="H269" s="21" t="n">
        <f aca="false">EXP(SUM(F18:F269))-1</f>
        <v>-0.150669105673613</v>
      </c>
    </row>
    <row r="270" customFormat="false" ht="15" hidden="false" customHeight="false" outlineLevel="0" collapsed="false">
      <c r="A270" s="20" t="n">
        <v>44859</v>
      </c>
      <c r="B270" s="21" t="n">
        <v>365.464447</v>
      </c>
      <c r="C270" s="21" t="n">
        <v>82.066467</v>
      </c>
      <c r="D270" s="22" t="n">
        <f aca="false">LN(B270/B269)</f>
        <v>0.0158425396736256</v>
      </c>
      <c r="E270" s="22" t="n">
        <f aca="false">LN(C270/C269)</f>
        <v>0.00977709543777422</v>
      </c>
      <c r="F270" s="22" t="n">
        <f aca="false">LN(Summary!$B$13*EXP(D270)+Summary!$B$14*EXP(E270))</f>
        <v>0.0134207749418264</v>
      </c>
      <c r="G270" s="22" t="n">
        <f aca="false">EXP(F270)-1</f>
        <v>0.0135112377826419</v>
      </c>
      <c r="H270" s="21" t="n">
        <f aca="false">EXP(SUM(F19:F270))-1</f>
        <v>-0.14228414501366</v>
      </c>
    </row>
    <row r="271" customFormat="false" ht="15" hidden="false" customHeight="false" outlineLevel="0" collapsed="false">
      <c r="A271" s="20" t="n">
        <v>44860</v>
      </c>
      <c r="B271" s="21" t="n">
        <v>362.710968</v>
      </c>
      <c r="C271" s="21" t="n">
        <v>82.430969</v>
      </c>
      <c r="D271" s="22" t="n">
        <f aca="false">LN(B271/B270)</f>
        <v>-0.00756271652946058</v>
      </c>
      <c r="E271" s="22" t="n">
        <f aca="false">LN(C271/C270)</f>
        <v>0.0044317115869227</v>
      </c>
      <c r="F271" s="22" t="n">
        <f aca="false">LN(Summary!$B$13*EXP(D271)+Summary!$B$14*EXP(E271))</f>
        <v>-0.00274766761270909</v>
      </c>
      <c r="G271" s="22" t="n">
        <f aca="false">EXP(F271)-1</f>
        <v>-0.0027438962290145</v>
      </c>
      <c r="H271" s="21" t="n">
        <f aca="false">EXP(SUM(F20:F271))-1</f>
        <v>-0.145727717772997</v>
      </c>
    </row>
    <row r="272" customFormat="false" ht="15" hidden="false" customHeight="false" outlineLevel="0" collapsed="false">
      <c r="A272" s="20" t="n">
        <v>44861</v>
      </c>
      <c r="B272" s="21" t="n">
        <v>360.774048</v>
      </c>
      <c r="C272" s="21" t="n">
        <v>82.847534</v>
      </c>
      <c r="D272" s="22" t="n">
        <f aca="false">LN(B272/B271)</f>
        <v>-0.00535442914441286</v>
      </c>
      <c r="E272" s="22" t="n">
        <f aca="false">LN(C272/C271)</f>
        <v>0.0050407751098235</v>
      </c>
      <c r="F272" s="22" t="n">
        <f aca="false">LN(Summary!$B$13*EXP(D272)+Summary!$B$14*EXP(E272))</f>
        <v>-0.00118337127514095</v>
      </c>
      <c r="G272" s="22" t="n">
        <f aca="false">EXP(F272)-1</f>
        <v>-0.00118267136746431</v>
      </c>
      <c r="H272" s="21" t="n">
        <f aca="false">EXP(SUM(F21:F272))-1</f>
        <v>-0.145602216894762</v>
      </c>
    </row>
    <row r="273" customFormat="false" ht="15" hidden="false" customHeight="false" outlineLevel="0" collapsed="false">
      <c r="A273" s="20" t="n">
        <v>44862</v>
      </c>
      <c r="B273" s="21" t="n">
        <v>369.357147</v>
      </c>
      <c r="C273" s="21" t="n">
        <v>82.639252</v>
      </c>
      <c r="D273" s="22" t="n">
        <f aca="false">LN(B273/B272)</f>
        <v>0.0235121974424746</v>
      </c>
      <c r="E273" s="22" t="n">
        <f aca="false">LN(C273/C272)</f>
        <v>-0.00251720533116738</v>
      </c>
      <c r="F273" s="22" t="n">
        <f aca="false">LN(Summary!$B$13*EXP(D273)+Summary!$B$14*EXP(E273))</f>
        <v>0.0131815968137512</v>
      </c>
      <c r="G273" s="22" t="n">
        <f aca="false">EXP(F273)-1</f>
        <v>0.0132688570492463</v>
      </c>
      <c r="H273" s="21" t="n">
        <f aca="false">EXP(SUM(F22:F273))-1</f>
        <v>-0.138980066684119</v>
      </c>
    </row>
    <row r="274" customFormat="false" ht="15" hidden="false" customHeight="false" outlineLevel="0" collapsed="false">
      <c r="A274" s="20" t="n">
        <v>44865</v>
      </c>
      <c r="B274" s="21" t="n">
        <v>366.689209</v>
      </c>
      <c r="C274" s="21" t="n">
        <v>82.361557</v>
      </c>
      <c r="D274" s="22" t="n">
        <f aca="false">LN(B274/B273)</f>
        <v>-0.00724940667786244</v>
      </c>
      <c r="E274" s="22" t="n">
        <f aca="false">LN(C274/C273)</f>
        <v>-0.00336598667449215</v>
      </c>
      <c r="F274" s="22" t="n">
        <f aca="false">LN(Summary!$B$13*EXP(D274)+Summary!$B$14*EXP(E274))</f>
        <v>-0.00569422849487964</v>
      </c>
      <c r="G274" s="22" t="n">
        <f aca="false">EXP(F274)-1</f>
        <v>-0.00567804710388486</v>
      </c>
      <c r="H274" s="21" t="n">
        <f aca="false">EXP(SUM(F23:F274))-1</f>
        <v>-0.144820557122739</v>
      </c>
    </row>
    <row r="275" customFormat="false" ht="15" hidden="false" customHeight="false" outlineLevel="0" collapsed="false">
      <c r="A275" s="20" t="n">
        <v>44866</v>
      </c>
      <c r="B275" s="21" t="n">
        <v>365.084686</v>
      </c>
      <c r="C275" s="21" t="n">
        <v>82.514633</v>
      </c>
      <c r="D275" s="22" t="n">
        <f aca="false">LN(B275/B274)</f>
        <v>-0.00438530421030312</v>
      </c>
      <c r="E275" s="22" t="n">
        <f aca="false">LN(C275/C274)</f>
        <v>0.00185686052040573</v>
      </c>
      <c r="F275" s="22" t="n">
        <f aca="false">LN(Summary!$B$13*EXP(D275)+Summary!$B$14*EXP(E275))</f>
        <v>-0.0018837606244553</v>
      </c>
      <c r="G275" s="22" t="n">
        <f aca="false">EXP(F275)-1</f>
        <v>-0.00188198746099011</v>
      </c>
      <c r="H275" s="21" t="n">
        <f aca="false">EXP(SUM(F24:F275))-1</f>
        <v>-0.147101501025925</v>
      </c>
    </row>
    <row r="276" customFormat="false" ht="15" hidden="false" customHeight="false" outlineLevel="0" collapsed="false">
      <c r="A276" s="20" t="n">
        <v>44867</v>
      </c>
      <c r="B276" s="21" t="n">
        <v>355.922394</v>
      </c>
      <c r="C276" s="21" t="n">
        <v>82.37545</v>
      </c>
      <c r="D276" s="22" t="n">
        <f aca="false">LN(B276/B275)</f>
        <v>-0.0254166304034174</v>
      </c>
      <c r="E276" s="22" t="n">
        <f aca="false">LN(C276/C275)</f>
        <v>-0.00168819167925171</v>
      </c>
      <c r="F276" s="22" t="n">
        <f aca="false">LN(Summary!$B$13*EXP(D276)+Summary!$B$14*EXP(E276))</f>
        <v>-0.0158575847774526</v>
      </c>
      <c r="G276" s="22" t="n">
        <f aca="false">EXP(F276)-1</f>
        <v>-0.0157325152528582</v>
      </c>
      <c r="H276" s="21" t="n">
        <f aca="false">EXP(SUM(F25:F276))-1</f>
        <v>-0.163222765073525</v>
      </c>
    </row>
    <row r="277" customFormat="false" ht="15" hidden="false" customHeight="false" outlineLevel="0" collapsed="false">
      <c r="A277" s="20" t="n">
        <v>44868</v>
      </c>
      <c r="B277" s="21" t="n">
        <v>352.257477</v>
      </c>
      <c r="C277" s="21" t="n">
        <v>82.070984</v>
      </c>
      <c r="D277" s="22" t="n">
        <f aca="false">LN(B277/B276)</f>
        <v>-0.010350335750563</v>
      </c>
      <c r="E277" s="22" t="n">
        <f aca="false">LN(C277/C276)</f>
        <v>-0.00370292429562995</v>
      </c>
      <c r="F277" s="22" t="n">
        <f aca="false">LN(Summary!$B$13*EXP(D277)+Summary!$B$14*EXP(E277))</f>
        <v>-0.00768606625781401</v>
      </c>
      <c r="G277" s="22" t="n">
        <f aca="false">EXP(F277)-1</f>
        <v>-0.0076566039818784</v>
      </c>
      <c r="H277" s="21" t="n">
        <f aca="false">EXP(SUM(F26:F277))-1</f>
        <v>-0.171998019399478</v>
      </c>
    </row>
    <row r="278" customFormat="false" ht="15" hidden="false" customHeight="false" outlineLevel="0" collapsed="false">
      <c r="A278" s="20" t="n">
        <v>44869</v>
      </c>
      <c r="B278" s="21" t="n">
        <v>357.327606</v>
      </c>
      <c r="C278" s="21" t="n">
        <v>82.062271</v>
      </c>
      <c r="D278" s="22" t="n">
        <f aca="false">LN(B278/B277)</f>
        <v>0.0142906478938974</v>
      </c>
      <c r="E278" s="22" t="n">
        <f aca="false">LN(C278/C277)</f>
        <v>-0.000106169831435808</v>
      </c>
      <c r="F278" s="22" t="n">
        <f aca="false">LN(Summary!$B$13*EXP(D278)+Summary!$B$14*EXP(E278))</f>
        <v>0.00855676894644221</v>
      </c>
      <c r="G278" s="22" t="n">
        <f aca="false">EXP(F278)-1</f>
        <v>0.00859348273626992</v>
      </c>
      <c r="H278" s="21" t="n">
        <f aca="false">EXP(SUM(F27:F278))-1</f>
        <v>-0.168339410814789</v>
      </c>
    </row>
    <row r="279" customFormat="false" ht="15" hidden="false" customHeight="false" outlineLevel="0" collapsed="false">
      <c r="A279" s="20" t="n">
        <v>44872</v>
      </c>
      <c r="B279" s="21" t="n">
        <v>360.745697</v>
      </c>
      <c r="C279" s="21" t="n">
        <v>81.801346</v>
      </c>
      <c r="D279" s="22" t="n">
        <f aca="false">LN(B279/B278)</f>
        <v>0.00952024480580062</v>
      </c>
      <c r="E279" s="22" t="n">
        <f aca="false">LN(C279/C278)</f>
        <v>-0.00318466326209332</v>
      </c>
      <c r="F279" s="22" t="n">
        <f aca="false">LN(Summary!$B$13*EXP(D279)+Summary!$B$14*EXP(E279))</f>
        <v>0.00445763482086359</v>
      </c>
      <c r="G279" s="22" t="n">
        <f aca="false">EXP(F279)-1</f>
        <v>0.00446758485400611</v>
      </c>
      <c r="H279" s="21" t="n">
        <f aca="false">EXP(SUM(F28:F279))-1</f>
        <v>-0.16766207218004</v>
      </c>
    </row>
    <row r="280" customFormat="false" ht="15" hidden="false" customHeight="false" outlineLevel="0" collapsed="false">
      <c r="A280" s="20" t="n">
        <v>44873</v>
      </c>
      <c r="B280" s="21" t="n">
        <v>362.691986</v>
      </c>
      <c r="C280" s="21" t="n">
        <v>82.149269</v>
      </c>
      <c r="D280" s="22" t="n">
        <f aca="false">LN(B280/B279)</f>
        <v>0.00538068099419192</v>
      </c>
      <c r="E280" s="22" t="n">
        <f aca="false">LN(C280/C279)</f>
        <v>0.00424424784597272</v>
      </c>
      <c r="F280" s="22" t="n">
        <f aca="false">LN(Summary!$B$13*EXP(D280)+Summary!$B$14*EXP(E280))</f>
        <v>0.00492626270079137</v>
      </c>
      <c r="G280" s="22" t="n">
        <f aca="false">EXP(F280)-1</f>
        <v>0.00493841668259654</v>
      </c>
      <c r="H280" s="21" t="n">
        <f aca="false">EXP(SUM(F29:F280))-1</f>
        <v>-0.163370200361422</v>
      </c>
    </row>
    <row r="281" customFormat="false" ht="15" hidden="false" customHeight="false" outlineLevel="0" collapsed="false">
      <c r="A281" s="20" t="n">
        <v>44874</v>
      </c>
      <c r="B281" s="21" t="n">
        <v>355.219788</v>
      </c>
      <c r="C281" s="21" t="n">
        <v>82.24498</v>
      </c>
      <c r="D281" s="22" t="n">
        <f aca="false">LN(B281/B280)</f>
        <v>-0.0208172316233459</v>
      </c>
      <c r="E281" s="22" t="n">
        <f aca="false">LN(C281/C280)</f>
        <v>0.00116440826119305</v>
      </c>
      <c r="F281" s="22" t="n">
        <f aca="false">LN(Summary!$B$13*EXP(D281)+Summary!$B$14*EXP(E281))</f>
        <v>-0.0119665086307042</v>
      </c>
      <c r="G281" s="22" t="n">
        <f aca="false">EXP(F281)-1</f>
        <v>-0.011895194709291</v>
      </c>
      <c r="H281" s="21" t="n">
        <f aca="false">EXP(SUM(F30:F281))-1</f>
        <v>-0.172602143439103</v>
      </c>
    </row>
    <row r="282" customFormat="false" ht="15" hidden="false" customHeight="false" outlineLevel="0" collapsed="false">
      <c r="A282" s="20" t="n">
        <v>44875</v>
      </c>
      <c r="B282" s="21" t="n">
        <v>374.74054</v>
      </c>
      <c r="C282" s="21" t="n">
        <v>84.010818</v>
      </c>
      <c r="D282" s="22" t="n">
        <f aca="false">LN(B282/B281)</f>
        <v>0.0534971741426609</v>
      </c>
      <c r="E282" s="22" t="n">
        <f aca="false">LN(C282/C281)</f>
        <v>0.0212432219172162</v>
      </c>
      <c r="F282" s="22" t="n">
        <f aca="false">LN(Summary!$B$13*EXP(D282)+Summary!$B$14*EXP(E282))</f>
        <v>0.040720158174361</v>
      </c>
      <c r="G282" s="22" t="n">
        <f aca="false">EXP(F282)-1</f>
        <v>0.041560592540886</v>
      </c>
      <c r="H282" s="21" t="n">
        <f aca="false">EXP(SUM(F31:F282))-1</f>
        <v>-0.131674447302637</v>
      </c>
    </row>
    <row r="283" customFormat="false" ht="15" hidden="false" customHeight="false" outlineLevel="0" collapsed="false">
      <c r="A283" s="20" t="n">
        <v>44876</v>
      </c>
      <c r="B283" s="21" t="n">
        <v>378.367523</v>
      </c>
      <c r="C283" s="21" t="n">
        <v>83.949875</v>
      </c>
      <c r="D283" s="22" t="n">
        <f aca="false">LN(B283/B282)</f>
        <v>0.00963211315892113</v>
      </c>
      <c r="E283" s="22" t="n">
        <f aca="false">LN(C283/C282)</f>
        <v>-0.000725681724526392</v>
      </c>
      <c r="F283" s="22" t="n">
        <f aca="false">LN(Summary!$B$13*EXP(D283)+Summary!$B$14*EXP(E283))</f>
        <v>0.00550186033497221</v>
      </c>
      <c r="G283" s="22" t="n">
        <f aca="false">EXP(F283)-1</f>
        <v>0.00551702336408</v>
      </c>
      <c r="H283" s="21" t="n">
        <f aca="false">EXP(SUM(F32:F283))-1</f>
        <v>-0.126412902647494</v>
      </c>
    </row>
    <row r="284" customFormat="false" ht="15" hidden="false" customHeight="false" outlineLevel="0" collapsed="false">
      <c r="A284" s="20" t="n">
        <v>44879</v>
      </c>
      <c r="B284" s="21" t="n">
        <v>375.148773</v>
      </c>
      <c r="C284" s="21" t="n">
        <v>83.715012</v>
      </c>
      <c r="D284" s="22" t="n">
        <f aca="false">LN(B284/B283)</f>
        <v>-0.00854333103267644</v>
      </c>
      <c r="E284" s="22" t="n">
        <f aca="false">LN(C284/C283)</f>
        <v>-0.00280157828892162</v>
      </c>
      <c r="F284" s="22" t="n">
        <f aca="false">LN(Summary!$B$13*EXP(D284)+Summary!$B$14*EXP(E284))</f>
        <v>-0.00624267229867286</v>
      </c>
      <c r="G284" s="22" t="n">
        <f aca="false">EXP(F284)-1</f>
        <v>-0.00622322730390956</v>
      </c>
      <c r="H284" s="21" t="n">
        <f aca="false">EXP(SUM(F33:F284))-1</f>
        <v>-0.135702559469539</v>
      </c>
    </row>
    <row r="285" customFormat="false" ht="15" hidden="false" customHeight="false" outlineLevel="0" collapsed="false">
      <c r="A285" s="20" t="n">
        <v>44880</v>
      </c>
      <c r="B285" s="21" t="n">
        <v>378.348511</v>
      </c>
      <c r="C285" s="21" t="n">
        <v>84.332619</v>
      </c>
      <c r="D285" s="22" t="n">
        <f aca="false">LN(B285/B284)</f>
        <v>0.00849308232867168</v>
      </c>
      <c r="E285" s="22" t="n">
        <f aca="false">LN(C285/C284)</f>
        <v>0.00735041341582253</v>
      </c>
      <c r="F285" s="22" t="n">
        <f aca="false">LN(Summary!$B$13*EXP(D285)+Summary!$B$14*EXP(E285))</f>
        <v>0.00803617143465814</v>
      </c>
      <c r="G285" s="22" t="n">
        <f aca="false">EXP(F285)-1</f>
        <v>0.00806854813043634</v>
      </c>
      <c r="H285" s="21" t="n">
        <f aca="false">EXP(SUM(F34:F285))-1</f>
        <v>-0.127626165822577</v>
      </c>
    </row>
    <row r="286" customFormat="false" ht="15" hidden="false" customHeight="false" outlineLevel="0" collapsed="false">
      <c r="A286" s="20" t="n">
        <v>44881</v>
      </c>
      <c r="B286" s="21" t="n">
        <v>375.462158</v>
      </c>
      <c r="C286" s="21" t="n">
        <v>84.854546</v>
      </c>
      <c r="D286" s="22" t="n">
        <f aca="false">LN(B286/B285)</f>
        <v>-0.00765806912738145</v>
      </c>
      <c r="E286" s="22" t="n">
        <f aca="false">LN(C286/C285)</f>
        <v>0.00616983747765132</v>
      </c>
      <c r="F286" s="22" t="n">
        <f aca="false">LN(Summary!$B$13*EXP(D286)+Summary!$B$14*EXP(E286))</f>
        <v>-0.00210394017410579</v>
      </c>
      <c r="G286" s="22" t="n">
        <f aca="false">EXP(F286)-1</f>
        <v>-0.00210172844336598</v>
      </c>
      <c r="H286" s="21" t="n">
        <f aca="false">EXP(SUM(F35:F286))-1</f>
        <v>-0.131400286172738</v>
      </c>
    </row>
    <row r="287" customFormat="false" ht="15" hidden="false" customHeight="false" outlineLevel="0" collapsed="false">
      <c r="A287" s="20" t="n">
        <v>44882</v>
      </c>
      <c r="B287" s="21" t="n">
        <v>374.313354</v>
      </c>
      <c r="C287" s="21" t="n">
        <v>84.49791</v>
      </c>
      <c r="D287" s="22" t="n">
        <f aca="false">LN(B287/B286)</f>
        <v>-0.00306439695776457</v>
      </c>
      <c r="E287" s="22" t="n">
        <f aca="false">LN(C287/C286)</f>
        <v>-0.00421176681602301</v>
      </c>
      <c r="F287" s="22" t="n">
        <f aca="false">LN(Summary!$B$13*EXP(D287)+Summary!$B$14*EXP(E287))</f>
        <v>-0.00352318693824826</v>
      </c>
      <c r="G287" s="22" t="n">
        <f aca="false">EXP(F287)-1</f>
        <v>-0.00351698779752818</v>
      </c>
      <c r="H287" s="21" t="n">
        <f aca="false">EXP(SUM(F36:F287))-1</f>
        <v>-0.134014328897638</v>
      </c>
    </row>
    <row r="288" customFormat="false" ht="15" hidden="false" customHeight="false" outlineLevel="0" collapsed="false">
      <c r="A288" s="20" t="n">
        <v>44883</v>
      </c>
      <c r="B288" s="21" t="n">
        <v>376.012787</v>
      </c>
      <c r="C288" s="21" t="n">
        <v>84.376122</v>
      </c>
      <c r="D288" s="22" t="n">
        <f aca="false">LN(B288/B287)</f>
        <v>0.00452985925216844</v>
      </c>
      <c r="E288" s="22" t="n">
        <f aca="false">LN(C288/C287)</f>
        <v>-0.00144235344737692</v>
      </c>
      <c r="F288" s="22" t="n">
        <f aca="false">LN(Summary!$B$13*EXP(D288)+Summary!$B$14*EXP(E288))</f>
        <v>0.0021452525415993</v>
      </c>
      <c r="G288" s="22" t="n">
        <f aca="false">EXP(F288)-1</f>
        <v>0.00214755524216326</v>
      </c>
      <c r="H288" s="21" t="n">
        <f aca="false">EXP(SUM(F37:F288))-1</f>
        <v>-0.134222295872409</v>
      </c>
    </row>
    <row r="289" customFormat="false" ht="15" hidden="false" customHeight="false" outlineLevel="0" collapsed="false">
      <c r="A289" s="20" t="n">
        <v>44886</v>
      </c>
      <c r="B289" s="21" t="n">
        <v>374.645599</v>
      </c>
      <c r="C289" s="21" t="n">
        <v>84.323921</v>
      </c>
      <c r="D289" s="22" t="n">
        <f aca="false">LN(B289/B288)</f>
        <v>-0.00364264101286904</v>
      </c>
      <c r="E289" s="22" t="n">
        <f aca="false">LN(C289/C288)</f>
        <v>-0.000618861747012578</v>
      </c>
      <c r="F289" s="22" t="n">
        <f aca="false">LN(Summary!$B$13*EXP(D289)+Summary!$B$14*EXP(E289))</f>
        <v>-0.00243203189679146</v>
      </c>
      <c r="G289" s="22" t="n">
        <f aca="false">EXP(F289)-1</f>
        <v>-0.00242907690324956</v>
      </c>
      <c r="H289" s="21" t="n">
        <f aca="false">EXP(SUM(F38:F289))-1</f>
        <v>-0.136064094362689</v>
      </c>
    </row>
    <row r="290" customFormat="false" ht="15" hidden="false" customHeight="false" outlineLevel="0" collapsed="false">
      <c r="A290" s="20" t="n">
        <v>44887</v>
      </c>
      <c r="B290" s="21" t="n">
        <v>379.687256</v>
      </c>
      <c r="C290" s="21" t="n">
        <v>84.758904</v>
      </c>
      <c r="D290" s="22" t="n">
        <f aca="false">LN(B290/B289)</f>
        <v>0.0133673935575259</v>
      </c>
      <c r="E290" s="22" t="n">
        <f aca="false">LN(C290/C289)</f>
        <v>0.00514521755379813</v>
      </c>
      <c r="F290" s="22" t="n">
        <f aca="false">LN(Summary!$B$13*EXP(D290)+Summary!$B$14*EXP(E290))</f>
        <v>0.0100866311905146</v>
      </c>
      <c r="G290" s="22" t="n">
        <f aca="false">EXP(F290)-1</f>
        <v>0.0101376727229261</v>
      </c>
      <c r="H290" s="21" t="n">
        <f aca="false">EXP(SUM(F39:F290))-1</f>
        <v>-0.124142646886059</v>
      </c>
    </row>
    <row r="291" customFormat="false" ht="15" hidden="false" customHeight="false" outlineLevel="0" collapsed="false">
      <c r="A291" s="20" t="n">
        <v>44888</v>
      </c>
      <c r="B291" s="21" t="n">
        <v>382.079865</v>
      </c>
      <c r="C291" s="21" t="n">
        <v>85.263382</v>
      </c>
      <c r="D291" s="22" t="n">
        <f aca="false">LN(B291/B290)</f>
        <v>0.00628175409995777</v>
      </c>
      <c r="E291" s="22" t="n">
        <f aca="false">LN(C291/C290)</f>
        <v>0.00593427476275434</v>
      </c>
      <c r="F291" s="22" t="n">
        <f aca="false">LN(Summary!$B$13*EXP(D291)+Summary!$B$14*EXP(E291))</f>
        <v>0.00614277685376737</v>
      </c>
      <c r="G291" s="22" t="n">
        <f aca="false">EXP(F291)-1</f>
        <v>0.00616168239852843</v>
      </c>
      <c r="H291" s="21" t="n">
        <f aca="false">EXP(SUM(F40:F291))-1</f>
        <v>-0.118053814617693</v>
      </c>
    </row>
    <row r="292" customFormat="false" ht="15" hidden="false" customHeight="false" outlineLevel="0" collapsed="false">
      <c r="A292" s="20" t="n">
        <v>44890</v>
      </c>
      <c r="B292" s="21" t="n">
        <v>381.994415</v>
      </c>
      <c r="C292" s="21" t="n">
        <v>85.280762</v>
      </c>
      <c r="D292" s="22" t="n">
        <f aca="false">LN(B292/B291)</f>
        <v>-0.000223669354126754</v>
      </c>
      <c r="E292" s="22" t="n">
        <f aca="false">LN(C292/C291)</f>
        <v>0.00020381819806338</v>
      </c>
      <c r="F292" s="22" t="n">
        <f aca="false">LN(Summary!$B$13*EXP(D292)+Summary!$B$14*EXP(E292))</f>
        <v>-5.26524031530025E-005</v>
      </c>
      <c r="G292" s="22" t="n">
        <f aca="false">EXP(F292)-1</f>
        <v>-5.26510170395511E-005</v>
      </c>
      <c r="H292" s="21" t="n">
        <f aca="false">EXP(SUM(F41:F292))-1</f>
        <v>-0.12031580782891</v>
      </c>
    </row>
    <row r="293" customFormat="false" ht="15" hidden="false" customHeight="false" outlineLevel="0" collapsed="false">
      <c r="A293" s="20" t="n">
        <v>44893</v>
      </c>
      <c r="B293" s="21" t="n">
        <v>375.898895</v>
      </c>
      <c r="C293" s="21" t="n">
        <v>85.141594</v>
      </c>
      <c r="D293" s="22" t="n">
        <f aca="false">LN(B293/B292)</f>
        <v>-0.0160857771266349</v>
      </c>
      <c r="E293" s="22" t="n">
        <f aca="false">LN(C293/C292)</f>
        <v>-0.00163321332014165</v>
      </c>
      <c r="F293" s="22" t="n">
        <f aca="false">LN(Summary!$B$13*EXP(D293)+Summary!$B$14*EXP(E293))</f>
        <v>-0.0102796624539902</v>
      </c>
      <c r="G293" s="22" t="n">
        <f aca="false">EXP(F293)-1</f>
        <v>-0.0102270073040823</v>
      </c>
      <c r="H293" s="21" t="n">
        <f aca="false">EXP(SUM(F42:F293))-1</f>
        <v>-0.120044238788755</v>
      </c>
    </row>
    <row r="294" customFormat="false" ht="15" hidden="false" customHeight="false" outlineLevel="0" collapsed="false">
      <c r="A294" s="20" t="n">
        <v>44894</v>
      </c>
      <c r="B294" s="21" t="n">
        <v>375.253326</v>
      </c>
      <c r="C294" s="21" t="n">
        <v>84.837128</v>
      </c>
      <c r="D294" s="22" t="n">
        <f aca="false">LN(B294/B293)</f>
        <v>-0.00171887705553758</v>
      </c>
      <c r="E294" s="22" t="n">
        <f aca="false">LN(C294/C293)</f>
        <v>-0.0035824051626513</v>
      </c>
      <c r="F294" s="22" t="n">
        <f aca="false">LN(Summary!$B$13*EXP(D294)+Summary!$B$14*EXP(E294))</f>
        <v>-0.00246387162176763</v>
      </c>
      <c r="G294" s="22" t="n">
        <f aca="false">EXP(F294)-1</f>
        <v>-0.00246083878143777</v>
      </c>
      <c r="H294" s="21" t="n">
        <f aca="false">EXP(SUM(F43:F294))-1</f>
        <v>-0.128804211590231</v>
      </c>
    </row>
    <row r="295" customFormat="false" ht="15" hidden="false" customHeight="false" outlineLevel="0" collapsed="false">
      <c r="A295" s="20" t="n">
        <v>44895</v>
      </c>
      <c r="B295" s="21" t="n">
        <v>387.074066</v>
      </c>
      <c r="C295" s="21" t="n">
        <v>85.49823</v>
      </c>
      <c r="D295" s="22" t="n">
        <f aca="false">LN(B295/B294)</f>
        <v>0.0310147258322514</v>
      </c>
      <c r="E295" s="22" t="n">
        <f aca="false">LN(C295/C294)</f>
        <v>0.00776239680717717</v>
      </c>
      <c r="F295" s="22" t="n">
        <f aca="false">LN(Summary!$B$13*EXP(D295)+Summary!$B$14*EXP(E295))</f>
        <v>0.021778572862908</v>
      </c>
      <c r="G295" s="22" t="n">
        <f aca="false">EXP(F295)-1</f>
        <v>0.0220174570142779</v>
      </c>
      <c r="H295" s="21" t="n">
        <f aca="false">EXP(SUM(F44:F295))-1</f>
        <v>-0.0997092067194877</v>
      </c>
    </row>
    <row r="296" customFormat="false" ht="15" hidden="false" customHeight="false" outlineLevel="0" collapsed="false">
      <c r="A296" s="20" t="n">
        <v>44896</v>
      </c>
      <c r="B296" s="21" t="n">
        <v>386.789185</v>
      </c>
      <c r="C296" s="21" t="n">
        <v>86.209679</v>
      </c>
      <c r="D296" s="22" t="n">
        <f aca="false">LN(B296/B295)</f>
        <v>-0.000736256728823336</v>
      </c>
      <c r="E296" s="22" t="n">
        <f aca="false">LN(C296/C295)</f>
        <v>0.00828678277490182</v>
      </c>
      <c r="F296" s="22" t="n">
        <f aca="false">LN(Summary!$B$13*EXP(D296)+Summary!$B$14*EXP(E296))</f>
        <v>0.00288273474938662</v>
      </c>
      <c r="G296" s="22" t="n">
        <f aca="false">EXP(F296)-1</f>
        <v>0.00288689382474772</v>
      </c>
      <c r="H296" s="21" t="n">
        <f aca="false">EXP(SUM(F45:F296))-1</f>
        <v>-0.091122952798806</v>
      </c>
    </row>
    <row r="297" customFormat="false" ht="15" hidden="false" customHeight="false" outlineLevel="0" collapsed="false">
      <c r="A297" s="20" t="n">
        <v>44897</v>
      </c>
      <c r="B297" s="21" t="n">
        <v>386.342926</v>
      </c>
      <c r="C297" s="21" t="n">
        <v>86.567116</v>
      </c>
      <c r="D297" s="22" t="n">
        <f aca="false">LN(B297/B296)</f>
        <v>-0.0011544186128368</v>
      </c>
      <c r="E297" s="22" t="n">
        <f aca="false">LN(C297/C296)</f>
        <v>0.0041375638427194</v>
      </c>
      <c r="F297" s="22" t="n">
        <f aca="false">LN(Summary!$B$13*EXP(D297)+Summary!$B$14*EXP(E297))</f>
        <v>0.00096573616094781</v>
      </c>
      <c r="G297" s="22" t="n">
        <f aca="false">EXP(F297)-1</f>
        <v>0.00096620263426539</v>
      </c>
      <c r="H297" s="21" t="n">
        <f aca="false">EXP(SUM(F46:F297))-1</f>
        <v>-0.0984667952932463</v>
      </c>
    </row>
    <row r="298" customFormat="false" ht="15" hidden="false" customHeight="false" outlineLevel="0" collapsed="false">
      <c r="A298" s="20" t="n">
        <v>44900</v>
      </c>
      <c r="B298" s="21" t="n">
        <v>379.392883</v>
      </c>
      <c r="C298" s="21" t="n">
        <v>85.88707</v>
      </c>
      <c r="D298" s="22" t="n">
        <f aca="false">LN(B298/B297)</f>
        <v>-0.0181530856304537</v>
      </c>
      <c r="E298" s="22" t="n">
        <f aca="false">LN(C298/C297)</f>
        <v>-0.00788672679626916</v>
      </c>
      <c r="F298" s="22" t="n">
        <f aca="false">LN(Summary!$B$13*EXP(D298)+Summary!$B$14*EXP(E298))</f>
        <v>-0.0140338857144588</v>
      </c>
      <c r="G298" s="22" t="n">
        <f aca="false">EXP(F298)-1</f>
        <v>-0.0139358697908187</v>
      </c>
      <c r="H298" s="21" t="n">
        <f aca="false">EXP(SUM(F47:F298))-1</f>
        <v>-0.107804765450926</v>
      </c>
    </row>
    <row r="299" customFormat="false" ht="15" hidden="false" customHeight="false" outlineLevel="0" collapsed="false">
      <c r="A299" s="20" t="n">
        <v>44901</v>
      </c>
      <c r="B299" s="21" t="n">
        <v>373.924011</v>
      </c>
      <c r="C299" s="21" t="n">
        <v>86.139915</v>
      </c>
      <c r="D299" s="22" t="n">
        <f aca="false">LN(B299/B298)</f>
        <v>-0.0145197011323443</v>
      </c>
      <c r="E299" s="22" t="n">
        <f aca="false">LN(C299/C298)</f>
        <v>0.00293959906435099</v>
      </c>
      <c r="F299" s="22" t="n">
        <f aca="false">LN(Summary!$B$13*EXP(D299)+Summary!$B$14*EXP(E299))</f>
        <v>-0.007499359627571</v>
      </c>
      <c r="G299" s="22" t="n">
        <f aca="false">EXP(F299)-1</f>
        <v>-0.00747130959305675</v>
      </c>
      <c r="H299" s="21" t="n">
        <f aca="false">EXP(SUM(F48:F299))-1</f>
        <v>-0.119503202702487</v>
      </c>
    </row>
    <row r="300" customFormat="false" ht="15" hidden="false" customHeight="false" outlineLevel="0" collapsed="false">
      <c r="A300" s="20" t="n">
        <v>44902</v>
      </c>
      <c r="B300" s="21" t="n">
        <v>373.287933</v>
      </c>
      <c r="C300" s="21" t="n">
        <v>86.907188</v>
      </c>
      <c r="D300" s="22" t="n">
        <f aca="false">LN(B300/B299)</f>
        <v>-0.00170253743600868</v>
      </c>
      <c r="E300" s="22" t="n">
        <f aca="false">LN(C300/C299)</f>
        <v>0.00886785175608596</v>
      </c>
      <c r="F300" s="22" t="n">
        <f aca="false">LN(Summary!$B$13*EXP(D300)+Summary!$B$14*EXP(E300))</f>
        <v>0.00253903560962119</v>
      </c>
      <c r="G300" s="22" t="n">
        <f aca="false">EXP(F300)-1</f>
        <v>0.00254226169033478</v>
      </c>
      <c r="H300" s="21" t="n">
        <f aca="false">EXP(SUM(F49:F300))-1</f>
        <v>-0.127544883042098</v>
      </c>
    </row>
    <row r="301" customFormat="false" ht="15" hidden="false" customHeight="false" outlineLevel="0" collapsed="false">
      <c r="A301" s="20" t="n">
        <v>44903</v>
      </c>
      <c r="B301" s="21" t="n">
        <v>376.21225</v>
      </c>
      <c r="C301" s="21" t="n">
        <v>86.645607</v>
      </c>
      <c r="D301" s="22" t="n">
        <f aca="false">LN(B301/B300)</f>
        <v>0.00780341861309768</v>
      </c>
      <c r="E301" s="22" t="n">
        <f aca="false">LN(C301/C300)</f>
        <v>-0.0030144279506107</v>
      </c>
      <c r="F301" s="22" t="n">
        <f aca="false">LN(Summary!$B$13*EXP(D301)+Summary!$B$14*EXP(E301))</f>
        <v>0.00349031289624346</v>
      </c>
      <c r="G301" s="22" t="n">
        <f aca="false">EXP(F301)-1</f>
        <v>0.00349641113115218</v>
      </c>
      <c r="H301" s="21" t="n">
        <f aca="false">EXP(SUM(F50:F301))-1</f>
        <v>-0.124967555378327</v>
      </c>
    </row>
    <row r="302" customFormat="false" ht="15" hidden="false" customHeight="false" outlineLevel="0" collapsed="false">
      <c r="A302" s="20" t="n">
        <v>44904</v>
      </c>
      <c r="B302" s="21" t="n">
        <v>373.401794</v>
      </c>
      <c r="C302" s="21" t="n">
        <v>86.131218</v>
      </c>
      <c r="D302" s="22" t="n">
        <f aca="false">LN(B302/B301)</f>
        <v>-0.00749844320828017</v>
      </c>
      <c r="E302" s="22" t="n">
        <f aca="false">LN(C302/C301)</f>
        <v>-0.00595439254998795</v>
      </c>
      <c r="F302" s="22" t="n">
        <f aca="false">LN(Summary!$B$13*EXP(D302)+Summary!$B$14*EXP(E302))</f>
        <v>-0.00688053682444676</v>
      </c>
      <c r="G302" s="22" t="n">
        <f aca="false">EXP(F302)-1</f>
        <v>-0.00685692012717842</v>
      </c>
      <c r="H302" s="21" t="n">
        <f aca="false">EXP(SUM(F51:F302))-1</f>
        <v>-0.12746348947652</v>
      </c>
    </row>
    <row r="303" customFormat="false" ht="15" hidden="false" customHeight="false" outlineLevel="0" collapsed="false">
      <c r="A303" s="20" t="n">
        <v>44907</v>
      </c>
      <c r="B303" s="21" t="n">
        <v>378.785309</v>
      </c>
      <c r="C303" s="21" t="n">
        <v>86.148598</v>
      </c>
      <c r="D303" s="22" t="n">
        <f aca="false">LN(B303/B302)</f>
        <v>0.014314541965622</v>
      </c>
      <c r="E303" s="22" t="n">
        <f aca="false">LN(C303/C302)</f>
        <v>0.000201764785480923</v>
      </c>
      <c r="F303" s="22" t="n">
        <f aca="false">LN(Summary!$B$13*EXP(D303)+Summary!$B$14*EXP(E303))</f>
        <v>0.0086933088902248</v>
      </c>
      <c r="G303" s="22" t="n">
        <f aca="false">EXP(F303)-1</f>
        <v>0.00873120543581307</v>
      </c>
      <c r="H303" s="21" t="n">
        <f aca="false">EXP(SUM(F52:F303))-1</f>
        <v>-0.124880090958959</v>
      </c>
    </row>
    <row r="304" customFormat="false" ht="15" hidden="false" customHeight="false" outlineLevel="0" collapsed="false">
      <c r="A304" s="20" t="n">
        <v>44908</v>
      </c>
      <c r="B304" s="21" t="n">
        <v>381.652649</v>
      </c>
      <c r="C304" s="21" t="n">
        <v>86.72406</v>
      </c>
      <c r="D304" s="22" t="n">
        <f aca="false">LN(B304/B303)</f>
        <v>0.00754132157394254</v>
      </c>
      <c r="E304" s="22" t="n">
        <f aca="false">LN(C304/C303)</f>
        <v>0.006657665037896</v>
      </c>
      <c r="F304" s="22" t="n">
        <f aca="false">LN(Summary!$B$13*EXP(D304)+Summary!$B$14*EXP(E304))</f>
        <v>0.00718795265586607</v>
      </c>
      <c r="G304" s="22" t="n">
        <f aca="false">EXP(F304)-1</f>
        <v>0.00721384799519953</v>
      </c>
      <c r="H304" s="21" t="n">
        <f aca="false">EXP(SUM(F53:F304))-1</f>
        <v>-0.115103174876103</v>
      </c>
    </row>
    <row r="305" customFormat="false" ht="15" hidden="false" customHeight="false" outlineLevel="0" collapsed="false">
      <c r="A305" s="20" t="n">
        <v>44909</v>
      </c>
      <c r="B305" s="21" t="n">
        <v>379.212494</v>
      </c>
      <c r="C305" s="21" t="n">
        <v>86.915894</v>
      </c>
      <c r="D305" s="22" t="n">
        <f aca="false">LN(B305/B304)</f>
        <v>-0.00641418098452244</v>
      </c>
      <c r="E305" s="22" t="n">
        <f aca="false">LN(C305/C304)</f>
        <v>0.00220956149351493</v>
      </c>
      <c r="F305" s="22" t="n">
        <f aca="false">LN(Summary!$B$13*EXP(D305)+Summary!$B$14*EXP(E305))</f>
        <v>-0.00295575461485086</v>
      </c>
      <c r="G305" s="22" t="n">
        <f aca="false">EXP(F305)-1</f>
        <v>-0.00295139067281869</v>
      </c>
      <c r="H305" s="21" t="n">
        <f aca="false">EXP(SUM(F54:F305))-1</f>
        <v>-0.113374310951191</v>
      </c>
    </row>
    <row r="306" customFormat="false" ht="15" hidden="false" customHeight="false" outlineLevel="0" collapsed="false">
      <c r="A306" s="20" t="n">
        <v>44910</v>
      </c>
      <c r="B306" s="21" t="n">
        <v>369.93634</v>
      </c>
      <c r="C306" s="21" t="n">
        <v>87.043457</v>
      </c>
      <c r="D306" s="22" t="n">
        <f aca="false">LN(B306/B305)</f>
        <v>-0.0247657813691</v>
      </c>
      <c r="E306" s="22" t="n">
        <f aca="false">LN(C306/C305)</f>
        <v>0.00146658425811536</v>
      </c>
      <c r="F306" s="22" t="n">
        <f aca="false">LN(Summary!$B$13*EXP(D306)+Summary!$B$14*EXP(E306))</f>
        <v>-0.01419011635856</v>
      </c>
      <c r="G306" s="22" t="n">
        <f aca="false">EXP(F306)-1</f>
        <v>-0.0140899111916994</v>
      </c>
      <c r="H306" s="21" t="n">
        <f aca="false">EXP(SUM(F55:F306))-1</f>
        <v>-0.133715479385294</v>
      </c>
    </row>
    <row r="307" customFormat="false" ht="15" hidden="false" customHeight="false" outlineLevel="0" collapsed="false">
      <c r="A307" s="20" t="n">
        <v>44911</v>
      </c>
      <c r="B307" s="21" t="n">
        <v>365.568787</v>
      </c>
      <c r="C307" s="21" t="n">
        <v>86.816269</v>
      </c>
      <c r="D307" s="22" t="n">
        <f aca="false">LN(B307/B306)</f>
        <v>-0.0118764755723308</v>
      </c>
      <c r="E307" s="22" t="n">
        <f aca="false">LN(C307/C306)</f>
        <v>-0.00261346471133357</v>
      </c>
      <c r="F307" s="22" t="n">
        <f aca="false">LN(Summary!$B$13*EXP(D307)+Summary!$B$14*EXP(E307))</f>
        <v>-0.00816096849757104</v>
      </c>
      <c r="G307" s="22" t="n">
        <f aca="false">EXP(F307)-1</f>
        <v>-0.00812775819830414</v>
      </c>
      <c r="H307" s="21" t="n">
        <f aca="false">EXP(SUM(F56:F307))-1</f>
        <v>-0.136663312960569</v>
      </c>
    </row>
    <row r="308" customFormat="false" ht="15" hidden="false" customHeight="false" outlineLevel="0" collapsed="false">
      <c r="A308" s="20" t="n">
        <v>44914</v>
      </c>
      <c r="B308" s="21" t="n">
        <v>362.468964</v>
      </c>
      <c r="C308" s="21" t="n">
        <v>86.283218</v>
      </c>
      <c r="D308" s="22" t="n">
        <f aca="false">LN(B308/B307)</f>
        <v>-0.00851560713118927</v>
      </c>
      <c r="E308" s="22" t="n">
        <f aca="false">LN(C308/C307)</f>
        <v>-0.00615891698147692</v>
      </c>
      <c r="F308" s="22" t="n">
        <f aca="false">LN(Summary!$B$13*EXP(D308)+Summary!$B$14*EXP(E308))</f>
        <v>-0.00757226448811249</v>
      </c>
      <c r="G308" s="22" t="n">
        <f aca="false">EXP(F308)-1</f>
        <v>-0.00754366712117449</v>
      </c>
      <c r="H308" s="21" t="n">
        <f aca="false">EXP(SUM(F57:F308))-1</f>
        <v>-0.138094053717382</v>
      </c>
    </row>
    <row r="309" customFormat="false" ht="15" hidden="false" customHeight="false" outlineLevel="0" collapsed="false">
      <c r="A309" s="20" t="n">
        <v>44915</v>
      </c>
      <c r="B309" s="21" t="n">
        <v>362.964905</v>
      </c>
      <c r="C309" s="21" t="n">
        <v>85.697754</v>
      </c>
      <c r="D309" s="22" t="n">
        <f aca="false">LN(B309/B308)</f>
        <v>0.00136729507252507</v>
      </c>
      <c r="E309" s="22" t="n">
        <f aca="false">LN(C309/C308)</f>
        <v>-0.00680850043840887</v>
      </c>
      <c r="F309" s="22" t="n">
        <f aca="false">LN(Summary!$B$13*EXP(D309)+Summary!$B$14*EXP(E309))</f>
        <v>-0.00189500628761103</v>
      </c>
      <c r="G309" s="22" t="n">
        <f aca="false">EXP(F309)-1</f>
        <v>-0.00189321189683556</v>
      </c>
      <c r="H309" s="21" t="n">
        <f aca="false">EXP(SUM(F58:F309))-1</f>
        <v>-0.13368425552301</v>
      </c>
    </row>
    <row r="310" customFormat="false" ht="15" hidden="false" customHeight="false" outlineLevel="0" collapsed="false">
      <c r="A310" s="20" t="n">
        <v>44916</v>
      </c>
      <c r="B310" s="21" t="n">
        <v>368.392151</v>
      </c>
      <c r="C310" s="21" t="n">
        <v>85.93367</v>
      </c>
      <c r="D310" s="22" t="n">
        <f aca="false">LN(B310/B309)</f>
        <v>0.014841849357922</v>
      </c>
      <c r="E310" s="22" t="n">
        <f aca="false">LN(C310/C309)</f>
        <v>0.00274910203599011</v>
      </c>
      <c r="F310" s="22" t="n">
        <f aca="false">LN(Summary!$B$13*EXP(D310)+Summary!$B$14*EXP(E310))</f>
        <v>0.010022284332769</v>
      </c>
      <c r="G310" s="22" t="n">
        <f aca="false">EXP(F310)-1</f>
        <v>0.0100726756289977</v>
      </c>
      <c r="H310" s="21" t="n">
        <f aca="false">EXP(SUM(F59:F310))-1</f>
        <v>-0.133913918155974</v>
      </c>
    </row>
    <row r="311" customFormat="false" ht="15" hidden="false" customHeight="false" outlineLevel="0" collapsed="false">
      <c r="A311" s="20" t="n">
        <v>44917</v>
      </c>
      <c r="B311" s="21" t="n">
        <v>363.136627</v>
      </c>
      <c r="C311" s="21" t="n">
        <v>85.907455</v>
      </c>
      <c r="D311" s="22" t="n">
        <f aca="false">LN(B311/B310)</f>
        <v>-0.0143688521374685</v>
      </c>
      <c r="E311" s="22" t="n">
        <f aca="false">LN(C311/C310)</f>
        <v>-0.000305107408990376</v>
      </c>
      <c r="F311" s="22" t="n">
        <f aca="false">LN(Summary!$B$13*EXP(D311)+Summary!$B$14*EXP(E311))</f>
        <v>-0.00871959749550198</v>
      </c>
      <c r="G311" s="22" t="n">
        <f aca="false">EXP(F311)-1</f>
        <v>-0.00868169205865332</v>
      </c>
      <c r="H311" s="21" t="n">
        <f aca="false">EXP(SUM(F60:F311))-1</f>
        <v>-0.14684998565438</v>
      </c>
    </row>
    <row r="312" customFormat="false" ht="15" hidden="false" customHeight="false" outlineLevel="0" collapsed="false">
      <c r="A312" s="20" t="n">
        <v>44918</v>
      </c>
      <c r="B312" s="21" t="n">
        <v>365.225464</v>
      </c>
      <c r="C312" s="21" t="n">
        <v>85.610352</v>
      </c>
      <c r="D312" s="22" t="n">
        <f aca="false">LN(B312/B311)</f>
        <v>0.00573572609681543</v>
      </c>
      <c r="E312" s="22" t="n">
        <f aca="false">LN(C312/C311)</f>
        <v>-0.00346440177088342</v>
      </c>
      <c r="F312" s="22" t="n">
        <f aca="false">LN(Summary!$B$13*EXP(D312)+Summary!$B$14*EXP(E312))</f>
        <v>0.00206582577083252</v>
      </c>
      <c r="G312" s="22" t="n">
        <f aca="false">EXP(F312)-1</f>
        <v>0.00206796105901486</v>
      </c>
      <c r="H312" s="21" t="n">
        <f aca="false">EXP(SUM(F61:F312))-1</f>
        <v>-0.147849615511605</v>
      </c>
    </row>
    <row r="313" customFormat="false" ht="15" hidden="false" customHeight="false" outlineLevel="0" collapsed="false">
      <c r="A313" s="20" t="n">
        <v>44922</v>
      </c>
      <c r="B313" s="21" t="n">
        <v>363.785217</v>
      </c>
      <c r="C313" s="21" t="n">
        <v>84.989914</v>
      </c>
      <c r="D313" s="22" t="n">
        <f aca="false">LN(B313/B312)</f>
        <v>-0.00395124217336022</v>
      </c>
      <c r="E313" s="22" t="n">
        <f aca="false">LN(C313/C312)</f>
        <v>-0.0072736197888671</v>
      </c>
      <c r="F313" s="22" t="n">
        <f aca="false">LN(Summary!$B$13*EXP(D313)+Summary!$B$14*EXP(E313))</f>
        <v>-0.00527886893032073</v>
      </c>
      <c r="G313" s="22" t="n">
        <f aca="false">EXP(F313)-1</f>
        <v>-0.00526496018663647</v>
      </c>
      <c r="H313" s="21" t="n">
        <f aca="false">EXP(SUM(F62:F313))-1</f>
        <v>-0.159648583637215</v>
      </c>
    </row>
    <row r="314" customFormat="false" ht="15" hidden="false" customHeight="false" outlineLevel="0" collapsed="false">
      <c r="A314" s="20" t="n">
        <v>44923</v>
      </c>
      <c r="B314" s="21" t="n">
        <v>359.264099</v>
      </c>
      <c r="C314" s="21" t="n">
        <v>84.841362</v>
      </c>
      <c r="D314" s="22" t="n">
        <f aca="false">LN(B314/B313)</f>
        <v>-0.0125058604544283</v>
      </c>
      <c r="E314" s="22" t="n">
        <f aca="false">LN(C314/C313)</f>
        <v>-0.00174940731041822</v>
      </c>
      <c r="F314" s="22" t="n">
        <f aca="false">LN(Summary!$B$13*EXP(D314)+Summary!$B$14*EXP(E314))</f>
        <v>-0.00818938514544175</v>
      </c>
      <c r="G314" s="22" t="n">
        <f aca="false">EXP(F314)-1</f>
        <v>-0.00815594348206461</v>
      </c>
      <c r="H314" s="21" t="n">
        <f aca="false">EXP(SUM(F63:F314))-1</f>
        <v>-0.165947497971039</v>
      </c>
    </row>
    <row r="315" customFormat="false" ht="15" hidden="false" customHeight="false" outlineLevel="0" collapsed="false">
      <c r="A315" s="20" t="n">
        <v>44924</v>
      </c>
      <c r="B315" s="21" t="n">
        <v>365.730988</v>
      </c>
      <c r="C315" s="21" t="n">
        <v>85.155945</v>
      </c>
      <c r="D315" s="22" t="n">
        <f aca="false">LN(B315/B314)</f>
        <v>0.0178402878482329</v>
      </c>
      <c r="E315" s="22" t="n">
        <f aca="false">LN(C315/C314)</f>
        <v>0.00370103932397391</v>
      </c>
      <c r="F315" s="22" t="n">
        <f aca="false">LN(Summary!$B$13*EXP(D315)+Summary!$B$14*EXP(E315))</f>
        <v>0.0122085558513978</v>
      </c>
      <c r="G315" s="22" t="n">
        <f aca="false">EXP(F315)-1</f>
        <v>0.0122833844758055</v>
      </c>
      <c r="H315" s="21" t="n">
        <f aca="false">EXP(SUM(F64:F315))-1</f>
        <v>-0.155344943326511</v>
      </c>
    </row>
    <row r="316" customFormat="false" ht="15" hidden="false" customHeight="false" outlineLevel="0" collapsed="false">
      <c r="A316" s="20" t="n">
        <v>44925</v>
      </c>
      <c r="B316" s="21" t="n">
        <v>364.767639</v>
      </c>
      <c r="C316" s="21" t="n">
        <v>84.753998</v>
      </c>
      <c r="D316" s="22" t="n">
        <f aca="false">LN(B316/B315)</f>
        <v>-0.00263751230420622</v>
      </c>
      <c r="E316" s="22" t="n">
        <f aca="false">LN(C316/C315)</f>
        <v>-0.00473130345063025</v>
      </c>
      <c r="F316" s="22" t="n">
        <f aca="false">LN(Summary!$B$13*EXP(D316)+Summary!$B$14*EXP(E316))</f>
        <v>-0.0034745027609294</v>
      </c>
      <c r="G316" s="22" t="n">
        <f aca="false">EXP(F316)-1</f>
        <v>-0.00346847366094105</v>
      </c>
      <c r="H316" s="21" t="n">
        <f aca="false">EXP(SUM(F65:F316))-1</f>
        <v>-0.157616966816632</v>
      </c>
    </row>
    <row r="317" customFormat="false" ht="15" hidden="false" customHeight="false" outlineLevel="0" collapsed="false">
      <c r="A317" s="20" t="n">
        <v>44929</v>
      </c>
      <c r="B317" s="21" t="n">
        <v>363.231964</v>
      </c>
      <c r="C317" s="21" t="n">
        <v>85.252068</v>
      </c>
      <c r="D317" s="22" t="n">
        <f aca="false">LN(B317/B316)</f>
        <v>-0.00421889592101838</v>
      </c>
      <c r="E317" s="22" t="n">
        <f aca="false">LN(C317/C316)</f>
        <v>0.00585945474472262</v>
      </c>
      <c r="F317" s="22" t="n">
        <f aca="false">LN(Summary!$B$13*EXP(D317)+Summary!$B$14*EXP(E317))</f>
        <v>-0.000175358732419467</v>
      </c>
      <c r="G317" s="22" t="n">
        <f aca="false">EXP(F317)-1</f>
        <v>-0.000175343357975644</v>
      </c>
      <c r="H317" s="21" t="n">
        <f aca="false">EXP(SUM(F66:F317))-1</f>
        <v>-0.156370797942746</v>
      </c>
    </row>
    <row r="318" customFormat="false" ht="15" hidden="false" customHeight="false" outlineLevel="0" collapsed="false">
      <c r="A318" s="20" t="n">
        <v>44930</v>
      </c>
      <c r="B318" s="21" t="n">
        <v>366.036163</v>
      </c>
      <c r="C318" s="21" t="n">
        <v>85.723976</v>
      </c>
      <c r="D318" s="22" t="n">
        <f aca="false">LN(B318/B317)</f>
        <v>0.0076904850685894</v>
      </c>
      <c r="E318" s="22" t="n">
        <f aca="false">LN(C318/C317)</f>
        <v>0.00552017917019968</v>
      </c>
      <c r="F318" s="22" t="n">
        <f aca="false">LN(Summary!$B$13*EXP(D318)+Summary!$B$14*EXP(E318))</f>
        <v>0.00682292785467796</v>
      </c>
      <c r="G318" s="22" t="n">
        <f aca="false">EXP(F318)-1</f>
        <v>0.00684625705456776</v>
      </c>
      <c r="H318" s="21" t="n">
        <f aca="false">EXP(SUM(F67:F318))-1</f>
        <v>-0.151222402374713</v>
      </c>
    </row>
    <row r="319" customFormat="false" ht="15" hidden="false" customHeight="false" outlineLevel="0" collapsed="false">
      <c r="A319" s="20" t="n">
        <v>44931</v>
      </c>
      <c r="B319" s="21" t="n">
        <v>361.858429</v>
      </c>
      <c r="C319" s="21" t="n">
        <v>85.654037</v>
      </c>
      <c r="D319" s="22" t="n">
        <f aca="false">LN(B319/B318)</f>
        <v>-0.011479079307799</v>
      </c>
      <c r="E319" s="22" t="n">
        <f aca="false">LN(C319/C318)</f>
        <v>-0.000816195761152067</v>
      </c>
      <c r="F319" s="22" t="n">
        <f aca="false">LN(Summary!$B$13*EXP(D319)+Summary!$B$14*EXP(E319))</f>
        <v>-0.00720027259714877</v>
      </c>
      <c r="G319" s="22" t="n">
        <f aca="false">EXP(F319)-1</f>
        <v>-0.00717441273764785</v>
      </c>
      <c r="H319" s="21" t="n">
        <f aca="false">EXP(SUM(F68:F319))-1</f>
        <v>-0.15711265005966</v>
      </c>
    </row>
    <row r="320" customFormat="false" ht="15" hidden="false" customHeight="false" outlineLevel="0" collapsed="false">
      <c r="A320" s="20" t="n">
        <v>44932</v>
      </c>
      <c r="B320" s="21" t="n">
        <v>370.156708</v>
      </c>
      <c r="C320" s="21" t="n">
        <v>86.589058</v>
      </c>
      <c r="D320" s="22" t="n">
        <f aca="false">LN(B320/B319)</f>
        <v>0.0226733958842128</v>
      </c>
      <c r="E320" s="22" t="n">
        <f aca="false">LN(C320/C319)</f>
        <v>0.0108570992031956</v>
      </c>
      <c r="F320" s="22" t="n">
        <f aca="false">LN(Summary!$B$13*EXP(D320)+Summary!$B$14*EXP(E320))</f>
        <v>0.0179636189114809</v>
      </c>
      <c r="G320" s="22" t="n">
        <f aca="false">EXP(F320)-1</f>
        <v>0.0181259351862266</v>
      </c>
      <c r="H320" s="21" t="n">
        <f aca="false">EXP(SUM(F69:F320))-1</f>
        <v>-0.13074549825961</v>
      </c>
    </row>
    <row r="321" customFormat="false" ht="15" hidden="false" customHeight="false" outlineLevel="0" collapsed="false">
      <c r="A321" s="20" t="n">
        <v>44935</v>
      </c>
      <c r="B321" s="21" t="n">
        <v>369.946869</v>
      </c>
      <c r="C321" s="21" t="n">
        <v>86.80751</v>
      </c>
      <c r="D321" s="22" t="n">
        <f aca="false">LN(B321/B320)</f>
        <v>-0.000567053077822889</v>
      </c>
      <c r="E321" s="22" t="n">
        <f aca="false">LN(C321/C320)</f>
        <v>0.00251968211476497</v>
      </c>
      <c r="F321" s="22" t="n">
        <f aca="false">LN(Summary!$B$13*EXP(D321)+Summary!$B$14*EXP(E321))</f>
        <v>0.00066878458619218</v>
      </c>
      <c r="G321" s="22" t="n">
        <f aca="false">EXP(F321)-1</f>
        <v>0.000669008272466742</v>
      </c>
      <c r="H321" s="21" t="n">
        <f aca="false">EXP(SUM(F70:F321))-1</f>
        <v>-0.129303055815384</v>
      </c>
    </row>
    <row r="322" customFormat="false" ht="15" hidden="false" customHeight="false" outlineLevel="0" collapsed="false">
      <c r="A322" s="20" t="n">
        <v>44936</v>
      </c>
      <c r="B322" s="21" t="n">
        <v>372.541199</v>
      </c>
      <c r="C322" s="21" t="n">
        <v>86.475449</v>
      </c>
      <c r="D322" s="22" t="n">
        <f aca="false">LN(B322/B321)</f>
        <v>0.00698823501612482</v>
      </c>
      <c r="E322" s="22" t="n">
        <f aca="false">LN(C322/C321)</f>
        <v>-0.0038325915990798</v>
      </c>
      <c r="F322" s="22" t="n">
        <f aca="false">LN(Summary!$B$13*EXP(D322)+Summary!$B$14*EXP(E322))</f>
        <v>0.00267394500835689</v>
      </c>
      <c r="G322" s="22" t="n">
        <f aca="false">EXP(F322)-1</f>
        <v>0.00267752318788506</v>
      </c>
      <c r="H322" s="21" t="n">
        <f aca="false">EXP(SUM(F71:F322))-1</f>
        <v>-0.123868514530679</v>
      </c>
    </row>
    <row r="323" customFormat="false" ht="15" hidden="false" customHeight="false" outlineLevel="0" collapsed="false">
      <c r="A323" s="20" t="n">
        <v>44937</v>
      </c>
      <c r="B323" s="21" t="n">
        <v>377.253082</v>
      </c>
      <c r="C323" s="21" t="n">
        <v>87.008507</v>
      </c>
      <c r="D323" s="22" t="n">
        <f aca="false">LN(B323/B322)</f>
        <v>0.0125686342173424</v>
      </c>
      <c r="E323" s="22" t="n">
        <f aca="false">LN(C323/C322)</f>
        <v>0.00614534842162042</v>
      </c>
      <c r="F323" s="22" t="n">
        <f aca="false">LN(Summary!$B$13*EXP(D323)+Summary!$B$14*EXP(E323))</f>
        <v>0.0100042688034953</v>
      </c>
      <c r="G323" s="22" t="n">
        <f aca="false">EXP(F323)-1</f>
        <v>0.0100544787990546</v>
      </c>
      <c r="H323" s="21" t="n">
        <f aca="false">EXP(SUM(F72:F323))-1</f>
        <v>-0.114082786597091</v>
      </c>
    </row>
    <row r="324" customFormat="false" ht="15" hidden="false" customHeight="false" outlineLevel="0" collapsed="false">
      <c r="A324" s="20" t="n">
        <v>44938</v>
      </c>
      <c r="B324" s="21" t="n">
        <v>378.626617</v>
      </c>
      <c r="C324" s="21" t="n">
        <v>87.637672</v>
      </c>
      <c r="D324" s="22" t="n">
        <f aca="false">LN(B324/B323)</f>
        <v>0.00363427279132895</v>
      </c>
      <c r="E324" s="22" t="n">
        <f aca="false">LN(C324/C323)</f>
        <v>0.0072050556778435</v>
      </c>
      <c r="F324" s="22" t="n">
        <f aca="false">LN(Summary!$B$13*EXP(D324)+Summary!$B$14*EXP(E324))</f>
        <v>0.00506411636830345</v>
      </c>
      <c r="G324" s="22" t="n">
        <f aca="false">EXP(F324)-1</f>
        <v>0.00507696067813956</v>
      </c>
      <c r="H324" s="21" t="n">
        <f aca="false">EXP(SUM(F73:F324))-1</f>
        <v>-0.115082634023451</v>
      </c>
    </row>
    <row r="325" customFormat="false" ht="15" hidden="false" customHeight="false" outlineLevel="0" collapsed="false">
      <c r="A325" s="20" t="n">
        <v>44939</v>
      </c>
      <c r="B325" s="21" t="n">
        <v>380.095459</v>
      </c>
      <c r="C325" s="21" t="n">
        <v>87.314369</v>
      </c>
      <c r="D325" s="22" t="n">
        <f aca="false">LN(B325/B324)</f>
        <v>0.00387188901305834</v>
      </c>
      <c r="E325" s="22" t="n">
        <f aca="false">LN(C325/C324)</f>
        <v>-0.00369590850351357</v>
      </c>
      <c r="F325" s="22" t="n">
        <f aca="false">LN(Summary!$B$13*EXP(D325)+Summary!$B$14*EXP(E325))</f>
        <v>0.000851639111769725</v>
      </c>
      <c r="G325" s="22" t="n">
        <f aca="false">EXP(F325)-1</f>
        <v>0.000852001859327434</v>
      </c>
      <c r="H325" s="21" t="n">
        <f aca="false">EXP(SUM(F74:F325))-1</f>
        <v>-0.115762939444896</v>
      </c>
    </row>
    <row r="326" customFormat="false" ht="15" hidden="false" customHeight="false" outlineLevel="0" collapsed="false">
      <c r="A326" s="20" t="n">
        <v>44943</v>
      </c>
      <c r="B326" s="21" t="n">
        <v>379.399139</v>
      </c>
      <c r="C326" s="21" t="n">
        <v>87.157074</v>
      </c>
      <c r="D326" s="22" t="n">
        <f aca="false">LN(B326/B325)</f>
        <v>-0.00183364094210327</v>
      </c>
      <c r="E326" s="22" t="n">
        <f aca="false">LN(C326/C325)</f>
        <v>-0.0018031035900383</v>
      </c>
      <c r="F326" s="22" t="n">
        <f aca="false">LN(Summary!$B$13*EXP(D326)+Summary!$B$14*EXP(E326))</f>
        <v>-0.00182142588937352</v>
      </c>
      <c r="G326" s="22" t="n">
        <f aca="false">EXP(F326)-1</f>
        <v>-0.00181976809990458</v>
      </c>
      <c r="H326" s="21" t="n">
        <f aca="false">EXP(SUM(F75:F326))-1</f>
        <v>-0.110651528325766</v>
      </c>
    </row>
    <row r="327" customFormat="false" ht="15" hidden="false" customHeight="false" outlineLevel="0" collapsed="false">
      <c r="A327" s="20" t="n">
        <v>44944</v>
      </c>
      <c r="B327" s="21" t="n">
        <v>373.409149</v>
      </c>
      <c r="C327" s="21" t="n">
        <v>88.022163</v>
      </c>
      <c r="D327" s="22" t="n">
        <f aca="false">LN(B327/B326)</f>
        <v>-0.0159140554435235</v>
      </c>
      <c r="E327" s="22" t="n">
        <f aca="false">LN(C327/C326)</f>
        <v>0.00987669597371334</v>
      </c>
      <c r="F327" s="22" t="n">
        <f aca="false">LN(Summary!$B$13*EXP(D327)+Summary!$B$14*EXP(E327))</f>
        <v>-0.00551780004844318</v>
      </c>
      <c r="G327" s="22" t="n">
        <f aca="false">EXP(F327)-1</f>
        <v>-0.00550260495043953</v>
      </c>
      <c r="H327" s="21" t="n">
        <f aca="false">EXP(SUM(F76:F327))-1</f>
        <v>-0.113782971564551</v>
      </c>
    </row>
    <row r="328" customFormat="false" ht="15" hidden="false" customHeight="false" outlineLevel="0" collapsed="false">
      <c r="A328" s="20" t="n">
        <v>44945</v>
      </c>
      <c r="B328" s="21" t="n">
        <v>370.690887</v>
      </c>
      <c r="C328" s="21" t="n">
        <v>87.821159</v>
      </c>
      <c r="D328" s="22" t="n">
        <f aca="false">LN(B328/B327)</f>
        <v>-0.00730620604854066</v>
      </c>
      <c r="E328" s="22" t="n">
        <f aca="false">LN(C328/C327)</f>
        <v>-0.00228617254566026</v>
      </c>
      <c r="F328" s="22" t="n">
        <f aca="false">LN(Summary!$B$13*EXP(D328)+Summary!$B$14*EXP(E328))</f>
        <v>-0.00529516754975255</v>
      </c>
      <c r="G328" s="22" t="n">
        <f aca="false">EXP(F328)-1</f>
        <v>-0.0052811728623634</v>
      </c>
      <c r="H328" s="21" t="n">
        <f aca="false">EXP(SUM(F77:F328))-1</f>
        <v>-0.106806313412458</v>
      </c>
    </row>
    <row r="329" customFormat="false" ht="15" hidden="false" customHeight="false" outlineLevel="0" collapsed="false">
      <c r="A329" s="20" t="n">
        <v>44946</v>
      </c>
      <c r="B329" s="21" t="n">
        <v>377.596436</v>
      </c>
      <c r="C329" s="21" t="n">
        <v>87.462875</v>
      </c>
      <c r="D329" s="22" t="n">
        <f aca="false">LN(B329/B328)</f>
        <v>0.0184574690338992</v>
      </c>
      <c r="E329" s="22" t="n">
        <f aca="false">LN(C329/C328)</f>
        <v>-0.00408804488118246</v>
      </c>
      <c r="F329" s="22" t="n">
        <f aca="false">LN(Summary!$B$13*EXP(D329)+Summary!$B$14*EXP(E329))</f>
        <v>0.00950016668006401</v>
      </c>
      <c r="G329" s="22" t="n">
        <f aca="false">EXP(F329)-1</f>
        <v>0.00954543650694073</v>
      </c>
      <c r="H329" s="21" t="n">
        <f aca="false">EXP(SUM(F78:F329))-1</f>
        <v>-0.0934132249991801</v>
      </c>
    </row>
    <row r="330" customFormat="false" ht="15" hidden="false" customHeight="false" outlineLevel="0" collapsed="false">
      <c r="A330" s="20" t="n">
        <v>44949</v>
      </c>
      <c r="B330" s="21" t="n">
        <v>382.127045</v>
      </c>
      <c r="C330" s="21" t="n">
        <v>87.244438</v>
      </c>
      <c r="D330" s="22" t="n">
        <f aca="false">LN(B330/B329)</f>
        <v>0.0119271361811448</v>
      </c>
      <c r="E330" s="22" t="n">
        <f aca="false">LN(C330/C329)</f>
        <v>-0.00250060641507839</v>
      </c>
      <c r="F330" s="22" t="n">
        <f aca="false">LN(Summary!$B$13*EXP(D330)+Summary!$B$14*EXP(E330))</f>
        <v>0.0061809940970413</v>
      </c>
      <c r="G330" s="22" t="n">
        <f aca="false">EXP(F330)-1</f>
        <v>0.0062001358591055</v>
      </c>
      <c r="H330" s="21" t="n">
        <f aca="false">EXP(SUM(F79:F330))-1</f>
        <v>-0.081892105148486</v>
      </c>
    </row>
    <row r="331" customFormat="false" ht="15" hidden="false" customHeight="false" outlineLevel="0" collapsed="false">
      <c r="A331" s="20" t="n">
        <v>44950</v>
      </c>
      <c r="B331" s="21" t="n">
        <v>381.716919</v>
      </c>
      <c r="C331" s="21" t="n">
        <v>87.628929</v>
      </c>
      <c r="D331" s="22" t="n">
        <f aca="false">LN(B331/B330)</f>
        <v>-0.00107384769335265</v>
      </c>
      <c r="E331" s="22" t="n">
        <f aca="false">LN(C331/C330)</f>
        <v>0.00439737195168394</v>
      </c>
      <c r="F331" s="22" t="n">
        <f aca="false">LN(Summary!$B$13*EXP(D331)+Summary!$B$14*EXP(E331))</f>
        <v>0.00111823358025861</v>
      </c>
      <c r="G331" s="22" t="n">
        <f aca="false">EXP(F331)-1</f>
        <v>0.0011188590365423</v>
      </c>
      <c r="H331" s="21" t="n">
        <f aca="false">EXP(SUM(F80:F331))-1</f>
        <v>-0.0713895219322132</v>
      </c>
    </row>
    <row r="332" customFormat="false" ht="15" hidden="false" customHeight="false" outlineLevel="0" collapsed="false">
      <c r="A332" s="20" t="n">
        <v>44951</v>
      </c>
      <c r="B332" s="21" t="n">
        <v>381.859955</v>
      </c>
      <c r="C332" s="21" t="n">
        <v>87.733803</v>
      </c>
      <c r="D332" s="22" t="n">
        <f aca="false">LN(B332/B331)</f>
        <v>0.000374647285803021</v>
      </c>
      <c r="E332" s="22" t="n">
        <f aca="false">LN(C332/C331)</f>
        <v>0.00119608096095128</v>
      </c>
      <c r="F332" s="22" t="n">
        <f aca="false">LN(Summary!$B$13*EXP(D332)+Summary!$B$14*EXP(E332))</f>
        <v>0.000703301730688404</v>
      </c>
      <c r="G332" s="22" t="n">
        <f aca="false">EXP(F332)-1</f>
        <v>0.000703549105340207</v>
      </c>
      <c r="H332" s="21" t="n">
        <f aca="false">EXP(SUM(F81:F332))-1</f>
        <v>-0.0726693463022782</v>
      </c>
    </row>
    <row r="333" customFormat="false" ht="15" hidden="false" customHeight="false" outlineLevel="0" collapsed="false">
      <c r="A333" s="20" t="n">
        <v>44952</v>
      </c>
      <c r="B333" s="21" t="n">
        <v>386.056763</v>
      </c>
      <c r="C333" s="21" t="n">
        <v>87.585236</v>
      </c>
      <c r="D333" s="22" t="n">
        <f aca="false">LN(B333/B332)</f>
        <v>0.0109304816164615</v>
      </c>
      <c r="E333" s="22" t="n">
        <f aca="false">LN(C333/C332)</f>
        <v>-0.00169481918688972</v>
      </c>
      <c r="F333" s="22" t="n">
        <f aca="false">LN(Summary!$B$13*EXP(D333)+Summary!$B$14*EXP(E333))</f>
        <v>0.00589947287041003</v>
      </c>
      <c r="G333" s="22" t="n">
        <f aca="false">EXP(F333)-1</f>
        <v>0.00591690903167441</v>
      </c>
      <c r="H333" s="21" t="n">
        <f aca="false">EXP(SUM(F82:F333))-1</f>
        <v>-0.059926898296558</v>
      </c>
    </row>
    <row r="334" customFormat="false" ht="15" hidden="false" customHeight="false" outlineLevel="0" collapsed="false">
      <c r="A334" s="20" t="n">
        <v>44953</v>
      </c>
      <c r="B334" s="21" t="n">
        <v>386.943817</v>
      </c>
      <c r="C334" s="21" t="n">
        <v>87.454178</v>
      </c>
      <c r="D334" s="22" t="n">
        <f aca="false">LN(B334/B333)</f>
        <v>0.00229509372263725</v>
      </c>
      <c r="E334" s="22" t="n">
        <f aca="false">LN(C334/C333)</f>
        <v>-0.00149746872999135</v>
      </c>
      <c r="F334" s="22" t="n">
        <f aca="false">LN(Summary!$B$13*EXP(D334)+Summary!$B$14*EXP(E334))</f>
        <v>0.000779794327867423</v>
      </c>
      <c r="G334" s="22" t="n">
        <f aca="false">EXP(F334)-1</f>
        <v>0.00078009844650917</v>
      </c>
      <c r="H334" s="21" t="n">
        <f aca="false">EXP(SUM(F83:F334))-1</f>
        <v>-0.0556471363981563</v>
      </c>
    </row>
    <row r="335" customFormat="false" ht="15" hidden="false" customHeight="false" outlineLevel="0" collapsed="false">
      <c r="A335" s="20" t="n">
        <v>44956</v>
      </c>
      <c r="B335" s="21" t="n">
        <v>382.088867</v>
      </c>
      <c r="C335" s="21" t="n">
        <v>87.218216</v>
      </c>
      <c r="D335" s="22" t="n">
        <f aca="false">LN(B335/B334)</f>
        <v>-0.0126262891035319</v>
      </c>
      <c r="E335" s="22" t="n">
        <f aca="false">LN(C335/C334)</f>
        <v>-0.00270176801417961</v>
      </c>
      <c r="F335" s="22" t="n">
        <f aca="false">LN(Summary!$B$13*EXP(D335)+Summary!$B$14*EXP(E335))</f>
        <v>-0.00864465335607293</v>
      </c>
      <c r="G335" s="22" t="n">
        <f aca="false">EXP(F335)-1</f>
        <v>-0.00860739577716374</v>
      </c>
      <c r="H335" s="21" t="n">
        <f aca="false">EXP(SUM(F84:F335))-1</f>
        <v>-0.0622437415093868</v>
      </c>
    </row>
    <row r="336" customFormat="false" ht="15" hidden="false" customHeight="false" outlineLevel="0" collapsed="false">
      <c r="A336" s="20" t="n">
        <v>44957</v>
      </c>
      <c r="B336" s="21" t="n">
        <v>387.70694</v>
      </c>
      <c r="C336" s="21" t="n">
        <v>87.576492</v>
      </c>
      <c r="D336" s="22" t="n">
        <f aca="false">LN(B336/B335)</f>
        <v>0.0145965272785137</v>
      </c>
      <c r="E336" s="22" t="n">
        <f aca="false">LN(C336/C335)</f>
        <v>0.00409939758287586</v>
      </c>
      <c r="F336" s="22" t="n">
        <f aca="false">LN(Summary!$B$13*EXP(D336)+Summary!$B$14*EXP(E336))</f>
        <v>0.0104108888613453</v>
      </c>
      <c r="G336" s="22" t="n">
        <f aca="false">EXP(F336)-1</f>
        <v>0.0104652707221133</v>
      </c>
      <c r="H336" s="21" t="n">
        <f aca="false">EXP(SUM(F85:F336))-1</f>
        <v>-0.0666056959290814</v>
      </c>
    </row>
    <row r="337" customFormat="false" ht="15" hidden="false" customHeight="false" outlineLevel="0" collapsed="false">
      <c r="A337" s="20" t="n">
        <v>44958</v>
      </c>
      <c r="B337" s="21" t="n">
        <v>391.827332</v>
      </c>
      <c r="C337" s="21" t="n">
        <v>88.194069</v>
      </c>
      <c r="D337" s="22" t="n">
        <f aca="false">LN(B337/B336)</f>
        <v>0.0105715182038377</v>
      </c>
      <c r="E337" s="22" t="n">
        <f aca="false">LN(C337/C336)</f>
        <v>0.00702711008974333</v>
      </c>
      <c r="F337" s="22" t="n">
        <f aca="false">LN(Summary!$B$13*EXP(D337)+Summary!$B$14*EXP(E337))</f>
        <v>0.00915526214074923</v>
      </c>
      <c r="G337" s="22" t="n">
        <f aca="false">EXP(F337)-1</f>
        <v>0.00919729974367112</v>
      </c>
      <c r="H337" s="21" t="n">
        <f aca="false">EXP(SUM(F86:F337))-1</f>
        <v>-0.0680587535497371</v>
      </c>
    </row>
    <row r="338" customFormat="false" ht="15" hidden="false" customHeight="false" outlineLevel="0" collapsed="false">
      <c r="A338" s="20" t="n">
        <v>44959</v>
      </c>
      <c r="B338" s="21" t="n">
        <v>397.531128</v>
      </c>
      <c r="C338" s="21" t="n">
        <v>88.290428</v>
      </c>
      <c r="D338" s="22" t="n">
        <f aca="false">LN(B338/B337)</f>
        <v>0.0144519773033318</v>
      </c>
      <c r="E338" s="22" t="n">
        <f aca="false">LN(C338/C337)</f>
        <v>0.00109198270911115</v>
      </c>
      <c r="F338" s="22" t="n">
        <f aca="false">LN(Summary!$B$13*EXP(D338)+Summary!$B$14*EXP(E338))</f>
        <v>0.00912937898350926</v>
      </c>
      <c r="G338" s="22" t="n">
        <f aca="false">EXP(F338)-1</f>
        <v>0.00917117886932251</v>
      </c>
      <c r="H338" s="21" t="n">
        <f aca="false">EXP(SUM(F87:F338))-1</f>
        <v>-0.0631790103418249</v>
      </c>
    </row>
    <row r="339" customFormat="false" ht="15" hidden="false" customHeight="false" outlineLevel="0" collapsed="false">
      <c r="A339" s="20" t="n">
        <v>44960</v>
      </c>
      <c r="B339" s="21" t="n">
        <v>393.305786</v>
      </c>
      <c r="C339" s="21" t="n">
        <v>87.440727</v>
      </c>
      <c r="D339" s="22" t="n">
        <f aca="false">LN(B339/B338)</f>
        <v>-0.0106858497165514</v>
      </c>
      <c r="E339" s="22" t="n">
        <f aca="false">LN(C339/C338)</f>
        <v>-0.00967054045649422</v>
      </c>
      <c r="F339" s="22" t="n">
        <f aca="false">LN(Summary!$B$13*EXP(D339)+Summary!$B$14*EXP(E339))</f>
        <v>-0.0102796023018129</v>
      </c>
      <c r="G339" s="22" t="n">
        <f aca="false">EXP(F339)-1</f>
        <v>-0.01022694776708</v>
      </c>
      <c r="H339" s="21" t="n">
        <f aca="false">EXP(SUM(F88:F339))-1</f>
        <v>-0.0785269019291102</v>
      </c>
    </row>
    <row r="340" customFormat="false" ht="15" hidden="false" customHeight="false" outlineLevel="0" collapsed="false">
      <c r="A340" s="20" t="n">
        <v>44963</v>
      </c>
      <c r="B340" s="21" t="n">
        <v>390.902161</v>
      </c>
      <c r="C340" s="21" t="n">
        <v>86.958923</v>
      </c>
      <c r="D340" s="22" t="n">
        <f aca="false">LN(B340/B339)</f>
        <v>-0.0061300896940463</v>
      </c>
      <c r="E340" s="22" t="n">
        <f aca="false">LN(C340/C339)</f>
        <v>-0.0055253003747044</v>
      </c>
      <c r="F340" s="22" t="n">
        <f aca="false">LN(Summary!$B$13*EXP(D340)+Summary!$B$14*EXP(E340))</f>
        <v>-0.00588813007212592</v>
      </c>
      <c r="G340" s="22" t="n">
        <f aca="false">EXP(F340)-1</f>
        <v>-0.00587082900788039</v>
      </c>
      <c r="H340" s="21" t="n">
        <f aca="false">EXP(SUM(F89:F340))-1</f>
        <v>-0.0693117012679273</v>
      </c>
    </row>
    <row r="341" customFormat="false" ht="15" hidden="false" customHeight="false" outlineLevel="0" collapsed="false">
      <c r="A341" s="20" t="n">
        <v>44964</v>
      </c>
      <c r="B341" s="21" t="n">
        <v>396.014648</v>
      </c>
      <c r="C341" s="21" t="n">
        <v>86.810028</v>
      </c>
      <c r="D341" s="22" t="n">
        <f aca="false">LN(B341/B340)</f>
        <v>0.0129938994176335</v>
      </c>
      <c r="E341" s="22" t="n">
        <f aca="false">LN(C341/C340)</f>
        <v>-0.00171371278450894</v>
      </c>
      <c r="F341" s="22" t="n">
        <f aca="false">LN(Summary!$B$13*EXP(D341)+Summary!$B$14*EXP(E341))</f>
        <v>0.00713678654253294</v>
      </c>
      <c r="G341" s="22" t="n">
        <f aca="false">EXP(F341)-1</f>
        <v>0.00716231409570822</v>
      </c>
      <c r="H341" s="21" t="n">
        <f aca="false">EXP(SUM(F90:F341))-1</f>
        <v>-0.0629315277351699</v>
      </c>
    </row>
    <row r="342" customFormat="false" ht="15" hidden="false" customHeight="false" outlineLevel="0" collapsed="false">
      <c r="A342" s="20" t="n">
        <v>44965</v>
      </c>
      <c r="B342" s="21" t="n">
        <v>391.684265</v>
      </c>
      <c r="C342" s="21" t="n">
        <v>86.932671</v>
      </c>
      <c r="D342" s="22" t="n">
        <f aca="false">LN(B342/B341)</f>
        <v>-0.0109951316537261</v>
      </c>
      <c r="E342" s="22" t="n">
        <f aca="false">LN(C342/C341)</f>
        <v>0.00141177754318349</v>
      </c>
      <c r="F342" s="22" t="n">
        <f aca="false">LN(Summary!$B$13*EXP(D342)+Summary!$B$14*EXP(E342))</f>
        <v>-0.00601388103343866</v>
      </c>
      <c r="G342" s="22" t="n">
        <f aca="false">EXP(F342)-1</f>
        <v>-0.00599583384689761</v>
      </c>
      <c r="H342" s="21" t="n">
        <f aca="false">EXP(SUM(F91:F342))-1</f>
        <v>-0.0670911239495855</v>
      </c>
    </row>
    <row r="343" customFormat="false" ht="15" hidden="false" customHeight="false" outlineLevel="0" collapsed="false">
      <c r="A343" s="20" t="n">
        <v>44966</v>
      </c>
      <c r="B343" s="21" t="n">
        <v>388.288727</v>
      </c>
      <c r="C343" s="21" t="n">
        <v>86.591034</v>
      </c>
      <c r="D343" s="22" t="n">
        <f aca="false">LN(B343/B342)</f>
        <v>-0.00870686417597937</v>
      </c>
      <c r="E343" s="22" t="n">
        <f aca="false">LN(C343/C342)</f>
        <v>-0.00393764576920383</v>
      </c>
      <c r="F343" s="22" t="n">
        <f aca="false">LN(Summary!$B$13*EXP(D343)+Summary!$B$14*EXP(E343))</f>
        <v>-0.0067964464944181</v>
      </c>
      <c r="G343" s="22" t="n">
        <f aca="false">EXP(F343)-1</f>
        <v>-0.00677340288637929</v>
      </c>
      <c r="H343" s="21" t="n">
        <f aca="false">EXP(SUM(F92:F343))-1</f>
        <v>-0.0768330114873249</v>
      </c>
    </row>
    <row r="344" customFormat="false" ht="15" hidden="false" customHeight="false" outlineLevel="0" collapsed="false">
      <c r="A344" s="20" t="n">
        <v>44967</v>
      </c>
      <c r="B344" s="21" t="n">
        <v>389.194824</v>
      </c>
      <c r="C344" s="21" t="n">
        <v>86.214325</v>
      </c>
      <c r="D344" s="22" t="n">
        <f aca="false">LN(B344/B343)</f>
        <v>0.00233084650873529</v>
      </c>
      <c r="E344" s="22" t="n">
        <f aca="false">LN(C344/C343)</f>
        <v>-0.00435992956373313</v>
      </c>
      <c r="F344" s="22" t="n">
        <f aca="false">LN(Summary!$B$13*EXP(D344)+Summary!$B$14*EXP(E344))</f>
        <v>-0.000340094347105671</v>
      </c>
      <c r="G344" s="22" t="n">
        <f aca="false">EXP(F344)-1</f>
        <v>-0.000340036521578768</v>
      </c>
      <c r="H344" s="21" t="n">
        <f aca="false">EXP(SUM(F93:F344))-1</f>
        <v>-0.0854109098591516</v>
      </c>
    </row>
    <row r="345" customFormat="false" ht="15" hidden="false" customHeight="false" outlineLevel="0" collapsed="false">
      <c r="A345" s="20" t="n">
        <v>44970</v>
      </c>
      <c r="B345" s="21" t="n">
        <v>393.76358</v>
      </c>
      <c r="C345" s="21" t="n">
        <v>86.47715</v>
      </c>
      <c r="D345" s="22" t="n">
        <f aca="false">LN(B345/B344)</f>
        <v>0.0116706272856128</v>
      </c>
      <c r="E345" s="22" t="n">
        <f aca="false">LN(C345/C344)</f>
        <v>0.00304387003383845</v>
      </c>
      <c r="F345" s="22" t="n">
        <f aca="false">LN(Summary!$B$13*EXP(D345)+Summary!$B$14*EXP(E345))</f>
        <v>0.00822884973736044</v>
      </c>
      <c r="G345" s="22" t="n">
        <f aca="false">EXP(F345)-1</f>
        <v>0.00826279978073585</v>
      </c>
      <c r="H345" s="21" t="n">
        <f aca="false">EXP(SUM(F94:F345))-1</f>
        <v>-0.0643094698595121</v>
      </c>
    </row>
    <row r="346" customFormat="false" ht="15" hidden="false" customHeight="false" outlineLevel="0" collapsed="false">
      <c r="A346" s="20" t="n">
        <v>44971</v>
      </c>
      <c r="B346" s="21" t="n">
        <v>393.582397</v>
      </c>
      <c r="C346" s="21" t="n">
        <v>86.170547</v>
      </c>
      <c r="D346" s="22" t="n">
        <f aca="false">LN(B346/B345)</f>
        <v>-0.000460237325117186</v>
      </c>
      <c r="E346" s="22" t="n">
        <f aca="false">LN(C346/C345)</f>
        <v>-0.00355178004279949</v>
      </c>
      <c r="F346" s="22" t="n">
        <f aca="false">LN(Summary!$B$13*EXP(D346)+Summary!$B$14*EXP(E346))</f>
        <v>-0.00169570773260953</v>
      </c>
      <c r="G346" s="22" t="n">
        <f aca="false">EXP(F346)-1</f>
        <v>-0.00169427083255458</v>
      </c>
      <c r="H346" s="21" t="n">
        <f aca="false">EXP(SUM(F95:F346))-1</f>
        <v>-0.0572230282361819</v>
      </c>
    </row>
    <row r="347" customFormat="false" ht="15" hidden="false" customHeight="false" outlineLevel="0" collapsed="false">
      <c r="A347" s="20" t="n">
        <v>44972</v>
      </c>
      <c r="B347" s="21" t="n">
        <v>394.860504</v>
      </c>
      <c r="C347" s="21" t="n">
        <v>86.004105</v>
      </c>
      <c r="D347" s="22" t="n">
        <f aca="false">LN(B347/B346)</f>
        <v>0.00324210698814427</v>
      </c>
      <c r="E347" s="22" t="n">
        <f aca="false">LN(C347/C346)</f>
        <v>-0.00193340947595107</v>
      </c>
      <c r="F347" s="22" t="n">
        <f aca="false">LN(Summary!$B$13*EXP(D347)+Summary!$B$14*EXP(E347))</f>
        <v>0.0011751136067825</v>
      </c>
      <c r="G347" s="22" t="n">
        <f aca="false">EXP(F347)-1</f>
        <v>0.00117580432330722</v>
      </c>
      <c r="H347" s="21" t="n">
        <f aca="false">EXP(SUM(F96:F347))-1</f>
        <v>-0.0520508335624031</v>
      </c>
    </row>
    <row r="348" customFormat="false" ht="15" hidden="false" customHeight="false" outlineLevel="0" collapsed="false">
      <c r="A348" s="20" t="n">
        <v>44973</v>
      </c>
      <c r="B348" s="21" t="n">
        <v>389.423798</v>
      </c>
      <c r="C348" s="21" t="n">
        <v>85.644936</v>
      </c>
      <c r="D348" s="22" t="n">
        <f aca="false">LN(B348/B347)</f>
        <v>-0.0138643424911664</v>
      </c>
      <c r="E348" s="22" t="n">
        <f aca="false">LN(C348/C347)</f>
        <v>-0.00418492899352636</v>
      </c>
      <c r="F348" s="22" t="n">
        <f aca="false">LN(Summary!$B$13*EXP(D348)+Summary!$B$14*EXP(E348))</f>
        <v>-0.00998132695032332</v>
      </c>
      <c r="G348" s="22" t="n">
        <f aca="false">EXP(F348)-1</f>
        <v>-0.00993167882849622</v>
      </c>
      <c r="H348" s="21" t="n">
        <f aca="false">EXP(SUM(F97:F348))-1</f>
        <v>-0.0698540746896833</v>
      </c>
    </row>
    <row r="349" customFormat="false" ht="15" hidden="false" customHeight="false" outlineLevel="0" collapsed="false">
      <c r="A349" s="20" t="n">
        <v>44974</v>
      </c>
      <c r="B349" s="21" t="n">
        <v>388.450897</v>
      </c>
      <c r="C349" s="21" t="n">
        <v>85.84642</v>
      </c>
      <c r="D349" s="22" t="n">
        <f aca="false">LN(B349/B348)</f>
        <v>-0.00250143503460049</v>
      </c>
      <c r="E349" s="22" t="n">
        <f aca="false">LN(C349/C348)</f>
        <v>0.00234978715437778</v>
      </c>
      <c r="F349" s="22" t="n">
        <f aca="false">LN(Summary!$B$13*EXP(D349)+Summary!$B$14*EXP(E349))</f>
        <v>-0.000558121125277818</v>
      </c>
      <c r="G349" s="22" t="n">
        <f aca="false">EXP(F349)-1</f>
        <v>-0.000557965404654248</v>
      </c>
      <c r="H349" s="21" t="n">
        <f aca="false">EXP(SUM(F98:F349))-1</f>
        <v>-0.071439190350628</v>
      </c>
    </row>
    <row r="350" customFormat="false" ht="15" hidden="false" customHeight="false" outlineLevel="0" collapsed="false">
      <c r="A350" s="20" t="n">
        <v>44978</v>
      </c>
      <c r="B350" s="21" t="n">
        <v>380.658203</v>
      </c>
      <c r="C350" s="21" t="n">
        <v>85.040512</v>
      </c>
      <c r="D350" s="22" t="n">
        <f aca="false">LN(B350/B349)</f>
        <v>-0.020264903070943</v>
      </c>
      <c r="E350" s="22" t="n">
        <f aca="false">LN(C350/C349)</f>
        <v>-0.00943213112162505</v>
      </c>
      <c r="F350" s="22" t="n">
        <f aca="false">LN(Summary!$B$13*EXP(D350)+Summary!$B$14*EXP(E350))</f>
        <v>-0.0159177023084312</v>
      </c>
      <c r="G350" s="22" t="n">
        <f aca="false">EXP(F350)-1</f>
        <v>-0.0157916852052702</v>
      </c>
      <c r="H350" s="21" t="n">
        <f aca="false">EXP(SUM(F99:F350))-1</f>
        <v>-0.0750253035724108</v>
      </c>
    </row>
    <row r="351" customFormat="false" ht="15" hidden="false" customHeight="false" outlineLevel="0" collapsed="false">
      <c r="A351" s="20" t="n">
        <v>44979</v>
      </c>
      <c r="B351" s="21" t="n">
        <v>380.133636</v>
      </c>
      <c r="C351" s="21" t="n">
        <v>85.268311</v>
      </c>
      <c r="D351" s="22" t="n">
        <f aca="false">LN(B351/B350)</f>
        <v>-0.00137900291837521</v>
      </c>
      <c r="E351" s="22" t="n">
        <f aca="false">LN(C351/C350)</f>
        <v>0.00267513017631749</v>
      </c>
      <c r="F351" s="22" t="n">
        <f aca="false">LN(Summary!$B$13*EXP(D351)+Summary!$B$14*EXP(E351))</f>
        <v>0.000244623170799922</v>
      </c>
      <c r="G351" s="22" t="n">
        <f aca="false">EXP(F351)-1</f>
        <v>0.000244653093487646</v>
      </c>
      <c r="H351" s="21" t="n">
        <f aca="false">EXP(SUM(F100:F351))-1</f>
        <v>-0.0719721717065425</v>
      </c>
    </row>
    <row r="352" customFormat="false" ht="15" hidden="false" customHeight="false" outlineLevel="0" collapsed="false">
      <c r="A352" s="20" t="n">
        <v>44980</v>
      </c>
      <c r="B352" s="21" t="n">
        <v>382.155731</v>
      </c>
      <c r="C352" s="21" t="n">
        <v>85.574898</v>
      </c>
      <c r="D352" s="22" t="n">
        <f aca="false">LN(B352/B351)</f>
        <v>0.00530533372353055</v>
      </c>
      <c r="E352" s="22" t="n">
        <f aca="false">LN(C352/C351)</f>
        <v>0.00358910759061236</v>
      </c>
      <c r="F352" s="22" t="n">
        <f aca="false">LN(Summary!$B$13*EXP(D352)+Summary!$B$14*EXP(E352))</f>
        <v>0.00461919668174166</v>
      </c>
      <c r="G352" s="22" t="n">
        <f aca="false">EXP(F352)-1</f>
        <v>0.00462988161633726</v>
      </c>
      <c r="H352" s="21" t="n">
        <f aca="false">EXP(SUM(F101:F352))-1</f>
        <v>-0.0612206331894999</v>
      </c>
    </row>
    <row r="353" customFormat="false" ht="15" hidden="false" customHeight="false" outlineLevel="0" collapsed="false">
      <c r="A353" s="20" t="n">
        <v>44981</v>
      </c>
      <c r="B353" s="21" t="n">
        <v>378.073334</v>
      </c>
      <c r="C353" s="21" t="n">
        <v>85.084328</v>
      </c>
      <c r="D353" s="22" t="n">
        <f aca="false">LN(B353/B352)</f>
        <v>-0.0107400162114762</v>
      </c>
      <c r="E353" s="22" t="n">
        <f aca="false">LN(C353/C352)</f>
        <v>-0.00574913367079907</v>
      </c>
      <c r="F353" s="22" t="n">
        <f aca="false">LN(Summary!$B$13*EXP(D353)+Summary!$B$14*EXP(E353))</f>
        <v>-0.00874067313437403</v>
      </c>
      <c r="G353" s="22" t="n">
        <f aca="false">EXP(F353)-1</f>
        <v>-0.00870258450515715</v>
      </c>
      <c r="H353" s="21" t="n">
        <f aca="false">EXP(SUM(F102:F353))-1</f>
        <v>-0.0576783208780156</v>
      </c>
    </row>
    <row r="354" customFormat="false" ht="15" hidden="false" customHeight="false" outlineLevel="0" collapsed="false">
      <c r="A354" s="20" t="n">
        <v>44984</v>
      </c>
      <c r="B354" s="21" t="n">
        <v>379.361023</v>
      </c>
      <c r="C354" s="21" t="n">
        <v>85.250771</v>
      </c>
      <c r="D354" s="22" t="n">
        <f aca="false">LN(B354/B353)</f>
        <v>0.00340013686644373</v>
      </c>
      <c r="E354" s="22" t="n">
        <f aca="false">LN(C354/C353)</f>
        <v>0.00195430130315713</v>
      </c>
      <c r="F354" s="22" t="n">
        <f aca="false">LN(Summary!$B$13*EXP(D354)+Summary!$B$14*EXP(E354))</f>
        <v>0.00282205346978757</v>
      </c>
      <c r="G354" s="22" t="n">
        <f aca="false">EXP(F354)-1</f>
        <v>0.0028260392111239</v>
      </c>
      <c r="H354" s="21" t="n">
        <f aca="false">EXP(SUM(F103:F354))-1</f>
        <v>-0.0641508637745111</v>
      </c>
    </row>
    <row r="355" customFormat="false" ht="15" hidden="false" customHeight="false" outlineLevel="0" collapsed="false">
      <c r="A355" s="20" t="n">
        <v>44985</v>
      </c>
      <c r="B355" s="21" t="n">
        <v>377.958954</v>
      </c>
      <c r="C355" s="21" t="n">
        <v>85.241997</v>
      </c>
      <c r="D355" s="22" t="n">
        <f aca="false">LN(B355/B354)</f>
        <v>-0.00370271653847119</v>
      </c>
      <c r="E355" s="22" t="n">
        <f aca="false">LN(C355/C354)</f>
        <v>-0.000102925186923416</v>
      </c>
      <c r="F355" s="22" t="n">
        <f aca="false">LN(Summary!$B$13*EXP(D355)+Summary!$B$14*EXP(E355))</f>
        <v>-0.00226124460567524</v>
      </c>
      <c r="G355" s="22" t="n">
        <f aca="false">EXP(F355)-1</f>
        <v>-0.0022586899180459</v>
      </c>
      <c r="H355" s="21" t="n">
        <f aca="false">EXP(SUM(F104:F355))-1</f>
        <v>-0.0788297342761177</v>
      </c>
    </row>
    <row r="356" customFormat="false" ht="15" hidden="false" customHeight="false" outlineLevel="0" collapsed="false">
      <c r="A356" s="20" t="n">
        <v>44986</v>
      </c>
      <c r="B356" s="21" t="n">
        <v>376.509064</v>
      </c>
      <c r="C356" s="21" t="n">
        <v>84.753784</v>
      </c>
      <c r="D356" s="22" t="n">
        <f aca="false">LN(B356/B355)</f>
        <v>-0.00384348110261733</v>
      </c>
      <c r="E356" s="22" t="n">
        <f aca="false">LN(C356/C355)</f>
        <v>-0.00574384069270021</v>
      </c>
      <c r="F356" s="22" t="n">
        <f aca="false">LN(Summary!$B$13*EXP(D356)+Summary!$B$14*EXP(E356))</f>
        <v>-0.0046031916296225</v>
      </c>
      <c r="G356" s="22" t="n">
        <f aca="false">EXP(F356)-1</f>
        <v>-0.00459261318079984</v>
      </c>
      <c r="H356" s="21" t="n">
        <f aca="false">EXP(SUM(F105:F356))-1</f>
        <v>-0.084295579501653</v>
      </c>
    </row>
    <row r="357" customFormat="false" ht="15" hidden="false" customHeight="false" outlineLevel="0" collapsed="false">
      <c r="A357" s="20" t="n">
        <v>44987</v>
      </c>
      <c r="B357" s="21" t="n">
        <v>379.437286</v>
      </c>
      <c r="C357" s="21" t="n">
        <v>84.578163</v>
      </c>
      <c r="D357" s="22" t="n">
        <f aca="false">LN(B357/B356)</f>
        <v>0.00774720757838597</v>
      </c>
      <c r="E357" s="22" t="n">
        <f aca="false">LN(C357/C356)</f>
        <v>-0.00207428150542129</v>
      </c>
      <c r="F357" s="22" t="n">
        <f aca="false">LN(Summary!$B$13*EXP(D357)+Summary!$B$14*EXP(E357))</f>
        <v>0.00383017972255334</v>
      </c>
      <c r="G357" s="22" t="n">
        <f aca="false">EXP(F357)-1</f>
        <v>0.00383752423484718</v>
      </c>
      <c r="H357" s="21" t="n">
        <f aca="false">EXP(SUM(F106:F357))-1</f>
        <v>-0.074409620251226</v>
      </c>
    </row>
    <row r="358" customFormat="false" ht="15" hidden="false" customHeight="false" outlineLevel="0" collapsed="false">
      <c r="A358" s="20" t="n">
        <v>44988</v>
      </c>
      <c r="B358" s="21" t="n">
        <v>385.522644</v>
      </c>
      <c r="C358" s="21" t="n">
        <v>85.245506</v>
      </c>
      <c r="D358" s="22" t="n">
        <f aca="false">LN(B358/B357)</f>
        <v>0.0159106016801688</v>
      </c>
      <c r="E358" s="22" t="n">
        <f aca="false">LN(C358/C357)</f>
        <v>0.00785928650563664</v>
      </c>
      <c r="F358" s="22" t="n">
        <f aca="false">LN(Summary!$B$13*EXP(D358)+Summary!$B$14*EXP(E358))</f>
        <v>0.0126978502576902</v>
      </c>
      <c r="G358" s="22" t="n">
        <f aca="false">EXP(F358)-1</f>
        <v>0.0127788102680626</v>
      </c>
      <c r="H358" s="21" t="n">
        <f aca="false">EXP(SUM(F107:F358))-1</f>
        <v>-0.0683920781944931</v>
      </c>
    </row>
    <row r="359" customFormat="false" ht="15" hidden="false" customHeight="false" outlineLevel="0" collapsed="false">
      <c r="A359" s="20" t="n">
        <v>44991</v>
      </c>
      <c r="B359" s="21" t="n">
        <v>385.789734</v>
      </c>
      <c r="C359" s="21" t="n">
        <v>85.034798</v>
      </c>
      <c r="D359" s="22" t="n">
        <f aca="false">LN(B359/B358)</f>
        <v>0.000692559897374244</v>
      </c>
      <c r="E359" s="22" t="n">
        <f aca="false">LN(C359/C358)</f>
        <v>-0.00247483828248027</v>
      </c>
      <c r="F359" s="22" t="n">
        <f aca="false">LN(Summary!$B$13*EXP(D359)+Summary!$B$14*EXP(E359))</f>
        <v>-0.000573195739875695</v>
      </c>
      <c r="G359" s="22" t="n">
        <f aca="false">EXP(F359)-1</f>
        <v>-0.000573031494580656</v>
      </c>
      <c r="H359" s="21" t="n">
        <f aca="false">EXP(SUM(F108:F359))-1</f>
        <v>-0.0674010320677564</v>
      </c>
    </row>
    <row r="360" customFormat="false" ht="15" hidden="false" customHeight="false" outlineLevel="0" collapsed="false">
      <c r="A360" s="20" t="n">
        <v>44992</v>
      </c>
      <c r="B360" s="21" t="n">
        <v>379.876038</v>
      </c>
      <c r="C360" s="21" t="n">
        <v>84.920647</v>
      </c>
      <c r="D360" s="22" t="n">
        <f aca="false">LN(B360/B359)</f>
        <v>-0.0154475067642715</v>
      </c>
      <c r="E360" s="22" t="n">
        <f aca="false">LN(C360/C359)</f>
        <v>-0.0013433052076108</v>
      </c>
      <c r="F360" s="22" t="n">
        <f aca="false">LN(Summary!$B$13*EXP(D360)+Summary!$B$14*EXP(E360))</f>
        <v>-0.00978193245013672</v>
      </c>
      <c r="G360" s="22" t="n">
        <f aca="false">EXP(F360)-1</f>
        <v>-0.00973424496748676</v>
      </c>
      <c r="H360" s="21" t="n">
        <f aca="false">EXP(SUM(F109:F360))-1</f>
        <v>-0.0734466118199242</v>
      </c>
    </row>
    <row r="361" customFormat="false" ht="15" hidden="false" customHeight="false" outlineLevel="0" collapsed="false">
      <c r="A361" s="20" t="n">
        <v>44993</v>
      </c>
      <c r="B361" s="21" t="n">
        <v>380.496063</v>
      </c>
      <c r="C361" s="21" t="n">
        <v>84.832779</v>
      </c>
      <c r="D361" s="22" t="n">
        <f aca="false">LN(B361/B360)</f>
        <v>0.00163084662524022</v>
      </c>
      <c r="E361" s="22" t="n">
        <f aca="false">LN(C361/C360)</f>
        <v>-0.00103524282152104</v>
      </c>
      <c r="F361" s="22" t="n">
        <f aca="false">LN(Summary!$B$13*EXP(D361)+Summary!$B$14*EXP(E361))</f>
        <v>0.000565263658660829</v>
      </c>
      <c r="G361" s="22" t="n">
        <f aca="false">EXP(F361)-1</f>
        <v>0.000565423450269442</v>
      </c>
      <c r="H361" s="21" t="n">
        <f aca="false">EXP(SUM(F110:F361))-1</f>
        <v>-0.0539947698868758</v>
      </c>
    </row>
    <row r="362" customFormat="false" ht="15" hidden="false" customHeight="false" outlineLevel="0" collapsed="false">
      <c r="A362" s="20" t="n">
        <v>44994</v>
      </c>
      <c r="B362" s="21" t="n">
        <v>373.475983</v>
      </c>
      <c r="C362" s="21" t="n">
        <v>85.140152</v>
      </c>
      <c r="D362" s="22" t="n">
        <f aca="false">LN(B362/B361)</f>
        <v>-0.0186221303743855</v>
      </c>
      <c r="E362" s="22" t="n">
        <f aca="false">LN(C362/C361)</f>
        <v>0.00361673277324212</v>
      </c>
      <c r="F362" s="22" t="n">
        <f aca="false">LN(Summary!$B$13*EXP(D362)+Summary!$B$14*EXP(E362))</f>
        <v>-0.0096671501626602</v>
      </c>
      <c r="G362" s="22" t="n">
        <f aca="false">EXP(F362)-1</f>
        <v>-0.00962057347530232</v>
      </c>
      <c r="H362" s="21" t="n">
        <f aca="false">EXP(SUM(F111:F362))-1</f>
        <v>-0.0574672739395703</v>
      </c>
    </row>
    <row r="363" customFormat="false" ht="15" hidden="false" customHeight="false" outlineLevel="0" collapsed="false">
      <c r="A363" s="20" t="n">
        <v>44995</v>
      </c>
      <c r="B363" s="21" t="n">
        <v>368.086884</v>
      </c>
      <c r="C363" s="21" t="n">
        <v>86.132393</v>
      </c>
      <c r="D363" s="22" t="n">
        <f aca="false">LN(B363/B362)</f>
        <v>-0.0145346918335551</v>
      </c>
      <c r="E363" s="22" t="n">
        <f aca="false">LN(C363/C362)</f>
        <v>0.0115868203048604</v>
      </c>
      <c r="F363" s="22" t="n">
        <f aca="false">LN(Summary!$B$13*EXP(D363)+Summary!$B$14*EXP(E363))</f>
        <v>-0.00400406643959705</v>
      </c>
      <c r="G363" s="22" t="n">
        <f aca="false">EXP(F363)-1</f>
        <v>-0.00399606085410043</v>
      </c>
      <c r="H363" s="21" t="n">
        <f aca="false">EXP(SUM(F112:F363))-1</f>
        <v>-0.0753300669409454</v>
      </c>
    </row>
    <row r="364" customFormat="false" ht="15" hidden="false" customHeight="false" outlineLevel="0" collapsed="false">
      <c r="A364" s="20" t="n">
        <v>44998</v>
      </c>
      <c r="B364" s="21" t="n">
        <v>367.562286</v>
      </c>
      <c r="C364" s="21" t="n">
        <v>86.817329</v>
      </c>
      <c r="D364" s="22" t="n">
        <f aca="false">LN(B364/B363)</f>
        <v>-0.00142621812221621</v>
      </c>
      <c r="E364" s="22" t="n">
        <f aca="false">LN(C364/C363)</f>
        <v>0.00792067859938254</v>
      </c>
      <c r="F364" s="22" t="n">
        <f aca="false">LN(Summary!$B$13*EXP(D364)+Summary!$B$14*EXP(E364))</f>
        <v>0.0023230308028797</v>
      </c>
      <c r="G364" s="22" t="n">
        <f aca="false">EXP(F364)-1</f>
        <v>0.00232573112951107</v>
      </c>
      <c r="H364" s="21" t="n">
        <f aca="false">EXP(SUM(F113:F364))-1</f>
        <v>-0.0685715679265061</v>
      </c>
    </row>
    <row r="365" customFormat="false" ht="15" hidden="false" customHeight="false" outlineLevel="0" collapsed="false">
      <c r="A365" s="20" t="n">
        <v>44999</v>
      </c>
      <c r="B365" s="21" t="n">
        <v>373.638092</v>
      </c>
      <c r="C365" s="21" t="n">
        <v>86.308006</v>
      </c>
      <c r="D365" s="22" t="n">
        <f aca="false">LN(B365/B364)</f>
        <v>0.0163948704658691</v>
      </c>
      <c r="E365" s="22" t="n">
        <f aca="false">LN(C365/C364)</f>
        <v>-0.00588388140185908</v>
      </c>
      <c r="F365" s="22" t="n">
        <f aca="false">LN(Summary!$B$13*EXP(D365)+Summary!$B$14*EXP(E365))</f>
        <v>0.00754284130995904</v>
      </c>
      <c r="G365" s="22" t="n">
        <f aca="false">EXP(F365)-1</f>
        <v>0.00757136019685811</v>
      </c>
      <c r="H365" s="21" t="n">
        <f aca="false">EXP(SUM(F114:F365))-1</f>
        <v>-0.0542344299284666</v>
      </c>
    </row>
    <row r="366" customFormat="false" ht="15" hidden="false" customHeight="false" outlineLevel="0" collapsed="false">
      <c r="A366" s="20" t="n">
        <v>45000</v>
      </c>
      <c r="B366" s="21" t="n">
        <v>371.301239</v>
      </c>
      <c r="C366" s="21" t="n">
        <v>87.168541</v>
      </c>
      <c r="D366" s="22" t="n">
        <f aca="false">LN(B366/B365)</f>
        <v>-0.00627396237017817</v>
      </c>
      <c r="E366" s="22" t="n">
        <f aca="false">LN(C366/C365)</f>
        <v>0.00992113427814848</v>
      </c>
      <c r="F366" s="22" t="n">
        <f aca="false">LN(Summary!$B$13*EXP(D366)+Summary!$B$14*EXP(E366))</f>
        <v>0.000235583705640043</v>
      </c>
      <c r="G366" s="22" t="n">
        <f aca="false">EXP(F366)-1</f>
        <v>0.00023561145766049</v>
      </c>
      <c r="H366" s="21" t="n">
        <f aca="false">EXP(SUM(F115:F366))-1</f>
        <v>-0.0461333953555133</v>
      </c>
    </row>
    <row r="367" customFormat="false" ht="15" hidden="false" customHeight="false" outlineLevel="0" collapsed="false">
      <c r="A367" s="20" t="n">
        <v>45001</v>
      </c>
      <c r="B367" s="21" t="n">
        <v>377.815796</v>
      </c>
      <c r="C367" s="21" t="n">
        <v>86.826103</v>
      </c>
      <c r="D367" s="22" t="n">
        <f aca="false">LN(B367/B366)</f>
        <v>0.0173930665733247</v>
      </c>
      <c r="E367" s="22" t="n">
        <f aca="false">LN(C367/C366)</f>
        <v>-0.00393619520993923</v>
      </c>
      <c r="F367" s="22" t="n">
        <f aca="false">LN(Summary!$B$13*EXP(D367)+Summary!$B$14*EXP(E367))</f>
        <v>0.00891587581385535</v>
      </c>
      <c r="G367" s="22" t="n">
        <f aca="false">EXP(F367)-1</f>
        <v>0.00895574062310311</v>
      </c>
      <c r="H367" s="21" t="n">
        <f aca="false">EXP(SUM(F116:F367))-1</f>
        <v>-0.050961212873452</v>
      </c>
    </row>
    <row r="368" customFormat="false" ht="15" hidden="false" customHeight="false" outlineLevel="0" collapsed="false">
      <c r="A368" s="20" t="n">
        <v>45002</v>
      </c>
      <c r="B368" s="21" t="n">
        <v>373.398193</v>
      </c>
      <c r="C368" s="21" t="n">
        <v>87.370522</v>
      </c>
      <c r="D368" s="22" t="n">
        <f aca="false">LN(B368/B367)</f>
        <v>-0.0117613728936072</v>
      </c>
      <c r="E368" s="22" t="n">
        <f aca="false">LN(C368/C367)</f>
        <v>0.00625064661916183</v>
      </c>
      <c r="F368" s="22" t="n">
        <f aca="false">LN(Summary!$B$13*EXP(D368)+Summary!$B$14*EXP(E368))</f>
        <v>-0.00451758686188892</v>
      </c>
      <c r="G368" s="22" t="n">
        <f aca="false">EXP(F368)-1</f>
        <v>-0.00450739791528643</v>
      </c>
      <c r="H368" s="21" t="n">
        <f aca="false">EXP(SUM(F117:F368))-1</f>
        <v>-0.0679171658438564</v>
      </c>
    </row>
    <row r="369" customFormat="false" ht="15" hidden="false" customHeight="false" outlineLevel="0" collapsed="false">
      <c r="A369" s="20" t="n">
        <v>45005</v>
      </c>
      <c r="B369" s="21" t="n">
        <v>376.988556</v>
      </c>
      <c r="C369" s="21" t="n">
        <v>87.019272</v>
      </c>
      <c r="D369" s="22" t="n">
        <f aca="false">LN(B369/B368)</f>
        <v>0.00956943976810492</v>
      </c>
      <c r="E369" s="22" t="n">
        <f aca="false">LN(C369/C368)</f>
        <v>-0.00402833751833445</v>
      </c>
      <c r="F369" s="22" t="n">
        <f aca="false">LN(Summary!$B$13*EXP(D369)+Summary!$B$14*EXP(E369))</f>
        <v>0.00415249653532646</v>
      </c>
      <c r="G369" s="22" t="n">
        <f aca="false">EXP(F369)-1</f>
        <v>0.0041611300952038</v>
      </c>
      <c r="H369" s="21" t="n">
        <f aca="false">EXP(SUM(F118:F369))-1</f>
        <v>-0.0716282909953174</v>
      </c>
    </row>
    <row r="370" customFormat="false" ht="15" hidden="false" customHeight="false" outlineLevel="0" collapsed="false">
      <c r="A370" s="20" t="n">
        <v>45006</v>
      </c>
      <c r="B370" s="21" t="n">
        <v>381.938568</v>
      </c>
      <c r="C370" s="21" t="n">
        <v>86.755829</v>
      </c>
      <c r="D370" s="22" t="n">
        <f aca="false">LN(B370/B369)</f>
        <v>0.0130449473706384</v>
      </c>
      <c r="E370" s="22" t="n">
        <f aca="false">LN(C370/C369)</f>
        <v>-0.00303200171145356</v>
      </c>
      <c r="F370" s="22" t="n">
        <f aca="false">LN(Summary!$B$13*EXP(D370)+Summary!$B$14*EXP(E370))</f>
        <v>0.00664515039662965</v>
      </c>
      <c r="G370" s="22" t="n">
        <f aca="false">EXP(F370)-1</f>
        <v>0.00666727839600001</v>
      </c>
      <c r="H370" s="21" t="n">
        <f aca="false">EXP(SUM(F119:F370))-1</f>
        <v>-0.0723603023299916</v>
      </c>
    </row>
    <row r="371" customFormat="false" ht="15" hidden="false" customHeight="false" outlineLevel="0" collapsed="false">
      <c r="A371" s="20" t="n">
        <v>45007</v>
      </c>
      <c r="B371" s="21" t="n">
        <v>375.427917</v>
      </c>
      <c r="C371" s="21" t="n">
        <v>87.590042</v>
      </c>
      <c r="D371" s="22" t="n">
        <f aca="false">LN(B371/B370)</f>
        <v>-0.0171932915232641</v>
      </c>
      <c r="E371" s="22" t="n">
        <f aca="false">LN(C371/C370)</f>
        <v>0.00956970602848771</v>
      </c>
      <c r="F371" s="22" t="n">
        <f aca="false">LN(Summary!$B$13*EXP(D371)+Summary!$B$14*EXP(E371))</f>
        <v>-0.0064019904518615</v>
      </c>
      <c r="G371" s="22" t="n">
        <f aca="false">EXP(F371)-1</f>
        <v>-0.00638154137252989</v>
      </c>
      <c r="H371" s="21" t="n">
        <f aca="false">EXP(SUM(F120:F371))-1</f>
        <v>-0.0744875574406098</v>
      </c>
    </row>
    <row r="372" customFormat="false" ht="15" hidden="false" customHeight="false" outlineLevel="0" collapsed="false">
      <c r="A372" s="20" t="n">
        <v>45008</v>
      </c>
      <c r="B372" s="21" t="n">
        <v>376.442841</v>
      </c>
      <c r="C372" s="21" t="n">
        <v>87.800774</v>
      </c>
      <c r="D372" s="22" t="n">
        <f aca="false">LN(B372/B371)</f>
        <v>0.00269973158457015</v>
      </c>
      <c r="E372" s="22" t="n">
        <f aca="false">LN(C372/C371)</f>
        <v>0.00240300041028859</v>
      </c>
      <c r="F372" s="22" t="n">
        <f aca="false">LN(Summary!$B$13*EXP(D372)+Summary!$B$14*EXP(E372))</f>
        <v>0.00258104968057538</v>
      </c>
      <c r="G372" s="22" t="n">
        <f aca="false">EXP(F372)-1</f>
        <v>0.00258438345689926</v>
      </c>
      <c r="H372" s="21" t="n">
        <f aca="false">EXP(SUM(F121:F372))-1</f>
        <v>-0.0775722307877135</v>
      </c>
    </row>
    <row r="373" customFormat="false" ht="15" hidden="false" customHeight="false" outlineLevel="0" collapsed="false">
      <c r="A373" s="20" t="n">
        <v>45009</v>
      </c>
      <c r="B373" s="21" t="n">
        <v>378.913055</v>
      </c>
      <c r="C373" s="21" t="n">
        <v>87.950058</v>
      </c>
      <c r="D373" s="22" t="n">
        <f aca="false">LN(B373/B372)</f>
        <v>0.00654055345076103</v>
      </c>
      <c r="E373" s="22" t="n">
        <f aca="false">LN(C373/C372)</f>
        <v>0.00169881455699082</v>
      </c>
      <c r="F373" s="22" t="n">
        <f aca="false">LN(Summary!$B$13*EXP(D373)+Summary!$B$14*EXP(E373))</f>
        <v>0.00460667007508158</v>
      </c>
      <c r="G373" s="22" t="n">
        <f aca="false">EXP(F373)-1</f>
        <v>0.00461729709179215</v>
      </c>
      <c r="H373" s="21" t="n">
        <f aca="false">EXP(SUM(F122:F373))-1</f>
        <v>-0.0676459686547094</v>
      </c>
    </row>
    <row r="374" customFormat="false" ht="15" hidden="false" customHeight="false" outlineLevel="0" collapsed="false">
      <c r="A374" s="20" t="n">
        <v>45012</v>
      </c>
      <c r="B374" s="21" t="n">
        <v>379.621613</v>
      </c>
      <c r="C374" s="21" t="n">
        <v>87.001732</v>
      </c>
      <c r="D374" s="22" t="n">
        <f aca="false">LN(B374/B373)</f>
        <v>0.00186822893133417</v>
      </c>
      <c r="E374" s="22" t="n">
        <f aca="false">LN(C374/C373)</f>
        <v>-0.010841104146557</v>
      </c>
      <c r="F374" s="22" t="n">
        <f aca="false">LN(Summary!$B$13*EXP(D374)+Summary!$B$14*EXP(E374))</f>
        <v>-0.00319613757991672</v>
      </c>
      <c r="G374" s="22" t="n">
        <f aca="false">EXP(F374)-1</f>
        <v>-0.00319103536943821</v>
      </c>
      <c r="H374" s="21" t="n">
        <f aca="false">EXP(SUM(F123:F374))-1</f>
        <v>-0.0781333235924417</v>
      </c>
    </row>
    <row r="375" customFormat="false" ht="15" hidden="false" customHeight="false" outlineLevel="0" collapsed="false">
      <c r="A375" s="20" t="n">
        <v>45013</v>
      </c>
      <c r="B375" s="21" t="n">
        <v>378.76947</v>
      </c>
      <c r="C375" s="21" t="n">
        <v>86.869995</v>
      </c>
      <c r="D375" s="22" t="n">
        <f aca="false">LN(B375/B374)</f>
        <v>-0.00224723992071612</v>
      </c>
      <c r="E375" s="22" t="n">
        <f aca="false">LN(C375/C374)</f>
        <v>-0.00151533578784019</v>
      </c>
      <c r="F375" s="22" t="n">
        <f aca="false">LN(Summary!$B$13*EXP(D375)+Summary!$B$14*EXP(E375))</f>
        <v>-0.00195441398239132</v>
      </c>
      <c r="G375" s="22" t="n">
        <f aca="false">EXP(F375)-1</f>
        <v>-0.00195250535899993</v>
      </c>
      <c r="H375" s="21" t="n">
        <f aca="false">EXP(SUM(F124:F375))-1</f>
        <v>-0.0797043693637296</v>
      </c>
    </row>
    <row r="376" customFormat="false" ht="15" hidden="false" customHeight="false" outlineLevel="0" collapsed="false">
      <c r="A376" s="20" t="n">
        <v>45014</v>
      </c>
      <c r="B376" s="21" t="n">
        <v>384.274811</v>
      </c>
      <c r="C376" s="21" t="n">
        <v>86.975388</v>
      </c>
      <c r="D376" s="22" t="n">
        <f aca="false">LN(B376/B375)</f>
        <v>0.0144301888326677</v>
      </c>
      <c r="E376" s="22" t="n">
        <f aca="false">LN(C376/C375)</f>
        <v>0.00121249136552353</v>
      </c>
      <c r="F376" s="22" t="n">
        <f aca="false">LN(Summary!$B$13*EXP(D376)+Summary!$B$14*EXP(E376))</f>
        <v>0.00916405614112473</v>
      </c>
      <c r="G376" s="22" t="n">
        <f aca="false">EXP(F376)-1</f>
        <v>0.00920617466412699</v>
      </c>
      <c r="H376" s="21" t="n">
        <f aca="false">EXP(SUM(F125:F376))-1</f>
        <v>-0.0760806208655516</v>
      </c>
    </row>
    <row r="377" customFormat="false" ht="15" hidden="false" customHeight="false" outlineLevel="0" collapsed="false">
      <c r="A377" s="20" t="n">
        <v>45015</v>
      </c>
      <c r="B377" s="21" t="n">
        <v>386.524902</v>
      </c>
      <c r="C377" s="21" t="n">
        <v>87.07196</v>
      </c>
      <c r="D377" s="22" t="n">
        <f aca="false">LN(B377/B376)</f>
        <v>0.00583834517185733</v>
      </c>
      <c r="E377" s="22" t="n">
        <f aca="false">LN(C377/C376)</f>
        <v>0.00110972113071847</v>
      </c>
      <c r="F377" s="22" t="n">
        <f aca="false">LN(Summary!$B$13*EXP(D377)+Summary!$B$14*EXP(E377))</f>
        <v>0.00394957789359039</v>
      </c>
      <c r="G377" s="22" t="n">
        <f aca="false">EXP(F377)-1</f>
        <v>0.00395738775485932</v>
      </c>
      <c r="H377" s="21" t="n">
        <f aca="false">EXP(SUM(F126:F377))-1</f>
        <v>-0.0809739545101437</v>
      </c>
    </row>
    <row r="378" customFormat="false" ht="15" hidden="false" customHeight="false" outlineLevel="0" collapsed="false">
      <c r="A378" s="20" t="n">
        <v>45016</v>
      </c>
      <c r="B378" s="21" t="n">
        <v>391.972748</v>
      </c>
      <c r="C378" s="21" t="n">
        <v>87.493446</v>
      </c>
      <c r="D378" s="22" t="n">
        <f aca="false">LN(B378/B377)</f>
        <v>0.0139960215181858</v>
      </c>
      <c r="E378" s="22" t="n">
        <f aca="false">LN(C378/C377)</f>
        <v>0.0048289844902668</v>
      </c>
      <c r="F378" s="22" t="n">
        <f aca="false">LN(Summary!$B$13*EXP(D378)+Summary!$B$14*EXP(E378))</f>
        <v>0.0103392846613556</v>
      </c>
      <c r="G378" s="22" t="n">
        <f aca="false">EXP(F378)-1</f>
        <v>0.0103929197551333</v>
      </c>
      <c r="H378" s="21" t="n">
        <f aca="false">EXP(SUM(F127:F378))-1</f>
        <v>-0.0689839151647668</v>
      </c>
    </row>
    <row r="379" customFormat="false" ht="15" hidden="false" customHeight="false" outlineLevel="0" collapsed="false">
      <c r="A379" s="20" t="n">
        <v>45019</v>
      </c>
      <c r="B379" s="21" t="n">
        <v>393.46637</v>
      </c>
      <c r="C379" s="21" t="n">
        <v>87.873741</v>
      </c>
      <c r="D379" s="22" t="n">
        <f aca="false">LN(B379/B378)</f>
        <v>0.00380328345304545</v>
      </c>
      <c r="E379" s="22" t="n">
        <f aca="false">LN(C379/C378)</f>
        <v>0.00433713515785269</v>
      </c>
      <c r="F379" s="22" t="n">
        <f aca="false">LN(Summary!$B$13*EXP(D379)+Summary!$B$14*EXP(E379))</f>
        <v>0.00401685833590233</v>
      </c>
      <c r="G379" s="22" t="n">
        <f aca="false">EXP(F379)-1</f>
        <v>0.00402493672430659</v>
      </c>
      <c r="H379" s="21" t="n">
        <f aca="false">EXP(SUM(F128:F379))-1</f>
        <v>-0.0563461542686173</v>
      </c>
    </row>
    <row r="380" customFormat="false" ht="15" hidden="false" customHeight="false" outlineLevel="0" collapsed="false">
      <c r="A380" s="20" t="n">
        <v>45020</v>
      </c>
      <c r="B380" s="21" t="n">
        <v>391.283417</v>
      </c>
      <c r="C380" s="21" t="n">
        <v>88.199432</v>
      </c>
      <c r="D380" s="22" t="n">
        <f aca="false">LN(B380/B379)</f>
        <v>-0.00556345134900655</v>
      </c>
      <c r="E380" s="22" t="n">
        <f aca="false">LN(C380/C379)</f>
        <v>0.00369950022379266</v>
      </c>
      <c r="F380" s="22" t="n">
        <f aca="false">LN(Summary!$B$13*EXP(D380)+Summary!$B$14*EXP(E380))</f>
        <v>-0.00184796812145182</v>
      </c>
      <c r="G380" s="22" t="n">
        <f aca="false">EXP(F380)-1</f>
        <v>-0.00184626167967472</v>
      </c>
      <c r="H380" s="21" t="n">
        <f aca="false">EXP(SUM(F129:F380))-1</f>
        <v>-0.0590196779499473</v>
      </c>
    </row>
    <row r="381" customFormat="false" ht="15" hidden="false" customHeight="false" outlineLevel="0" collapsed="false">
      <c r="A381" s="20" t="n">
        <v>45021</v>
      </c>
      <c r="B381" s="21" t="n">
        <v>390.258942</v>
      </c>
      <c r="C381" s="21" t="n">
        <v>88.498764</v>
      </c>
      <c r="D381" s="22" t="n">
        <f aca="false">LN(B381/B380)</f>
        <v>-0.00262167641967564</v>
      </c>
      <c r="E381" s="22" t="n">
        <f aca="false">LN(C381/C380)</f>
        <v>0.00338806273194968</v>
      </c>
      <c r="F381" s="22" t="n">
        <f aca="false">LN(Summary!$B$13*EXP(D381)+Summary!$B$14*EXP(E381))</f>
        <v>-0.000213444992582036</v>
      </c>
      <c r="G381" s="22" t="n">
        <f aca="false">EXP(F381)-1</f>
        <v>-0.000213422214820236</v>
      </c>
      <c r="H381" s="21" t="n">
        <f aca="false">EXP(SUM(F130:F381))-1</f>
        <v>-0.0643453097265994</v>
      </c>
    </row>
    <row r="382" customFormat="false" ht="15" hidden="false" customHeight="false" outlineLevel="0" collapsed="false">
      <c r="A382" s="20" t="n">
        <v>45022</v>
      </c>
      <c r="B382" s="21" t="n">
        <v>391.781189</v>
      </c>
      <c r="C382" s="21" t="n">
        <v>88.419579</v>
      </c>
      <c r="D382" s="22" t="n">
        <f aca="false">LN(B382/B381)</f>
        <v>0.00389301996714872</v>
      </c>
      <c r="E382" s="22" t="n">
        <f aca="false">LN(C382/C381)</f>
        <v>-0.000895158794106896</v>
      </c>
      <c r="F382" s="22" t="n">
        <f aca="false">LN(Summary!$B$13*EXP(D382)+Summary!$B$14*EXP(E382))</f>
        <v>0.00198049878082223</v>
      </c>
      <c r="G382" s="22" t="n">
        <f aca="false">EXP(F382)-1</f>
        <v>0.00198246126388391</v>
      </c>
      <c r="H382" s="21" t="n">
        <f aca="false">EXP(SUM(F131:F382))-1</f>
        <v>-0.0514663050214165</v>
      </c>
    </row>
    <row r="383" customFormat="false" ht="15" hidden="false" customHeight="false" outlineLevel="0" collapsed="false">
      <c r="A383" s="20" t="n">
        <v>45026</v>
      </c>
      <c r="B383" s="21" t="n">
        <v>392.18338</v>
      </c>
      <c r="C383" s="21" t="n">
        <v>87.812119</v>
      </c>
      <c r="D383" s="22" t="n">
        <f aca="false">LN(B383/B382)</f>
        <v>0.00102604390858488</v>
      </c>
      <c r="E383" s="22" t="n">
        <f aca="false">LN(C383/C382)</f>
        <v>-0.00689390629193836</v>
      </c>
      <c r="F383" s="22" t="n">
        <f aca="false">LN(Summary!$B$13*EXP(D383)+Summary!$B$14*EXP(E383))</f>
        <v>-0.00213441308984102</v>
      </c>
      <c r="G383" s="22" t="n">
        <f aca="false">EXP(F383)-1</f>
        <v>-0.0021321368499887</v>
      </c>
      <c r="H383" s="21" t="n">
        <f aca="false">EXP(SUM(F132:F383))-1</f>
        <v>-0.0467966074602558</v>
      </c>
    </row>
    <row r="384" customFormat="false" ht="15" hidden="false" customHeight="false" outlineLevel="0" collapsed="false">
      <c r="A384" s="20" t="n">
        <v>45027</v>
      </c>
      <c r="B384" s="21" t="n">
        <v>392.288635</v>
      </c>
      <c r="C384" s="21" t="n">
        <v>87.864944</v>
      </c>
      <c r="D384" s="22" t="n">
        <f aca="false">LN(B384/B383)</f>
        <v>0.000268346094236702</v>
      </c>
      <c r="E384" s="22" t="n">
        <f aca="false">LN(C384/C383)</f>
        <v>0.000601387576613597</v>
      </c>
      <c r="F384" s="22" t="n">
        <f aca="false">LN(Summary!$B$13*EXP(D384)+Summary!$B$14*EXP(E384))</f>
        <v>0.000401575997478447</v>
      </c>
      <c r="G384" s="22" t="n">
        <f aca="false">EXP(F384)-1</f>
        <v>0.00040165663991365</v>
      </c>
      <c r="H384" s="21" t="n">
        <f aca="false">EXP(SUM(F133:F384))-1</f>
        <v>-0.0484605729175521</v>
      </c>
    </row>
    <row r="385" customFormat="false" ht="15" hidden="false" customHeight="false" outlineLevel="0" collapsed="false">
      <c r="A385" s="20" t="n">
        <v>45028</v>
      </c>
      <c r="B385" s="21" t="n">
        <v>390.689728</v>
      </c>
      <c r="C385" s="21" t="n">
        <v>87.970573</v>
      </c>
      <c r="D385" s="22" t="n">
        <f aca="false">LN(B385/B384)</f>
        <v>-0.00408417217664987</v>
      </c>
      <c r="E385" s="22" t="n">
        <f aca="false">LN(C385/C384)</f>
        <v>0.0012014525223159</v>
      </c>
      <c r="F385" s="22" t="n">
        <f aca="false">LN(Summary!$B$13*EXP(D385)+Summary!$B$14*EXP(E385))</f>
        <v>-0.00196656857973495</v>
      </c>
      <c r="G385" s="22" t="n">
        <f aca="false">EXP(F385)-1</f>
        <v>-0.00196463615070452</v>
      </c>
      <c r="H385" s="21" t="n">
        <f aca="false">EXP(SUM(F134:F385))-1</f>
        <v>-0.0468813957831064</v>
      </c>
    </row>
    <row r="386" customFormat="false" ht="15" hidden="false" customHeight="false" outlineLevel="0" collapsed="false">
      <c r="A386" s="20" t="n">
        <v>45029</v>
      </c>
      <c r="B386" s="21" t="n">
        <v>395.879242</v>
      </c>
      <c r="C386" s="21" t="n">
        <v>87.935356</v>
      </c>
      <c r="D386" s="22" t="n">
        <f aca="false">LN(B386/B385)</f>
        <v>0.0131955098616968</v>
      </c>
      <c r="E386" s="22" t="n">
        <f aca="false">LN(C386/C385)</f>
        <v>-0.000400407202539759</v>
      </c>
      <c r="F386" s="22" t="n">
        <f aca="false">LN(Summary!$B$13*EXP(D386)+Summary!$B$14*EXP(E386))</f>
        <v>0.00777930465577778</v>
      </c>
      <c r="G386" s="22" t="n">
        <f aca="false">EXP(F386)-1</f>
        <v>0.00780964206319479</v>
      </c>
      <c r="H386" s="21" t="n">
        <f aca="false">EXP(SUM(F135:F386))-1</f>
        <v>-0.02779639666706</v>
      </c>
    </row>
    <row r="387" customFormat="false" ht="15" hidden="false" customHeight="false" outlineLevel="0" collapsed="false">
      <c r="A387" s="20" t="n">
        <v>45030</v>
      </c>
      <c r="B387" s="21" t="n">
        <v>394.912079</v>
      </c>
      <c r="C387" s="21" t="n">
        <v>87.50399</v>
      </c>
      <c r="D387" s="22" t="n">
        <f aca="false">LN(B387/B386)</f>
        <v>-0.00244606498970452</v>
      </c>
      <c r="E387" s="22" t="n">
        <f aca="false">LN(C387/C386)</f>
        <v>-0.00491756130108619</v>
      </c>
      <c r="F387" s="22" t="n">
        <f aca="false">LN(Summary!$B$13*EXP(D387)+Summary!$B$14*EXP(E387))</f>
        <v>-0.00343393063991219</v>
      </c>
      <c r="G387" s="22" t="n">
        <f aca="false">EXP(F387)-1</f>
        <v>-0.00342804144305209</v>
      </c>
      <c r="H387" s="21" t="n">
        <f aca="false">EXP(SUM(F136:F387))-1</f>
        <v>-0.0302008670978844</v>
      </c>
    </row>
    <row r="388" customFormat="false" ht="15" hidden="false" customHeight="false" outlineLevel="0" collapsed="false">
      <c r="A388" s="20" t="n">
        <v>45033</v>
      </c>
      <c r="B388" s="21" t="n">
        <v>396.329193</v>
      </c>
      <c r="C388" s="21" t="n">
        <v>87.063843</v>
      </c>
      <c r="D388" s="22" t="n">
        <f aca="false">LN(B388/B387)</f>
        <v>0.00358200605900977</v>
      </c>
      <c r="E388" s="22" t="n">
        <f aca="false">LN(C388/C387)</f>
        <v>-0.00504271520294253</v>
      </c>
      <c r="F388" s="22" t="n">
        <f aca="false">LN(Summary!$B$13*EXP(D388)+Summary!$B$14*EXP(E388))</f>
        <v>0.000141038695484697</v>
      </c>
      <c r="G388" s="22" t="n">
        <f aca="false">EXP(F388)-1</f>
        <v>0.000141048641909114</v>
      </c>
      <c r="H388" s="21" t="n">
        <f aca="false">EXP(SUM(F137:F388))-1</f>
        <v>-0.0374518050655069</v>
      </c>
    </row>
    <row r="389" customFormat="false" ht="15" hidden="false" customHeight="false" outlineLevel="0" collapsed="false">
      <c r="A389" s="20" t="n">
        <v>45034</v>
      </c>
      <c r="B389" s="21" t="n">
        <v>396.587677</v>
      </c>
      <c r="C389" s="21" t="n">
        <v>87.187096</v>
      </c>
      <c r="D389" s="22" t="n">
        <f aca="false">LN(B389/B388)</f>
        <v>0.000651982619959743</v>
      </c>
      <c r="E389" s="22" t="n">
        <f aca="false">LN(C389/C388)</f>
        <v>0.00141466119221506</v>
      </c>
      <c r="F389" s="22" t="n">
        <f aca="false">LN(Summary!$B$13*EXP(D389)+Summary!$B$14*EXP(E389))</f>
        <v>0.000957123853842002</v>
      </c>
      <c r="G389" s="22" t="n">
        <f aca="false">EXP(F389)-1</f>
        <v>0.000957582043047411</v>
      </c>
      <c r="H389" s="21" t="n">
        <f aca="false">EXP(SUM(F138:F389))-1</f>
        <v>-0.0260948129460573</v>
      </c>
    </row>
    <row r="390" customFormat="false" ht="15" hidden="false" customHeight="false" outlineLevel="0" collapsed="false">
      <c r="A390" s="20" t="n">
        <v>45035</v>
      </c>
      <c r="B390" s="21" t="n">
        <v>396.520691</v>
      </c>
      <c r="C390" s="21" t="n">
        <v>87.055046</v>
      </c>
      <c r="D390" s="22" t="n">
        <f aca="false">LN(B390/B389)</f>
        <v>-0.000168920169959131</v>
      </c>
      <c r="E390" s="22" t="n">
        <f aca="false">LN(C390/C389)</f>
        <v>-0.00151570709318547</v>
      </c>
      <c r="F390" s="22" t="n">
        <f aca="false">LN(Summary!$B$13*EXP(D390)+Summary!$B$14*EXP(E390))</f>
        <v>-0.000707417298604968</v>
      </c>
      <c r="G390" s="22" t="n">
        <f aca="false">EXP(F390)-1</f>
        <v>-0.00070716713798058</v>
      </c>
      <c r="H390" s="21" t="n">
        <f aca="false">EXP(SUM(F139:F390))-1</f>
        <v>-0.0258246009973045</v>
      </c>
    </row>
    <row r="391" customFormat="false" ht="15" hidden="false" customHeight="false" outlineLevel="0" collapsed="false">
      <c r="A391" s="20" t="n">
        <v>45036</v>
      </c>
      <c r="B391" s="21" t="n">
        <v>394.356873</v>
      </c>
      <c r="C391" s="21" t="n">
        <v>87.451187</v>
      </c>
      <c r="D391" s="22" t="n">
        <f aca="false">LN(B391/B390)</f>
        <v>-0.00547195545210157</v>
      </c>
      <c r="E391" s="22" t="n">
        <f aca="false">LN(C391/C390)</f>
        <v>0.00454014362303949</v>
      </c>
      <c r="F391" s="22" t="n">
        <f aca="false">LN(Summary!$B$13*EXP(D391)+Summary!$B$14*EXP(E391))</f>
        <v>-0.00145507878191411</v>
      </c>
      <c r="G391" s="22" t="n">
        <f aca="false">EXP(F391)-1</f>
        <v>-0.00145402066805855</v>
      </c>
      <c r="H391" s="21" t="n">
        <f aca="false">EXP(SUM(F140:F391))-1</f>
        <v>-0.0342467520033611</v>
      </c>
    </row>
    <row r="392" customFormat="false" ht="15" hidden="false" customHeight="false" outlineLevel="0" collapsed="false">
      <c r="A392" s="20" t="n">
        <v>45037</v>
      </c>
      <c r="B392" s="21" t="n">
        <v>394.663208</v>
      </c>
      <c r="C392" s="21" t="n">
        <v>87.301521</v>
      </c>
      <c r="D392" s="22" t="n">
        <f aca="false">LN(B392/B391)</f>
        <v>0.000776494851699311</v>
      </c>
      <c r="E392" s="22" t="n">
        <f aca="false">LN(C392/C391)</f>
        <v>-0.00171288946885128</v>
      </c>
      <c r="F392" s="22" t="n">
        <f aca="false">LN(Summary!$B$13*EXP(D392)+Summary!$B$14*EXP(E392))</f>
        <v>-0.000218515355988779</v>
      </c>
      <c r="G392" s="22" t="n">
        <f aca="false">EXP(F392)-1</f>
        <v>-0.000218491483247263</v>
      </c>
      <c r="H392" s="21" t="n">
        <f aca="false">EXP(SUM(F141:F392))-1</f>
        <v>-0.0362370944580895</v>
      </c>
    </row>
    <row r="393" customFormat="false" ht="15" hidden="false" customHeight="false" outlineLevel="0" collapsed="false">
      <c r="A393" s="20" t="n">
        <v>45040</v>
      </c>
      <c r="B393" s="21" t="n">
        <v>395.074951</v>
      </c>
      <c r="C393" s="21" t="n">
        <v>87.644859</v>
      </c>
      <c r="D393" s="22" t="n">
        <f aca="false">LN(B393/B392)</f>
        <v>0.00104273304414823</v>
      </c>
      <c r="E393" s="22" t="n">
        <f aca="false">LN(C393/C392)</f>
        <v>0.00392507053639835</v>
      </c>
      <c r="F393" s="22" t="n">
        <f aca="false">LN(Summary!$B$13*EXP(D393)+Summary!$B$14*EXP(E393))</f>
        <v>0.00219666517664332</v>
      </c>
      <c r="G393" s="22" t="n">
        <f aca="false">EXP(F393)-1</f>
        <v>0.00219907961317167</v>
      </c>
      <c r="H393" s="21" t="n">
        <f aca="false">EXP(SUM(F142:F393))-1</f>
        <v>-0.0232042430113137</v>
      </c>
    </row>
    <row r="394" customFormat="false" ht="15" hidden="false" customHeight="false" outlineLevel="0" collapsed="false">
      <c r="A394" s="20" t="n">
        <v>45041</v>
      </c>
      <c r="B394" s="21" t="n">
        <v>388.803589</v>
      </c>
      <c r="C394" s="21" t="n">
        <v>88.190674</v>
      </c>
      <c r="D394" s="22" t="n">
        <f aca="false">LN(B394/B393)</f>
        <v>-0.0160011927573192</v>
      </c>
      <c r="E394" s="22" t="n">
        <f aca="false">LN(C394/C393)</f>
        <v>0.00620826455015383</v>
      </c>
      <c r="F394" s="22" t="n">
        <f aca="false">LN(Summary!$B$13*EXP(D394)+Summary!$B$14*EXP(E394))</f>
        <v>-0.00705813206934753</v>
      </c>
      <c r="G394" s="22" t="n">
        <f aca="false">EXP(F394)-1</f>
        <v>-0.00703328195469544</v>
      </c>
      <c r="H394" s="21" t="n">
        <f aca="false">EXP(SUM(F143:F394))-1</f>
        <v>-0.0134492057551031</v>
      </c>
    </row>
    <row r="395" customFormat="false" ht="15" hidden="false" customHeight="false" outlineLevel="0" collapsed="false">
      <c r="A395" s="20" t="n">
        <v>45042</v>
      </c>
      <c r="B395" s="21" t="n">
        <v>387.156769</v>
      </c>
      <c r="C395" s="21" t="n">
        <v>87.864944</v>
      </c>
      <c r="D395" s="22" t="n">
        <f aca="false">LN(B395/B394)</f>
        <v>-0.00424460465161233</v>
      </c>
      <c r="E395" s="22" t="n">
        <f aca="false">LN(C395/C394)</f>
        <v>-0.00370031215551742</v>
      </c>
      <c r="F395" s="22" t="n">
        <f aca="false">LN(Summary!$B$13*EXP(D395)+Summary!$B$14*EXP(E395))</f>
        <v>-0.00402685210136616</v>
      </c>
      <c r="G395" s="22" t="n">
        <f aca="false">EXP(F395)-1</f>
        <v>-0.00401875520442463</v>
      </c>
      <c r="H395" s="21" t="n">
        <f aca="false">EXP(SUM(F144:F395))-1</f>
        <v>-0.0234294278918462</v>
      </c>
    </row>
    <row r="396" customFormat="false" ht="15" hidden="false" customHeight="false" outlineLevel="0" collapsed="false">
      <c r="A396" s="20" t="n">
        <v>45043</v>
      </c>
      <c r="B396" s="21" t="n">
        <v>394.864349</v>
      </c>
      <c r="C396" s="21" t="n">
        <v>87.548012</v>
      </c>
      <c r="D396" s="22" t="n">
        <f aca="false">LN(B396/B395)</f>
        <v>0.0197125868065733</v>
      </c>
      <c r="E396" s="22" t="n">
        <f aca="false">LN(C396/C395)</f>
        <v>-0.00361355685573522</v>
      </c>
      <c r="F396" s="22" t="n">
        <f aca="false">LN(Summary!$B$13*EXP(D396)+Summary!$B$14*EXP(E396))</f>
        <v>0.0104473195859059</v>
      </c>
      <c r="G396" s="22" t="n">
        <f aca="false">EXP(F396)-1</f>
        <v>0.0105020833746208</v>
      </c>
      <c r="H396" s="21" t="n">
        <f aca="false">EXP(SUM(F145:F396))-1</f>
        <v>0.0030168237469137</v>
      </c>
    </row>
    <row r="397" customFormat="false" ht="15" hidden="false" customHeight="false" outlineLevel="0" collapsed="false">
      <c r="A397" s="20" t="n">
        <v>45044</v>
      </c>
      <c r="B397" s="21" t="n">
        <v>398.234558</v>
      </c>
      <c r="C397" s="21" t="n">
        <v>87.996994</v>
      </c>
      <c r="D397" s="22" t="n">
        <f aca="false">LN(B397/B396)</f>
        <v>0.00849888773363827</v>
      </c>
      <c r="E397" s="22" t="n">
        <f aca="false">LN(C397/C396)</f>
        <v>0.0051153033543672</v>
      </c>
      <c r="F397" s="22" t="n">
        <f aca="false">LN(Summary!$B$13*EXP(D397)+Summary!$B$14*EXP(E397))</f>
        <v>0.0071468275086441</v>
      </c>
      <c r="G397" s="22" t="n">
        <f aca="false">EXP(F397)-1</f>
        <v>0.00717242702914422</v>
      </c>
      <c r="H397" s="21" t="n">
        <f aca="false">EXP(SUM(F146:F397))-1</f>
        <v>0.0101390970231534</v>
      </c>
    </row>
    <row r="398" customFormat="false" ht="15" hidden="false" customHeight="false" outlineLevel="0" collapsed="false">
      <c r="A398" s="20" t="n">
        <v>45047</v>
      </c>
      <c r="B398" s="21" t="n">
        <v>397.832397</v>
      </c>
      <c r="C398" s="21" t="n">
        <v>87.095947</v>
      </c>
      <c r="D398" s="22" t="n">
        <f aca="false">LN(B398/B397)</f>
        <v>-0.00101036987325284</v>
      </c>
      <c r="E398" s="22" t="n">
        <f aca="false">LN(C398/C397)</f>
        <v>-0.0102923047490963</v>
      </c>
      <c r="F398" s="22" t="n">
        <f aca="false">LN(Summary!$B$13*EXP(D398)+Summary!$B$14*EXP(E398))</f>
        <v>-0.00471281173582273</v>
      </c>
      <c r="G398" s="22" t="n">
        <f aca="false">EXP(F398)-1</f>
        <v>-0.00470172386378387</v>
      </c>
      <c r="H398" s="21" t="n">
        <f aca="false">EXP(SUM(F147:F398))-1</f>
        <v>-0.00946941234953114</v>
      </c>
    </row>
    <row r="399" customFormat="false" ht="15" hidden="false" customHeight="false" outlineLevel="0" collapsed="false">
      <c r="A399" s="20" t="n">
        <v>45048</v>
      </c>
      <c r="B399" s="21" t="n">
        <v>393.361023</v>
      </c>
      <c r="C399" s="21" t="n">
        <v>87.943153</v>
      </c>
      <c r="D399" s="22" t="n">
        <f aca="false">LN(B399/B398)</f>
        <v>-0.0113029797546604</v>
      </c>
      <c r="E399" s="22" t="n">
        <f aca="false">LN(C399/C398)</f>
        <v>0.00968026704651673</v>
      </c>
      <c r="F399" s="22" t="n">
        <f aca="false">LN(Summary!$B$13*EXP(D399)+Summary!$B$14*EXP(E399))</f>
        <v>-0.00285677238183325</v>
      </c>
      <c r="G399" s="22" t="n">
        <f aca="false">EXP(F399)-1</f>
        <v>-0.0028526956905961</v>
      </c>
      <c r="H399" s="21" t="n">
        <f aca="false">EXP(SUM(F148:F399))-1</f>
        <v>0.0125840343088499</v>
      </c>
    </row>
    <row r="400" customFormat="false" ht="15" hidden="false" customHeight="false" outlineLevel="0" collapsed="false">
      <c r="A400" s="20" t="n">
        <v>45049</v>
      </c>
      <c r="B400" s="21" t="n">
        <v>390.661041</v>
      </c>
      <c r="C400" s="21" t="n">
        <v>88.331444</v>
      </c>
      <c r="D400" s="22" t="n">
        <f aca="false">LN(B400/B399)</f>
        <v>-0.00688754257692675</v>
      </c>
      <c r="E400" s="22" t="n">
        <f aca="false">LN(C400/C399)</f>
        <v>0.00440553130884354</v>
      </c>
      <c r="F400" s="22" t="n">
        <f aca="false">LN(Summary!$B$13*EXP(D400)+Summary!$B$14*EXP(E400))</f>
        <v>-0.00235499755022311</v>
      </c>
      <c r="G400" s="22" t="n">
        <f aca="false">EXP(F400)-1</f>
        <v>-0.00235222671901936</v>
      </c>
      <c r="H400" s="21" t="n">
        <f aca="false">EXP(SUM(F149:F400))-1</f>
        <v>0.00875546173915631</v>
      </c>
    </row>
    <row r="401" customFormat="false" ht="15" hidden="false" customHeight="false" outlineLevel="0" collapsed="false">
      <c r="A401" s="20" t="n">
        <v>45050</v>
      </c>
      <c r="B401" s="21" t="n">
        <v>387.894012</v>
      </c>
      <c r="C401" s="21" t="n">
        <v>88.225548</v>
      </c>
      <c r="D401" s="22" t="n">
        <f aca="false">LN(B401/B400)</f>
        <v>-0.00710814383603697</v>
      </c>
      <c r="E401" s="22" t="n">
        <f aca="false">LN(C401/C400)</f>
        <v>-0.00119956747675407</v>
      </c>
      <c r="F401" s="22" t="n">
        <f aca="false">LN(Summary!$B$13*EXP(D401)+Summary!$B$14*EXP(E401))</f>
        <v>-0.00474052229453329</v>
      </c>
      <c r="G401" s="22" t="n">
        <f aca="false">EXP(F401)-1</f>
        <v>-0.00472930375297043</v>
      </c>
      <c r="H401" s="21" t="n">
        <f aca="false">EXP(SUM(F150:F401))-1</f>
        <v>0.000332200676110617</v>
      </c>
    </row>
    <row r="402" customFormat="false" ht="15" hidden="false" customHeight="false" outlineLevel="0" collapsed="false">
      <c r="A402" s="20" t="n">
        <v>45051</v>
      </c>
      <c r="B402" s="21" t="n">
        <v>395.074951</v>
      </c>
      <c r="C402" s="21" t="n">
        <v>87.943153</v>
      </c>
      <c r="D402" s="22" t="n">
        <f aca="false">LN(B402/B401)</f>
        <v>0.0183433589095968</v>
      </c>
      <c r="E402" s="22" t="n">
        <f aca="false">LN(C402/C401)</f>
        <v>-0.00320596383208937</v>
      </c>
      <c r="F402" s="22" t="n">
        <f aca="false">LN(Summary!$B$13*EXP(D402)+Summary!$B$14*EXP(E402))</f>
        <v>0.00977927360944541</v>
      </c>
      <c r="G402" s="22" t="n">
        <f aca="false">EXP(F402)-1</f>
        <v>0.00982724695959081</v>
      </c>
      <c r="H402" s="21" t="n">
        <f aca="false">EXP(SUM(F151:F402))-1</f>
        <v>-0.0104698379386918</v>
      </c>
    </row>
    <row r="403" customFormat="false" ht="15" hidden="false" customHeight="false" outlineLevel="0" collapsed="false">
      <c r="A403" s="20" t="n">
        <v>45054</v>
      </c>
      <c r="B403" s="21" t="n">
        <v>395.180267</v>
      </c>
      <c r="C403" s="21" t="n">
        <v>87.457771</v>
      </c>
      <c r="D403" s="22" t="n">
        <f aca="false">LN(B403/B402)</f>
        <v>0.000266536678846711</v>
      </c>
      <c r="E403" s="22" t="n">
        <f aca="false">LN(C403/C402)</f>
        <v>-0.00553455737770836</v>
      </c>
      <c r="F403" s="22" t="n">
        <f aca="false">LN(Summary!$B$13*EXP(D403)+Summary!$B$14*EXP(E403))</f>
        <v>-0.00204986418746242</v>
      </c>
      <c r="G403" s="22" t="n">
        <f aca="false">EXP(F403)-1</f>
        <v>-0.00204776465070233</v>
      </c>
      <c r="H403" s="21" t="n">
        <f aca="false">EXP(SUM(F152:F403))-1</f>
        <v>0.0131216654482889</v>
      </c>
    </row>
    <row r="404" customFormat="false" ht="15" hidden="false" customHeight="false" outlineLevel="0" collapsed="false">
      <c r="A404" s="20" t="n">
        <v>45055</v>
      </c>
      <c r="B404" s="21" t="n">
        <v>393.447205</v>
      </c>
      <c r="C404" s="21" t="n">
        <v>87.378349</v>
      </c>
      <c r="D404" s="22" t="n">
        <f aca="false">LN(B404/B403)</f>
        <v>-0.00439514181629956</v>
      </c>
      <c r="E404" s="22" t="n">
        <f aca="false">LN(C404/C403)</f>
        <v>-0.000908530862651117</v>
      </c>
      <c r="F404" s="22" t="n">
        <f aca="false">LN(Summary!$B$13*EXP(D404)+Summary!$B$14*EXP(E404))</f>
        <v>-0.00299903832169904</v>
      </c>
      <c r="G404" s="22" t="n">
        <f aca="false">EXP(F404)-1</f>
        <v>-0.00299454569857671</v>
      </c>
      <c r="H404" s="21" t="n">
        <f aca="false">EXP(SUM(F153:F404))-1</f>
        <v>0.0154366960236059</v>
      </c>
    </row>
    <row r="405" customFormat="false" ht="15" hidden="false" customHeight="false" outlineLevel="0" collapsed="false">
      <c r="A405" s="20" t="n">
        <v>45056</v>
      </c>
      <c r="B405" s="21" t="n">
        <v>395.285522</v>
      </c>
      <c r="C405" s="21" t="n">
        <v>87.943153</v>
      </c>
      <c r="D405" s="22" t="n">
        <f aca="false">LN(B405/B404)</f>
        <v>0.00466145315345478</v>
      </c>
      <c r="E405" s="22" t="n">
        <f aca="false">LN(C405/C404)</f>
        <v>0.00644308824035946</v>
      </c>
      <c r="F405" s="22" t="n">
        <f aca="false">LN(Summary!$B$13*EXP(D405)+Summary!$B$14*EXP(E405))</f>
        <v>0.00537448814024454</v>
      </c>
      <c r="G405" s="22" t="n">
        <f aca="false">EXP(F405)-1</f>
        <v>0.00538895661022298</v>
      </c>
      <c r="H405" s="21" t="n">
        <f aca="false">EXP(SUM(F154:F405))-1</f>
        <v>0.0388195975524241</v>
      </c>
    </row>
    <row r="406" customFormat="false" ht="15" hidden="false" customHeight="false" outlineLevel="0" collapsed="false">
      <c r="A406" s="20" t="n">
        <v>45057</v>
      </c>
      <c r="B406" s="21" t="n">
        <v>394.596222</v>
      </c>
      <c r="C406" s="21" t="n">
        <v>88.207909</v>
      </c>
      <c r="D406" s="22" t="n">
        <f aca="false">LN(B406/B405)</f>
        <v>-0.00174532499380426</v>
      </c>
      <c r="E406" s="22" t="n">
        <f aca="false">LN(C406/C405)</f>
        <v>0.00300601309305505</v>
      </c>
      <c r="F406" s="22" t="n">
        <f aca="false">LN(Summary!$B$13*EXP(D406)+Summary!$B$14*EXP(E406))</f>
        <v>0.000157920122428931</v>
      </c>
      <c r="G406" s="22" t="n">
        <f aca="false">EXP(F406)-1</f>
        <v>0.00015793259246788</v>
      </c>
      <c r="H406" s="21" t="n">
        <f aca="false">EXP(SUM(F155:F406))-1</f>
        <v>0.0362878450022601</v>
      </c>
    </row>
    <row r="407" customFormat="false" ht="15" hidden="false" customHeight="false" outlineLevel="0" collapsed="false">
      <c r="A407" s="20" t="n">
        <v>45058</v>
      </c>
      <c r="B407" s="21" t="n">
        <v>394.079163</v>
      </c>
      <c r="C407" s="21" t="n">
        <v>87.713699</v>
      </c>
      <c r="D407" s="22" t="n">
        <f aca="false">LN(B407/B406)</f>
        <v>-0.00131120885452841</v>
      </c>
      <c r="E407" s="22" t="n">
        <f aca="false">LN(C407/C406)</f>
        <v>-0.00561854004996097</v>
      </c>
      <c r="F407" s="22" t="n">
        <f aca="false">LN(Summary!$B$13*EXP(D407)+Summary!$B$14*EXP(E407))</f>
        <v>-0.00303191560128641</v>
      </c>
      <c r="G407" s="22" t="n">
        <f aca="false">EXP(F407)-1</f>
        <v>-0.00302732398681449</v>
      </c>
      <c r="H407" s="21" t="n">
        <f aca="false">EXP(SUM(F156:F407))-1</f>
        <v>0.0415318790695218</v>
      </c>
    </row>
    <row r="408" customFormat="false" ht="15" hidden="false" customHeight="false" outlineLevel="0" collapsed="false">
      <c r="A408" s="20" t="n">
        <v>45061</v>
      </c>
      <c r="B408" s="21" t="n">
        <v>395.438782</v>
      </c>
      <c r="C408" s="21" t="n">
        <v>87.493065</v>
      </c>
      <c r="D408" s="22" t="n">
        <f aca="false">LN(B408/B407)</f>
        <v>0.00344417844492314</v>
      </c>
      <c r="E408" s="22" t="n">
        <f aca="false">LN(C408/C407)</f>
        <v>-0.00251855706467856</v>
      </c>
      <c r="F408" s="22" t="n">
        <f aca="false">LN(Summary!$B$13*EXP(D408)+Summary!$B$14*EXP(E408))</f>
        <v>0.00106334904529414</v>
      </c>
      <c r="G408" s="22" t="n">
        <f aca="false">EXP(F408)-1</f>
        <v>0.00106391460133359</v>
      </c>
      <c r="H408" s="21" t="n">
        <f aca="false">EXP(SUM(F157:F408))-1</f>
        <v>0.0425220609146133</v>
      </c>
    </row>
    <row r="409" customFormat="false" ht="15" hidden="false" customHeight="false" outlineLevel="0" collapsed="false">
      <c r="A409" s="20" t="n">
        <v>45062</v>
      </c>
      <c r="B409" s="21" t="n">
        <v>392.796173</v>
      </c>
      <c r="C409" s="21" t="n">
        <v>87.290077</v>
      </c>
      <c r="D409" s="22" t="n">
        <f aca="false">LN(B409/B408)</f>
        <v>-0.0067051553195105</v>
      </c>
      <c r="E409" s="22" t="n">
        <f aca="false">LN(C409/C408)</f>
        <v>-0.002322742215748</v>
      </c>
      <c r="F409" s="22" t="n">
        <f aca="false">LN(Summary!$B$13*EXP(D409)+Summary!$B$14*EXP(E409))</f>
        <v>-0.00494988474094318</v>
      </c>
      <c r="G409" s="22" t="n">
        <f aca="false">EXP(F409)-1</f>
        <v>-0.00493765424963089</v>
      </c>
      <c r="H409" s="21" t="n">
        <f aca="false">EXP(SUM(F158:F409))-1</f>
        <v>0.0244305948273345</v>
      </c>
    </row>
    <row r="410" customFormat="false" ht="15" hidden="false" customHeight="false" outlineLevel="0" collapsed="false">
      <c r="A410" s="20" t="n">
        <v>45063</v>
      </c>
      <c r="B410" s="21" t="n">
        <v>397.564331</v>
      </c>
      <c r="C410" s="21" t="n">
        <v>87.157722</v>
      </c>
      <c r="D410" s="22" t="n">
        <f aca="false">LN(B410/B409)</f>
        <v>0.0120659264324218</v>
      </c>
      <c r="E410" s="22" t="n">
        <f aca="false">LN(C410/C409)</f>
        <v>-0.00151741697120757</v>
      </c>
      <c r="F410" s="22" t="n">
        <f aca="false">LN(Summary!$B$13*EXP(D410)+Summary!$B$14*EXP(E410))</f>
        <v>0.00665470973789365</v>
      </c>
      <c r="G410" s="22" t="n">
        <f aca="false">EXP(F410)-1</f>
        <v>0.00667690151804878</v>
      </c>
      <c r="H410" s="21" t="n">
        <f aca="false">EXP(SUM(F159:F410))-1</f>
        <v>0.0328581502582561</v>
      </c>
    </row>
    <row r="411" customFormat="false" ht="15" hidden="false" customHeight="false" outlineLevel="0" collapsed="false">
      <c r="A411" s="20" t="n">
        <v>45064</v>
      </c>
      <c r="B411" s="21" t="n">
        <v>401.394135</v>
      </c>
      <c r="C411" s="21" t="n">
        <v>86.75177</v>
      </c>
      <c r="D411" s="22" t="n">
        <f aca="false">LN(B411/B410)</f>
        <v>0.0095870649016715</v>
      </c>
      <c r="E411" s="22" t="n">
        <f aca="false">LN(C411/C410)</f>
        <v>-0.0046685518157087</v>
      </c>
      <c r="F411" s="22" t="n">
        <f aca="false">LN(Summary!$B$13*EXP(D411)+Summary!$B$14*EXP(E411))</f>
        <v>0.0039091815698969</v>
      </c>
      <c r="G411" s="22" t="n">
        <f aca="false">EXP(F411)-1</f>
        <v>0.00391683238639851</v>
      </c>
      <c r="H411" s="21" t="n">
        <f aca="false">EXP(SUM(F160:F411))-1</f>
        <v>0.0264726144079053</v>
      </c>
    </row>
    <row r="412" customFormat="false" ht="15" hidden="false" customHeight="false" outlineLevel="0" collapsed="false">
      <c r="A412" s="20" t="n">
        <v>45065</v>
      </c>
      <c r="B412" s="21" t="n">
        <v>400.810028</v>
      </c>
      <c r="C412" s="21" t="n">
        <v>86.557587</v>
      </c>
      <c r="D412" s="22" t="n">
        <f aca="false">LN(B412/B411)</f>
        <v>-0.00145625547751081</v>
      </c>
      <c r="E412" s="22" t="n">
        <f aca="false">LN(C412/C411)</f>
        <v>-0.00224088398479798</v>
      </c>
      <c r="F412" s="22" t="n">
        <f aca="false">LN(Summary!$B$13*EXP(D412)+Summary!$B$14*EXP(E412))</f>
        <v>-0.00177003300726448</v>
      </c>
      <c r="G412" s="22" t="n">
        <f aca="false">EXP(F412)-1</f>
        <v>-0.00176846742268943</v>
      </c>
      <c r="H412" s="21" t="n">
        <f aca="false">EXP(SUM(F161:F412))-1</f>
        <v>0.0483308729415675</v>
      </c>
    </row>
    <row r="413" customFormat="false" ht="15" hidden="false" customHeight="false" outlineLevel="0" collapsed="false">
      <c r="A413" s="20" t="n">
        <v>45068</v>
      </c>
      <c r="B413" s="21" t="n">
        <v>400.9729</v>
      </c>
      <c r="C413" s="21" t="n">
        <v>86.478172</v>
      </c>
      <c r="D413" s="22" t="n">
        <f aca="false">LN(B413/B412)</f>
        <v>0.000406274557744915</v>
      </c>
      <c r="E413" s="22" t="n">
        <f aca="false">LN(C413/C412)</f>
        <v>-0.000917902820027981</v>
      </c>
      <c r="F413" s="22" t="n">
        <f aca="false">LN(Summary!$B$13*EXP(D413)+Summary!$B$14*EXP(E413))</f>
        <v>-0.00012318599846544</v>
      </c>
      <c r="G413" s="22" t="n">
        <f aca="false">EXP(F413)-1</f>
        <v>-0.000123178411381875</v>
      </c>
      <c r="H413" s="21" t="n">
        <f aca="false">EXP(SUM(F162:F413))-1</f>
        <v>0.0509983985493543</v>
      </c>
    </row>
    <row r="414" customFormat="false" ht="15" hidden="false" customHeight="false" outlineLevel="0" collapsed="false">
      <c r="A414" s="20" t="n">
        <v>45069</v>
      </c>
      <c r="B414" s="21" t="n">
        <v>396.472839</v>
      </c>
      <c r="C414" s="21" t="n">
        <v>86.575249</v>
      </c>
      <c r="D414" s="22" t="n">
        <f aca="false">LN(B414/B413)</f>
        <v>-0.0112863071384958</v>
      </c>
      <c r="E414" s="22" t="n">
        <f aca="false">LN(C414/C413)</f>
        <v>0.00112193113111356</v>
      </c>
      <c r="F414" s="22" t="n">
        <f aca="false">LN(Summary!$B$13*EXP(D414)+Summary!$B$14*EXP(E414))</f>
        <v>-0.00630452092652653</v>
      </c>
      <c r="G414" s="22" t="n">
        <f aca="false">EXP(F414)-1</f>
        <v>-0.00628468913300917</v>
      </c>
      <c r="H414" s="21" t="n">
        <f aca="false">EXP(SUM(F163:F414))-1</f>
        <v>0.0428626482841992</v>
      </c>
    </row>
    <row r="415" customFormat="false" ht="15" hidden="false" customHeight="false" outlineLevel="0" collapsed="false">
      <c r="A415" s="20" t="n">
        <v>45070</v>
      </c>
      <c r="B415" s="21" t="n">
        <v>393.600433</v>
      </c>
      <c r="C415" s="21" t="n">
        <v>86.354645</v>
      </c>
      <c r="D415" s="22" t="n">
        <f aca="false">LN(B415/B414)</f>
        <v>-0.00727127155787062</v>
      </c>
      <c r="E415" s="22" t="n">
        <f aca="false">LN(C415/C414)</f>
        <v>-0.00255137055329839</v>
      </c>
      <c r="F415" s="22" t="n">
        <f aca="false">LN(Summary!$B$13*EXP(D415)+Summary!$B$14*EXP(E415))</f>
        <v>-0.00538063702118854</v>
      </c>
      <c r="G415" s="22" t="n">
        <f aca="false">EXP(F415)-1</f>
        <v>-0.00536618732162408</v>
      </c>
      <c r="H415" s="21" t="n">
        <f aca="false">EXP(SUM(F164:F415))-1</f>
        <v>0.0270905185825643</v>
      </c>
    </row>
    <row r="416" customFormat="false" ht="15" hidden="false" customHeight="false" outlineLevel="0" collapsed="false">
      <c r="A416" s="20" t="n">
        <v>45071</v>
      </c>
      <c r="B416" s="21" t="n">
        <v>397.008972</v>
      </c>
      <c r="C416" s="21" t="n">
        <v>86.036934</v>
      </c>
      <c r="D416" s="22" t="n">
        <f aca="false">LN(B416/B415)</f>
        <v>0.00862261464892814</v>
      </c>
      <c r="E416" s="22" t="n">
        <f aca="false">LN(C416/C415)</f>
        <v>-0.00368592667398443</v>
      </c>
      <c r="F416" s="22" t="n">
        <f aca="false">LN(Summary!$B$13*EXP(D416)+Summary!$B$14*EXP(E416))</f>
        <v>0.00371736312375527</v>
      </c>
      <c r="G416" s="22" t="n">
        <f aca="false">EXP(F416)-1</f>
        <v>0.0037242810875906</v>
      </c>
      <c r="H416" s="21" t="n">
        <f aca="false">EXP(SUM(F165:F416))-1</f>
        <v>0.0324713903715133</v>
      </c>
    </row>
    <row r="417" customFormat="false" ht="15" hidden="false" customHeight="false" outlineLevel="0" collapsed="false">
      <c r="A417" s="20" t="n">
        <v>45072</v>
      </c>
      <c r="B417" s="21" t="n">
        <v>402.150574</v>
      </c>
      <c r="C417" s="21" t="n">
        <v>86.107521</v>
      </c>
      <c r="D417" s="22" t="n">
        <f aca="false">LN(B417/B416)</f>
        <v>0.0128677007491233</v>
      </c>
      <c r="E417" s="22" t="n">
        <f aca="false">LN(C417/C416)</f>
        <v>0.00082009035906621</v>
      </c>
      <c r="F417" s="22" t="n">
        <f aca="false">LN(Summary!$B$13*EXP(D417)+Summary!$B$14*EXP(E417))</f>
        <v>0.00806605990133513</v>
      </c>
      <c r="G417" s="22" t="n">
        <f aca="false">EXP(F417)-1</f>
        <v>0.00809867820391386</v>
      </c>
      <c r="H417" s="21" t="n">
        <f aca="false">EXP(SUM(F166:F417))-1</f>
        <v>0.0336378307495067</v>
      </c>
    </row>
    <row r="418" customFormat="false" ht="15" hidden="false" customHeight="false" outlineLevel="0" collapsed="false">
      <c r="A418" s="20" t="n">
        <v>45076</v>
      </c>
      <c r="B418" s="21" t="n">
        <v>402.303711</v>
      </c>
      <c r="C418" s="21" t="n">
        <v>86.681183</v>
      </c>
      <c r="D418" s="22" t="n">
        <f aca="false">LN(B418/B417)</f>
        <v>0.000380722695385329</v>
      </c>
      <c r="E418" s="22" t="n">
        <f aca="false">LN(C418/C417)</f>
        <v>0.0066400649402446</v>
      </c>
      <c r="F418" s="22" t="n">
        <f aca="false">LN(Summary!$B$13*EXP(D418)+Summary!$B$14*EXP(E418))</f>
        <v>0.0028891630723046</v>
      </c>
      <c r="G418" s="22" t="n">
        <f aca="false">EXP(F418)-1</f>
        <v>0.00289334072627279</v>
      </c>
      <c r="H418" s="21" t="n">
        <f aca="false">EXP(SUM(F167:F418))-1</f>
        <v>0.0246593670429276</v>
      </c>
    </row>
    <row r="419" customFormat="false" ht="15" hidden="false" customHeight="false" outlineLevel="0" collapsed="false">
      <c r="A419" s="20" t="n">
        <v>45077</v>
      </c>
      <c r="B419" s="21" t="n">
        <v>400.072845</v>
      </c>
      <c r="C419" s="21" t="n">
        <v>86.990021</v>
      </c>
      <c r="D419" s="22" t="n">
        <f aca="false">LN(B419/B418)</f>
        <v>-0.00556066034504266</v>
      </c>
      <c r="E419" s="22" t="n">
        <f aca="false">LN(C419/C418)</f>
        <v>0.0035565864511288</v>
      </c>
      <c r="F419" s="22" t="n">
        <f aca="false">LN(Summary!$B$13*EXP(D419)+Summary!$B$14*EXP(E419))</f>
        <v>-0.00190378069141668</v>
      </c>
      <c r="G419" s="22" t="n">
        <f aca="false">EXP(F419)-1</f>
        <v>-0.00190196965041345</v>
      </c>
      <c r="H419" s="21" t="n">
        <f aca="false">EXP(SUM(F168:F419))-1</f>
        <v>0.00721597331010759</v>
      </c>
    </row>
    <row r="420" customFormat="false" ht="15" hidden="false" customHeight="false" outlineLevel="0" collapsed="false">
      <c r="A420" s="20" t="n">
        <v>45078</v>
      </c>
      <c r="B420" s="21" t="n">
        <v>403.873901</v>
      </c>
      <c r="C420" s="21" t="n">
        <v>87.253708</v>
      </c>
      <c r="D420" s="22" t="n">
        <f aca="false">LN(B420/B419)</f>
        <v>0.00945605997448008</v>
      </c>
      <c r="E420" s="22" t="n">
        <f aca="false">LN(C420/C419)</f>
        <v>0.00302664782035489</v>
      </c>
      <c r="F420" s="22" t="n">
        <f aca="false">LN(Summary!$B$13*EXP(D420)+Summary!$B$14*EXP(E420))</f>
        <v>0.00688925345999903</v>
      </c>
      <c r="G420" s="22" t="n">
        <f aca="false">EXP(F420)-1</f>
        <v>0.00691303895668272</v>
      </c>
      <c r="H420" s="21" t="n">
        <f aca="false">EXP(SUM(F169:F420))-1</f>
        <v>0.0201998623928317</v>
      </c>
    </row>
    <row r="421" customFormat="false" ht="15" hidden="false" customHeight="false" outlineLevel="0" collapsed="false">
      <c r="A421" s="20" t="n">
        <v>45079</v>
      </c>
      <c r="B421" s="21" t="n">
        <v>409.714386</v>
      </c>
      <c r="C421" s="21" t="n">
        <v>86.793594</v>
      </c>
      <c r="D421" s="22" t="n">
        <f aca="false">LN(B421/B420)</f>
        <v>0.0143575944320484</v>
      </c>
      <c r="E421" s="22" t="n">
        <f aca="false">LN(C421/C420)</f>
        <v>-0.00528724164733681</v>
      </c>
      <c r="F421" s="22" t="n">
        <f aca="false">LN(Summary!$B$13*EXP(D421)+Summary!$B$14*EXP(E421))</f>
        <v>0.00654590904673343</v>
      </c>
      <c r="G421" s="22" t="n">
        <f aca="false">EXP(F421)-1</f>
        <v>0.00656738033348692</v>
      </c>
      <c r="H421" s="21" t="n">
        <f aca="false">EXP(SUM(F170:F421))-1</f>
        <v>0.0336134456959805</v>
      </c>
    </row>
    <row r="422" customFormat="false" ht="15" hidden="false" customHeight="false" outlineLevel="0" collapsed="false">
      <c r="A422" s="20" t="n">
        <v>45082</v>
      </c>
      <c r="B422" s="21" t="n">
        <v>408.929321</v>
      </c>
      <c r="C422" s="21" t="n">
        <v>86.784752</v>
      </c>
      <c r="D422" s="22" t="n">
        <f aca="false">LN(B422/B421)</f>
        <v>-0.0019179656154399</v>
      </c>
      <c r="E422" s="22" t="n">
        <f aca="false">LN(C422/C421)</f>
        <v>-0.000101879067422993</v>
      </c>
      <c r="F422" s="22" t="n">
        <f aca="false">LN(Summary!$B$13*EXP(D422)+Summary!$B$14*EXP(E422))</f>
        <v>-0.00119113516792097</v>
      </c>
      <c r="G422" s="22" t="n">
        <f aca="false">EXP(F422)-1</f>
        <v>-0.00119042604800734</v>
      </c>
      <c r="H422" s="21" t="n">
        <f aca="false">EXP(SUM(F171:F422))-1</f>
        <v>0.0202102767441892</v>
      </c>
    </row>
    <row r="423" customFormat="false" ht="15" hidden="false" customHeight="false" outlineLevel="0" collapsed="false">
      <c r="A423" s="20" t="n">
        <v>45083</v>
      </c>
      <c r="B423" s="21" t="n">
        <v>409.819733</v>
      </c>
      <c r="C423" s="21" t="n">
        <v>86.8909</v>
      </c>
      <c r="D423" s="22" t="n">
        <f aca="false">LN(B423/B422)</f>
        <v>0.00217505558433295</v>
      </c>
      <c r="E423" s="22" t="n">
        <f aca="false">LN(C423/C422)</f>
        <v>0.00122237068920997</v>
      </c>
      <c r="F423" s="22" t="n">
        <f aca="false">LN(Summary!$B$13*EXP(D423)+Summary!$B$14*EXP(E423))</f>
        <v>0.00179409053238394</v>
      </c>
      <c r="G423" s="22" t="n">
        <f aca="false">EXP(F423)-1</f>
        <v>0.00179570087569303</v>
      </c>
      <c r="H423" s="21" t="n">
        <f aca="false">EXP(SUM(F172:F423))-1</f>
        <v>0.032895058472876</v>
      </c>
    </row>
    <row r="424" customFormat="false" ht="15" hidden="false" customHeight="false" outlineLevel="0" collapsed="false">
      <c r="A424" s="20" t="n">
        <v>45084</v>
      </c>
      <c r="B424" s="21" t="n">
        <v>408.402679</v>
      </c>
      <c r="C424" s="21" t="n">
        <v>86.430801</v>
      </c>
      <c r="D424" s="22" t="n">
        <f aca="false">LN(B424/B423)</f>
        <v>-0.00346374138859207</v>
      </c>
      <c r="E424" s="22" t="n">
        <f aca="false">LN(C424/C423)</f>
        <v>-0.00530920338426942</v>
      </c>
      <c r="F424" s="22" t="n">
        <f aca="false">LN(Summary!$B$13*EXP(D424)+Summary!$B$14*EXP(E424))</f>
        <v>-0.0042015175495979</v>
      </c>
      <c r="G424" s="22" t="n">
        <f aca="false">EXP(F424)-1</f>
        <v>-0.00419270352315448</v>
      </c>
      <c r="H424" s="21" t="n">
        <f aca="false">EXP(SUM(F173:F424))-1</f>
        <v>0.0292066696020135</v>
      </c>
    </row>
    <row r="425" customFormat="false" ht="15" hidden="false" customHeight="false" outlineLevel="0" collapsed="false">
      <c r="A425" s="20" t="n">
        <v>45085</v>
      </c>
      <c r="B425" s="21" t="n">
        <v>410.872925</v>
      </c>
      <c r="C425" s="21" t="n">
        <v>86.8909</v>
      </c>
      <c r="D425" s="22" t="n">
        <f aca="false">LN(B425/B424)</f>
        <v>0.00603033575953947</v>
      </c>
      <c r="E425" s="22" t="n">
        <f aca="false">LN(C425/C424)</f>
        <v>0.00530920338426937</v>
      </c>
      <c r="F425" s="22" t="n">
        <f aca="false">LN(Summary!$B$13*EXP(D425)+Summary!$B$14*EXP(E425))</f>
        <v>0.00574194521025847</v>
      </c>
      <c r="G425" s="22" t="n">
        <f aca="false">EXP(F425)-1</f>
        <v>0.00575846177492823</v>
      </c>
      <c r="H425" s="21" t="n">
        <f aca="false">EXP(SUM(F174:F425))-1</f>
        <v>0.0276501563800946</v>
      </c>
    </row>
    <row r="426" customFormat="false" ht="15" hidden="false" customHeight="false" outlineLevel="0" collapsed="false">
      <c r="A426" s="20" t="n">
        <v>45086</v>
      </c>
      <c r="B426" s="21" t="n">
        <v>411.610199</v>
      </c>
      <c r="C426" s="21" t="n">
        <v>86.687416</v>
      </c>
      <c r="D426" s="22" t="n">
        <f aca="false">LN(B426/B425)</f>
        <v>0.00179280079058467</v>
      </c>
      <c r="E426" s="22" t="n">
        <f aca="false">LN(C426/C425)</f>
        <v>-0.00234457964453969</v>
      </c>
      <c r="F426" s="22" t="n">
        <f aca="false">LN(Summary!$B$13*EXP(D426)+Summary!$B$14*EXP(E426))</f>
        <v>0.000139902198683611</v>
      </c>
      <c r="G426" s="22" t="n">
        <f aca="false">EXP(F426)-1</f>
        <v>0.000139911985452601</v>
      </c>
      <c r="H426" s="21" t="n">
        <f aca="false">EXP(SUM(F175:F426))-1</f>
        <v>0.0362507382798165</v>
      </c>
    </row>
    <row r="427" customFormat="false" ht="15" hidden="false" customHeight="false" outlineLevel="0" collapsed="false">
      <c r="A427" s="20" t="n">
        <v>45089</v>
      </c>
      <c r="B427" s="21" t="n">
        <v>415.344299</v>
      </c>
      <c r="C427" s="21" t="n">
        <v>86.837837</v>
      </c>
      <c r="D427" s="22" t="n">
        <f aca="false">LN(B427/B426)</f>
        <v>0.00903102985297011</v>
      </c>
      <c r="E427" s="22" t="n">
        <f aca="false">LN(C427/C426)</f>
        <v>0.00173370774658622</v>
      </c>
      <c r="F427" s="22" t="n">
        <f aca="false">LN(Summary!$B$13*EXP(D427)+Summary!$B$14*EXP(E427))</f>
        <v>0.00611848799843374</v>
      </c>
      <c r="G427" s="22" t="n">
        <f aca="false">EXP(F427)-1</f>
        <v>0.0061372441797718</v>
      </c>
      <c r="H427" s="21" t="n">
        <f aca="false">EXP(SUM(F176:F427))-1</f>
        <v>0.0581660071189789</v>
      </c>
    </row>
    <row r="428" customFormat="false" ht="15" hidden="false" customHeight="false" outlineLevel="0" collapsed="false">
      <c r="A428" s="20" t="n">
        <v>45090</v>
      </c>
      <c r="B428" s="21" t="n">
        <v>418.082611</v>
      </c>
      <c r="C428" s="21" t="n">
        <v>86.430801</v>
      </c>
      <c r="D428" s="22" t="n">
        <f aca="false">LN(B428/B427)</f>
        <v>0.00657123455159049</v>
      </c>
      <c r="E428" s="22" t="n">
        <f aca="false">LN(C428/C427)</f>
        <v>-0.00469833148631608</v>
      </c>
      <c r="F428" s="22" t="n">
        <f aca="false">LN(Summary!$B$13*EXP(D428)+Summary!$B$14*EXP(E428))</f>
        <v>0.00207863698967571</v>
      </c>
      <c r="G428" s="22" t="n">
        <f aca="false">EXP(F428)-1</f>
        <v>0.00208079885319346</v>
      </c>
      <c r="H428" s="21" t="n">
        <f aca="false">EXP(SUM(F177:F428))-1</f>
        <v>0.0825537034911408</v>
      </c>
    </row>
    <row r="429" customFormat="false" ht="15" hidden="false" customHeight="false" outlineLevel="0" collapsed="false">
      <c r="A429" s="20" t="n">
        <v>45091</v>
      </c>
      <c r="B429" s="21" t="n">
        <v>418.580536</v>
      </c>
      <c r="C429" s="21" t="n">
        <v>86.510452</v>
      </c>
      <c r="D429" s="22" t="n">
        <f aca="false">LN(B429/B428)</f>
        <v>0.00119026411183713</v>
      </c>
      <c r="E429" s="22" t="n">
        <f aca="false">LN(C429/C428)</f>
        <v>0.00092113367111907</v>
      </c>
      <c r="F429" s="22" t="n">
        <f aca="false">LN(Summary!$B$13*EXP(D429)+Summary!$B$14*EXP(E429))</f>
        <v>0.00108262062713737</v>
      </c>
      <c r="G429" s="22" t="n">
        <f aca="false">EXP(F429)-1</f>
        <v>0.00108320687238983</v>
      </c>
      <c r="H429" s="21" t="n">
        <f aca="false">EXP(SUM(F178:F429))-1</f>
        <v>0.116481924346275</v>
      </c>
    </row>
    <row r="430" customFormat="false" ht="15" hidden="false" customHeight="false" outlineLevel="0" collapsed="false">
      <c r="A430" s="20" t="n">
        <v>45092</v>
      </c>
      <c r="B430" s="21" t="n">
        <v>423.769836</v>
      </c>
      <c r="C430" s="21" t="n">
        <v>87.112137</v>
      </c>
      <c r="D430" s="22" t="n">
        <f aca="false">LN(B430/B429)</f>
        <v>0.0123211571376815</v>
      </c>
      <c r="E430" s="22" t="n">
        <f aca="false">LN(C430/C429)</f>
        <v>0.00693098072242404</v>
      </c>
      <c r="F430" s="22" t="n">
        <f aca="false">LN(Summary!$B$13*EXP(D430)+Summary!$B$14*EXP(E430))</f>
        <v>0.0101685717952327</v>
      </c>
      <c r="G430" s="22" t="n">
        <f aca="false">EXP(F430)-1</f>
        <v>0.0102204474059351</v>
      </c>
      <c r="H430" s="21" t="n">
        <f aca="false">EXP(SUM(F179:F430))-1</f>
        <v>0.132624068357911</v>
      </c>
    </row>
    <row r="431" customFormat="false" ht="15" hidden="false" customHeight="false" outlineLevel="0" collapsed="false">
      <c r="A431" s="20" t="n">
        <v>45093</v>
      </c>
      <c r="B431" s="21" t="n">
        <v>422.326447</v>
      </c>
      <c r="C431" s="21" t="n">
        <v>86.837837</v>
      </c>
      <c r="D431" s="22" t="n">
        <f aca="false">LN(B431/B430)</f>
        <v>-0.00341188214438744</v>
      </c>
      <c r="E431" s="22" t="n">
        <f aca="false">LN(C431/C430)</f>
        <v>-0.00315378290722687</v>
      </c>
      <c r="F431" s="22" t="n">
        <f aca="false">LN(Summary!$B$13*EXP(D431)+Summary!$B$14*EXP(E431))</f>
        <v>-0.00330863445555983</v>
      </c>
      <c r="G431" s="22" t="n">
        <f aca="false">EXP(F431)-1</f>
        <v>-0.00330316695622734</v>
      </c>
      <c r="H431" s="21" t="n">
        <f aca="false">EXP(SUM(F180:F431))-1</f>
        <v>0.114398283902628</v>
      </c>
    </row>
    <row r="432" customFormat="false" ht="15" hidden="false" customHeight="false" outlineLevel="0" collapsed="false">
      <c r="A432" s="20" t="n">
        <v>45097</v>
      </c>
      <c r="B432" s="21" t="n">
        <v>420.135376</v>
      </c>
      <c r="C432" s="21" t="n">
        <v>86.997101</v>
      </c>
      <c r="D432" s="22" t="n">
        <f aca="false">LN(B432/B431)</f>
        <v>-0.00520160292238037</v>
      </c>
      <c r="E432" s="22" t="n">
        <f aca="false">LN(C432/C431)</f>
        <v>0.00183235943698837</v>
      </c>
      <c r="F432" s="22" t="n">
        <f aca="false">LN(Summary!$B$13*EXP(D432)+Summary!$B$14*EXP(E432))</f>
        <v>-0.00238207801010608</v>
      </c>
      <c r="G432" s="22" t="n">
        <f aca="false">EXP(F432)-1</f>
        <v>-0.00237924311371118</v>
      </c>
      <c r="H432" s="21" t="n">
        <f aca="false">EXP(SUM(F181:F432))-1</f>
        <v>0.13316217412825</v>
      </c>
    </row>
    <row r="433" customFormat="false" ht="15" hidden="false" customHeight="false" outlineLevel="0" collapsed="false">
      <c r="A433" s="20" t="n">
        <v>45098</v>
      </c>
      <c r="B433" s="21" t="n">
        <v>417.982697</v>
      </c>
      <c r="C433" s="21" t="n">
        <v>87.138687</v>
      </c>
      <c r="D433" s="22" t="n">
        <f aca="false">LN(B433/B432)</f>
        <v>-0.00513694622065005</v>
      </c>
      <c r="E433" s="22" t="n">
        <f aca="false">LN(C433/C432)</f>
        <v>0.00162615660832064</v>
      </c>
      <c r="F433" s="22" t="n">
        <f aca="false">LN(Summary!$B$13*EXP(D433)+Summary!$B$14*EXP(E433))</f>
        <v>-0.00242621387636188</v>
      </c>
      <c r="G433" s="22" t="n">
        <f aca="false">EXP(F433)-1</f>
        <v>-0.00242327299835543</v>
      </c>
      <c r="H433" s="21" t="n">
        <f aca="false">EXP(SUM(F182:F433))-1</f>
        <v>0.129001229922406</v>
      </c>
    </row>
    <row r="434" customFormat="false" ht="15" hidden="false" customHeight="false" outlineLevel="0" collapsed="false">
      <c r="A434" s="20" t="n">
        <v>45099</v>
      </c>
      <c r="B434" s="21" t="n">
        <v>419.491455</v>
      </c>
      <c r="C434" s="21" t="n">
        <v>86.687416</v>
      </c>
      <c r="D434" s="22" t="n">
        <f aca="false">LN(B434/B433)</f>
        <v>0.00360311928118653</v>
      </c>
      <c r="E434" s="22" t="n">
        <f aca="false">LN(C434/C433)</f>
        <v>-0.00519222379189535</v>
      </c>
      <c r="F434" s="22" t="n">
        <f aca="false">LN(Summary!$B$13*EXP(D434)+Summary!$B$14*EXP(E434))</f>
        <v>9.42595497100234E-005</v>
      </c>
      <c r="G434" s="22" t="n">
        <f aca="false">EXP(F434)-1</f>
        <v>9.42639922809629E-005</v>
      </c>
      <c r="H434" s="21" t="n">
        <f aca="false">EXP(SUM(F183:F434))-1</f>
        <v>0.114056808385007</v>
      </c>
    </row>
    <row r="435" customFormat="false" ht="15" hidden="false" customHeight="false" outlineLevel="0" collapsed="false">
      <c r="A435" s="20" t="n">
        <v>45100</v>
      </c>
      <c r="B435" s="21" t="n">
        <v>416.320129</v>
      </c>
      <c r="C435" s="21" t="n">
        <v>86.944016</v>
      </c>
      <c r="D435" s="22" t="n">
        <f aca="false">LN(B435/B434)</f>
        <v>-0.00758865103042066</v>
      </c>
      <c r="E435" s="22" t="n">
        <f aca="false">LN(C435/C434)</f>
        <v>0.00295568819367639</v>
      </c>
      <c r="F435" s="22" t="n">
        <f aca="false">LN(Summary!$B$13*EXP(D435)+Summary!$B$14*EXP(E435))</f>
        <v>-0.00335756404569243</v>
      </c>
      <c r="G435" s="22" t="n">
        <f aca="false">EXP(F435)-1</f>
        <v>-0.00335193373067577</v>
      </c>
      <c r="H435" s="21" t="n">
        <f aca="false">EXP(SUM(F184:F435))-1</f>
        <v>0.107758976357199</v>
      </c>
    </row>
    <row r="436" customFormat="false" ht="15" hidden="false" customHeight="false" outlineLevel="0" collapsed="false">
      <c r="A436" s="20" t="n">
        <v>45103</v>
      </c>
      <c r="B436" s="21" t="n">
        <v>414.619171</v>
      </c>
      <c r="C436" s="21" t="n">
        <v>87.050194</v>
      </c>
      <c r="D436" s="22" t="n">
        <f aca="false">LN(B436/B435)</f>
        <v>-0.00409406650008339</v>
      </c>
      <c r="E436" s="22" t="n">
        <f aca="false">LN(C436/C435)</f>
        <v>0.00122047754554501</v>
      </c>
      <c r="F436" s="22" t="n">
        <f aca="false">LN(Summary!$B$13*EXP(D436)+Summary!$B$14*EXP(E436))</f>
        <v>-0.00196485835908791</v>
      </c>
      <c r="G436" s="22" t="n">
        <f aca="false">EXP(F436)-1</f>
        <v>-0.00196292928855923</v>
      </c>
      <c r="H436" s="21" t="n">
        <f aca="false">EXP(SUM(F185:F436))-1</f>
        <v>0.0973017436885388</v>
      </c>
    </row>
    <row r="437" customFormat="false" ht="15" hidden="false" customHeight="false" outlineLevel="0" collapsed="false">
      <c r="A437" s="20" t="n">
        <v>45104</v>
      </c>
      <c r="B437" s="21" t="n">
        <v>419.164734</v>
      </c>
      <c r="C437" s="21" t="n">
        <v>86.88208</v>
      </c>
      <c r="D437" s="22" t="n">
        <f aca="false">LN(B437/B436)</f>
        <v>0.0109035638777579</v>
      </c>
      <c r="E437" s="22" t="n">
        <f aca="false">LN(C437/C436)</f>
        <v>-0.00193309784878272</v>
      </c>
      <c r="F437" s="22" t="n">
        <f aca="false">LN(Summary!$B$13*EXP(D437)+Summary!$B$14*EXP(E437))</f>
        <v>0.00578865573225905</v>
      </c>
      <c r="G437" s="22" t="n">
        <f aca="false">EXP(F437)-1</f>
        <v>0.00580544237491987</v>
      </c>
      <c r="H437" s="21" t="n">
        <f aca="false">EXP(SUM(F186:F437))-1</f>
        <v>0.0836843577267863</v>
      </c>
    </row>
    <row r="438" customFormat="false" ht="15" hidden="false" customHeight="false" outlineLevel="0" collapsed="false">
      <c r="A438" s="20" t="n">
        <v>45105</v>
      </c>
      <c r="B438" s="21" t="n">
        <v>419.37616</v>
      </c>
      <c r="C438" s="21" t="n">
        <v>87.138687</v>
      </c>
      <c r="D438" s="22" t="n">
        <f aca="false">LN(B438/B437)</f>
        <v>0.00050427118341662</v>
      </c>
      <c r="E438" s="22" t="n">
        <f aca="false">LN(C438/C437)</f>
        <v>0.0029491559014566</v>
      </c>
      <c r="F438" s="22" t="n">
        <f aca="false">LN(Summary!$B$13*EXP(D438)+Summary!$B$14*EXP(E438))</f>
        <v>0.0014829424827431</v>
      </c>
      <c r="G438" s="22" t="n">
        <f aca="false">EXP(F438)-1</f>
        <v>0.00148404258567592</v>
      </c>
      <c r="H438" s="21" t="n">
        <f aca="false">EXP(SUM(F187:F438))-1</f>
        <v>0.0897314523000823</v>
      </c>
    </row>
    <row r="439" customFormat="false" ht="15" hidden="false" customHeight="false" outlineLevel="0" collapsed="false">
      <c r="A439" s="20" t="n">
        <v>45106</v>
      </c>
      <c r="B439" s="21" t="n">
        <v>421.029053</v>
      </c>
      <c r="C439" s="21" t="n">
        <v>86.466217</v>
      </c>
      <c r="D439" s="22" t="n">
        <f aca="false">LN(B439/B438)</f>
        <v>0.00393356705953764</v>
      </c>
      <c r="E439" s="22" t="n">
        <f aca="false">LN(C439/C438)</f>
        <v>-0.00774717013053379</v>
      </c>
      <c r="F439" s="22" t="n">
        <f aca="false">LN(Summary!$B$13*EXP(D439)+Summary!$B$14*EXP(E439))</f>
        <v>-0.00072236789340265</v>
      </c>
      <c r="G439" s="22" t="n">
        <f aca="false">EXP(F439)-1</f>
        <v>-0.000722107048528375</v>
      </c>
      <c r="H439" s="21" t="n">
        <f aca="false">EXP(SUM(F188:F439))-1</f>
        <v>0.102282728922684</v>
      </c>
    </row>
    <row r="440" customFormat="false" ht="15" hidden="false" customHeight="false" outlineLevel="0" collapsed="false">
      <c r="A440" s="20" t="n">
        <v>45107</v>
      </c>
      <c r="B440" s="21" t="n">
        <v>425.997528</v>
      </c>
      <c r="C440" s="21" t="n">
        <v>86.669746</v>
      </c>
      <c r="D440" s="22" t="n">
        <f aca="false">LN(B440/B439)</f>
        <v>0.0117317026331097</v>
      </c>
      <c r="E440" s="22" t="n">
        <f aca="false">LN(C440/C439)</f>
        <v>0.00235108974734067</v>
      </c>
      <c r="F440" s="22" t="n">
        <f aca="false">LN(Summary!$B$13*EXP(D440)+Summary!$B$14*EXP(E440))</f>
        <v>0.00799001034891639</v>
      </c>
      <c r="G440" s="22" t="n">
        <f aca="false">EXP(F440)-1</f>
        <v>0.00802201566575533</v>
      </c>
      <c r="H440" s="21" t="n">
        <f aca="false">EXP(SUM(F189:F440))-1</f>
        <v>0.109110696370325</v>
      </c>
    </row>
    <row r="441" customFormat="false" ht="15" hidden="false" customHeight="false" outlineLevel="0" collapsed="false">
      <c r="A441" s="20" t="n">
        <v>45110</v>
      </c>
      <c r="B441" s="21" t="n">
        <v>426.48761</v>
      </c>
      <c r="C441" s="21" t="n">
        <v>86.567734</v>
      </c>
      <c r="D441" s="22" t="n">
        <f aca="false">LN(B441/B440)</f>
        <v>0.00114977266381345</v>
      </c>
      <c r="E441" s="22" t="n">
        <f aca="false">LN(C441/C440)</f>
        <v>-0.00117771294977229</v>
      </c>
      <c r="F441" s="22" t="n">
        <f aca="false">LN(Summary!$B$13*EXP(D441)+Summary!$B$14*EXP(E441))</f>
        <v>0.000219428380096462</v>
      </c>
      <c r="G441" s="22" t="n">
        <f aca="false">EXP(F441)-1</f>
        <v>0.000219452456264424</v>
      </c>
      <c r="H441" s="21" t="n">
        <f aca="false">EXP(SUM(F190:F441))-1</f>
        <v>0.112755456813926</v>
      </c>
    </row>
    <row r="442" customFormat="false" ht="15" hidden="false" customHeight="false" outlineLevel="0" collapsed="false">
      <c r="A442" s="20" t="n">
        <v>45112</v>
      </c>
      <c r="B442" s="21" t="n">
        <v>425.853333</v>
      </c>
      <c r="C442" s="21" t="n">
        <v>86.177361</v>
      </c>
      <c r="D442" s="22" t="n">
        <f aca="false">LN(B442/B441)</f>
        <v>-0.00148831784344237</v>
      </c>
      <c r="E442" s="22" t="n">
        <f aca="false">LN(C442/C441)</f>
        <v>-0.00451964977089309</v>
      </c>
      <c r="F442" s="22" t="n">
        <f aca="false">LN(Summary!$B$13*EXP(D442)+Summary!$B$14*EXP(E442))</f>
        <v>-0.00269974816084211</v>
      </c>
      <c r="G442" s="22" t="n">
        <f aca="false">EXP(F442)-1</f>
        <v>-0.00269610711814594</v>
      </c>
      <c r="H442" s="21" t="n">
        <f aca="false">EXP(SUM(F191:F442))-1</f>
        <v>0.0991157604946822</v>
      </c>
    </row>
    <row r="443" customFormat="false" ht="15" hidden="false" customHeight="false" outlineLevel="0" collapsed="false">
      <c r="A443" s="20" t="n">
        <v>45113</v>
      </c>
      <c r="B443" s="21" t="n">
        <v>422.518677</v>
      </c>
      <c r="C443" s="21" t="n">
        <v>85.618439</v>
      </c>
      <c r="D443" s="22" t="n">
        <f aca="false">LN(B443/B442)</f>
        <v>-0.00786134651866803</v>
      </c>
      <c r="E443" s="22" t="n">
        <f aca="false">LN(C443/C442)</f>
        <v>-0.00650684093574101</v>
      </c>
      <c r="F443" s="22" t="n">
        <f aca="false">LN(Summary!$B$13*EXP(D443)+Summary!$B$14*EXP(E443))</f>
        <v>-0.00731932410338636</v>
      </c>
      <c r="G443" s="22" t="n">
        <f aca="false">EXP(F443)-1</f>
        <v>-0.0072926030837337</v>
      </c>
      <c r="H443" s="21" t="n">
        <f aca="false">EXP(SUM(F192:F443))-1</f>
        <v>0.0890573486619872</v>
      </c>
    </row>
    <row r="444" customFormat="false" ht="15" hidden="false" customHeight="false" outlineLevel="0" collapsed="false">
      <c r="A444" s="20" t="n">
        <v>45114</v>
      </c>
      <c r="B444" s="21" t="n">
        <v>421.451904</v>
      </c>
      <c r="C444" s="21" t="n">
        <v>85.636192</v>
      </c>
      <c r="D444" s="22" t="n">
        <f aca="false">LN(B444/B443)</f>
        <v>-0.00252798756766301</v>
      </c>
      <c r="E444" s="22" t="n">
        <f aca="false">LN(C444/C443)</f>
        <v>0.000207328700659684</v>
      </c>
      <c r="F444" s="22" t="n">
        <f aca="false">LN(Summary!$B$13*EXP(D444)+Summary!$B$14*EXP(E444))</f>
        <v>-0.00143296306224563</v>
      </c>
      <c r="G444" s="22" t="n">
        <f aca="false">EXP(F444)-1</f>
        <v>-0.00143193686090481</v>
      </c>
      <c r="H444" s="21" t="n">
        <f aca="false">EXP(SUM(F193:F444))-1</f>
        <v>0.0882224248599821</v>
      </c>
    </row>
    <row r="445" customFormat="false" ht="15" hidden="false" customHeight="false" outlineLevel="0" collapsed="false">
      <c r="A445" s="20" t="n">
        <v>45117</v>
      </c>
      <c r="B445" s="21" t="n">
        <v>422.518677</v>
      </c>
      <c r="C445" s="21" t="n">
        <v>85.875732</v>
      </c>
      <c r="D445" s="22" t="n">
        <f aca="false">LN(B445/B444)</f>
        <v>0.00252798756766308</v>
      </c>
      <c r="E445" s="22" t="n">
        <f aca="false">LN(C445/C444)</f>
        <v>0.00279327699395209</v>
      </c>
      <c r="F445" s="22" t="n">
        <f aca="false">LN(Summary!$B$13*EXP(D445)+Summary!$B$14*EXP(E445))</f>
        <v>0.00263411178374564</v>
      </c>
      <c r="G445" s="22" t="n">
        <f aca="false">EXP(F445)-1</f>
        <v>0.00263758410434778</v>
      </c>
      <c r="H445" s="21" t="n">
        <f aca="false">EXP(SUM(F194:F445))-1</f>
        <v>0.0823441445805007</v>
      </c>
    </row>
    <row r="446" customFormat="false" ht="15" hidden="false" customHeight="false" outlineLevel="0" collapsed="false">
      <c r="A446" s="20" t="n">
        <v>45118</v>
      </c>
      <c r="B446" s="21" t="n">
        <v>425.209412</v>
      </c>
      <c r="C446" s="21" t="n">
        <v>86.062027</v>
      </c>
      <c r="D446" s="22" t="n">
        <f aca="false">LN(B446/B445)</f>
        <v>0.00634812995113459</v>
      </c>
      <c r="E446" s="22" t="n">
        <f aca="false">LN(C446/C445)</f>
        <v>0.00216700594430933</v>
      </c>
      <c r="F446" s="22" t="n">
        <f aca="false">LN(Summary!$B$13*EXP(D446)+Summary!$B$14*EXP(E446))</f>
        <v>0.00467777757806735</v>
      </c>
      <c r="G446" s="22" t="n">
        <f aca="false">EXP(F446)-1</f>
        <v>0.00468873545911652</v>
      </c>
      <c r="H446" s="21" t="n">
        <f aca="false">EXP(SUM(F195:F446))-1</f>
        <v>0.0895866708809154</v>
      </c>
    </row>
    <row r="447" customFormat="false" ht="15" hidden="false" customHeight="false" outlineLevel="0" collapsed="false">
      <c r="A447" s="20" t="n">
        <v>45119</v>
      </c>
      <c r="B447" s="21" t="n">
        <v>428.630615</v>
      </c>
      <c r="C447" s="21" t="n">
        <v>86.762878</v>
      </c>
      <c r="D447" s="22" t="n">
        <f aca="false">LN(B447/B446)</f>
        <v>0.00801372903797255</v>
      </c>
      <c r="E447" s="22" t="n">
        <f aca="false">LN(C447/C446)</f>
        <v>0.00811057690918443</v>
      </c>
      <c r="F447" s="22" t="n">
        <f aca="false">LN(Summary!$B$13*EXP(D447)+Summary!$B$14*EXP(E447))</f>
        <v>0.00805246931200583</v>
      </c>
      <c r="G447" s="22" t="n">
        <f aca="false">EXP(F447)-1</f>
        <v>0.00808497764187455</v>
      </c>
      <c r="H447" s="21" t="n">
        <f aca="false">EXP(SUM(F196:F447))-1</f>
        <v>0.103912043811228</v>
      </c>
    </row>
    <row r="448" customFormat="false" ht="15" hidden="false" customHeight="false" outlineLevel="0" collapsed="false">
      <c r="A448" s="20" t="n">
        <v>45120</v>
      </c>
      <c r="B448" s="21" t="n">
        <v>432.032684</v>
      </c>
      <c r="C448" s="21" t="n">
        <v>87.304031</v>
      </c>
      <c r="D448" s="22" t="n">
        <f aca="false">LN(B448/B447)</f>
        <v>0.0079057320631978</v>
      </c>
      <c r="E448" s="22" t="n">
        <f aca="false">LN(C448/C447)</f>
        <v>0.00621777851467626</v>
      </c>
      <c r="F448" s="22" t="n">
        <f aca="false">LN(Summary!$B$13*EXP(D448)+Summary!$B$14*EXP(E448))</f>
        <v>0.0072308925077409</v>
      </c>
      <c r="G448" s="22" t="n">
        <f aca="false">EXP(F448)-1</f>
        <v>0.00725709853721801</v>
      </c>
      <c r="H448" s="21" t="n">
        <f aca="false">EXP(SUM(F197:F448))-1</f>
        <v>0.117240044916803</v>
      </c>
    </row>
    <row r="449" customFormat="false" ht="15" hidden="false" customHeight="false" outlineLevel="0" collapsed="false">
      <c r="A449" s="20" t="n">
        <v>45121</v>
      </c>
      <c r="B449" s="21" t="n">
        <v>431.76358</v>
      </c>
      <c r="C449" s="21" t="n">
        <v>86.887077</v>
      </c>
      <c r="D449" s="22" t="n">
        <f aca="false">LN(B449/B448)</f>
        <v>-0.000623072870122951</v>
      </c>
      <c r="E449" s="22" t="n">
        <f aca="false">LN(C449/C448)</f>
        <v>-0.00478732584133183</v>
      </c>
      <c r="F449" s="22" t="n">
        <f aca="false">LN(Summary!$B$13*EXP(D449)+Summary!$B$14*EXP(E449))</f>
        <v>-0.00228669371729028</v>
      </c>
      <c r="G449" s="22" t="n">
        <f aca="false">EXP(F449)-1</f>
        <v>-0.00228408122491464</v>
      </c>
      <c r="H449" s="21" t="n">
        <f aca="false">EXP(SUM(F198:F449))-1</f>
        <v>0.116583861908239</v>
      </c>
    </row>
    <row r="450" customFormat="false" ht="15" hidden="false" customHeight="false" outlineLevel="0" collapsed="false">
      <c r="A450" s="20" t="n">
        <v>45124</v>
      </c>
      <c r="B450" s="21" t="n">
        <v>433.262695</v>
      </c>
      <c r="C450" s="21" t="n">
        <v>86.984673</v>
      </c>
      <c r="D450" s="22" t="n">
        <f aca="false">LN(B450/B449)</f>
        <v>0.00346606003571451</v>
      </c>
      <c r="E450" s="22" t="n">
        <f aca="false">LN(C450/C449)</f>
        <v>0.00112262067011846</v>
      </c>
      <c r="F450" s="22" t="n">
        <f aca="false">LN(Summary!$B$13*EXP(D450)+Summary!$B$14*EXP(E450))</f>
        <v>0.00252934319135493</v>
      </c>
      <c r="G450" s="22" t="n">
        <f aca="false">EXP(F450)-1</f>
        <v>0.00253254467849562</v>
      </c>
      <c r="H450" s="21" t="n">
        <f aca="false">EXP(SUM(F199:F450))-1</f>
        <v>0.122629080767563</v>
      </c>
    </row>
    <row r="451" customFormat="false" ht="15" hidden="false" customHeight="false" outlineLevel="0" collapsed="false">
      <c r="A451" s="20" t="n">
        <v>45125</v>
      </c>
      <c r="B451" s="21" t="n">
        <v>436.482147</v>
      </c>
      <c r="C451" s="21" t="n">
        <v>87.055626</v>
      </c>
      <c r="D451" s="22" t="n">
        <f aca="false">LN(B451/B450)</f>
        <v>0.00740324414434046</v>
      </c>
      <c r="E451" s="22" t="n">
        <f aca="false">LN(C451/C450)</f>
        <v>0.000815362928454854</v>
      </c>
      <c r="F451" s="22" t="n">
        <f aca="false">LN(Summary!$B$13*EXP(D451)+Summary!$B$14*EXP(E451))</f>
        <v>0.00477329738385576</v>
      </c>
      <c r="G451" s="22" t="n">
        <f aca="false">EXP(F451)-1</f>
        <v>0.00478470771555806</v>
      </c>
      <c r="H451" s="21" t="n">
        <f aca="false">EXP(SUM(F200:F451))-1</f>
        <v>0.113487034867369</v>
      </c>
    </row>
    <row r="452" customFormat="false" ht="15" hidden="false" customHeight="false" outlineLevel="0" collapsed="false">
      <c r="A452" s="20" t="n">
        <v>45126</v>
      </c>
      <c r="B452" s="21" t="n">
        <v>437.452759</v>
      </c>
      <c r="C452" s="21" t="n">
        <v>87.321777</v>
      </c>
      <c r="D452" s="22" t="n">
        <f aca="false">LN(B452/B451)</f>
        <v>0.00222124643932717</v>
      </c>
      <c r="E452" s="22" t="n">
        <f aca="false">LN(C452/C451)</f>
        <v>0.00305258826079392</v>
      </c>
      <c r="F452" s="22" t="n">
        <f aca="false">LN(Summary!$B$13*EXP(D452)+Summary!$B$14*EXP(E452))</f>
        <v>0.00255386610801518</v>
      </c>
      <c r="G452" s="22" t="n">
        <f aca="false">EXP(F452)-1</f>
        <v>0.00255713000198865</v>
      </c>
      <c r="H452" s="21" t="n">
        <f aca="false">EXP(SUM(F201:F452))-1</f>
        <v>0.123349874354353</v>
      </c>
    </row>
    <row r="453" customFormat="false" ht="15" hidden="false" customHeight="false" outlineLevel="0" collapsed="false">
      <c r="A453" s="20" t="n">
        <v>45127</v>
      </c>
      <c r="B453" s="21" t="n">
        <v>434.550476</v>
      </c>
      <c r="C453" s="21" t="n">
        <v>86.869331</v>
      </c>
      <c r="D453" s="22" t="n">
        <f aca="false">LN(B453/B452)</f>
        <v>-0.00665661226999878</v>
      </c>
      <c r="E453" s="22" t="n">
        <f aca="false">LN(C453/C452)</f>
        <v>-0.00519483483033854</v>
      </c>
      <c r="F453" s="22" t="n">
        <f aca="false">LN(Summary!$B$13*EXP(D453)+Summary!$B$14*EXP(E453))</f>
        <v>-0.00607164485397268</v>
      </c>
      <c r="G453" s="22" t="n">
        <f aca="false">EXP(F453)-1</f>
        <v>-0.00605324966686682</v>
      </c>
      <c r="H453" s="21" t="n">
        <f aca="false">EXP(SUM(F202:F453))-1</f>
        <v>0.099332234417965</v>
      </c>
    </row>
    <row r="454" customFormat="false" ht="15" hidden="false" customHeight="false" outlineLevel="0" collapsed="false">
      <c r="A454" s="20" t="n">
        <v>45128</v>
      </c>
      <c r="B454" s="21" t="n">
        <v>434.550476</v>
      </c>
      <c r="C454" s="21" t="n">
        <v>86.931412</v>
      </c>
      <c r="D454" s="22" t="n">
        <f aca="false">LN(B454/B453)</f>
        <v>0</v>
      </c>
      <c r="E454" s="22" t="n">
        <f aca="false">LN(C454/C453)</f>
        <v>0.000714392833640242</v>
      </c>
      <c r="F454" s="22" t="n">
        <f aca="false">LN(Summary!$B$13*EXP(D454)+Summary!$B$14*EXP(E454))</f>
        <v>0.00028581837922625</v>
      </c>
      <c r="G454" s="22" t="n">
        <f aca="false">EXP(F454)-1</f>
        <v>0.000285859229190999</v>
      </c>
      <c r="H454" s="21" t="n">
        <f aca="false">EXP(SUM(F203:F454))-1</f>
        <v>0.0957577997087662</v>
      </c>
    </row>
    <row r="455" customFormat="false" ht="15" hidden="false" customHeight="false" outlineLevel="0" collapsed="false">
      <c r="A455" s="20" t="n">
        <v>45131</v>
      </c>
      <c r="B455" s="21" t="n">
        <v>436.491791</v>
      </c>
      <c r="C455" s="21" t="n">
        <v>86.771729</v>
      </c>
      <c r="D455" s="22" t="n">
        <f aca="false">LN(B455/B454)</f>
        <v>0.0044574604192513</v>
      </c>
      <c r="E455" s="22" t="n">
        <f aca="false">LN(C455/C454)</f>
        <v>-0.00183857406449661</v>
      </c>
      <c r="F455" s="22" t="n">
        <f aca="false">LN(Summary!$B$13*EXP(D455)+Summary!$B$14*EXP(E455))</f>
        <v>0.0019438014282712</v>
      </c>
      <c r="G455" s="22" t="n">
        <f aca="false">EXP(F455)-1</f>
        <v>0.00194569183492743</v>
      </c>
      <c r="H455" s="21" t="n">
        <f aca="false">EXP(SUM(F204:F455))-1</f>
        <v>0.0876091372750427</v>
      </c>
    </row>
    <row r="456" customFormat="false" ht="15" hidden="false" customHeight="false" outlineLevel="0" collapsed="false">
      <c r="A456" s="20" t="n">
        <v>45132</v>
      </c>
      <c r="B456" s="21" t="n">
        <v>437.68338</v>
      </c>
      <c r="C456" s="21" t="n">
        <v>86.674149</v>
      </c>
      <c r="D456" s="22" t="n">
        <f aca="false">LN(B456/B455)</f>
        <v>0.00272620357461327</v>
      </c>
      <c r="E456" s="22" t="n">
        <f aca="false">LN(C456/C455)</f>
        <v>-0.00112519261247774</v>
      </c>
      <c r="F456" s="22" t="n">
        <f aca="false">LN(Summary!$B$13*EXP(D456)+Summary!$B$14*EXP(E456))</f>
        <v>0.00118742463209037</v>
      </c>
      <c r="G456" s="22" t="n">
        <f aca="false">EXP(F456)-1</f>
        <v>0.00118812989984196</v>
      </c>
      <c r="H456" s="21" t="n">
        <f aca="false">EXP(SUM(F205:F456))-1</f>
        <v>0.0915720473129731</v>
      </c>
    </row>
    <row r="457" customFormat="false" ht="15" hidden="false" customHeight="false" outlineLevel="0" collapsed="false">
      <c r="A457" s="20" t="n">
        <v>45133</v>
      </c>
      <c r="B457" s="21" t="n">
        <v>437.750641</v>
      </c>
      <c r="C457" s="21" t="n">
        <v>86.958054</v>
      </c>
      <c r="D457" s="22" t="n">
        <f aca="false">LN(B457/B456)</f>
        <v>0.000153663208234632</v>
      </c>
      <c r="E457" s="22" t="n">
        <f aca="false">LN(C457/C456)</f>
        <v>0.00327019122150052</v>
      </c>
      <c r="F457" s="22" t="n">
        <f aca="false">LN(Summary!$B$13*EXP(D457)+Summary!$B$14*EXP(E457))</f>
        <v>0.00140144018490891</v>
      </c>
      <c r="G457" s="22" t="n">
        <f aca="false">EXP(F457)-1</f>
        <v>0.00140242266111179</v>
      </c>
      <c r="H457" s="21" t="n">
        <f aca="false">EXP(SUM(F206:F457))-1</f>
        <v>0.0939140891445804</v>
      </c>
    </row>
    <row r="458" customFormat="false" ht="15" hidden="false" customHeight="false" outlineLevel="0" collapsed="false">
      <c r="A458" s="20" t="n">
        <v>45134</v>
      </c>
      <c r="B458" s="21" t="n">
        <v>434.848389</v>
      </c>
      <c r="C458" s="21" t="n">
        <v>86.212822</v>
      </c>
      <c r="D458" s="22" t="n">
        <f aca="false">LN(B458/B457)</f>
        <v>-0.00665199616785571</v>
      </c>
      <c r="E458" s="22" t="n">
        <f aca="false">LN(C458/C457)</f>
        <v>-0.00860695075002218</v>
      </c>
      <c r="F458" s="22" t="n">
        <f aca="false">LN(Summary!$B$13*EXP(D458)+Summary!$B$14*EXP(E458))</f>
        <v>-0.00743351943886869</v>
      </c>
      <c r="G458" s="22" t="n">
        <f aca="false">EXP(F458)-1</f>
        <v>-0.00740595916546927</v>
      </c>
      <c r="H458" s="21" t="n">
        <f aca="false">EXP(SUM(F207:F458))-1</f>
        <v>0.0936610982283153</v>
      </c>
    </row>
    <row r="459" customFormat="false" ht="15" hidden="false" customHeight="false" outlineLevel="0" collapsed="false">
      <c r="A459" s="20" t="n">
        <v>45135</v>
      </c>
      <c r="B459" s="21" t="n">
        <v>439.105743</v>
      </c>
      <c r="C459" s="21" t="n">
        <v>86.549957</v>
      </c>
      <c r="D459" s="22" t="n">
        <f aca="false">LN(B459/B458)</f>
        <v>0.00974281720427686</v>
      </c>
      <c r="E459" s="22" t="n">
        <f aca="false">LN(C459/C458)</f>
        <v>0.00390287109178649</v>
      </c>
      <c r="F459" s="22" t="n">
        <f aca="false">LN(Summary!$B$13*EXP(D459)+Summary!$B$14*EXP(E459))</f>
        <v>0.00741092975727011</v>
      </c>
      <c r="G459" s="22" t="n">
        <f aca="false">EXP(F459)-1</f>
        <v>0.0074384586601064</v>
      </c>
      <c r="H459" s="21" t="n">
        <f aca="false">EXP(SUM(F208:F459))-1</f>
        <v>0.0834018596187158</v>
      </c>
    </row>
    <row r="460" customFormat="false" ht="15" hidden="false" customHeight="false" outlineLevel="0" collapsed="false">
      <c r="A460" s="20" t="n">
        <v>45138</v>
      </c>
      <c r="B460" s="21" t="n">
        <v>439.941803</v>
      </c>
      <c r="C460" s="21" t="n">
        <v>86.656403</v>
      </c>
      <c r="D460" s="22" t="n">
        <f aca="false">LN(B460/B459)</f>
        <v>0.0019021957478881</v>
      </c>
      <c r="E460" s="22" t="n">
        <f aca="false">LN(C460/C459)</f>
        <v>0.0012291236118703</v>
      </c>
      <c r="F460" s="22" t="n">
        <f aca="false">LN(Summary!$B$13*EXP(D460)+Summary!$B$14*EXP(E460))</f>
        <v>0.00163302125417285</v>
      </c>
      <c r="G460" s="22" t="n">
        <f aca="false">EXP(F460)-1</f>
        <v>0.00163435535948975</v>
      </c>
      <c r="H460" s="21" t="n">
        <f aca="false">EXP(SUM(F209:F460))-1</f>
        <v>0.0740131533773663</v>
      </c>
    </row>
    <row r="461" customFormat="false" ht="15" hidden="false" customHeight="false" outlineLevel="0" collapsed="false">
      <c r="A461" s="20" t="n">
        <v>45139</v>
      </c>
      <c r="B461" s="21" t="n">
        <v>438.682831</v>
      </c>
      <c r="C461" s="21" t="n">
        <v>86.082642</v>
      </c>
      <c r="D461" s="22" t="n">
        <f aca="false">LN(B461/B460)</f>
        <v>-0.0028657809328616</v>
      </c>
      <c r="E461" s="22" t="n">
        <f aca="false">LN(C461/C460)</f>
        <v>-0.00664312008966426</v>
      </c>
      <c r="F461" s="22" t="n">
        <f aca="false">LN(Summary!$B$13*EXP(D461)+Summary!$B$14*EXP(E461))</f>
        <v>-0.00437500483271454</v>
      </c>
      <c r="G461" s="22" t="n">
        <f aca="false">EXP(F461)-1</f>
        <v>-0.00436544844057152</v>
      </c>
      <c r="H461" s="21" t="n">
        <f aca="false">EXP(SUM(F210:F461))-1</f>
        <v>0.0600116143832916</v>
      </c>
    </row>
    <row r="462" customFormat="false" ht="15" hidden="false" customHeight="false" outlineLevel="0" collapsed="false">
      <c r="A462" s="20" t="n">
        <v>45140</v>
      </c>
      <c r="B462" s="21" t="n">
        <v>432.580414</v>
      </c>
      <c r="C462" s="21" t="n">
        <v>85.878052</v>
      </c>
      <c r="D462" s="22" t="n">
        <f aca="false">LN(B462/B461)</f>
        <v>-0.0140084339093428</v>
      </c>
      <c r="E462" s="22" t="n">
        <f aca="false">LN(C462/C461)</f>
        <v>-0.00237949838156152</v>
      </c>
      <c r="F462" s="22" t="n">
        <f aca="false">LN(Summary!$B$13*EXP(D462)+Summary!$B$14*EXP(E462))</f>
        <v>-0.00934061934102767</v>
      </c>
      <c r="G462" s="22" t="n">
        <f aca="false">EXP(F462)-1</f>
        <v>-0.0092971312633795</v>
      </c>
      <c r="H462" s="21" t="n">
        <f aca="false">EXP(SUM(F211:F462))-1</f>
        <v>0.0505668429901294</v>
      </c>
    </row>
    <row r="463" customFormat="false" ht="15" hidden="false" customHeight="false" outlineLevel="0" collapsed="false">
      <c r="A463" s="20" t="n">
        <v>45141</v>
      </c>
      <c r="B463" s="21" t="n">
        <v>431.340698</v>
      </c>
      <c r="C463" s="21" t="n">
        <v>85.29982</v>
      </c>
      <c r="D463" s="22" t="n">
        <f aca="false">LN(B463/B462)</f>
        <v>-0.0028699769775684</v>
      </c>
      <c r="E463" s="22" t="n">
        <f aca="false">LN(C463/C462)</f>
        <v>-0.00675594564398324</v>
      </c>
      <c r="F463" s="22" t="n">
        <f aca="false">LN(Summary!$B$13*EXP(D463)+Summary!$B$14*EXP(E463))</f>
        <v>-0.00442255282428826</v>
      </c>
      <c r="G463" s="22" t="n">
        <f aca="false">EXP(F463)-1</f>
        <v>-0.00441278773838638</v>
      </c>
      <c r="H463" s="21" t="n">
        <f aca="false">EXP(SUM(F212:F463))-1</f>
        <v>0.0544345574413303</v>
      </c>
    </row>
    <row r="464" customFormat="false" ht="15" hidden="false" customHeight="false" outlineLevel="0" collapsed="false">
      <c r="A464" s="20" t="n">
        <v>45142</v>
      </c>
      <c r="B464" s="21" t="n">
        <v>429.389862</v>
      </c>
      <c r="C464" s="21" t="n">
        <v>86.002571</v>
      </c>
      <c r="D464" s="22" t="n">
        <f aca="false">LN(B464/B463)</f>
        <v>-0.00453298495750555</v>
      </c>
      <c r="E464" s="22" t="n">
        <f aca="false">LN(C464/C463)</f>
        <v>0.00820484685937763</v>
      </c>
      <c r="F464" s="22" t="n">
        <f aca="false">LN(Summary!$B$13*EXP(D464)+Summary!$B$14*EXP(E464))</f>
        <v>0.000581634470236542</v>
      </c>
      <c r="G464" s="22" t="n">
        <f aca="false">EXP(F464)-1</f>
        <v>0.000581803652364155</v>
      </c>
      <c r="H464" s="21" t="n">
        <f aca="false">EXP(SUM(F213:F464))-1</f>
        <v>0.043383526885884</v>
      </c>
    </row>
    <row r="465" customFormat="false" ht="15" hidden="false" customHeight="false" outlineLevel="0" collapsed="false">
      <c r="A465" s="20" t="n">
        <v>45145</v>
      </c>
      <c r="B465" s="21" t="n">
        <v>433.137848</v>
      </c>
      <c r="C465" s="21" t="n">
        <v>86.020386</v>
      </c>
      <c r="D465" s="22" t="n">
        <f aca="false">LN(B465/B464)</f>
        <v>0.00869075751824759</v>
      </c>
      <c r="E465" s="22" t="n">
        <f aca="false">LN(C465/C464)</f>
        <v>0.000207123518562547</v>
      </c>
      <c r="F465" s="22" t="n">
        <f aca="false">LN(Summary!$B$13*EXP(D465)+Summary!$B$14*EXP(E465))</f>
        <v>0.00530593565643982</v>
      </c>
      <c r="G465" s="22" t="n">
        <f aca="false">EXP(F465)-1</f>
        <v>0.0053200370623876</v>
      </c>
      <c r="H465" s="21" t="n">
        <f aca="false">EXP(SUM(F214:F465))-1</f>
        <v>0.0483477745503296</v>
      </c>
    </row>
    <row r="466" customFormat="false" ht="15" hidden="false" customHeight="false" outlineLevel="0" collapsed="false">
      <c r="A466" s="20" t="n">
        <v>45146</v>
      </c>
      <c r="B466" s="21" t="n">
        <v>431.254211</v>
      </c>
      <c r="C466" s="21" t="n">
        <v>86.224976</v>
      </c>
      <c r="D466" s="22" t="n">
        <f aca="false">LN(B466/B465)</f>
        <v>-0.00435830006070167</v>
      </c>
      <c r="E466" s="22" t="n">
        <f aca="false">LN(C466/C465)</f>
        <v>0.00237556580726708</v>
      </c>
      <c r="F466" s="22" t="n">
        <f aca="false">LN(Summary!$B$13*EXP(D466)+Summary!$B$14*EXP(E466))</f>
        <v>-0.00165930988585391</v>
      </c>
      <c r="G466" s="22" t="n">
        <f aca="false">EXP(F466)-1</f>
        <v>-0.00165793399232173</v>
      </c>
      <c r="H466" s="21" t="n">
        <f aca="false">EXP(SUM(F215:F466))-1</f>
        <v>0.0523779071530703</v>
      </c>
    </row>
    <row r="467" customFormat="false" ht="15" hidden="false" customHeight="false" outlineLevel="0" collapsed="false">
      <c r="A467" s="20" t="n">
        <v>45147</v>
      </c>
      <c r="B467" s="21" t="n">
        <v>428.371216</v>
      </c>
      <c r="C467" s="21" t="n">
        <v>86.287239</v>
      </c>
      <c r="D467" s="22" t="n">
        <f aca="false">LN(B467/B466)</f>
        <v>-0.00670758616178524</v>
      </c>
      <c r="E467" s="22" t="n">
        <f aca="false">LN(C467/C466)</f>
        <v>0.000721838771863448</v>
      </c>
      <c r="F467" s="22" t="n">
        <f aca="false">LN(Summary!$B$13*EXP(D467)+Summary!$B$14*EXP(E467))</f>
        <v>-0.0037291893585491</v>
      </c>
      <c r="G467" s="22" t="n">
        <f aca="false">EXP(F467)-1</f>
        <v>-0.00372224456740899</v>
      </c>
      <c r="H467" s="21" t="n">
        <f aca="false">EXP(SUM(F216:F467))-1</f>
        <v>0.0472733610213996</v>
      </c>
    </row>
    <row r="468" customFormat="false" ht="15" hidden="false" customHeight="false" outlineLevel="0" collapsed="false">
      <c r="A468" s="20" t="n">
        <v>45148</v>
      </c>
      <c r="B468" s="21" t="n">
        <v>428.524902</v>
      </c>
      <c r="C468" s="21" t="n">
        <v>85.726814</v>
      </c>
      <c r="D468" s="22" t="n">
        <f aca="false">LN(B468/B467)</f>
        <v>0.000358703927861358</v>
      </c>
      <c r="E468" s="22" t="n">
        <f aca="false">LN(C468/C467)</f>
        <v>-0.00651606043983379</v>
      </c>
      <c r="F468" s="22" t="n">
        <f aca="false">LN(Summary!$B$13*EXP(D468)+Summary!$B$14*EXP(E468))</f>
        <v>-0.0023855329421623</v>
      </c>
      <c r="G468" s="22" t="n">
        <f aca="false">EXP(F468)-1</f>
        <v>-0.00238268981969003</v>
      </c>
      <c r="H468" s="21" t="n">
        <f aca="false">EXP(SUM(F217:F468))-1</f>
        <v>0.0482100435656001</v>
      </c>
    </row>
    <row r="469" customFormat="false" ht="15" hidden="false" customHeight="false" outlineLevel="0" collapsed="false">
      <c r="A469" s="20" t="n">
        <v>45149</v>
      </c>
      <c r="B469" s="21" t="n">
        <v>428.275116</v>
      </c>
      <c r="C469" s="21" t="n">
        <v>85.459976</v>
      </c>
      <c r="D469" s="22" t="n">
        <f aca="false">LN(B469/B468)</f>
        <v>-0.000583067231160077</v>
      </c>
      <c r="E469" s="22" t="n">
        <f aca="false">LN(C469/C468)</f>
        <v>-0.00311750943064603</v>
      </c>
      <c r="F469" s="22" t="n">
        <f aca="false">LN(Summary!$B$13*EXP(D469)+Summary!$B$14*EXP(E469))</f>
        <v>-0.00159607343370232</v>
      </c>
      <c r="G469" s="22" t="n">
        <f aca="false">EXP(F469)-1</f>
        <v>-0.00159480038588211</v>
      </c>
      <c r="H469" s="21" t="n">
        <f aca="false">EXP(SUM(F218:F469))-1</f>
        <v>0.0324837309051909</v>
      </c>
    </row>
    <row r="470" customFormat="false" ht="15" hidden="false" customHeight="false" outlineLevel="0" collapsed="false">
      <c r="A470" s="20" t="n">
        <v>45152</v>
      </c>
      <c r="B470" s="21" t="n">
        <v>430.639191</v>
      </c>
      <c r="C470" s="21" t="n">
        <v>85.397682</v>
      </c>
      <c r="D470" s="22" t="n">
        <f aca="false">LN(B470/B469)</f>
        <v>0.00550481218115015</v>
      </c>
      <c r="E470" s="22" t="n">
        <f aca="false">LN(C470/C469)</f>
        <v>-0.000729191813693785</v>
      </c>
      <c r="F470" s="22" t="n">
        <f aca="false">LN(Summary!$B$13*EXP(D470)+Summary!$B$14*EXP(E470))</f>
        <v>0.00301587217510398</v>
      </c>
      <c r="G470" s="22" t="n">
        <f aca="false">EXP(F470)-1</f>
        <v>0.00302042449284468</v>
      </c>
      <c r="H470" s="21" t="n">
        <f aca="false">EXP(SUM(F219:F470))-1</f>
        <v>0.0378142595902045</v>
      </c>
    </row>
    <row r="471" customFormat="false" ht="15" hidden="false" customHeight="false" outlineLevel="0" collapsed="false">
      <c r="A471" s="20" t="n">
        <v>45153</v>
      </c>
      <c r="B471" s="21" t="n">
        <v>425.622711</v>
      </c>
      <c r="C471" s="21" t="n">
        <v>85.166412</v>
      </c>
      <c r="D471" s="22" t="n">
        <f aca="false">LN(B471/B470)</f>
        <v>-0.011717296735896</v>
      </c>
      <c r="E471" s="22" t="n">
        <f aca="false">LN(C471/C470)</f>
        <v>-0.00271182681309287</v>
      </c>
      <c r="F471" s="22" t="n">
        <f aca="false">LN(Summary!$B$13*EXP(D471)+Summary!$B$14*EXP(E471))</f>
        <v>-0.00810537113449413</v>
      </c>
      <c r="G471" s="22" t="n">
        <f aca="false">EXP(F471)-1</f>
        <v>-0.0080726111841507</v>
      </c>
      <c r="H471" s="21" t="n">
        <f aca="false">EXP(SUM(F220:F471))-1</f>
        <v>0.0172802259481439</v>
      </c>
    </row>
    <row r="472" customFormat="false" ht="15" hidden="false" customHeight="false" outlineLevel="0" collapsed="false">
      <c r="A472" s="20" t="n">
        <v>45154</v>
      </c>
      <c r="B472" s="21" t="n">
        <v>422.49942</v>
      </c>
      <c r="C472" s="21" t="n">
        <v>84.9618</v>
      </c>
      <c r="D472" s="22" t="n">
        <f aca="false">LN(B472/B471)</f>
        <v>-0.00736522490052594</v>
      </c>
      <c r="E472" s="22" t="n">
        <f aca="false">LN(C472/C471)</f>
        <v>-0.00240538704603732</v>
      </c>
      <c r="F472" s="22" t="n">
        <f aca="false">LN(Summary!$B$13*EXP(D472)+Summary!$B$14*EXP(E472))</f>
        <v>-0.00537833678631453</v>
      </c>
      <c r="G472" s="22" t="n">
        <f aca="false">EXP(F472)-1</f>
        <v>-0.00536389942760995</v>
      </c>
      <c r="H472" s="21" t="n">
        <f aca="false">EXP(SUM(F221:F472))-1</f>
        <v>0.00882064995770504</v>
      </c>
    </row>
    <row r="473" customFormat="false" ht="15" hidden="false" customHeight="false" outlineLevel="0" collapsed="false">
      <c r="A473" s="20" t="n">
        <v>45155</v>
      </c>
      <c r="B473" s="21" t="n">
        <v>419.280029</v>
      </c>
      <c r="C473" s="21" t="n">
        <v>84.872841</v>
      </c>
      <c r="D473" s="22" t="n">
        <f aca="false">LN(B473/B472)</f>
        <v>-0.00764905035512305</v>
      </c>
      <c r="E473" s="22" t="n">
        <f aca="false">LN(C473/C472)</f>
        <v>-0.00104759556250629</v>
      </c>
      <c r="F473" s="22" t="n">
        <f aca="false">LN(Summary!$B$13*EXP(D473)+Summary!$B$14*EXP(E473))</f>
        <v>-0.00500323664030718</v>
      </c>
      <c r="G473" s="22" t="n">
        <f aca="false">EXP(F473)-1</f>
        <v>-0.0049907412996022</v>
      </c>
      <c r="H473" s="21" t="n">
        <f aca="false">EXP(SUM(F222:F473))-1</f>
        <v>0.00318993089751762</v>
      </c>
    </row>
    <row r="474" customFormat="false" ht="15" hidden="false" customHeight="false" outlineLevel="0" collapsed="false">
      <c r="A474" s="20" t="n">
        <v>45156</v>
      </c>
      <c r="B474" s="21" t="n">
        <v>419.481842</v>
      </c>
      <c r="C474" s="21" t="n">
        <v>85.059662</v>
      </c>
      <c r="D474" s="22" t="n">
        <f aca="false">LN(B474/B473)</f>
        <v>0.000481216447413834</v>
      </c>
      <c r="E474" s="22" t="n">
        <f aca="false">LN(C474/C473)</f>
        <v>0.00219876800457379</v>
      </c>
      <c r="F474" s="22" t="n">
        <f aca="false">LN(Summary!$B$13*EXP(D474)+Summary!$B$14*EXP(E474))</f>
        <v>0.00116859110877559</v>
      </c>
      <c r="G474" s="22" t="n">
        <f aca="false">EXP(F474)-1</f>
        <v>0.00116927417741541</v>
      </c>
      <c r="H474" s="21" t="n">
        <f aca="false">EXP(SUM(F223:F474))-1</f>
        <v>0.0110617298792544</v>
      </c>
    </row>
    <row r="475" customFormat="false" ht="15" hidden="false" customHeight="false" outlineLevel="0" collapsed="false">
      <c r="A475" s="20" t="n">
        <v>45159</v>
      </c>
      <c r="B475" s="21" t="n">
        <v>422.211121</v>
      </c>
      <c r="C475" s="21" t="n">
        <v>84.632675</v>
      </c>
      <c r="D475" s="22" t="n">
        <f aca="false">LN(B475/B474)</f>
        <v>0.00648523555667419</v>
      </c>
      <c r="E475" s="22" t="n">
        <f aca="false">LN(C475/C474)</f>
        <v>-0.0050324947926884</v>
      </c>
      <c r="F475" s="22" t="n">
        <f aca="false">LN(Summary!$B$13*EXP(D475)+Summary!$B$14*EXP(E475))</f>
        <v>0.00189405008977525</v>
      </c>
      <c r="G475" s="22" t="n">
        <f aca="false">EXP(F475)-1</f>
        <v>0.00189584493564365</v>
      </c>
      <c r="H475" s="21" t="n">
        <f aca="false">EXP(SUM(F224:F475))-1</f>
        <v>0.0103490656088083</v>
      </c>
    </row>
    <row r="476" customFormat="false" ht="15" hidden="false" customHeight="false" outlineLevel="0" collapsed="false">
      <c r="A476" s="20" t="n">
        <v>45160</v>
      </c>
      <c r="B476" s="21" t="n">
        <v>421.067505</v>
      </c>
      <c r="C476" s="21" t="n">
        <v>84.721619</v>
      </c>
      <c r="D476" s="22" t="n">
        <f aca="false">LN(B476/B475)</f>
        <v>-0.00271231041754483</v>
      </c>
      <c r="E476" s="22" t="n">
        <f aca="false">LN(C476/C475)</f>
        <v>0.00105038976074367</v>
      </c>
      <c r="F476" s="22" t="n">
        <f aca="false">LN(Summary!$B$13*EXP(D476)+Summary!$B$14*EXP(E476))</f>
        <v>-0.0012055309714203</v>
      </c>
      <c r="G476" s="22" t="n">
        <f aca="false">EXP(F476)-1</f>
        <v>-0.00120480461087147</v>
      </c>
      <c r="H476" s="21" t="n">
        <f aca="false">EXP(SUM(F225:F476))-1</f>
        <v>0.0202183639308351</v>
      </c>
    </row>
    <row r="477" customFormat="false" ht="15" hidden="false" customHeight="false" outlineLevel="0" collapsed="false">
      <c r="A477" s="20" t="n">
        <v>45161</v>
      </c>
      <c r="B477" s="21" t="n">
        <v>425.757172</v>
      </c>
      <c r="C477" s="21" t="n">
        <v>85.531128</v>
      </c>
      <c r="D477" s="22" t="n">
        <f aca="false">LN(B477/B476)</f>
        <v>0.0110759997209184</v>
      </c>
      <c r="E477" s="22" t="n">
        <f aca="false">LN(C477/C476)</f>
        <v>0.0095095687406878</v>
      </c>
      <c r="F477" s="22" t="n">
        <f aca="false">LN(Summary!$B$13*EXP(D477)+Summary!$B$14*EXP(E477))</f>
        <v>0.0104497217427731</v>
      </c>
      <c r="G477" s="22" t="n">
        <f aca="false">EXP(F477)-1</f>
        <v>0.0105045107620552</v>
      </c>
      <c r="H477" s="21" t="n">
        <f aca="false">EXP(SUM(F226:F477))-1</f>
        <v>0.0458054537529038</v>
      </c>
    </row>
    <row r="478" customFormat="false" ht="15" hidden="false" customHeight="false" outlineLevel="0" collapsed="false">
      <c r="A478" s="20" t="n">
        <v>45162</v>
      </c>
      <c r="B478" s="21" t="n">
        <v>419.856598</v>
      </c>
      <c r="C478" s="21" t="n">
        <v>85.335419</v>
      </c>
      <c r="D478" s="22" t="n">
        <f aca="false">LN(B478/B477)</f>
        <v>-0.0139559453251109</v>
      </c>
      <c r="E478" s="22" t="n">
        <f aca="false">LN(C478/C477)</f>
        <v>-0.00229078294167134</v>
      </c>
      <c r="F478" s="22" t="n">
        <f aca="false">LN(Summary!$B$13*EXP(D478)+Summary!$B$14*EXP(E478))</f>
        <v>-0.0092735386329681</v>
      </c>
      <c r="G478" s="22" t="n">
        <f aca="false">EXP(F478)-1</f>
        <v>-0.00923067198442518</v>
      </c>
      <c r="H478" s="21" t="n">
        <f aca="false">EXP(SUM(F227:F478))-1</f>
        <v>0.0378220845850981</v>
      </c>
    </row>
    <row r="479" customFormat="false" ht="15" hidden="false" customHeight="false" outlineLevel="0" collapsed="false">
      <c r="A479" s="20" t="n">
        <v>45163</v>
      </c>
      <c r="B479" s="21" t="n">
        <v>422.816559</v>
      </c>
      <c r="C479" s="21" t="n">
        <v>85.282051</v>
      </c>
      <c r="D479" s="22" t="n">
        <f aca="false">LN(B479/B478)</f>
        <v>0.00702519867657844</v>
      </c>
      <c r="E479" s="22" t="n">
        <f aca="false">LN(C479/C478)</f>
        <v>-0.000625586603066053</v>
      </c>
      <c r="F479" s="22" t="n">
        <f aca="false">LN(Summary!$B$13*EXP(D479)+Summary!$B$14*EXP(E479))</f>
        <v>0.00397190510883218</v>
      </c>
      <c r="G479" s="22" t="n">
        <f aca="false">EXP(F479)-1</f>
        <v>0.00397980357778982</v>
      </c>
      <c r="H479" s="21" t="n">
        <f aca="false">EXP(SUM(F228:F479))-1</f>
        <v>0.0410604479727763</v>
      </c>
    </row>
    <row r="480" customFormat="false" ht="15" hidden="false" customHeight="false" outlineLevel="0" collapsed="false">
      <c r="A480" s="20" t="n">
        <v>45166</v>
      </c>
      <c r="B480" s="21" t="n">
        <v>425.497803</v>
      </c>
      <c r="C480" s="21" t="n">
        <v>85.46888</v>
      </c>
      <c r="D480" s="22" t="n">
        <f aca="false">LN(B480/B479)</f>
        <v>0.0063213663438209</v>
      </c>
      <c r="E480" s="22" t="n">
        <f aca="false">LN(C480/C479)</f>
        <v>0.00218832276301367</v>
      </c>
      <c r="F480" s="22" t="n">
        <f aca="false">LN(Summary!$B$13*EXP(D480)+Summary!$B$14*EXP(E480))</f>
        <v>0.00467019819131722</v>
      </c>
      <c r="G480" s="22" t="n">
        <f aca="false">EXP(F480)-1</f>
        <v>0.00468112056348513</v>
      </c>
      <c r="H480" s="21" t="n">
        <f aca="false">EXP(SUM(F229:F480))-1</f>
        <v>0.0348781103294999</v>
      </c>
    </row>
    <row r="481" customFormat="false" ht="15" hidden="false" customHeight="false" outlineLevel="0" collapsed="false">
      <c r="A481" s="20" t="n">
        <v>45167</v>
      </c>
      <c r="B481" s="21" t="n">
        <v>431.648224</v>
      </c>
      <c r="C481" s="21" t="n">
        <v>86.020386</v>
      </c>
      <c r="D481" s="22" t="n">
        <f aca="false">LN(B481/B480)</f>
        <v>0.0143511755656458</v>
      </c>
      <c r="E481" s="22" t="n">
        <f aca="false">LN(C481/C480)</f>
        <v>0.00643198159508621</v>
      </c>
      <c r="F481" s="22" t="n">
        <f aca="false">LN(Summary!$B$13*EXP(D481)+Summary!$B$14*EXP(E481))</f>
        <v>0.0111910196229861</v>
      </c>
      <c r="G481" s="22" t="n">
        <f aca="false">EXP(F481)-1</f>
        <v>0.0112538733299543</v>
      </c>
      <c r="H481" s="21" t="n">
        <f aca="false">EXP(SUM(F230:F481))-1</f>
        <v>0.0690339812547698</v>
      </c>
    </row>
    <row r="482" customFormat="false" ht="15" hidden="false" customHeight="false" outlineLevel="0" collapsed="false">
      <c r="A482" s="20" t="n">
        <v>45168</v>
      </c>
      <c r="B482" s="21" t="n">
        <v>433.426147</v>
      </c>
      <c r="C482" s="21" t="n">
        <v>85.984795</v>
      </c>
      <c r="D482" s="22" t="n">
        <f aca="false">LN(B482/B481)</f>
        <v>0.00411045700322478</v>
      </c>
      <c r="E482" s="22" t="n">
        <f aca="false">LN(C482/C481)</f>
        <v>-0.000413836377497743</v>
      </c>
      <c r="F482" s="22" t="n">
        <f aca="false">LN(Summary!$B$13*EXP(D482)+Summary!$B$14*EXP(E482))</f>
        <v>0.00230319521589455</v>
      </c>
      <c r="G482" s="22" t="n">
        <f aca="false">EXP(F482)-1</f>
        <v>0.00230584960746527</v>
      </c>
      <c r="H482" s="21" t="n">
        <f aca="false">EXP(SUM(F231:F482))-1</f>
        <v>0.0778545414291252</v>
      </c>
    </row>
    <row r="483" customFormat="false" ht="15" hidden="false" customHeight="false" outlineLevel="0" collapsed="false">
      <c r="A483" s="20" t="n">
        <v>45169</v>
      </c>
      <c r="B483" s="21" t="n">
        <v>432.791901</v>
      </c>
      <c r="C483" s="21" t="n">
        <v>86.109344</v>
      </c>
      <c r="D483" s="22" t="n">
        <f aca="false">LN(B483/B482)</f>
        <v>-0.00146440290596159</v>
      </c>
      <c r="E483" s="22" t="n">
        <f aca="false">LN(C483/C482)</f>
        <v>0.00144745221968764</v>
      </c>
      <c r="F483" s="22" t="n">
        <f aca="false">LN(Summary!$B$13*EXP(D483)+Summary!$B$14*EXP(E483))</f>
        <v>-0.000298643190470927</v>
      </c>
      <c r="G483" s="22" t="n">
        <f aca="false">EXP(F483)-1</f>
        <v>-0.000298598601032207</v>
      </c>
      <c r="H483" s="21" t="n">
        <f aca="false">EXP(SUM(F232:F483))-1</f>
        <v>0.0841158961521002</v>
      </c>
    </row>
    <row r="484" customFormat="false" ht="15" hidden="false" customHeight="false" outlineLevel="0" collapsed="false">
      <c r="A484" s="20" t="n">
        <v>45170</v>
      </c>
      <c r="B484" s="21" t="n">
        <v>433.599091</v>
      </c>
      <c r="C484" s="21" t="n">
        <v>85.663361</v>
      </c>
      <c r="D484" s="22" t="n">
        <f aca="false">LN(B484/B483)</f>
        <v>0.00186333939526753</v>
      </c>
      <c r="E484" s="22" t="n">
        <f aca="false">LN(C484/C483)</f>
        <v>-0.00519272258228705</v>
      </c>
      <c r="F484" s="22" t="n">
        <f aca="false">LN(Summary!$B$13*EXP(D484)+Summary!$B$14*EXP(E484))</f>
        <v>-0.000953113655830665</v>
      </c>
      <c r="G484" s="22" t="n">
        <f aca="false">EXP(F484)-1</f>
        <v>-0.000952659587281302</v>
      </c>
      <c r="H484" s="21" t="n">
        <f aca="false">EXP(SUM(F233:F484))-1</f>
        <v>0.0903872959464351</v>
      </c>
    </row>
    <row r="485" customFormat="false" ht="15" hidden="false" customHeight="false" outlineLevel="0" collapsed="false">
      <c r="A485" s="20" t="n">
        <v>45174</v>
      </c>
      <c r="B485" s="21" t="n">
        <v>431.725189</v>
      </c>
      <c r="C485" s="21" t="n">
        <v>85.199539</v>
      </c>
      <c r="D485" s="22" t="n">
        <f aca="false">LN(B485/B484)</f>
        <v>-0.0043311044717085</v>
      </c>
      <c r="E485" s="22" t="n">
        <f aca="false">LN(C485/C484)</f>
        <v>-0.00542918491144368</v>
      </c>
      <c r="F485" s="22" t="n">
        <f aca="false">LN(Summary!$B$13*EXP(D485)+Summary!$B$14*EXP(E485))</f>
        <v>-0.00477019196452304</v>
      </c>
      <c r="G485" s="22" t="n">
        <f aca="false">EXP(F485)-1</f>
        <v>-0.0047588326680198</v>
      </c>
      <c r="H485" s="21" t="n">
        <f aca="false">EXP(SUM(F234:F485))-1</f>
        <v>0.0850382970438799</v>
      </c>
    </row>
    <row r="486" customFormat="false" ht="15" hidden="false" customHeight="false" outlineLevel="0" collapsed="false">
      <c r="A486" s="20" t="n">
        <v>45175</v>
      </c>
      <c r="B486" s="21" t="n">
        <v>428.822784</v>
      </c>
      <c r="C486" s="21" t="n">
        <v>85.119278</v>
      </c>
      <c r="D486" s="22" t="n">
        <f aca="false">LN(B486/B485)</f>
        <v>-0.00674550657594438</v>
      </c>
      <c r="E486" s="22" t="n">
        <f aca="false">LN(C486/C485)</f>
        <v>-0.000942479608006088</v>
      </c>
      <c r="F486" s="22" t="n">
        <f aca="false">LN(Summary!$B$13*EXP(D486)+Summary!$B$14*EXP(E486))</f>
        <v>-0.00442025321578366</v>
      </c>
      <c r="G486" s="22" t="n">
        <f aca="false">EXP(F486)-1</f>
        <v>-0.00441049827493356</v>
      </c>
      <c r="H486" s="21" t="n">
        <f aca="false">EXP(SUM(F235:F486))-1</f>
        <v>0.0858638413109449</v>
      </c>
    </row>
    <row r="487" customFormat="false" ht="15" hidden="false" customHeight="false" outlineLevel="0" collapsed="false">
      <c r="A487" s="20" t="n">
        <v>45176</v>
      </c>
      <c r="B487" s="21" t="n">
        <v>427.506287</v>
      </c>
      <c r="C487" s="21" t="n">
        <v>85.386879</v>
      </c>
      <c r="D487" s="22" t="n">
        <f aca="false">LN(B487/B486)</f>
        <v>-0.00307474797194719</v>
      </c>
      <c r="E487" s="22" t="n">
        <f aca="false">LN(C487/C486)</f>
        <v>0.00313890388974502</v>
      </c>
      <c r="F487" s="22" t="n">
        <f aca="false">LN(Summary!$B$13*EXP(D487)+Summary!$B$14*EXP(E487))</f>
        <v>-0.000584652178254864</v>
      </c>
      <c r="G487" s="22" t="n">
        <f aca="false">EXP(F487)-1</f>
        <v>-0.000584481302472684</v>
      </c>
      <c r="H487" s="21" t="n">
        <f aca="false">EXP(SUM(F236:F487))-1</f>
        <v>0.0917912577641269</v>
      </c>
    </row>
    <row r="488" customFormat="false" ht="15" hidden="false" customHeight="false" outlineLevel="0" collapsed="false">
      <c r="A488" s="20" t="n">
        <v>45177</v>
      </c>
      <c r="B488" s="21" t="n">
        <v>428.150116</v>
      </c>
      <c r="C488" s="21" t="n">
        <v>85.431442</v>
      </c>
      <c r="D488" s="22" t="n">
        <f aca="false">LN(B488/B487)</f>
        <v>0.00150487770382372</v>
      </c>
      <c r="E488" s="22" t="n">
        <f aca="false">LN(C488/C487)</f>
        <v>0.00052175903322418</v>
      </c>
      <c r="F488" s="22" t="n">
        <f aca="false">LN(Summary!$B$13*EXP(D488)+Summary!$B$14*EXP(E488))</f>
        <v>0.00111174621065669</v>
      </c>
      <c r="G488" s="22" t="n">
        <f aca="false">EXP(F488)-1</f>
        <v>0.00111236442955476</v>
      </c>
      <c r="H488" s="21" t="n">
        <f aca="false">EXP(SUM(F237:F488))-1</f>
        <v>0.0783881539112814</v>
      </c>
    </row>
    <row r="489" customFormat="false" ht="15" hidden="false" customHeight="false" outlineLevel="0" collapsed="false">
      <c r="A489" s="20" t="n">
        <v>45180</v>
      </c>
      <c r="B489" s="21" t="n">
        <v>430.965973</v>
      </c>
      <c r="C489" s="21" t="n">
        <v>85.333328</v>
      </c>
      <c r="D489" s="22" t="n">
        <f aca="false">LN(B489/B488)</f>
        <v>0.00655526562594983</v>
      </c>
      <c r="E489" s="22" t="n">
        <f aca="false">LN(C489/C488)</f>
        <v>-0.00114911302602192</v>
      </c>
      <c r="F489" s="22" t="n">
        <f aca="false">LN(Summary!$B$13*EXP(D489)+Summary!$B$14*EXP(E489))</f>
        <v>0.00348063338523045</v>
      </c>
      <c r="G489" s="22" t="n">
        <f aca="false">EXP(F489)-1</f>
        <v>0.00348669782359923</v>
      </c>
      <c r="H489" s="21" t="n">
        <f aca="false">EXP(SUM(F238:F489))-1</f>
        <v>0.0792953757586801</v>
      </c>
    </row>
    <row r="490" customFormat="false" ht="15" hidden="false" customHeight="false" outlineLevel="0" collapsed="false">
      <c r="A490" s="20" t="n">
        <v>45181</v>
      </c>
      <c r="B490" s="21" t="n">
        <v>428.601807</v>
      </c>
      <c r="C490" s="21" t="n">
        <v>85.360092</v>
      </c>
      <c r="D490" s="22" t="n">
        <f aca="false">LN(B490/B489)</f>
        <v>-0.00550083894834615</v>
      </c>
      <c r="E490" s="22" t="n">
        <f aca="false">LN(C490/C489)</f>
        <v>0.000313591469657419</v>
      </c>
      <c r="F490" s="22" t="n">
        <f aca="false">LN(Summary!$B$13*EXP(D490)+Summary!$B$14*EXP(E490))</f>
        <v>-0.00317100830147281</v>
      </c>
      <c r="G490" s="22" t="n">
        <f aca="false">EXP(F490)-1</f>
        <v>-0.00316598596467521</v>
      </c>
      <c r="H490" s="21" t="n">
        <f aca="false">EXP(SUM(F239:F490))-1</f>
        <v>0.0659850041870171</v>
      </c>
    </row>
    <row r="491" customFormat="false" ht="15" hidden="false" customHeight="false" outlineLevel="0" collapsed="false">
      <c r="A491" s="20" t="n">
        <v>45182</v>
      </c>
      <c r="B491" s="21" t="n">
        <v>429.101562</v>
      </c>
      <c r="C491" s="21" t="n">
        <v>85.484962</v>
      </c>
      <c r="D491" s="22" t="n">
        <f aca="false">LN(B491/B490)</f>
        <v>0.00116533308511627</v>
      </c>
      <c r="E491" s="22" t="n">
        <f aca="false">LN(C491/C490)</f>
        <v>0.00146179265143471</v>
      </c>
      <c r="F491" s="22" t="n">
        <f aca="false">LN(Summary!$B$13*EXP(D491)+Summary!$B$14*EXP(E491))</f>
        <v>0.00128392745844517</v>
      </c>
      <c r="G491" s="22" t="n">
        <f aca="false">EXP(F491)-1</f>
        <v>0.00128475204617029</v>
      </c>
      <c r="H491" s="21" t="n">
        <f aca="false">EXP(SUM(F240:F491))-1</f>
        <v>0.0611496395562303</v>
      </c>
    </row>
    <row r="492" customFormat="false" ht="15" hidden="false" customHeight="false" outlineLevel="0" collapsed="false">
      <c r="A492" s="20" t="n">
        <v>45183</v>
      </c>
      <c r="B492" s="21" t="n">
        <v>432.801514</v>
      </c>
      <c r="C492" s="21" t="n">
        <v>85.369019</v>
      </c>
      <c r="D492" s="22" t="n">
        <f aca="false">LN(B492/B491)</f>
        <v>0.0085855935097559</v>
      </c>
      <c r="E492" s="22" t="n">
        <f aca="false">LN(C492/C491)</f>
        <v>-0.00135721763249558</v>
      </c>
      <c r="F492" s="22" t="n">
        <f aca="false">LN(Summary!$B$13*EXP(D492)+Summary!$B$14*EXP(E492))</f>
        <v>0.00462032428560557</v>
      </c>
      <c r="G492" s="22" t="n">
        <f aca="false">EXP(F492)-1</f>
        <v>0.00463101444151226</v>
      </c>
      <c r="H492" s="21" t="n">
        <f aca="false">EXP(SUM(F241:F492))-1</f>
        <v>0.0971546440983802</v>
      </c>
    </row>
    <row r="493" customFormat="false" ht="15" hidden="false" customHeight="false" outlineLevel="0" collapsed="false">
      <c r="A493" s="20" t="n">
        <v>45184</v>
      </c>
      <c r="B493" s="21" t="n">
        <v>427.586975</v>
      </c>
      <c r="C493" s="21" t="n">
        <v>85.172783</v>
      </c>
      <c r="D493" s="22" t="n">
        <f aca="false">LN(B493/B492)</f>
        <v>-0.012121507701716</v>
      </c>
      <c r="E493" s="22" t="n">
        <f aca="false">LN(C493/C492)</f>
        <v>-0.00230132535608002</v>
      </c>
      <c r="F493" s="22" t="n">
        <f aca="false">LN(Summary!$B$13*EXP(D493)+Summary!$B$14*EXP(E493))</f>
        <v>-0.00818185491054212</v>
      </c>
      <c r="G493" s="22" t="n">
        <f aca="false">EXP(F493)-1</f>
        <v>-0.00814847463521418</v>
      </c>
      <c r="H493" s="21" t="n">
        <f aca="false">EXP(SUM(F242:F493))-1</f>
        <v>0.0851604154990722</v>
      </c>
    </row>
    <row r="494" customFormat="false" ht="15" hidden="false" customHeight="false" outlineLevel="0" collapsed="false">
      <c r="A494" s="20" t="n">
        <v>45187</v>
      </c>
      <c r="B494" s="21" t="n">
        <v>427.837677</v>
      </c>
      <c r="C494" s="21" t="n">
        <v>85.297646</v>
      </c>
      <c r="D494" s="22" t="n">
        <f aca="false">LN(B494/B493)</f>
        <v>0.000586146322979048</v>
      </c>
      <c r="E494" s="22" t="n">
        <f aca="false">LN(C494/C493)</f>
        <v>0.00146492295540205</v>
      </c>
      <c r="F494" s="22" t="n">
        <f aca="false">LN(Summary!$B$13*EXP(D494)+Summary!$B$14*EXP(E494))</f>
        <v>0.000937749651179012</v>
      </c>
      <c r="G494" s="22" t="n">
        <f aca="false">EXP(F494)-1</f>
        <v>0.000938189475854223</v>
      </c>
      <c r="H494" s="21" t="n">
        <f aca="false">EXP(SUM(F243:F494))-1</f>
        <v>0.0949620978322927</v>
      </c>
    </row>
    <row r="495" customFormat="false" ht="15" hidden="false" customHeight="false" outlineLevel="0" collapsed="false">
      <c r="A495" s="20" t="n">
        <v>45188</v>
      </c>
      <c r="B495" s="21" t="n">
        <v>426.950378</v>
      </c>
      <c r="C495" s="21" t="n">
        <v>85.04792</v>
      </c>
      <c r="D495" s="22" t="n">
        <f aca="false">LN(B495/B494)</f>
        <v>-0.00207606859619179</v>
      </c>
      <c r="E495" s="22" t="n">
        <f aca="false">LN(C495/C494)</f>
        <v>-0.00293199505879026</v>
      </c>
      <c r="F495" s="22" t="n">
        <f aca="false">LN(Summary!$B$13*EXP(D495)+Summary!$B$14*EXP(E495))</f>
        <v>-0.0024183512730369</v>
      </c>
      <c r="G495" s="22" t="n">
        <f aca="false">EXP(F495)-1</f>
        <v>-0.00241542941742934</v>
      </c>
      <c r="H495" s="21" t="n">
        <f aca="false">EXP(SUM(F244:F495))-1</f>
        <v>0.0976524376527472</v>
      </c>
    </row>
    <row r="496" customFormat="false" ht="15" hidden="false" customHeight="false" outlineLevel="0" collapsed="false">
      <c r="A496" s="20" t="n">
        <v>45189</v>
      </c>
      <c r="B496" s="21" t="n">
        <v>423.02533</v>
      </c>
      <c r="C496" s="21" t="n">
        <v>85.003326</v>
      </c>
      <c r="D496" s="22" t="n">
        <f aca="false">LN(B496/B495)</f>
        <v>-0.00923573665267069</v>
      </c>
      <c r="E496" s="22" t="n">
        <f aca="false">LN(C496/C495)</f>
        <v>-0.000524477204033333</v>
      </c>
      <c r="F496" s="22" t="n">
        <f aca="false">LN(Summary!$B$13*EXP(D496)+Summary!$B$14*EXP(E496))</f>
        <v>-0.00574212128514588</v>
      </c>
      <c r="G496" s="22" t="n">
        <f aca="false">EXP(F496)-1</f>
        <v>-0.00572566681630249</v>
      </c>
      <c r="H496" s="21" t="n">
        <f aca="false">EXP(SUM(F245:F496))-1</f>
        <v>0.0869698132579069</v>
      </c>
    </row>
    <row r="497" customFormat="false" ht="15" hidden="false" customHeight="false" outlineLevel="0" collapsed="false">
      <c r="A497" s="20" t="n">
        <v>45190</v>
      </c>
      <c r="B497" s="21" t="n">
        <v>416.033356</v>
      </c>
      <c r="C497" s="21" t="n">
        <v>84.423538</v>
      </c>
      <c r="D497" s="22" t="n">
        <f aca="false">LN(B497/B496)</f>
        <v>-0.0166666193110143</v>
      </c>
      <c r="E497" s="22" t="n">
        <f aca="false">LN(C497/C496)</f>
        <v>-0.0068441361602532</v>
      </c>
      <c r="F497" s="22" t="n">
        <f aca="false">LN(Summary!$B$13*EXP(D497)+Summary!$B$14*EXP(E497))</f>
        <v>-0.0127260407692289</v>
      </c>
      <c r="G497" s="22" t="n">
        <f aca="false">EXP(F497)-1</f>
        <v>-0.0126454071238544</v>
      </c>
      <c r="H497" s="21" t="n">
        <f aca="false">EXP(SUM(F246:F497))-1</f>
        <v>0.082611795316462</v>
      </c>
    </row>
    <row r="498" customFormat="false" ht="15" hidden="false" customHeight="false" outlineLevel="0" collapsed="false">
      <c r="A498" s="20" t="n">
        <v>45191</v>
      </c>
      <c r="B498" s="21" t="n">
        <v>415.0979</v>
      </c>
      <c r="C498" s="21" t="n">
        <v>84.780319</v>
      </c>
      <c r="D498" s="22" t="n">
        <f aca="false">LN(B498/B497)</f>
        <v>-0.00225104371483713</v>
      </c>
      <c r="E498" s="22" t="n">
        <f aca="false">LN(C498/C497)</f>
        <v>0.00421717962099705</v>
      </c>
      <c r="F498" s="22" t="n">
        <f aca="false">LN(Summary!$B$13*EXP(D498)+Summary!$B$14*EXP(E498))</f>
        <v>0.000341268326296697</v>
      </c>
      <c r="G498" s="22" t="n">
        <f aca="false">EXP(F498)-1</f>
        <v>0.000341326564956779</v>
      </c>
      <c r="H498" s="21" t="n">
        <f aca="false">EXP(SUM(F247:F498))-1</f>
        <v>0.0930417009791851</v>
      </c>
    </row>
    <row r="499" customFormat="false" ht="15" hidden="false" customHeight="false" outlineLevel="0" collapsed="false">
      <c r="A499" s="20" t="n">
        <v>45194</v>
      </c>
      <c r="B499" s="21" t="n">
        <v>416.843506</v>
      </c>
      <c r="C499" s="21" t="n">
        <v>84.111382</v>
      </c>
      <c r="D499" s="22" t="n">
        <f aca="false">LN(B499/B498)</f>
        <v>0.00419646996564667</v>
      </c>
      <c r="E499" s="22" t="n">
        <f aca="false">LN(C499/C498)</f>
        <v>-0.00792153189358449</v>
      </c>
      <c r="F499" s="22" t="n">
        <f aca="false">LN(Summary!$B$13*EXP(D499)+Summary!$B$14*EXP(E499))</f>
        <v>-0.000633123592279518</v>
      </c>
      <c r="G499" s="22" t="n">
        <f aca="false">EXP(F499)-1</f>
        <v>-0.000632923211828729</v>
      </c>
      <c r="H499" s="21" t="n">
        <f aca="false">EXP(SUM(F248:F499))-1</f>
        <v>0.102605800903789</v>
      </c>
    </row>
    <row r="500" customFormat="false" ht="15" hidden="false" customHeight="false" outlineLevel="0" collapsed="false">
      <c r="A500" s="20" t="n">
        <v>45195</v>
      </c>
      <c r="B500" s="21" t="n">
        <v>410.719574</v>
      </c>
      <c r="C500" s="21" t="n">
        <v>84.004333</v>
      </c>
      <c r="D500" s="22" t="n">
        <f aca="false">LN(B500/B499)</f>
        <v>-0.0148001860705886</v>
      </c>
      <c r="E500" s="22" t="n">
        <f aca="false">LN(C500/C499)</f>
        <v>-0.00127351585743256</v>
      </c>
      <c r="F500" s="22" t="n">
        <f aca="false">LN(Summary!$B$13*EXP(D500)+Summary!$B$14*EXP(E500))</f>
        <v>-0.00936754183623715</v>
      </c>
      <c r="G500" s="22" t="n">
        <f aca="false">EXP(F500)-1</f>
        <v>-0.0093238030975793</v>
      </c>
      <c r="H500" s="21" t="n">
        <f aca="false">EXP(SUM(F249:F500))-1</f>
        <v>0.104791603038402</v>
      </c>
    </row>
    <row r="501" customFormat="false" ht="15" hidden="false" customHeight="false" outlineLevel="0" collapsed="false">
      <c r="A501" s="20" t="n">
        <v>45196</v>
      </c>
      <c r="B501" s="21" t="n">
        <v>410.883453</v>
      </c>
      <c r="C501" s="21" t="n">
        <v>83.709961</v>
      </c>
      <c r="D501" s="22" t="n">
        <f aca="false">LN(B501/B500)</f>
        <v>0.000398925020448535</v>
      </c>
      <c r="E501" s="22" t="n">
        <f aca="false">LN(C501/C500)</f>
        <v>-0.00351040206857443</v>
      </c>
      <c r="F501" s="22" t="n">
        <f aca="false">LN(Summary!$B$13*EXP(D501)+Summary!$B$14*EXP(E501))</f>
        <v>-0.00116297235355786</v>
      </c>
      <c r="G501" s="22" t="n">
        <f aca="false">EXP(F501)-1</f>
        <v>-0.00116229636328835</v>
      </c>
      <c r="H501" s="21" t="n">
        <f aca="false">EXP(SUM(F250:F501))-1</f>
        <v>0.115870748910417</v>
      </c>
    </row>
    <row r="502" customFormat="false" ht="15" hidden="false" customHeight="false" outlineLevel="0" collapsed="false">
      <c r="A502" s="20" t="n">
        <v>45197</v>
      </c>
      <c r="B502" s="21" t="n">
        <v>413.265533</v>
      </c>
      <c r="C502" s="21" t="n">
        <v>83.959724</v>
      </c>
      <c r="D502" s="22" t="n">
        <f aca="false">LN(B502/B501)</f>
        <v>0.00578071847178193</v>
      </c>
      <c r="E502" s="22" t="n">
        <f aca="false">LN(C502/C501)</f>
        <v>0.00297922888967398</v>
      </c>
      <c r="F502" s="22" t="n">
        <f aca="false">LN(Summary!$B$13*EXP(D502)+Summary!$B$14*EXP(E502))</f>
        <v>0.00466106426403682</v>
      </c>
      <c r="G502" s="22" t="n">
        <f aca="false">EXP(F502)-1</f>
        <v>0.00467194392109938</v>
      </c>
      <c r="H502" s="21" t="n">
        <f aca="false">EXP(SUM(F251:F502))-1</f>
        <v>0.124729090337778</v>
      </c>
    </row>
    <row r="503" customFormat="false" ht="15" hidden="false" customHeight="false" outlineLevel="0" collapsed="false">
      <c r="A503" s="20" t="n">
        <v>45198</v>
      </c>
      <c r="B503" s="21" t="n">
        <v>412.262604</v>
      </c>
      <c r="C503" s="21" t="n">
        <v>83.87944</v>
      </c>
      <c r="D503" s="22" t="n">
        <f aca="false">LN(B503/B502)</f>
        <v>-0.00242978875820062</v>
      </c>
      <c r="E503" s="22" t="n">
        <f aca="false">LN(C503/C502)</f>
        <v>-0.000956677860039861</v>
      </c>
      <c r="F503" s="22" t="n">
        <f aca="false">LN(Summary!$B$13*EXP(D503)+Summary!$B$14*EXP(E503))</f>
        <v>-0.00184028396669705</v>
      </c>
      <c r="G503" s="22" t="n">
        <f aca="false">EXP(F503)-1</f>
        <v>-0.00183859168241174</v>
      </c>
      <c r="H503" s="21" t="n">
        <f aca="false">EXP(SUM(F252:F503))-1</f>
        <v>0.102536243458162</v>
      </c>
    </row>
    <row r="504" customFormat="false" ht="15" hidden="false" customHeight="false" outlineLevel="0" collapsed="false">
      <c r="A504" s="20" t="n">
        <v>45201</v>
      </c>
      <c r="B504" s="21" t="n">
        <v>412.098663</v>
      </c>
      <c r="C504" s="21" t="n">
        <v>83.295418</v>
      </c>
      <c r="D504" s="22" t="n">
        <f aca="false">LN(B504/B503)</f>
        <v>-0.000397740672018454</v>
      </c>
      <c r="E504" s="22" t="n">
        <f aca="false">LN(C504/C503)</f>
        <v>-0.0069869881498218</v>
      </c>
      <c r="F504" s="22" t="n">
        <f aca="false">LN(Summary!$B$13*EXP(D504)+Summary!$B$14*EXP(E504))</f>
        <v>-0.00302823177829143</v>
      </c>
      <c r="G504" s="22" t="n">
        <f aca="false">EXP(F504)-1</f>
        <v>-0.00302365130918048</v>
      </c>
      <c r="H504" s="21" t="n">
        <f aca="false">EXP(SUM(F253:F504))-1</f>
        <v>0.115528020857478</v>
      </c>
    </row>
    <row r="505" customFormat="false" ht="15" hidden="false" customHeight="false" outlineLevel="0" collapsed="false">
      <c r="A505" s="20" t="n">
        <v>45202</v>
      </c>
      <c r="B505" s="21" t="n">
        <v>406.582275</v>
      </c>
      <c r="C505" s="21" t="n">
        <v>82.642494</v>
      </c>
      <c r="D505" s="22" t="n">
        <f aca="false">LN(B505/B504)</f>
        <v>-0.0134764869493107</v>
      </c>
      <c r="E505" s="22" t="n">
        <f aca="false">LN(C505/C504)</f>
        <v>-0.00786953821147781</v>
      </c>
      <c r="F505" s="22" t="n">
        <f aca="false">LN(Summary!$B$13*EXP(D505)+Summary!$B$14*EXP(E505))</f>
        <v>-0.0112299335034681</v>
      </c>
      <c r="G505" s="22" t="n">
        <f aca="false">EXP(F505)-1</f>
        <v>-0.0111671131761554</v>
      </c>
      <c r="H505" s="21" t="n">
        <f aca="false">EXP(SUM(F254:F505))-1</f>
        <v>0.114472819449366</v>
      </c>
    </row>
    <row r="506" customFormat="false" ht="15" hidden="false" customHeight="false" outlineLevel="0" collapsed="false">
      <c r="A506" s="20" t="n">
        <v>45203</v>
      </c>
      <c r="B506" s="21" t="n">
        <v>409.542969</v>
      </c>
      <c r="C506" s="21" t="n">
        <v>83.223877</v>
      </c>
      <c r="D506" s="22" t="n">
        <f aca="false">LN(B506/B505)</f>
        <v>0.00725552115921247</v>
      </c>
      <c r="E506" s="22" t="n">
        <f aca="false">LN(C506/C505)</f>
        <v>0.00701028638241333</v>
      </c>
      <c r="F506" s="22" t="n">
        <f aca="false">LN(Summary!$B$13*EXP(D506)+Summary!$B$14*EXP(E506))</f>
        <v>0.00715743446518639</v>
      </c>
      <c r="G506" s="22" t="n">
        <f aca="false">EXP(F506)-1</f>
        <v>0.00718311011996575</v>
      </c>
      <c r="H506" s="21" t="n">
        <f aca="false">EXP(SUM(F255:F506))-1</f>
        <v>0.101450949603083</v>
      </c>
    </row>
    <row r="507" customFormat="false" ht="15" hidden="false" customHeight="false" outlineLevel="0" collapsed="false">
      <c r="A507" s="20" t="n">
        <v>45204</v>
      </c>
      <c r="B507" s="21" t="n">
        <v>409.388641</v>
      </c>
      <c r="C507" s="21" t="n">
        <v>83.277542</v>
      </c>
      <c r="D507" s="22" t="n">
        <f aca="false">LN(B507/B506)</f>
        <v>-0.000376900830160742</v>
      </c>
      <c r="E507" s="22" t="n">
        <f aca="false">LN(C507/C506)</f>
        <v>0.000644619153165306</v>
      </c>
      <c r="F507" s="22" t="n">
        <f aca="false">LN(Summary!$B$13*EXP(D507)+Summary!$B$14*EXP(E507))</f>
        <v>3.18323920616971E-005</v>
      </c>
      <c r="G507" s="22" t="n">
        <f aca="false">EXP(F507)-1</f>
        <v>3.18328987176653E-005</v>
      </c>
      <c r="H507" s="21" t="n">
        <f aca="false">EXP(SUM(F256:F507))-1</f>
        <v>0.0802428812474865</v>
      </c>
    </row>
    <row r="508" customFormat="false" ht="15" hidden="false" customHeight="false" outlineLevel="0" collapsed="false">
      <c r="A508" s="20" t="n">
        <v>45205</v>
      </c>
      <c r="B508" s="21" t="n">
        <v>414.249268</v>
      </c>
      <c r="C508" s="21" t="n">
        <v>82.955521</v>
      </c>
      <c r="D508" s="22" t="n">
        <f aca="false">LN(B508/B507)</f>
        <v>0.0118029618951433</v>
      </c>
      <c r="E508" s="22" t="n">
        <f aca="false">LN(C508/C507)</f>
        <v>-0.00387433639248334</v>
      </c>
      <c r="F508" s="22" t="n">
        <f aca="false">LN(Summary!$B$13*EXP(D508)+Summary!$B$14*EXP(E508))</f>
        <v>0.00556150481177069</v>
      </c>
      <c r="G508" s="22" t="n">
        <f aca="false">EXP(F508)-1</f>
        <v>0.00557699868943118</v>
      </c>
      <c r="H508" s="21" t="n">
        <f aca="false">EXP(SUM(F257:F508))-1</f>
        <v>0.0900787366173745</v>
      </c>
    </row>
    <row r="509" customFormat="false" ht="15" hidden="false" customHeight="false" outlineLevel="0" collapsed="false">
      <c r="A509" s="20" t="n">
        <v>45208</v>
      </c>
      <c r="B509" s="21" t="n">
        <v>416.901337</v>
      </c>
      <c r="C509" s="21" t="n">
        <v>83.814148</v>
      </c>
      <c r="D509" s="22" t="n">
        <f aca="false">LN(B509/B508)</f>
        <v>0.00638170262945907</v>
      </c>
      <c r="E509" s="22" t="n">
        <f aca="false">LN(C509/C508)</f>
        <v>0.0102972511975624</v>
      </c>
      <c r="F509" s="22" t="n">
        <f aca="false">LN(Summary!$B$13*EXP(D509)+Summary!$B$14*EXP(E509))</f>
        <v>0.00794976231838675</v>
      </c>
      <c r="G509" s="22" t="n">
        <f aca="false">EXP(F509)-1</f>
        <v>0.00798144558133274</v>
      </c>
      <c r="H509" s="21" t="n">
        <f aca="false">EXP(SUM(F258:F509))-1</f>
        <v>0.107374525697314</v>
      </c>
    </row>
    <row r="510" customFormat="false" ht="15" hidden="false" customHeight="false" outlineLevel="0" collapsed="false">
      <c r="A510" s="20" t="n">
        <v>45209</v>
      </c>
      <c r="B510" s="21" t="n">
        <v>419.071289</v>
      </c>
      <c r="C510" s="21" t="n">
        <v>83.733658</v>
      </c>
      <c r="D510" s="22" t="n">
        <f aca="false">LN(B510/B509)</f>
        <v>0.0051914543756007</v>
      </c>
      <c r="E510" s="22" t="n">
        <f aca="false">LN(C510/C509)</f>
        <v>-0.000960800479738193</v>
      </c>
      <c r="F510" s="22" t="n">
        <f aca="false">LN(Summary!$B$13*EXP(D510)+Summary!$B$14*EXP(E510))</f>
        <v>0.00273509259303011</v>
      </c>
      <c r="G510" s="22" t="n">
        <f aca="false">EXP(F510)-1</f>
        <v>0.00273883637119154</v>
      </c>
      <c r="H510" s="21" t="n">
        <f aca="false">EXP(SUM(F259:F510))-1</f>
        <v>0.131746419027044</v>
      </c>
    </row>
    <row r="511" customFormat="false" ht="15" hidden="false" customHeight="false" outlineLevel="0" collapsed="false">
      <c r="A511" s="20" t="n">
        <v>45210</v>
      </c>
      <c r="B511" s="21" t="n">
        <v>420.787903</v>
      </c>
      <c r="C511" s="21" t="n">
        <v>84.118256</v>
      </c>
      <c r="D511" s="22" t="n">
        <f aca="false">LN(B511/B510)</f>
        <v>0.00408786712541788</v>
      </c>
      <c r="E511" s="22" t="n">
        <f aca="false">LN(C511/C510)</f>
        <v>0.00458259502542152</v>
      </c>
      <c r="F511" s="22" t="n">
        <f aca="false">LN(Summary!$B$13*EXP(D511)+Summary!$B$14*EXP(E511))</f>
        <v>0.00428578765707127</v>
      </c>
      <c r="G511" s="22" t="n">
        <f aca="false">EXP(F511)-1</f>
        <v>0.00429498477926904</v>
      </c>
      <c r="H511" s="21" t="n">
        <f aca="false">EXP(SUM(F260:F511))-1</f>
        <v>0.14390260090562</v>
      </c>
    </row>
    <row r="512" customFormat="false" ht="15" hidden="false" customHeight="false" outlineLevel="0" collapsed="false">
      <c r="A512" s="20" t="n">
        <v>45211</v>
      </c>
      <c r="B512" s="21" t="n">
        <v>418.222565</v>
      </c>
      <c r="C512" s="21" t="n">
        <v>83.393791</v>
      </c>
      <c r="D512" s="22" t="n">
        <f aca="false">LN(B512/B511)</f>
        <v>-0.00611517041118885</v>
      </c>
      <c r="E512" s="22" t="n">
        <f aca="false">LN(C512/C511)</f>
        <v>-0.00864976018034226</v>
      </c>
      <c r="F512" s="22" t="n">
        <f aca="false">LN(Summary!$B$13*EXP(D512)+Summary!$B$14*EXP(E512))</f>
        <v>-0.00712823555185647</v>
      </c>
      <c r="G512" s="22" t="n">
        <f aca="false">EXP(F512)-1</f>
        <v>-0.00710288993973629</v>
      </c>
      <c r="H512" s="21" t="n">
        <f aca="false">EXP(SUM(F261:F512))-1</f>
        <v>0.139821651603622</v>
      </c>
    </row>
    <row r="513" customFormat="false" ht="15" hidden="false" customHeight="false" outlineLevel="0" collapsed="false">
      <c r="A513" s="20" t="n">
        <v>45212</v>
      </c>
      <c r="B513" s="21" t="n">
        <v>416.139435</v>
      </c>
      <c r="C513" s="21" t="n">
        <v>83.751556</v>
      </c>
      <c r="D513" s="22" t="n">
        <f aca="false">LN(B513/B512)</f>
        <v>-0.00499335858615545</v>
      </c>
      <c r="E513" s="22" t="n">
        <f aca="false">LN(C513/C512)</f>
        <v>0.00428089148503262</v>
      </c>
      <c r="F513" s="22" t="n">
        <f aca="false">LN(Summary!$B$13*EXP(D513)+Summary!$B$14*EXP(E513))</f>
        <v>-0.00127333080300375</v>
      </c>
      <c r="G513" s="22" t="n">
        <f aca="false">EXP(F513)-1</f>
        <v>-0.00127252046131765</v>
      </c>
      <c r="H513" s="21" t="n">
        <f aca="false">EXP(SUM(F262:F513))-1</f>
        <v>0.140245263984889</v>
      </c>
    </row>
    <row r="514" customFormat="false" ht="15" hidden="false" customHeight="false" outlineLevel="0" collapsed="false">
      <c r="A514" s="20" t="n">
        <v>45215</v>
      </c>
      <c r="B514" s="21" t="n">
        <v>420.517853</v>
      </c>
      <c r="C514" s="21" t="n">
        <v>83.286484</v>
      </c>
      <c r="D514" s="22" t="n">
        <f aca="false">LN(B514/B513)</f>
        <v>0.0104665507216727</v>
      </c>
      <c r="E514" s="22" t="n">
        <f aca="false">LN(C514/C513)</f>
        <v>-0.00556847053210339</v>
      </c>
      <c r="F514" s="22" t="n">
        <f aca="false">LN(Summary!$B$13*EXP(D514)+Summary!$B$14*EXP(E514))</f>
        <v>0.00408336357522332</v>
      </c>
      <c r="G514" s="22" t="n">
        <f aca="false">EXP(F514)-1</f>
        <v>0.00409171186343138</v>
      </c>
      <c r="H514" s="21" t="n">
        <f aca="false">EXP(SUM(F263:F514))-1</f>
        <v>0.128460149077996</v>
      </c>
    </row>
    <row r="515" customFormat="false" ht="15" hidden="false" customHeight="false" outlineLevel="0" collapsed="false">
      <c r="A515" s="20" t="n">
        <v>45216</v>
      </c>
      <c r="B515" s="21" t="n">
        <v>420.498566</v>
      </c>
      <c r="C515" s="21" t="n">
        <v>82.687218</v>
      </c>
      <c r="D515" s="22" t="n">
        <f aca="false">LN(B515/B514)</f>
        <v>-4.5865929767013E-005</v>
      </c>
      <c r="E515" s="22" t="n">
        <f aca="false">LN(C515/C514)</f>
        <v>-0.0072212476664406</v>
      </c>
      <c r="F515" s="22" t="n">
        <f aca="false">LN(Summary!$B$13*EXP(D515)+Summary!$B$14*EXP(E515))</f>
        <v>-0.00290984325917714</v>
      </c>
      <c r="G515" s="22" t="n">
        <f aca="false">EXP(F515)-1</f>
        <v>-0.00290561376866005</v>
      </c>
      <c r="H515" s="21" t="n">
        <f aca="false">EXP(SUM(F264:F515))-1</f>
        <v>0.143312836457402</v>
      </c>
    </row>
    <row r="516" customFormat="false" ht="15" hidden="false" customHeight="false" outlineLevel="0" collapsed="false">
      <c r="A516" s="20" t="n">
        <v>45217</v>
      </c>
      <c r="B516" s="21" t="n">
        <v>414.895386</v>
      </c>
      <c r="C516" s="21" t="n">
        <v>82.30262</v>
      </c>
      <c r="D516" s="22" t="n">
        <f aca="false">LN(B516/B515)</f>
        <v>-0.0134146626562686</v>
      </c>
      <c r="E516" s="22" t="n">
        <f aca="false">LN(C516/C515)</f>
        <v>-0.00466208951129933</v>
      </c>
      <c r="F516" s="22" t="n">
        <f aca="false">LN(Summary!$B$13*EXP(D516)+Summary!$B$14*EXP(E516))</f>
        <v>-0.00990443515563823</v>
      </c>
      <c r="G516" s="22" t="n">
        <f aca="false">EXP(F516)-1</f>
        <v>-0.00985554777153119</v>
      </c>
      <c r="H516" s="21" t="n">
        <f aca="false">EXP(SUM(F265:F516))-1</f>
        <v>0.113928522365708</v>
      </c>
    </row>
    <row r="517" customFormat="false" ht="15" hidden="false" customHeight="false" outlineLevel="0" collapsed="false">
      <c r="A517" s="20" t="n">
        <v>45218</v>
      </c>
      <c r="B517" s="21" t="n">
        <v>411.249908</v>
      </c>
      <c r="C517" s="21" t="n">
        <v>81.989586</v>
      </c>
      <c r="D517" s="22" t="n">
        <f aca="false">LN(B517/B516)</f>
        <v>-0.00882532815364779</v>
      </c>
      <c r="E517" s="22" t="n">
        <f aca="false">LN(C517/C516)</f>
        <v>-0.00381070272815023</v>
      </c>
      <c r="F517" s="22" t="n">
        <f aca="false">LN(Summary!$B$13*EXP(D517)+Summary!$B$14*EXP(E517))</f>
        <v>-0.0068164594012536</v>
      </c>
      <c r="G517" s="22" t="n">
        <f aca="false">EXP(F517)-1</f>
        <v>-0.00679328003883339</v>
      </c>
      <c r="H517" s="21" t="n">
        <f aca="false">EXP(SUM(F266:F517))-1</f>
        <v>0.0978807704294595</v>
      </c>
    </row>
    <row r="518" customFormat="false" ht="15" hidden="false" customHeight="false" outlineLevel="0" collapsed="false">
      <c r="A518" s="20" t="n">
        <v>45219</v>
      </c>
      <c r="B518" s="21" t="n">
        <v>406.196564</v>
      </c>
      <c r="C518" s="21" t="n">
        <v>82.284729</v>
      </c>
      <c r="D518" s="22" t="n">
        <f aca="false">LN(B518/B517)</f>
        <v>-0.0123638881480899</v>
      </c>
      <c r="E518" s="22" t="n">
        <f aca="false">LN(C518/C517)</f>
        <v>0.00359329841148583</v>
      </c>
      <c r="F518" s="22" t="n">
        <f aca="false">LN(Summary!$B$13*EXP(D518)+Summary!$B$14*EXP(E518))</f>
        <v>-0.005950425488313</v>
      </c>
      <c r="G518" s="22" t="n">
        <f aca="false">EXP(F518)-1</f>
        <v>-0.00593275676940319</v>
      </c>
      <c r="H518" s="21" t="n">
        <f aca="false">EXP(SUM(F267:F518))-1</f>
        <v>0.0998402029060415</v>
      </c>
    </row>
    <row r="519" customFormat="false" ht="15" hidden="false" customHeight="false" outlineLevel="0" collapsed="false">
      <c r="A519" s="20" t="n">
        <v>45222</v>
      </c>
      <c r="B519" s="21" t="n">
        <v>405.492493</v>
      </c>
      <c r="C519" s="21" t="n">
        <v>82.606705</v>
      </c>
      <c r="D519" s="22" t="n">
        <f aca="false">LN(B519/B518)</f>
        <v>-0.00173482978613822</v>
      </c>
      <c r="E519" s="22" t="n">
        <f aca="false">LN(C519/C518)</f>
        <v>0.00390531395605878</v>
      </c>
      <c r="F519" s="22" t="n">
        <f aca="false">LN(Summary!$B$13*EXP(D519)+Summary!$B$14*EXP(E519))</f>
        <v>0.000525046488214487</v>
      </c>
      <c r="G519" s="22" t="n">
        <f aca="false">EXP(F519)-1</f>
        <v>0.000525184349248642</v>
      </c>
      <c r="H519" s="21" t="n">
        <f aca="false">EXP(SUM(F268:F519))-1</f>
        <v>0.108679245435934</v>
      </c>
    </row>
    <row r="520" customFormat="false" ht="15" hidden="false" customHeight="false" outlineLevel="0" collapsed="false">
      <c r="A520" s="20" t="n">
        <v>45223</v>
      </c>
      <c r="B520" s="21" t="n">
        <v>408.549622</v>
      </c>
      <c r="C520" s="21" t="n">
        <v>82.901848</v>
      </c>
      <c r="D520" s="22" t="n">
        <f aca="false">LN(B520/B519)</f>
        <v>0.00751102016981555</v>
      </c>
      <c r="E520" s="22" t="n">
        <f aca="false">LN(C520/C519)</f>
        <v>0.00356650224414667</v>
      </c>
      <c r="F520" s="22" t="n">
        <f aca="false">LN(Summary!$B$13*EXP(D520)+Summary!$B$14*EXP(E520))</f>
        <v>0.00593507961409427</v>
      </c>
      <c r="G520" s="22" t="n">
        <f aca="false">EXP(F520)-1</f>
        <v>0.00595272709490047</v>
      </c>
      <c r="H520" s="21" t="n">
        <f aca="false">EXP(SUM(F269:F520))-1</f>
        <v>0.0986032172418161</v>
      </c>
    </row>
    <row r="521" customFormat="false" ht="15" hidden="false" customHeight="false" outlineLevel="0" collapsed="false">
      <c r="A521" s="20" t="n">
        <v>45224</v>
      </c>
      <c r="B521" s="21" t="n">
        <v>402.686096</v>
      </c>
      <c r="C521" s="21" t="n">
        <v>82.284729</v>
      </c>
      <c r="D521" s="22" t="n">
        <f aca="false">LN(B521/B520)</f>
        <v>-0.0144560402887314</v>
      </c>
      <c r="E521" s="22" t="n">
        <f aca="false">LN(C521/C520)</f>
        <v>-0.00747181620020548</v>
      </c>
      <c r="F521" s="22" t="n">
        <f aca="false">LN(Summary!$B$13*EXP(D521)+Summary!$B$14*EXP(E521))</f>
        <v>-0.0116564944119795</v>
      </c>
      <c r="G521" s="22" t="n">
        <f aca="false">EXP(F521)-1</f>
        <v>-0.0115888206823621</v>
      </c>
      <c r="H521" s="21" t="n">
        <f aca="false">EXP(SUM(F270:F521))-1</f>
        <v>0.0785513448495805</v>
      </c>
    </row>
    <row r="522" customFormat="false" ht="15" hidden="false" customHeight="false" outlineLevel="0" collapsed="false">
      <c r="A522" s="20" t="n">
        <v>45225</v>
      </c>
      <c r="B522" s="21" t="n">
        <v>397.864044</v>
      </c>
      <c r="C522" s="21" t="n">
        <v>82.839272</v>
      </c>
      <c r="D522" s="22" t="n">
        <f aca="false">LN(B522/B521)</f>
        <v>-0.0120469913816019</v>
      </c>
      <c r="E522" s="22" t="n">
        <f aca="false">LN(C522/C521)</f>
        <v>0.0067167108531036</v>
      </c>
      <c r="F522" s="22" t="n">
        <f aca="false">LN(Summary!$B$13*EXP(D522)+Summary!$B$14*EXP(E522))</f>
        <v>-0.00449920900221457</v>
      </c>
      <c r="G522" s="22" t="n">
        <f aca="false">EXP(F522)-1</f>
        <v>-0.00448910272382574</v>
      </c>
      <c r="H522" s="21" t="n">
        <f aca="false">EXP(SUM(F271:F522))-1</f>
        <v>0.0593958675965849</v>
      </c>
    </row>
    <row r="523" customFormat="false" ht="15" hidden="false" customHeight="false" outlineLevel="0" collapsed="false">
      <c r="A523" s="20" t="n">
        <v>45226</v>
      </c>
      <c r="B523" s="21" t="n">
        <v>396.060638</v>
      </c>
      <c r="C523" s="21" t="n">
        <v>82.812424</v>
      </c>
      <c r="D523" s="22" t="n">
        <f aca="false">LN(B523/B522)</f>
        <v>-0.00454302314212687</v>
      </c>
      <c r="E523" s="22" t="n">
        <f aca="false">LN(C523/C522)</f>
        <v>-0.000324150019388719</v>
      </c>
      <c r="F523" s="22" t="n">
        <f aca="false">LN(Summary!$B$13*EXP(D523)+Summary!$B$14*EXP(E523))</f>
        <v>-0.00285333742684545</v>
      </c>
      <c r="G523" s="22" t="n">
        <f aca="false">EXP(F523)-1</f>
        <v>-0.00284927052860695</v>
      </c>
      <c r="H523" s="21" t="n">
        <f aca="false">EXP(SUM(F272:F523))-1</f>
        <v>0.0592839273466159</v>
      </c>
    </row>
    <row r="524" customFormat="false" ht="15" hidden="false" customHeight="false" outlineLevel="0" collapsed="false">
      <c r="A524" s="20" t="n">
        <v>45229</v>
      </c>
      <c r="B524" s="21" t="n">
        <v>400.795807</v>
      </c>
      <c r="C524" s="21" t="n">
        <v>82.615662</v>
      </c>
      <c r="D524" s="22" t="n">
        <f aca="false">LN(B524/B523)</f>
        <v>0.0118847623446089</v>
      </c>
      <c r="E524" s="22" t="n">
        <f aca="false">LN(C524/C523)</f>
        <v>-0.00237882330073494</v>
      </c>
      <c r="F524" s="22" t="n">
        <f aca="false">LN(Summary!$B$13*EXP(D524)+Summary!$B$14*EXP(E524))</f>
        <v>0.00620371867445079</v>
      </c>
      <c r="G524" s="22" t="n">
        <f aca="false">EXP(F524)-1</f>
        <v>0.00622300159178835</v>
      </c>
      <c r="H524" s="21" t="n">
        <f aca="false">EXP(SUM(F273:F524))-1</f>
        <v>0.0671379263833185</v>
      </c>
    </row>
    <row r="525" customFormat="false" ht="15" hidden="false" customHeight="false" outlineLevel="0" collapsed="false">
      <c r="A525" s="20" t="n">
        <v>45230</v>
      </c>
      <c r="B525" s="21" t="n">
        <v>403.312988</v>
      </c>
      <c r="C525" s="21" t="n">
        <v>82.561996</v>
      </c>
      <c r="D525" s="22" t="n">
        <f aca="false">LN(B525/B524)</f>
        <v>0.00626081753609474</v>
      </c>
      <c r="E525" s="22" t="n">
        <f aca="false">LN(C525/C524)</f>
        <v>-0.000649797345937875</v>
      </c>
      <c r="F525" s="22" t="n">
        <f aca="false">LN(Summary!$B$13*EXP(D525)+Summary!$B$14*EXP(E525))</f>
        <v>0.00350229972480464</v>
      </c>
      <c r="G525" s="22" t="n">
        <f aca="false">EXP(F525)-1</f>
        <v>0.00350843994268768</v>
      </c>
      <c r="H525" s="21" t="n">
        <f aca="false">EXP(SUM(F274:F525))-1</f>
        <v>0.0568586098926676</v>
      </c>
    </row>
    <row r="526" customFormat="false" ht="15" hidden="false" customHeight="false" outlineLevel="0" collapsed="false">
      <c r="A526" s="20" t="n">
        <v>45231</v>
      </c>
      <c r="B526" s="21" t="n">
        <v>407.614197</v>
      </c>
      <c r="C526" s="21" t="n">
        <v>83.47435</v>
      </c>
      <c r="D526" s="22" t="n">
        <f aca="false">LN(B526/B525)</f>
        <v>0.0106082257832023</v>
      </c>
      <c r="E526" s="22" t="n">
        <f aca="false">LN(C526/C525)</f>
        <v>0.0109899212392993</v>
      </c>
      <c r="F526" s="22" t="n">
        <f aca="false">LN(Summary!$B$13*EXP(D526)+Summary!$B$14*EXP(E526))</f>
        <v>0.0107609214490564</v>
      </c>
      <c r="G526" s="22" t="n">
        <f aca="false">EXP(F526)-1</f>
        <v>0.0108190284053631</v>
      </c>
      <c r="H526" s="21" t="n">
        <f aca="false">EXP(SUM(F275:F526))-1</f>
        <v>0.0743932486876935</v>
      </c>
    </row>
    <row r="527" customFormat="false" ht="15" hidden="false" customHeight="false" outlineLevel="0" collapsed="false">
      <c r="A527" s="20" t="n">
        <v>45232</v>
      </c>
      <c r="B527" s="21" t="n">
        <v>415.425812</v>
      </c>
      <c r="C527" s="21" t="n">
        <v>83.976715</v>
      </c>
      <c r="D527" s="22" t="n">
        <f aca="false">LN(B527/B526)</f>
        <v>0.0189829157517659</v>
      </c>
      <c r="E527" s="22" t="n">
        <f aca="false">LN(C527/C526)</f>
        <v>0.00600015899778204</v>
      </c>
      <c r="F527" s="22" t="n">
        <f aca="false">LN(Summary!$B$13*EXP(D527)+Summary!$B$14*EXP(E527))</f>
        <v>0.0138100216560457</v>
      </c>
      <c r="G527" s="22" t="n">
        <f aca="false">EXP(F527)-1</f>
        <v>0.0139058204918026</v>
      </c>
      <c r="H527" s="21" t="n">
        <f aca="false">EXP(SUM(F276:F527))-1</f>
        <v>0.0913875460182363</v>
      </c>
    </row>
    <row r="528" customFormat="false" ht="15" hidden="false" customHeight="false" outlineLevel="0" collapsed="false">
      <c r="A528" s="20" t="n">
        <v>45233</v>
      </c>
      <c r="B528" s="21" t="n">
        <v>419.215912</v>
      </c>
      <c r="C528" s="21" t="n">
        <v>84.488052</v>
      </c>
      <c r="D528" s="22" t="n">
        <f aca="false">LN(B528/B527)</f>
        <v>0.00908204309156356</v>
      </c>
      <c r="E528" s="22" t="n">
        <f aca="false">LN(C528/C527)</f>
        <v>0.00607056988132412</v>
      </c>
      <c r="F528" s="22" t="n">
        <f aca="false">LN(Summary!$B$13*EXP(D528)+Summary!$B$14*EXP(E528))</f>
        <v>0.0078785418651259</v>
      </c>
      <c r="G528" s="22" t="n">
        <f aca="false">EXP(F528)-1</f>
        <v>0.00790965924225806</v>
      </c>
      <c r="H528" s="21" t="n">
        <f aca="false">EXP(SUM(F277:F528))-1</f>
        <v>0.117602751950177</v>
      </c>
    </row>
    <row r="529" customFormat="false" ht="15" hidden="false" customHeight="false" outlineLevel="0" collapsed="false">
      <c r="A529" s="20" t="n">
        <v>45236</v>
      </c>
      <c r="B529" s="21" t="n">
        <v>420.180298</v>
      </c>
      <c r="C529" s="21" t="n">
        <v>84.066414</v>
      </c>
      <c r="D529" s="22" t="n">
        <f aca="false">LN(B529/B528)</f>
        <v>0.00229780981337568</v>
      </c>
      <c r="E529" s="22" t="n">
        <f aca="false">LN(C529/C528)</f>
        <v>-0.00500299860896073</v>
      </c>
      <c r="F529" s="22" t="n">
        <f aca="false">LN(Summary!$B$13*EXP(D529)+Summary!$B$14*EXP(E529))</f>
        <v>-0.000616120464779756</v>
      </c>
      <c r="G529" s="22" t="n">
        <f aca="false">EXP(F529)-1</f>
        <v>-0.000615930701540535</v>
      </c>
      <c r="H529" s="21" t="n">
        <f aca="false">EXP(SUM(F278:F529))-1</f>
        <v>0.125532139967734</v>
      </c>
    </row>
    <row r="530" customFormat="false" ht="15" hidden="false" customHeight="false" outlineLevel="0" collapsed="false">
      <c r="A530" s="20" t="n">
        <v>45237</v>
      </c>
      <c r="B530" s="21" t="n">
        <v>421.376129</v>
      </c>
      <c r="C530" s="21" t="n">
        <v>84.514961</v>
      </c>
      <c r="D530" s="22" t="n">
        <f aca="false">LN(B530/B529)</f>
        <v>0.00284195275919024</v>
      </c>
      <c r="E530" s="22" t="n">
        <f aca="false">LN(C530/C529)</f>
        <v>0.00532144263844553</v>
      </c>
      <c r="F530" s="22" t="n">
        <f aca="false">LN(Summary!$B$13*EXP(D530)+Summary!$B$14*EXP(E530))</f>
        <v>0.00383448657708208</v>
      </c>
      <c r="G530" s="22" t="n">
        <f aca="false">EXP(F530)-1</f>
        <v>0.00384184762634465</v>
      </c>
      <c r="H530" s="21" t="n">
        <f aca="false">EXP(SUM(F279:F530))-1</f>
        <v>0.120229589311635</v>
      </c>
    </row>
    <row r="531" customFormat="false" ht="15" hidden="false" customHeight="false" outlineLevel="0" collapsed="false">
      <c r="A531" s="20" t="n">
        <v>45238</v>
      </c>
      <c r="B531" s="21" t="n">
        <v>421.684814</v>
      </c>
      <c r="C531" s="21" t="n">
        <v>84.802017</v>
      </c>
      <c r="D531" s="22" t="n">
        <f aca="false">LN(B531/B530)</f>
        <v>0.000732295847311094</v>
      </c>
      <c r="E531" s="22" t="n">
        <f aca="false">LN(C531/C530)</f>
        <v>0.00339075594685986</v>
      </c>
      <c r="F531" s="22" t="n">
        <f aca="false">LN(Summary!$B$13*EXP(D531)+Summary!$B$14*EXP(E531))</f>
        <v>0.0017965281264303</v>
      </c>
      <c r="G531" s="22" t="n">
        <f aca="false">EXP(F531)-1</f>
        <v>0.00179814284990543</v>
      </c>
      <c r="H531" s="21" t="n">
        <f aca="false">EXP(SUM(F280:F531))-1</f>
        <v>0.117252501782843</v>
      </c>
    </row>
    <row r="532" customFormat="false" ht="15" hidden="false" customHeight="false" outlineLevel="0" collapsed="false">
      <c r="A532" s="20" t="n">
        <v>45239</v>
      </c>
      <c r="B532" s="21" t="n">
        <v>418.396179</v>
      </c>
      <c r="C532" s="21" t="n">
        <v>84.0933</v>
      </c>
      <c r="D532" s="22" t="n">
        <f aca="false">LN(B532/B531)</f>
        <v>-0.00782936842175475</v>
      </c>
      <c r="E532" s="22" t="n">
        <f aca="false">LN(C532/C531)</f>
        <v>-0.00839243115005524</v>
      </c>
      <c r="F532" s="22" t="n">
        <f aca="false">LN(Summary!$B$13*EXP(D532)+Summary!$B$14*EXP(E532))</f>
        <v>-0.0080545554697472</v>
      </c>
      <c r="G532" s="22" t="n">
        <f aca="false">EXP(F532)-1</f>
        <v>-0.00802220445379243</v>
      </c>
      <c r="H532" s="21" t="n">
        <f aca="false">EXP(SUM(F281:F532))-1</f>
        <v>0.102843373672196</v>
      </c>
    </row>
    <row r="533" customFormat="false" ht="15" hidden="false" customHeight="false" outlineLevel="0" collapsed="false">
      <c r="A533" s="20" t="n">
        <v>45240</v>
      </c>
      <c r="B533" s="21" t="n">
        <v>424.925171</v>
      </c>
      <c r="C533" s="21" t="n">
        <v>84.29071</v>
      </c>
      <c r="D533" s="22" t="n">
        <f aca="false">LN(B533/B532)</f>
        <v>0.0154843048874566</v>
      </c>
      <c r="E533" s="22" t="n">
        <f aca="false">LN(C533/C532)</f>
        <v>0.00234476053213209</v>
      </c>
      <c r="F533" s="22" t="n">
        <f aca="false">LN(Summary!$B$13*EXP(D533)+Summary!$B$14*EXP(E533))</f>
        <v>0.0102491865814857</v>
      </c>
      <c r="G533" s="22" t="n">
        <f aca="false">EXP(F533)-1</f>
        <v>0.0103018893940412</v>
      </c>
      <c r="H533" s="21" t="n">
        <f aca="false">EXP(SUM(F282:F533))-1</f>
        <v>0.127617979551177</v>
      </c>
    </row>
    <row r="534" customFormat="false" ht="15" hidden="false" customHeight="false" outlineLevel="0" collapsed="false">
      <c r="A534" s="20" t="n">
        <v>45243</v>
      </c>
      <c r="B534" s="21" t="n">
        <v>424.520142</v>
      </c>
      <c r="C534" s="21" t="n">
        <v>84.2817</v>
      </c>
      <c r="D534" s="22" t="n">
        <f aca="false">LN(B534/B533)</f>
        <v>-0.000953631798295272</v>
      </c>
      <c r="E534" s="22" t="n">
        <f aca="false">LN(C534/C533)</f>
        <v>-0.000106897682824604</v>
      </c>
      <c r="F534" s="22" t="n">
        <f aca="false">LN(Summary!$B$13*EXP(D534)+Summary!$B$14*EXP(E534))</f>
        <v>-0.000614852112213315</v>
      </c>
      <c r="G534" s="22" t="n">
        <f aca="false">EXP(F534)-1</f>
        <v>-0.000614663129387516</v>
      </c>
      <c r="H534" s="21" t="n">
        <f aca="false">EXP(SUM(F283:F534))-1</f>
        <v>0.0819580564256761</v>
      </c>
    </row>
    <row r="535" customFormat="false" ht="15" hidden="false" customHeight="false" outlineLevel="0" collapsed="false">
      <c r="A535" s="20" t="n">
        <v>45244</v>
      </c>
      <c r="B535" s="21" t="n">
        <v>432.756134</v>
      </c>
      <c r="C535" s="21" t="n">
        <v>85.340324</v>
      </c>
      <c r="D535" s="22" t="n">
        <f aca="false">LN(B535/B534)</f>
        <v>0.0192149150324926</v>
      </c>
      <c r="E535" s="22" t="n">
        <f aca="false">LN(C535/C534)</f>
        <v>0.0124823147394385</v>
      </c>
      <c r="F535" s="22" t="n">
        <f aca="false">LN(Summary!$B$13*EXP(D535)+Summary!$B$14*EXP(E535))</f>
        <v>0.0165273118136484</v>
      </c>
      <c r="G535" s="22" t="n">
        <f aca="false">EXP(F535)-1</f>
        <v>0.0166646433621585</v>
      </c>
      <c r="H535" s="21" t="n">
        <f aca="false">EXP(SUM(F284:F535))-1</f>
        <v>0.0939531365552402</v>
      </c>
    </row>
    <row r="536" customFormat="false" ht="15" hidden="false" customHeight="false" outlineLevel="0" collapsed="false">
      <c r="A536" s="20" t="n">
        <v>45245</v>
      </c>
      <c r="B536" s="21" t="n">
        <v>433.672333</v>
      </c>
      <c r="C536" s="21" t="n">
        <v>84.810989</v>
      </c>
      <c r="D536" s="22" t="n">
        <f aca="false">LN(B536/B535)</f>
        <v>0.00211488744054377</v>
      </c>
      <c r="E536" s="22" t="n">
        <f aca="false">LN(C536/C535)</f>
        <v>-0.00622195266473493</v>
      </c>
      <c r="F536" s="22" t="n">
        <f aca="false">LN(Summary!$B$13*EXP(D536)+Summary!$B$14*EXP(E536))</f>
        <v>-0.00121151290991592</v>
      </c>
      <c r="G536" s="22" t="n">
        <f aca="false">EXP(F536)-1</f>
        <v>-0.00121077932442981</v>
      </c>
      <c r="H536" s="21" t="n">
        <f aca="false">EXP(SUM(F285:F536))-1</f>
        <v>0.0994708577775783</v>
      </c>
    </row>
    <row r="537" customFormat="false" ht="15" hidden="false" customHeight="false" outlineLevel="0" collapsed="false">
      <c r="A537" s="20" t="n">
        <v>45246</v>
      </c>
      <c r="B537" s="21" t="n">
        <v>434.202759</v>
      </c>
      <c r="C537" s="21" t="n">
        <v>85.277496</v>
      </c>
      <c r="D537" s="22" t="n">
        <f aca="false">LN(B537/B536)</f>
        <v>0.0012223557766187</v>
      </c>
      <c r="E537" s="22" t="n">
        <f aca="false">LN(C537/C536)</f>
        <v>0.00548547621884186</v>
      </c>
      <c r="F537" s="22" t="n">
        <f aca="false">LN(Summary!$B$13*EXP(D537)+Summary!$B$14*EXP(E537))</f>
        <v>0.00292978547539263</v>
      </c>
      <c r="G537" s="22" t="n">
        <f aca="false">EXP(F537)-1</f>
        <v>0.00293408149130237</v>
      </c>
      <c r="H537" s="21" t="n">
        <f aca="false">EXP(SUM(F286:F537))-1</f>
        <v>0.093870845307763</v>
      </c>
    </row>
    <row r="538" customFormat="false" ht="15" hidden="false" customHeight="false" outlineLevel="0" collapsed="false">
      <c r="A538" s="20" t="n">
        <v>45247</v>
      </c>
      <c r="B538" s="21" t="n">
        <v>434.742767</v>
      </c>
      <c r="C538" s="21" t="n">
        <v>85.447945</v>
      </c>
      <c r="D538" s="22" t="n">
        <f aca="false">LN(B538/B537)</f>
        <v>0.00124290430955622</v>
      </c>
      <c r="E538" s="22" t="n">
        <f aca="false">LN(C538/C537)</f>
        <v>0.0019967622357177</v>
      </c>
      <c r="F538" s="22" t="n">
        <f aca="false">LN(Summary!$B$13*EXP(D538)+Summary!$B$14*EXP(E538))</f>
        <v>0.00154451567965957</v>
      </c>
      <c r="G538" s="22" t="n">
        <f aca="false">EXP(F538)-1</f>
        <v>0.00154570905832019</v>
      </c>
      <c r="H538" s="21" t="n">
        <f aca="false">EXP(SUM(F287:F538))-1</f>
        <v>0.0978690740419936</v>
      </c>
    </row>
    <row r="539" customFormat="false" ht="15" hidden="false" customHeight="false" outlineLevel="0" collapsed="false">
      <c r="A539" s="20" t="n">
        <v>45250</v>
      </c>
      <c r="B539" s="21" t="n">
        <v>438.089264</v>
      </c>
      <c r="C539" s="21" t="n">
        <v>85.58252</v>
      </c>
      <c r="D539" s="22" t="n">
        <f aca="false">LN(B539/B538)</f>
        <v>0.0076681727507838</v>
      </c>
      <c r="E539" s="22" t="n">
        <f aca="false">LN(C539/C538)</f>
        <v>0.00157369656655206</v>
      </c>
      <c r="F539" s="22" t="n">
        <f aca="false">LN(Summary!$B$13*EXP(D539)+Summary!$B$14*EXP(E539))</f>
        <v>0.00523483757690309</v>
      </c>
      <c r="G539" s="22" t="n">
        <f aca="false">EXP(F539)-1</f>
        <v>0.00524856327928713</v>
      </c>
      <c r="H539" s="21" t="n">
        <f aca="false">EXP(SUM(F288:F539))-1</f>
        <v>0.107526466417305</v>
      </c>
    </row>
    <row r="540" customFormat="false" ht="15" hidden="false" customHeight="false" outlineLevel="0" collapsed="false">
      <c r="A540" s="20" t="n">
        <v>45251</v>
      </c>
      <c r="B540" s="21" t="n">
        <v>437.134521</v>
      </c>
      <c r="C540" s="21" t="n">
        <v>85.672188</v>
      </c>
      <c r="D540" s="22" t="n">
        <f aca="false">LN(B540/B539)</f>
        <v>-0.00218171259754863</v>
      </c>
      <c r="E540" s="22" t="n">
        <f aca="false">LN(C540/C539)</f>
        <v>0.00104718882466218</v>
      </c>
      <c r="F540" s="22" t="n">
        <f aca="false">LN(Summary!$B$13*EXP(D540)+Summary!$B$14*EXP(E540))</f>
        <v>-0.000888900663304336</v>
      </c>
      <c r="G540" s="22" t="n">
        <f aca="false">EXP(F540)-1</f>
        <v>-0.000888505708143694</v>
      </c>
      <c r="H540" s="21" t="n">
        <f aca="false">EXP(SUM(F289:F540))-1</f>
        <v>0.104171154279354</v>
      </c>
    </row>
    <row r="541" customFormat="false" ht="15" hidden="false" customHeight="false" outlineLevel="0" collapsed="false">
      <c r="A541" s="20" t="n">
        <v>45252</v>
      </c>
      <c r="B541" s="21" t="n">
        <v>438.822205</v>
      </c>
      <c r="C541" s="21" t="n">
        <v>85.75293</v>
      </c>
      <c r="D541" s="22" t="n">
        <f aca="false">LN(B541/B540)</f>
        <v>0.0038533549390784</v>
      </c>
      <c r="E541" s="22" t="n">
        <f aca="false">LN(C541/C540)</f>
        <v>0.000942009046431031</v>
      </c>
      <c r="F541" s="22" t="n">
        <f aca="false">LN(Summary!$B$13*EXP(D541)+Summary!$B$14*EXP(E541))</f>
        <v>0.00268983349648132</v>
      </c>
      <c r="G541" s="22" t="n">
        <f aca="false">EXP(F541)-1</f>
        <v>0.00269345434436552</v>
      </c>
      <c r="H541" s="21" t="n">
        <f aca="false">EXP(SUM(F290:F541))-1</f>
        <v>0.109841078201107</v>
      </c>
    </row>
    <row r="542" customFormat="false" ht="15" hidden="false" customHeight="false" outlineLevel="0" collapsed="false">
      <c r="A542" s="20" t="n">
        <v>45254</v>
      </c>
      <c r="B542" s="21" t="n">
        <v>439.092255</v>
      </c>
      <c r="C542" s="21" t="n">
        <v>85.358215</v>
      </c>
      <c r="D542" s="22" t="n">
        <f aca="false">LN(B542/B541)</f>
        <v>0.000615208020420269</v>
      </c>
      <c r="E542" s="22" t="n">
        <f aca="false">LN(C542/C541)</f>
        <v>-0.00461355921758506</v>
      </c>
      <c r="F542" s="22" t="n">
        <f aca="false">LN(Summary!$B$13*EXP(D542)+Summary!$B$14*EXP(E542))</f>
        <v>-0.00147301922088452</v>
      </c>
      <c r="G542" s="22" t="n">
        <f aca="false">EXP(F542)-1</f>
        <v>-0.00147193486056518</v>
      </c>
      <c r="H542" s="21" t="n">
        <f aca="false">EXP(SUM(F291:F542))-1</f>
        <v>0.0970855699710049</v>
      </c>
    </row>
    <row r="543" customFormat="false" ht="15" hidden="false" customHeight="false" outlineLevel="0" collapsed="false">
      <c r="A543" s="20" t="n">
        <v>45257</v>
      </c>
      <c r="B543" s="21" t="n">
        <v>438.301392</v>
      </c>
      <c r="C543" s="21" t="n">
        <v>85.842667</v>
      </c>
      <c r="D543" s="22" t="n">
        <f aca="false">LN(B543/B542)</f>
        <v>-0.00180275573430802</v>
      </c>
      <c r="E543" s="22" t="n">
        <f aca="false">LN(C543/C542)</f>
        <v>0.00565947193037484</v>
      </c>
      <c r="F543" s="22" t="n">
        <f aca="false">LN(Summary!$B$13*EXP(D543)+Summary!$B$14*EXP(E543))</f>
        <v>0.00118882082317429</v>
      </c>
      <c r="G543" s="22" t="n">
        <f aca="false">EXP(F543)-1</f>
        <v>0.00118952775075809</v>
      </c>
      <c r="H543" s="21" t="n">
        <f aca="false">EXP(SUM(F292:F543))-1</f>
        <v>0.0916640962544451</v>
      </c>
    </row>
    <row r="544" customFormat="false" ht="15" hidden="false" customHeight="false" outlineLevel="0" collapsed="false">
      <c r="A544" s="20" t="n">
        <v>45258</v>
      </c>
      <c r="B544" s="21" t="n">
        <v>438.735443</v>
      </c>
      <c r="C544" s="21" t="n">
        <v>86.219444</v>
      </c>
      <c r="D544" s="22" t="n">
        <f aca="false">LN(B544/B543)</f>
        <v>0.000989812555450171</v>
      </c>
      <c r="E544" s="22" t="n">
        <f aca="false">LN(C544/C543)</f>
        <v>0.00437955340708754</v>
      </c>
      <c r="F544" s="22" t="n">
        <f aca="false">LN(Summary!$B$13*EXP(D544)+Summary!$B$14*EXP(E544))</f>
        <v>0.00234708804828327</v>
      </c>
      <c r="G544" s="22" t="n">
        <f aca="false">EXP(F544)-1</f>
        <v>0.00234984461565002</v>
      </c>
      <c r="H544" s="21" t="n">
        <f aca="false">EXP(SUM(F293:F544))-1</f>
        <v>0.0942869525741132</v>
      </c>
    </row>
    <row r="545" customFormat="false" ht="15" hidden="false" customHeight="false" outlineLevel="0" collapsed="false">
      <c r="A545" s="20" t="n">
        <v>45259</v>
      </c>
      <c r="B545" s="21" t="n">
        <v>438.426788</v>
      </c>
      <c r="C545" s="21" t="n">
        <v>86.641052</v>
      </c>
      <c r="D545" s="22" t="n">
        <f aca="false">LN(B545/B544)</f>
        <v>-0.000703758100453595</v>
      </c>
      <c r="E545" s="22" t="n">
        <f aca="false">LN(C545/C544)</f>
        <v>0.00487802413823222</v>
      </c>
      <c r="F545" s="22" t="n">
        <f aca="false">LN(Summary!$B$13*EXP(D545)+Summary!$B$14*EXP(E545))</f>
        <v>0.00153269493716178</v>
      </c>
      <c r="G545" s="22" t="n">
        <f aca="false">EXP(F545)-1</f>
        <v>0.00153387011436634</v>
      </c>
      <c r="H545" s="21" t="n">
        <f aca="false">EXP(SUM(F294:F545))-1</f>
        <v>0.107289706543766</v>
      </c>
    </row>
    <row r="546" customFormat="false" ht="15" hidden="false" customHeight="false" outlineLevel="0" collapsed="false">
      <c r="A546" s="20" t="n">
        <v>45260</v>
      </c>
      <c r="B546" s="21" t="n">
        <v>440.153076</v>
      </c>
      <c r="C546" s="21" t="n">
        <v>86.354004</v>
      </c>
      <c r="D546" s="22" t="n">
        <f aca="false">LN(B546/B545)</f>
        <v>0.00392972862750415</v>
      </c>
      <c r="E546" s="22" t="n">
        <f aca="false">LN(C546/C545)</f>
        <v>-0.00331857187220794</v>
      </c>
      <c r="F546" s="22" t="n">
        <f aca="false">LN(Summary!$B$13*EXP(D546)+Summary!$B$14*EXP(E546))</f>
        <v>0.001036709912224</v>
      </c>
      <c r="G546" s="22" t="n">
        <f aca="false">EXP(F546)-1</f>
        <v>0.00103724748169687</v>
      </c>
      <c r="H546" s="21" t="n">
        <f aca="false">EXP(SUM(F295:F546))-1</f>
        <v>0.11117265677004</v>
      </c>
    </row>
    <row r="547" customFormat="false" ht="15" hidden="false" customHeight="false" outlineLevel="0" collapsed="false">
      <c r="A547" s="20" t="n">
        <v>45261</v>
      </c>
      <c r="B547" s="21" t="n">
        <v>442.757019</v>
      </c>
      <c r="C547" s="21" t="n">
        <v>87.113304</v>
      </c>
      <c r="D547" s="22" t="n">
        <f aca="false">LN(B547/B546)</f>
        <v>0.00589856331843621</v>
      </c>
      <c r="E547" s="22" t="n">
        <f aca="false">LN(C547/C546)</f>
        <v>0.00875444322231909</v>
      </c>
      <c r="F547" s="22" t="n">
        <f aca="false">LN(Summary!$B$13*EXP(D547)+Summary!$B$14*EXP(E547))</f>
        <v>0.00704189419204126</v>
      </c>
      <c r="G547" s="22" t="n">
        <f aca="false">EXP(F547)-1</f>
        <v>0.00706674663077944</v>
      </c>
      <c r="H547" s="21" t="n">
        <f aca="false">EXP(SUM(F296:F547))-1</f>
        <v>0.0949177283797131</v>
      </c>
    </row>
    <row r="548" customFormat="false" ht="15" hidden="false" customHeight="false" outlineLevel="0" collapsed="false">
      <c r="A548" s="20" t="n">
        <v>45264</v>
      </c>
      <c r="B548" s="21" t="n">
        <v>440.43277</v>
      </c>
      <c r="C548" s="21" t="n">
        <v>86.780441</v>
      </c>
      <c r="D548" s="22" t="n">
        <f aca="false">LN(B548/B547)</f>
        <v>-0.00526331801969322</v>
      </c>
      <c r="E548" s="22" t="n">
        <f aca="false">LN(C548/C547)</f>
        <v>-0.00382835399335087</v>
      </c>
      <c r="F548" s="22" t="n">
        <f aca="false">LN(Summary!$B$13*EXP(D548)+Summary!$B$14*EXP(E548))</f>
        <v>-0.00468908529092597</v>
      </c>
      <c r="G548" s="22" t="n">
        <f aca="false">EXP(F548)-1</f>
        <v>-0.00467810869392837</v>
      </c>
      <c r="H548" s="21" t="n">
        <f aca="false">EXP(SUM(F297:F548))-1</f>
        <v>0.0866585164746234</v>
      </c>
    </row>
    <row r="549" customFormat="false" ht="15" hidden="false" customHeight="false" outlineLevel="0" collapsed="false">
      <c r="A549" s="20" t="n">
        <v>45265</v>
      </c>
      <c r="B549" s="21" t="n">
        <v>440.346039</v>
      </c>
      <c r="C549" s="21" t="n">
        <v>87.356209</v>
      </c>
      <c r="D549" s="22" t="n">
        <f aca="false">LN(B549/B548)</f>
        <v>-0.000196941614385029</v>
      </c>
      <c r="E549" s="22" t="n">
        <f aca="false">LN(C549/C548)</f>
        <v>0.00661285373509941</v>
      </c>
      <c r="F549" s="22" t="n">
        <f aca="false">LN(Summary!$B$13*EXP(D549)+Summary!$B$14*EXP(E549))</f>
        <v>0.002532543839802</v>
      </c>
      <c r="G549" s="22" t="n">
        <f aca="false">EXP(F549)-1</f>
        <v>0.00253575343786294</v>
      </c>
      <c r="H549" s="21" t="n">
        <f aca="false">EXP(SUM(F298:F549))-1</f>
        <v>0.0883624358909636</v>
      </c>
    </row>
    <row r="550" customFormat="false" ht="15" hidden="false" customHeight="false" outlineLevel="0" collapsed="false">
      <c r="A550" s="20" t="n">
        <v>45266</v>
      </c>
      <c r="B550" s="21" t="n">
        <v>438.571533</v>
      </c>
      <c r="C550" s="21" t="n">
        <v>87.581139</v>
      </c>
      <c r="D550" s="22" t="n">
        <f aca="false">LN(B550/B549)</f>
        <v>-0.00403794045684173</v>
      </c>
      <c r="E550" s="22" t="n">
        <f aca="false">LN(C550/C549)</f>
        <v>0.00257155063254719</v>
      </c>
      <c r="F550" s="22" t="n">
        <f aca="false">LN(Summary!$B$13*EXP(D550)+Summary!$B$14*EXP(E550))</f>
        <v>-0.00138889947489278</v>
      </c>
      <c r="G550" s="22" t="n">
        <f aca="false">EXP(F550)-1</f>
        <v>-0.00138793540040294</v>
      </c>
      <c r="H550" s="21" t="n">
        <f aca="false">EXP(SUM(F299:F550))-1</f>
        <v>0.10221214405919</v>
      </c>
    </row>
    <row r="551" customFormat="false" ht="15" hidden="false" customHeight="false" outlineLevel="0" collapsed="false">
      <c r="A551" s="20" t="n">
        <v>45267</v>
      </c>
      <c r="B551" s="21" t="n">
        <v>441.917999</v>
      </c>
      <c r="C551" s="21" t="n">
        <v>87.608116</v>
      </c>
      <c r="D551" s="22" t="n">
        <f aca="false">LN(B551/B550)</f>
        <v>0.00760141260516263</v>
      </c>
      <c r="E551" s="22" t="n">
        <f aca="false">LN(C551/C550)</f>
        <v>0.000307975511548641</v>
      </c>
      <c r="F551" s="22" t="n">
        <f aca="false">LN(Summary!$B$13*EXP(D551)+Summary!$B$14*EXP(E551))</f>
        <v>0.00469041795848896</v>
      </c>
      <c r="G551" s="22" t="n">
        <f aca="false">EXP(F551)-1</f>
        <v>0.00470143518720256</v>
      </c>
      <c r="H551" s="21" t="n">
        <f aca="false">EXP(SUM(F300:F551))-1</f>
        <v>0.115730087926217</v>
      </c>
    </row>
    <row r="552" customFormat="false" ht="15" hidden="false" customHeight="false" outlineLevel="0" collapsed="false">
      <c r="A552" s="20" t="n">
        <v>45268</v>
      </c>
      <c r="B552" s="21" t="n">
        <v>443.81781</v>
      </c>
      <c r="C552" s="21" t="n">
        <v>87.167305</v>
      </c>
      <c r="D552" s="22" t="n">
        <f aca="false">LN(B552/B551)</f>
        <v>0.00428979814096585</v>
      </c>
      <c r="E552" s="22" t="n">
        <f aca="false">LN(C552/C551)</f>
        <v>-0.00504432410676493</v>
      </c>
      <c r="F552" s="22" t="n">
        <f aca="false">LN(Summary!$B$13*EXP(D552)+Summary!$B$14*EXP(E552))</f>
        <v>0.000566597803157403</v>
      </c>
      <c r="G552" s="22" t="n">
        <f aca="false">EXP(F552)-1</f>
        <v>0.000566758350013075</v>
      </c>
      <c r="H552" s="21" t="n">
        <f aca="false">EXP(SUM(F301:F552))-1</f>
        <v>0.11353154867274</v>
      </c>
    </row>
    <row r="553" customFormat="false" ht="15" hidden="false" customHeight="false" outlineLevel="0" collapsed="false">
      <c r="A553" s="20" t="n">
        <v>45271</v>
      </c>
      <c r="B553" s="21" t="n">
        <v>445.544067</v>
      </c>
      <c r="C553" s="21" t="n">
        <v>87.1763</v>
      </c>
      <c r="D553" s="22" t="n">
        <f aca="false">LN(B553/B552)</f>
        <v>0.00388201746115331</v>
      </c>
      <c r="E553" s="22" t="n">
        <f aca="false">LN(C553/C552)</f>
        <v>0.000103187036977719</v>
      </c>
      <c r="F553" s="22" t="n">
        <f aca="false">LN(Summary!$B$13*EXP(D553)+Summary!$B$14*EXP(E553))</f>
        <v>0.00237219840603134</v>
      </c>
      <c r="G553" s="22" t="n">
        <f aca="false">EXP(F553)-1</f>
        <v>0.00237501429484555</v>
      </c>
      <c r="H553" s="21" t="n">
        <f aca="false">EXP(SUM(F302:F553))-1</f>
        <v>0.112287188710952</v>
      </c>
    </row>
    <row r="554" customFormat="false" ht="15" hidden="false" customHeight="false" outlineLevel="0" collapsed="false">
      <c r="A554" s="20" t="n">
        <v>45272</v>
      </c>
      <c r="B554" s="21" t="n">
        <v>447.57901</v>
      </c>
      <c r="C554" s="21" t="n">
        <v>87.437187</v>
      </c>
      <c r="D554" s="22" t="n">
        <f aca="false">LN(B554/B553)</f>
        <v>0.00455692294554998</v>
      </c>
      <c r="E554" s="22" t="n">
        <f aca="false">LN(C554/C553)</f>
        <v>0.00298816773672045</v>
      </c>
      <c r="F554" s="22" t="n">
        <f aca="false">LN(Summary!$B$13*EXP(D554)+Summary!$B$14*EXP(E554))</f>
        <v>0.00392971615025459</v>
      </c>
      <c r="G554" s="22" t="n">
        <f aca="false">EXP(F554)-1</f>
        <v>0.00393744760892734</v>
      </c>
      <c r="H554" s="21" t="n">
        <f aca="false">EXP(SUM(F303:F554))-1</f>
        <v>0.124376521241611</v>
      </c>
    </row>
    <row r="555" customFormat="false" ht="15" hidden="false" customHeight="false" outlineLevel="0" collapsed="false">
      <c r="A555" s="20" t="n">
        <v>45273</v>
      </c>
      <c r="B555" s="21" t="n">
        <v>453.751129</v>
      </c>
      <c r="C555" s="21" t="n">
        <v>88.53476</v>
      </c>
      <c r="D555" s="22" t="n">
        <f aca="false">LN(B555/B554)</f>
        <v>0.0136957929407529</v>
      </c>
      <c r="E555" s="22" t="n">
        <f aca="false">LN(C555/C554)</f>
        <v>0.0124745705426569</v>
      </c>
      <c r="F555" s="22" t="n">
        <f aca="false">LN(Summary!$B$13*EXP(D555)+Summary!$B$14*EXP(E555))</f>
        <v>0.0132074829330317</v>
      </c>
      <c r="G555" s="22" t="n">
        <f aca="false">EXP(F555)-1</f>
        <v>0.0132950869872372</v>
      </c>
      <c r="H555" s="21" t="n">
        <f aca="false">EXP(SUM(F304:F555))-1</f>
        <v>0.1294636259475</v>
      </c>
    </row>
    <row r="556" customFormat="false" ht="15" hidden="false" customHeight="false" outlineLevel="0" collapsed="false">
      <c r="A556" s="20" t="n">
        <v>45274</v>
      </c>
      <c r="B556" s="21" t="n">
        <v>455.207397</v>
      </c>
      <c r="C556" s="21" t="n">
        <v>89.249344</v>
      </c>
      <c r="D556" s="22" t="n">
        <f aca="false">LN(B556/B555)</f>
        <v>0.00320425894985641</v>
      </c>
      <c r="E556" s="22" t="n">
        <f aca="false">LN(C556/C555)</f>
        <v>0.00803882723051601</v>
      </c>
      <c r="F556" s="22" t="n">
        <f aca="false">LN(Summary!$B$13*EXP(D556)+Summary!$B$14*EXP(E556))</f>
        <v>0.0051408919297587</v>
      </c>
      <c r="G556" s="22" t="n">
        <f aca="false">EXP(F556)-1</f>
        <v>0.00515412898838363</v>
      </c>
      <c r="H556" s="21" t="n">
        <f aca="false">EXP(SUM(F305:F556))-1</f>
        <v>0.127153910188029</v>
      </c>
    </row>
    <row r="557" customFormat="false" ht="15" hidden="false" customHeight="false" outlineLevel="0" collapsed="false">
      <c r="A557" s="20" t="n">
        <v>45275</v>
      </c>
      <c r="B557" s="21" t="n">
        <v>454.457916</v>
      </c>
      <c r="C557" s="21" t="n">
        <v>89.041824</v>
      </c>
      <c r="D557" s="22" t="n">
        <f aca="false">LN(B557/B556)</f>
        <v>-0.00164781740905833</v>
      </c>
      <c r="E557" s="22" t="n">
        <f aca="false">LN(C557/C556)</f>
        <v>-0.00232787856000672</v>
      </c>
      <c r="F557" s="22" t="n">
        <f aca="false">LN(Summary!$B$13*EXP(D557)+Summary!$B$14*EXP(E557))</f>
        <v>-0.00191978637397448</v>
      </c>
      <c r="G557" s="22" t="n">
        <f aca="false">EXP(F557)-1</f>
        <v>-0.00191794476280216</v>
      </c>
      <c r="H557" s="21" t="n">
        <f aca="false">EXP(SUM(F306:F557))-1</f>
        <v>0.128322210898292</v>
      </c>
    </row>
    <row r="558" customFormat="false" ht="15" hidden="false" customHeight="false" outlineLevel="0" collapsed="false">
      <c r="A558" s="20" t="n">
        <v>45278</v>
      </c>
      <c r="B558" s="21" t="n">
        <v>457.014313</v>
      </c>
      <c r="C558" s="21" t="n">
        <v>88.861366</v>
      </c>
      <c r="D558" s="22" t="n">
        <f aca="false">LN(B558/B557)</f>
        <v>0.00560939460756311</v>
      </c>
      <c r="E558" s="22" t="n">
        <f aca="false">LN(C558/C557)</f>
        <v>-0.0020287220470052</v>
      </c>
      <c r="F558" s="22" t="n">
        <f aca="false">LN(Summary!$B$13*EXP(D558)+Summary!$B$14*EXP(E558))</f>
        <v>0.00256114526499054</v>
      </c>
      <c r="G558" s="22" t="n">
        <f aca="false">EXP(F558)-1</f>
        <v>0.00256442779927557</v>
      </c>
      <c r="H558" s="21" t="n">
        <f aca="false">EXP(SUM(F307:F558))-1</f>
        <v>0.147382225401298</v>
      </c>
    </row>
    <row r="559" customFormat="false" ht="15" hidden="false" customHeight="false" outlineLevel="0" collapsed="false">
      <c r="A559" s="20" t="n">
        <v>45279</v>
      </c>
      <c r="B559" s="21" t="n">
        <v>459.793335</v>
      </c>
      <c r="C559" s="21" t="n">
        <v>88.969627</v>
      </c>
      <c r="D559" s="22" t="n">
        <f aca="false">LN(B559/B558)</f>
        <v>0.00606240691262846</v>
      </c>
      <c r="E559" s="22" t="n">
        <f aca="false">LN(C559/C558)</f>
        <v>0.00121757193780691</v>
      </c>
      <c r="F559" s="22" t="n">
        <f aca="false">LN(Summary!$B$13*EXP(D559)+Summary!$B$14*EXP(E559))</f>
        <v>0.00412728870162945</v>
      </c>
      <c r="G559" s="22" t="n">
        <f aca="false">EXP(F559)-1</f>
        <v>0.00413581768746818</v>
      </c>
      <c r="H559" s="21" t="n">
        <f aca="false">EXP(SUM(F308:F559))-1</f>
        <v>0.161568537305375</v>
      </c>
    </row>
    <row r="560" customFormat="false" ht="15" hidden="false" customHeight="false" outlineLevel="0" collapsed="false">
      <c r="A560" s="20" t="n">
        <v>45280</v>
      </c>
      <c r="B560" s="21" t="n">
        <v>453.421814</v>
      </c>
      <c r="C560" s="21" t="n">
        <v>89.294449</v>
      </c>
      <c r="D560" s="22" t="n">
        <f aca="false">LN(B560/B559)</f>
        <v>-0.0139542678327964</v>
      </c>
      <c r="E560" s="22" t="n">
        <f aca="false">LN(C560/C559)</f>
        <v>0.00364428287268826</v>
      </c>
      <c r="F560" s="22" t="n">
        <f aca="false">LN(Summary!$B$13*EXP(D560)+Summary!$B$14*EXP(E560))</f>
        <v>-0.00687763929204492</v>
      </c>
      <c r="G560" s="22" t="n">
        <f aca="false">EXP(F560)-1</f>
        <v>-0.00685404245875576</v>
      </c>
      <c r="H560" s="21" t="n">
        <f aca="false">EXP(SUM(F309:F560))-1</f>
        <v>0.162375672374071</v>
      </c>
    </row>
    <row r="561" customFormat="false" ht="15" hidden="false" customHeight="false" outlineLevel="0" collapsed="false">
      <c r="A561" s="20" t="n">
        <v>45281</v>
      </c>
      <c r="B561" s="21" t="n">
        <v>457.72113</v>
      </c>
      <c r="C561" s="21" t="n">
        <v>89.285408</v>
      </c>
      <c r="D561" s="22" t="n">
        <f aca="false">LN(B561/B560)</f>
        <v>0.00943726324623141</v>
      </c>
      <c r="E561" s="22" t="n">
        <f aca="false">LN(C561/C560)</f>
        <v>-0.000101254420958829</v>
      </c>
      <c r="F561" s="22" t="n">
        <f aca="false">LN(Summary!$B$13*EXP(D561)+Summary!$B$14*EXP(E561))</f>
        <v>0.00563276719853832</v>
      </c>
      <c r="G561" s="22" t="n">
        <f aca="false">EXP(F561)-1</f>
        <v>0.00564866105982187</v>
      </c>
      <c r="H561" s="21" t="n">
        <f aca="false">EXP(SUM(F310:F561))-1</f>
        <v>0.171158790326424</v>
      </c>
    </row>
    <row r="562" customFormat="false" ht="15" hidden="false" customHeight="false" outlineLevel="0" collapsed="false">
      <c r="A562" s="20" t="n">
        <v>45282</v>
      </c>
      <c r="B562" s="21" t="n">
        <v>458.640991</v>
      </c>
      <c r="C562" s="21" t="n">
        <v>89.168106</v>
      </c>
      <c r="D562" s="22" t="n">
        <f aca="false">LN(B562/B561)</f>
        <v>0.00200763712922265</v>
      </c>
      <c r="E562" s="22" t="n">
        <f aca="false">LN(C562/C561)</f>
        <v>-0.00131465068145974</v>
      </c>
      <c r="F562" s="22" t="n">
        <f aca="false">LN(Summary!$B$13*EXP(D562)+Summary!$B$14*EXP(E562))</f>
        <v>0.000680046222608889</v>
      </c>
      <c r="G562" s="22" t="n">
        <f aca="false">EXP(F562)-1</f>
        <v>0.000680277506466265</v>
      </c>
      <c r="H562" s="21" t="n">
        <f aca="false">EXP(SUM(F311:F562))-1</f>
        <v>0.160268495114153</v>
      </c>
    </row>
    <row r="563" customFormat="false" ht="15" hidden="false" customHeight="false" outlineLevel="0" collapsed="false">
      <c r="A563" s="20" t="n">
        <v>45286</v>
      </c>
      <c r="B563" s="21" t="n">
        <v>460.577637</v>
      </c>
      <c r="C563" s="21" t="n">
        <v>89.348587</v>
      </c>
      <c r="D563" s="22" t="n">
        <f aca="false">LN(B563/B562)</f>
        <v>0.00421368498518087</v>
      </c>
      <c r="E563" s="22" t="n">
        <f aca="false">LN(C563/C562)</f>
        <v>0.00202200767288024</v>
      </c>
      <c r="F563" s="22" t="n">
        <f aca="false">LN(Summary!$B$13*EXP(D563)+Summary!$B$14*EXP(E563))</f>
        <v>0.0033375903898712</v>
      </c>
      <c r="G563" s="22" t="n">
        <f aca="false">EXP(F563)-1</f>
        <v>0.00334316634637033</v>
      </c>
      <c r="H563" s="21" t="n">
        <f aca="false">EXP(SUM(F312:F563))-1</f>
        <v>0.174342747807551</v>
      </c>
    </row>
    <row r="564" customFormat="false" ht="15" hidden="false" customHeight="false" outlineLevel="0" collapsed="false">
      <c r="A564" s="20" t="n">
        <v>45287</v>
      </c>
      <c r="B564" s="21" t="n">
        <v>461.410431</v>
      </c>
      <c r="C564" s="21" t="n">
        <v>89.916977</v>
      </c>
      <c r="D564" s="22" t="n">
        <f aca="false">LN(B564/B563)</f>
        <v>0.00180651844723412</v>
      </c>
      <c r="E564" s="22" t="n">
        <f aca="false">LN(C564/C563)</f>
        <v>0.00634133954139049</v>
      </c>
      <c r="F564" s="22" t="n">
        <f aca="false">LN(Summary!$B$13*EXP(D564)+Summary!$B$14*EXP(E564))</f>
        <v>0.00362291538137147</v>
      </c>
      <c r="G564" s="22" t="n">
        <f aca="false">EXP(F564)-1</f>
        <v>0.00362948607192415</v>
      </c>
      <c r="H564" s="21" t="n">
        <f aca="false">EXP(SUM(F313:F564))-1</f>
        <v>0.176172729052028</v>
      </c>
    </row>
    <row r="565" customFormat="false" ht="15" hidden="false" customHeight="false" outlineLevel="0" collapsed="false">
      <c r="A565" s="20" t="n">
        <v>45288</v>
      </c>
      <c r="B565" s="21" t="n">
        <v>461.584717</v>
      </c>
      <c r="C565" s="21" t="n">
        <v>89.718491</v>
      </c>
      <c r="D565" s="22" t="n">
        <f aca="false">LN(B565/B564)</f>
        <v>0.000377653127319312</v>
      </c>
      <c r="E565" s="22" t="n">
        <f aca="false">LN(C565/C564)</f>
        <v>-0.00220987628986957</v>
      </c>
      <c r="F565" s="22" t="n">
        <f aca="false">LN(Summary!$B$13*EXP(D565)+Summary!$B$14*EXP(E565))</f>
        <v>-0.000656555341329721</v>
      </c>
      <c r="G565" s="22" t="n">
        <f aca="false">EXP(F565)-1</f>
        <v>-0.000656339856033528</v>
      </c>
      <c r="H565" s="21" t="n">
        <f aca="false">EXP(SUM(F314:F565))-1</f>
        <v>0.181621952548194</v>
      </c>
    </row>
    <row r="566" customFormat="false" ht="15" hidden="false" customHeight="false" outlineLevel="0" collapsed="false">
      <c r="A566" s="20" t="n">
        <v>45289</v>
      </c>
      <c r="B566" s="21" t="n">
        <v>460.248413</v>
      </c>
      <c r="C566" s="21" t="n">
        <v>89.547073</v>
      </c>
      <c r="D566" s="22" t="n">
        <f aca="false">LN(B566/B565)</f>
        <v>-0.00289923391239263</v>
      </c>
      <c r="E566" s="22" t="n">
        <f aca="false">LN(C566/C565)</f>
        <v>-0.00191244819608721</v>
      </c>
      <c r="F566" s="22" t="n">
        <f aca="false">LN(Summary!$B$13*EXP(D566)+Summary!$B$14*EXP(E566))</f>
        <v>-0.00250440276866159</v>
      </c>
      <c r="G566" s="22" t="n">
        <f aca="false">EXP(F566)-1</f>
        <v>-0.00250126936835904</v>
      </c>
      <c r="H566" s="21" t="n">
        <f aca="false">EXP(SUM(F315:F566))-1</f>
        <v>0.188358583194263</v>
      </c>
    </row>
    <row r="567" customFormat="false" ht="15" hidden="false" customHeight="false" outlineLevel="0" collapsed="false">
      <c r="A567" s="20" t="n">
        <v>45293</v>
      </c>
      <c r="B567" s="21" t="n">
        <v>457.672699</v>
      </c>
      <c r="C567" s="21" t="n">
        <v>89.123009</v>
      </c>
      <c r="D567" s="22" t="n">
        <f aca="false">LN(B567/B566)</f>
        <v>-0.00561207434186067</v>
      </c>
      <c r="E567" s="22" t="n">
        <f aca="false">LN(C567/C566)</f>
        <v>-0.00474690324806676</v>
      </c>
      <c r="F567" s="22" t="n">
        <f aca="false">LN(Summary!$B$13*EXP(D567)+Summary!$B$14*EXP(E567))</f>
        <v>-0.00526591607664213</v>
      </c>
      <c r="G567" s="22" t="n">
        <f aca="false">EXP(F567)-1</f>
        <v>-0.00525207544576989</v>
      </c>
      <c r="H567" s="21" t="n">
        <f aca="false">EXP(SUM(F316:F567))-1</f>
        <v>0.167773029161038</v>
      </c>
    </row>
    <row r="568" customFormat="false" ht="15" hidden="false" customHeight="false" outlineLevel="0" collapsed="false">
      <c r="A568" s="20" t="n">
        <v>45294</v>
      </c>
      <c r="B568" s="21" t="n">
        <v>453.935028</v>
      </c>
      <c r="C568" s="21" t="n">
        <v>89.168106</v>
      </c>
      <c r="D568" s="22" t="n">
        <f aca="false">LN(B568/B567)</f>
        <v>-0.008200219971406</v>
      </c>
      <c r="E568" s="22" t="n">
        <f aca="false">LN(C568/C567)</f>
        <v>0.000505880519752665</v>
      </c>
      <c r="F568" s="22" t="n">
        <f aca="false">LN(Summary!$B$13*EXP(D568)+Summary!$B$14*EXP(E568))</f>
        <v>-0.00470867897885315</v>
      </c>
      <c r="G568" s="22" t="n">
        <f aca="false">EXP(F568)-1</f>
        <v>-0.00469761052939666</v>
      </c>
      <c r="H568" s="21" t="n">
        <f aca="false">EXP(SUM(F317:F568))-1</f>
        <v>0.166332680465394</v>
      </c>
    </row>
    <row r="569" customFormat="false" ht="15" hidden="false" customHeight="false" outlineLevel="0" collapsed="false">
      <c r="A569" s="20" t="n">
        <v>45295</v>
      </c>
      <c r="B569" s="21" t="n">
        <v>452.47287</v>
      </c>
      <c r="C569" s="21" t="n">
        <v>88.807213</v>
      </c>
      <c r="D569" s="22" t="n">
        <f aca="false">LN(B569/B568)</f>
        <v>-0.00322627212650232</v>
      </c>
      <c r="E569" s="22" t="n">
        <f aca="false">LN(C569/C568)</f>
        <v>-0.00405554541691571</v>
      </c>
      <c r="F569" s="22" t="n">
        <f aca="false">LN(Summary!$B$13*EXP(D569)+Summary!$B$14*EXP(E569))</f>
        <v>-0.00355789892392932</v>
      </c>
      <c r="G569" s="22" t="n">
        <f aca="false">EXP(F569)-1</f>
        <v>-0.00355157710124399</v>
      </c>
      <c r="H569" s="21" t="n">
        <f aca="false">EXP(SUM(F318:F569))-1</f>
        <v>0.162394178123504</v>
      </c>
    </row>
    <row r="570" customFormat="false" ht="15" hidden="false" customHeight="false" outlineLevel="0" collapsed="false">
      <c r="A570" s="20" t="n">
        <v>45296</v>
      </c>
      <c r="B570" s="21" t="n">
        <v>453.09259</v>
      </c>
      <c r="C570" s="21" t="n">
        <v>88.599716</v>
      </c>
      <c r="D570" s="22" t="n">
        <f aca="false">LN(B570/B569)</f>
        <v>0.00136869199217107</v>
      </c>
      <c r="E570" s="22" t="n">
        <f aca="false">LN(C570/C569)</f>
        <v>-0.00233922198853834</v>
      </c>
      <c r="F570" s="22" t="n">
        <f aca="false">LN(Summary!$B$13*EXP(D570)+Summary!$B$14*EXP(E570))</f>
        <v>-0.000112824173643057</v>
      </c>
      <c r="G570" s="22" t="n">
        <f aca="false">EXP(F570)-1</f>
        <v>-0.000112817809235333</v>
      </c>
      <c r="H570" s="21" t="n">
        <f aca="false">EXP(SUM(F319:F570))-1</f>
        <v>0.154359994105703</v>
      </c>
    </row>
    <row r="571" customFormat="false" ht="15" hidden="false" customHeight="false" outlineLevel="0" collapsed="false">
      <c r="A571" s="20" t="n">
        <v>45299</v>
      </c>
      <c r="B571" s="21" t="n">
        <v>459.560913</v>
      </c>
      <c r="C571" s="21" t="n">
        <v>88.93354</v>
      </c>
      <c r="D571" s="22" t="n">
        <f aca="false">LN(B571/B570)</f>
        <v>0.0141749991324788</v>
      </c>
      <c r="E571" s="22" t="n">
        <f aca="false">LN(C571/C570)</f>
        <v>0.00376069702044895</v>
      </c>
      <c r="F571" s="22" t="n">
        <f aca="false">LN(Summary!$B$13*EXP(D571)+Summary!$B$14*EXP(E571))</f>
        <v>0.0100222841225303</v>
      </c>
      <c r="G571" s="22" t="n">
        <f aca="false">EXP(F571)-1</f>
        <v>0.0100726754166414</v>
      </c>
      <c r="H571" s="21" t="n">
        <f aca="false">EXP(SUM(F320:F571))-1</f>
        <v>0.174413212753124</v>
      </c>
    </row>
    <row r="572" customFormat="false" ht="15" hidden="false" customHeight="false" outlineLevel="0" collapsed="false">
      <c r="A572" s="20" t="n">
        <v>45300</v>
      </c>
      <c r="B572" s="21" t="n">
        <v>458.863739</v>
      </c>
      <c r="C572" s="21" t="n">
        <v>88.91552</v>
      </c>
      <c r="D572" s="22" t="n">
        <f aca="false">LN(B572/B571)</f>
        <v>-0.00151819560242107</v>
      </c>
      <c r="E572" s="22" t="n">
        <f aca="false">LN(C572/C571)</f>
        <v>-0.000202643748149745</v>
      </c>
      <c r="F572" s="22" t="n">
        <f aca="false">LN(Summary!$B$13*EXP(D572)+Summary!$B$14*EXP(E572))</f>
        <v>-0.000991767161309589</v>
      </c>
      <c r="G572" s="22" t="n">
        <f aca="false">EXP(F572)-1</f>
        <v>-0.000991275522802204</v>
      </c>
      <c r="H572" s="21" t="n">
        <f aca="false">EXP(SUM(F321:F572))-1</f>
        <v>0.152361417320212</v>
      </c>
    </row>
    <row r="573" customFormat="false" ht="15" hidden="false" customHeight="false" outlineLevel="0" collapsed="false">
      <c r="A573" s="20" t="n">
        <v>45301</v>
      </c>
      <c r="B573" s="21" t="n">
        <v>461.458801</v>
      </c>
      <c r="C573" s="21" t="n">
        <v>88.74408</v>
      </c>
      <c r="D573" s="22" t="n">
        <f aca="false">LN(B573/B572)</f>
        <v>0.00563947695491818</v>
      </c>
      <c r="E573" s="22" t="n">
        <f aca="false">LN(C573/C572)</f>
        <v>-0.00192998355524273</v>
      </c>
      <c r="F573" s="22" t="n">
        <f aca="false">LN(Summary!$B$13*EXP(D573)+Summary!$B$14*EXP(E573))</f>
        <v>0.00261856487467468</v>
      </c>
      <c r="G573" s="22" t="n">
        <f aca="false">EXP(F573)-1</f>
        <v>0.00262199631016791</v>
      </c>
      <c r="H573" s="21" t="n">
        <f aca="false">EXP(SUM(F322:F573))-1</f>
        <v>0.154610460754684</v>
      </c>
    </row>
    <row r="574" customFormat="false" ht="15" hidden="false" customHeight="false" outlineLevel="0" collapsed="false">
      <c r="A574" s="20" t="n">
        <v>45302</v>
      </c>
      <c r="B574" s="21" t="n">
        <v>461.255432</v>
      </c>
      <c r="C574" s="21" t="n">
        <v>89.249344</v>
      </c>
      <c r="D574" s="22" t="n">
        <f aca="false">LN(B574/B573)</f>
        <v>-0.000440806039442653</v>
      </c>
      <c r="E574" s="22" t="n">
        <f aca="false">LN(C574/C573)</f>
        <v>0.0056773485873328</v>
      </c>
      <c r="F574" s="22" t="n">
        <f aca="false">LN(Summary!$B$13*EXP(D574)+Summary!$B$14*EXP(E574))</f>
        <v>0.00201094945512955</v>
      </c>
      <c r="G574" s="22" t="n">
        <f aca="false">EXP(F574)-1</f>
        <v>0.00201297277001911</v>
      </c>
      <c r="H574" s="21" t="n">
        <f aca="false">EXP(SUM(F323:F574))-1</f>
        <v>0.153845212859501</v>
      </c>
    </row>
    <row r="575" customFormat="false" ht="15" hidden="false" customHeight="false" outlineLevel="0" collapsed="false">
      <c r="A575" s="20" t="n">
        <v>45303</v>
      </c>
      <c r="B575" s="21" t="n">
        <v>461.575012</v>
      </c>
      <c r="C575" s="21" t="n">
        <v>89.411743</v>
      </c>
      <c r="D575" s="22" t="n">
        <f aca="false">LN(B575/B574)</f>
        <v>0.00069260830058928</v>
      </c>
      <c r="E575" s="22" t="n">
        <f aca="false">LN(C575/C574)</f>
        <v>0.00181795652823879</v>
      </c>
      <c r="F575" s="22" t="n">
        <f aca="false">LN(Summary!$B$13*EXP(D575)+Summary!$B$14*EXP(E575))</f>
        <v>0.00114289957207938</v>
      </c>
      <c r="G575" s="22" t="n">
        <f aca="false">EXP(F575)-1</f>
        <v>0.00114355293067936</v>
      </c>
      <c r="H575" s="21" t="n">
        <f aca="false">EXP(SUM(F324:F575))-1</f>
        <v>0.143665733067881</v>
      </c>
    </row>
    <row r="576" customFormat="false" ht="15" hidden="false" customHeight="false" outlineLevel="0" collapsed="false">
      <c r="A576" s="20" t="n">
        <v>45307</v>
      </c>
      <c r="B576" s="21" t="n">
        <v>459.880432</v>
      </c>
      <c r="C576" s="21" t="n">
        <v>88.74408</v>
      </c>
      <c r="D576" s="22" t="n">
        <f aca="false">LN(B576/B575)</f>
        <v>-0.00367805501916085</v>
      </c>
      <c r="E576" s="22" t="n">
        <f aca="false">LN(C576/C575)</f>
        <v>-0.0074953051155714</v>
      </c>
      <c r="F576" s="22" t="n">
        <f aca="false">LN(Summary!$B$13*EXP(D576)+Summary!$B$14*EXP(E576))</f>
        <v>-0.00520320693584422</v>
      </c>
      <c r="G576" s="22" t="n">
        <f aca="false">EXP(F576)-1</f>
        <v>-0.00518969370217826</v>
      </c>
      <c r="H576" s="21" t="n">
        <f aca="false">EXP(SUM(F325:F576))-1</f>
        <v>0.131983422889266</v>
      </c>
    </row>
    <row r="577" customFormat="false" ht="15" hidden="false" customHeight="false" outlineLevel="0" collapsed="false">
      <c r="A577" s="20" t="n">
        <v>45308</v>
      </c>
      <c r="B577" s="21" t="n">
        <v>457.324188</v>
      </c>
      <c r="C577" s="21" t="n">
        <v>88.500481</v>
      </c>
      <c r="D577" s="22" t="n">
        <f aca="false">LN(B577/B576)</f>
        <v>-0.00557400292735911</v>
      </c>
      <c r="E577" s="22" t="n">
        <f aca="false">LN(C577/C576)</f>
        <v>-0.00274873487798458</v>
      </c>
      <c r="F577" s="22" t="n">
        <f aca="false">LN(Summary!$B$13*EXP(D577)+Summary!$B$14*EXP(E577))</f>
        <v>-0.00444293767073025</v>
      </c>
      <c r="G577" s="22" t="n">
        <f aca="false">EXP(F577)-1</f>
        <v>-0.00443308242397522</v>
      </c>
      <c r="H577" s="21" t="n">
        <f aca="false">EXP(SUM(F326:F577))-1</f>
        <v>0.126005887962867</v>
      </c>
    </row>
    <row r="578" customFormat="false" ht="15" hidden="false" customHeight="false" outlineLevel="0" collapsed="false">
      <c r="A578" s="20" t="n">
        <v>45309</v>
      </c>
      <c r="B578" s="21" t="n">
        <v>461.391022</v>
      </c>
      <c r="C578" s="21" t="n">
        <v>88.419266</v>
      </c>
      <c r="D578" s="22" t="n">
        <f aca="false">LN(B578/B577)</f>
        <v>0.00885336504632774</v>
      </c>
      <c r="E578" s="22" t="n">
        <f aca="false">LN(C578/C577)</f>
        <v>-0.000918099953022481</v>
      </c>
      <c r="F578" s="22" t="n">
        <f aca="false">LN(Summary!$B$13*EXP(D578)+Summary!$B$14*EXP(E578))</f>
        <v>0.00495622932597405</v>
      </c>
      <c r="G578" s="22" t="n">
        <f aca="false">EXP(F578)-1</f>
        <v>0.0049685317466821</v>
      </c>
      <c r="H578" s="21" t="n">
        <f aca="false">EXP(SUM(F327:F578))-1</f>
        <v>0.133663488616772</v>
      </c>
    </row>
    <row r="579" customFormat="false" ht="15" hidden="false" customHeight="false" outlineLevel="0" collapsed="false">
      <c r="A579" s="20" t="n">
        <v>45310</v>
      </c>
      <c r="B579" s="21" t="n">
        <v>467.142792</v>
      </c>
      <c r="C579" s="21" t="n">
        <v>88.437309</v>
      </c>
      <c r="D579" s="22" t="n">
        <f aca="false">LN(B579/B578)</f>
        <v>0.0123890880068786</v>
      </c>
      <c r="E579" s="22" t="n">
        <f aca="false">LN(C579/C578)</f>
        <v>0.00020404104356986</v>
      </c>
      <c r="F579" s="22" t="n">
        <f aca="false">LN(Summary!$B$13*EXP(D579)+Summary!$B$14*EXP(E579))</f>
        <v>0.00753287169566514</v>
      </c>
      <c r="G579" s="22" t="n">
        <f aca="false">EXP(F579)-1</f>
        <v>0.00756131514909608</v>
      </c>
      <c r="H579" s="21" t="n">
        <f aca="false">EXP(SUM(F328:F579))-1</f>
        <v>0.148555522833023</v>
      </c>
    </row>
    <row r="580" customFormat="false" ht="15" hidden="false" customHeight="false" outlineLevel="0" collapsed="false">
      <c r="A580" s="20" t="n">
        <v>45313</v>
      </c>
      <c r="B580" s="21" t="n">
        <v>468.130463</v>
      </c>
      <c r="C580" s="21" t="n">
        <v>88.599716</v>
      </c>
      <c r="D580" s="22" t="n">
        <f aca="false">LN(B580/B579)</f>
        <v>0.00211204877690242</v>
      </c>
      <c r="E580" s="22" t="n">
        <f aca="false">LN(C580/C579)</f>
        <v>0.0018347240703806</v>
      </c>
      <c r="F580" s="22" t="n">
        <f aca="false">LN(Summary!$B$13*EXP(D580)+Summary!$B$14*EXP(E580))</f>
        <v>0.00200112812320223</v>
      </c>
      <c r="G580" s="22" t="n">
        <f aca="false">EXP(F580)-1</f>
        <v>0.00200313171634425</v>
      </c>
      <c r="H580" s="21" t="n">
        <f aca="false">EXP(SUM(F329:F580))-1</f>
        <v>0.156966370225897</v>
      </c>
    </row>
    <row r="581" customFormat="false" ht="15" hidden="false" customHeight="false" outlineLevel="0" collapsed="false">
      <c r="A581" s="20" t="n">
        <v>45314</v>
      </c>
      <c r="B581" s="21" t="n">
        <v>469.495789</v>
      </c>
      <c r="C581" s="21" t="n">
        <v>88.383186</v>
      </c>
      <c r="D581" s="22" t="n">
        <f aca="false">LN(B581/B580)</f>
        <v>0.00291230532867674</v>
      </c>
      <c r="E581" s="22" t="n">
        <f aca="false">LN(C581/C580)</f>
        <v>-0.00244690425560504</v>
      </c>
      <c r="F581" s="22" t="n">
        <f aca="false">LN(Summary!$B$13*EXP(D581)+Summary!$B$14*EXP(E581))</f>
        <v>0.000772066795241645</v>
      </c>
      <c r="G581" s="22" t="n">
        <f aca="false">EXP(F581)-1</f>
        <v>0.00077236491552779</v>
      </c>
      <c r="H581" s="21" t="n">
        <f aca="false">EXP(SUM(F330:F581))-1</f>
        <v>0.146912192941941</v>
      </c>
    </row>
    <row r="582" customFormat="false" ht="15" hidden="false" customHeight="false" outlineLevel="0" collapsed="false">
      <c r="A582" s="20" t="n">
        <v>45315</v>
      </c>
      <c r="B582" s="21" t="n">
        <v>470.009033</v>
      </c>
      <c r="C582" s="21" t="n">
        <v>88.184692</v>
      </c>
      <c r="D582" s="22" t="n">
        <f aca="false">LN(B582/B581)</f>
        <v>0.00109258417634107</v>
      </c>
      <c r="E582" s="22" t="n">
        <f aca="false">LN(C582/C581)</f>
        <v>-0.00224836007393849</v>
      </c>
      <c r="F582" s="22" t="n">
        <f aca="false">LN(Summary!$B$13*EXP(D582)+Summary!$B$14*EXP(E582))</f>
        <v>-0.000242454393631122</v>
      </c>
      <c r="G582" s="22" t="n">
        <f aca="false">EXP(F582)-1</f>
        <v>-0.000242425003939895</v>
      </c>
      <c r="H582" s="21" t="n">
        <f aca="false">EXP(SUM(F331:F582))-1</f>
        <v>0.139568672160871</v>
      </c>
    </row>
    <row r="583" customFormat="false" ht="15" hidden="false" customHeight="false" outlineLevel="0" collapsed="false">
      <c r="A583" s="20" t="n">
        <v>45316</v>
      </c>
      <c r="B583" s="21" t="n">
        <v>472.565399</v>
      </c>
      <c r="C583" s="21" t="n">
        <v>88.581673</v>
      </c>
      <c r="D583" s="22" t="n">
        <f aca="false">LN(B583/B582)</f>
        <v>0.00542423426959224</v>
      </c>
      <c r="E583" s="22" t="n">
        <f aca="false">LN(C583/C582)</f>
        <v>0.00449159733986456</v>
      </c>
      <c r="F583" s="22" t="n">
        <f aca="false">LN(Summary!$B$13*EXP(D583)+Summary!$B$14*EXP(E583))</f>
        <v>0.00505128386860526</v>
      </c>
      <c r="G583" s="22" t="n">
        <f aca="false">EXP(F583)-1</f>
        <v>0.00506406311109919</v>
      </c>
      <c r="H583" s="21" t="n">
        <f aca="false">EXP(SUM(F332:F583))-1</f>
        <v>0.144059478550207</v>
      </c>
    </row>
    <row r="584" customFormat="false" ht="15" hidden="false" customHeight="false" outlineLevel="0" collapsed="false">
      <c r="A584" s="20" t="n">
        <v>45317</v>
      </c>
      <c r="B584" s="21" t="n">
        <v>471.965027</v>
      </c>
      <c r="C584" s="21" t="n">
        <v>88.48243</v>
      </c>
      <c r="D584" s="22" t="n">
        <f aca="false">LN(B584/B583)</f>
        <v>-0.00127126043657011</v>
      </c>
      <c r="E584" s="22" t="n">
        <f aca="false">LN(C584/C583)</f>
        <v>-0.00112098396807671</v>
      </c>
      <c r="F584" s="22" t="n">
        <f aca="false">LN(Summary!$B$13*EXP(D584)+Summary!$B$14*EXP(E584))</f>
        <v>-0.00121114713918363</v>
      </c>
      <c r="G584" s="22" t="n">
        <f aca="false">EXP(F584)-1</f>
        <v>-0.00121041399649835</v>
      </c>
      <c r="H584" s="21" t="n">
        <f aca="false">EXP(SUM(F333:F584))-1</f>
        <v>0.141871330391633</v>
      </c>
    </row>
    <row r="585" customFormat="false" ht="15" hidden="false" customHeight="false" outlineLevel="0" collapsed="false">
      <c r="A585" s="20" t="n">
        <v>45320</v>
      </c>
      <c r="B585" s="21" t="n">
        <v>475.702698</v>
      </c>
      <c r="C585" s="21" t="n">
        <v>88.834297</v>
      </c>
      <c r="D585" s="22" t="n">
        <f aca="false">LN(B585/B584)</f>
        <v>0.00788818756256595</v>
      </c>
      <c r="E585" s="22" t="n">
        <f aca="false">LN(C585/C584)</f>
        <v>0.00396880167843383</v>
      </c>
      <c r="F585" s="22" t="n">
        <f aca="false">LN(Summary!$B$13*EXP(D585)+Summary!$B$14*EXP(E585))</f>
        <v>0.00632227611649677</v>
      </c>
      <c r="G585" s="22" t="n">
        <f aca="false">EXP(F585)-1</f>
        <v>0.00634230388893275</v>
      </c>
      <c r="H585" s="21" t="n">
        <f aca="false">EXP(SUM(F334:F585))-1</f>
        <v>0.142354219373056</v>
      </c>
    </row>
    <row r="586" customFormat="false" ht="15" hidden="false" customHeight="false" outlineLevel="0" collapsed="false">
      <c r="A586" s="20" t="n">
        <v>45321</v>
      </c>
      <c r="B586" s="21" t="n">
        <v>475.334717</v>
      </c>
      <c r="C586" s="21" t="n">
        <v>89.005722</v>
      </c>
      <c r="D586" s="22" t="n">
        <f aca="false">LN(B586/B585)</f>
        <v>-0.000773851822356873</v>
      </c>
      <c r="E586" s="22" t="n">
        <f aca="false">LN(C586/C585)</f>
        <v>0.00192785689135169</v>
      </c>
      <c r="F586" s="22" t="n">
        <f aca="false">LN(Summary!$B$13*EXP(D586)+Summary!$B$14*EXP(E586))</f>
        <v>0.000307707728251922</v>
      </c>
      <c r="G586" s="22" t="n">
        <f aca="false">EXP(F586)-1</f>
        <v>0.000307755075131144</v>
      </c>
      <c r="H586" s="21" t="n">
        <f aca="false">EXP(SUM(F335:F586))-1</f>
        <v>0.141815056529866</v>
      </c>
    </row>
    <row r="587" customFormat="false" ht="15" hidden="false" customHeight="false" outlineLevel="0" collapsed="false">
      <c r="A587" s="20" t="n">
        <v>45322</v>
      </c>
      <c r="B587" s="21" t="n">
        <v>467.578522</v>
      </c>
      <c r="C587" s="21" t="n">
        <v>89.411743</v>
      </c>
      <c r="D587" s="22" t="n">
        <f aca="false">LN(B587/B586)</f>
        <v>-0.0164519271194714</v>
      </c>
      <c r="E587" s="22" t="n">
        <f aca="false">LN(C587/C586)</f>
        <v>0.00455136722059801</v>
      </c>
      <c r="F587" s="22" t="n">
        <f aca="false">LN(Summary!$B$13*EXP(D587)+Summary!$B$14*EXP(E587))</f>
        <v>-0.00799759951510128</v>
      </c>
      <c r="G587" s="22" t="n">
        <f aca="false">EXP(F587)-1</f>
        <v>-0.00796570380245054</v>
      </c>
      <c r="H587" s="21" t="n">
        <f aca="false">EXP(SUM(F336:F587))-1</f>
        <v>0.142554111426242</v>
      </c>
    </row>
    <row r="588" customFormat="false" ht="15" hidden="false" customHeight="false" outlineLevel="0" collapsed="false">
      <c r="A588" s="20" t="n">
        <v>45323</v>
      </c>
      <c r="B588" s="21" t="n">
        <v>473.698334</v>
      </c>
      <c r="C588" s="21" t="n">
        <v>89.921204</v>
      </c>
      <c r="D588" s="22" t="n">
        <f aca="false">LN(B588/B587)</f>
        <v>0.0130033968075285</v>
      </c>
      <c r="E588" s="22" t="n">
        <f aca="false">LN(C588/C587)</f>
        <v>0.00568174871453665</v>
      </c>
      <c r="F588" s="22" t="n">
        <f aca="false">LN(Summary!$B$13*EXP(D588)+Summary!$B$14*EXP(E588))</f>
        <v>0.0100811672014939</v>
      </c>
      <c r="G588" s="22" t="n">
        <f aca="false">EXP(F588)-1</f>
        <v>0.0101321533568519</v>
      </c>
      <c r="H588" s="21" t="n">
        <f aca="false">EXP(SUM(F337:F588))-1</f>
        <v>0.142177448688497</v>
      </c>
    </row>
    <row r="589" customFormat="false" ht="15" hidden="false" customHeight="false" outlineLevel="0" collapsed="false">
      <c r="A589" s="20" t="n">
        <v>45324</v>
      </c>
      <c r="B589" s="21" t="n">
        <v>478.68515</v>
      </c>
      <c r="C589" s="21" t="n">
        <v>89.097748</v>
      </c>
      <c r="D589" s="22" t="n">
        <f aca="false">LN(B589/B588)</f>
        <v>0.0104723814710353</v>
      </c>
      <c r="E589" s="22" t="n">
        <f aca="false">LN(C589/C588)</f>
        <v>-0.00919971655005092</v>
      </c>
      <c r="F589" s="22" t="n">
        <f aca="false">LN(Summary!$B$13*EXP(D589)+Summary!$B$14*EXP(E589))</f>
        <v>0.00264991967527326</v>
      </c>
      <c r="G589" s="22" t="n">
        <f aca="false">EXP(F589)-1</f>
        <v>0.00265343381579375</v>
      </c>
      <c r="H589" s="21" t="n">
        <f aca="false">EXP(SUM(F338:F589))-1</f>
        <v>0.134771309084317</v>
      </c>
    </row>
    <row r="590" customFormat="false" ht="15" hidden="false" customHeight="false" outlineLevel="0" collapsed="false">
      <c r="A590" s="20" t="n">
        <v>45327</v>
      </c>
      <c r="B590" s="21" t="n">
        <v>476.942169</v>
      </c>
      <c r="C590" s="21" t="n">
        <v>88.364777</v>
      </c>
      <c r="D590" s="22" t="n">
        <f aca="false">LN(B590/B589)</f>
        <v>-0.00364782985608912</v>
      </c>
      <c r="E590" s="22" t="n">
        <f aca="false">LN(C590/C589)</f>
        <v>-0.00826061917043509</v>
      </c>
      <c r="F590" s="22" t="n">
        <f aca="false">LN(Summary!$B$13*EXP(D590)+Summary!$B$14*EXP(E590))</f>
        <v>-0.00549039302998797</v>
      </c>
      <c r="G590" s="22" t="n">
        <f aca="false">EXP(F590)-1</f>
        <v>-0.00547534836847063</v>
      </c>
      <c r="H590" s="21" t="n">
        <f aca="false">EXP(SUM(F339:F590))-1</f>
        <v>0.118301894147407</v>
      </c>
    </row>
    <row r="591" customFormat="false" ht="15" hidden="false" customHeight="false" outlineLevel="0" collapsed="false">
      <c r="A591" s="20" t="n">
        <v>45328</v>
      </c>
      <c r="B591" s="21" t="n">
        <v>478.326874</v>
      </c>
      <c r="C591" s="21" t="n">
        <v>88.826263</v>
      </c>
      <c r="D591" s="22" t="n">
        <f aca="false">LN(B591/B590)</f>
        <v>0.00289909105709199</v>
      </c>
      <c r="E591" s="22" t="n">
        <f aca="false">LN(C591/C590)</f>
        <v>0.00520892076091736</v>
      </c>
      <c r="F591" s="22" t="n">
        <f aca="false">LN(Summary!$B$13*EXP(D591)+Summary!$B$14*EXP(E591))</f>
        <v>0.00382366327467748</v>
      </c>
      <c r="G591" s="22" t="n">
        <f aca="false">EXP(F591)-1</f>
        <v>0.00383098280125815</v>
      </c>
      <c r="H591" s="21" t="n">
        <f aca="false">EXP(SUM(F340:F591))-1</f>
        <v>0.134185343739108</v>
      </c>
    </row>
    <row r="592" customFormat="false" ht="15" hidden="false" customHeight="false" outlineLevel="0" collapsed="false">
      <c r="A592" s="20" t="n">
        <v>45329</v>
      </c>
      <c r="B592" s="21" t="n">
        <v>482.316284</v>
      </c>
      <c r="C592" s="21" t="n">
        <v>88.645279</v>
      </c>
      <c r="D592" s="22" t="n">
        <f aca="false">LN(B592/B591)</f>
        <v>0.0083057541211942</v>
      </c>
      <c r="E592" s="22" t="n">
        <f aca="false">LN(C592/C591)</f>
        <v>-0.00203958404485657</v>
      </c>
      <c r="F592" s="22" t="n">
        <f aca="false">LN(Summary!$B$13*EXP(D592)+Summary!$B$14*EXP(E592))</f>
        <v>0.00418045306931235</v>
      </c>
      <c r="G592" s="22" t="n">
        <f aca="false">EXP(F592)-1</f>
        <v>0.00418920335237827</v>
      </c>
      <c r="H592" s="21" t="n">
        <f aca="false">EXP(SUM(F341:F592))-1</f>
        <v>0.145662666398456</v>
      </c>
    </row>
    <row r="593" customFormat="false" ht="15" hidden="false" customHeight="false" outlineLevel="0" collapsed="false">
      <c r="A593" s="20" t="n">
        <v>45330</v>
      </c>
      <c r="B593" s="21" t="n">
        <v>482.529327</v>
      </c>
      <c r="C593" s="21" t="n">
        <v>88.37381</v>
      </c>
      <c r="D593" s="22" t="n">
        <f aca="false">LN(B593/B592)</f>
        <v>0.000441610556203969</v>
      </c>
      <c r="E593" s="22" t="n">
        <f aca="false">LN(C593/C592)</f>
        <v>-0.00306711795148646</v>
      </c>
      <c r="F593" s="22" t="n">
        <f aca="false">LN(Summary!$B$13*EXP(D593)+Summary!$B$14*EXP(E593))</f>
        <v>-0.000960403852022393</v>
      </c>
      <c r="G593" s="22" t="n">
        <f aca="false">EXP(F593)-1</f>
        <v>-0.000959942811849635</v>
      </c>
      <c r="H593" s="21" t="n">
        <f aca="false">EXP(SUM(F342:F593))-1</f>
        <v>0.136423473891297</v>
      </c>
    </row>
    <row r="594" customFormat="false" ht="15" hidden="false" customHeight="false" outlineLevel="0" collapsed="false">
      <c r="A594" s="20" t="n">
        <v>45331</v>
      </c>
      <c r="B594" s="21" t="n">
        <v>485.317993</v>
      </c>
      <c r="C594" s="21" t="n">
        <v>88.346649</v>
      </c>
      <c r="D594" s="22" t="n">
        <f aca="false">LN(B594/B593)</f>
        <v>0.00576263148023359</v>
      </c>
      <c r="E594" s="22" t="n">
        <f aca="false">LN(C594/C593)</f>
        <v>-0.000307389425848852</v>
      </c>
      <c r="F594" s="22" t="n">
        <f aca="false">LN(Summary!$B$13*EXP(D594)+Summary!$B$14*EXP(E594))</f>
        <v>0.00333904274108269</v>
      </c>
      <c r="G594" s="22" t="n">
        <f aca="false">EXP(F594)-1</f>
        <v>0.00334462355409171</v>
      </c>
      <c r="H594" s="21" t="n">
        <f aca="false">EXP(SUM(F343:F594))-1</f>
        <v>0.147102216907481</v>
      </c>
    </row>
    <row r="595" customFormat="false" ht="15" hidden="false" customHeight="false" outlineLevel="0" collapsed="false">
      <c r="A595" s="20" t="n">
        <v>45334</v>
      </c>
      <c r="B595" s="21" t="n">
        <v>485.10498</v>
      </c>
      <c r="C595" s="21" t="n">
        <v>88.364777</v>
      </c>
      <c r="D595" s="22" t="n">
        <f aca="false">LN(B595/B594)</f>
        <v>-0.000439010636284963</v>
      </c>
      <c r="E595" s="22" t="n">
        <f aca="false">LN(C595/C594)</f>
        <v>0.000205170661274518</v>
      </c>
      <c r="F595" s="22" t="n">
        <f aca="false">LN(Summary!$B$13*EXP(D595)+Summary!$B$14*EXP(E595))</f>
        <v>-0.000181288318778153</v>
      </c>
      <c r="G595" s="22" t="n">
        <f aca="false">EXP(F595)-1</f>
        <v>-0.000181271887043866</v>
      </c>
      <c r="H595" s="21" t="n">
        <f aca="false">EXP(SUM(F344:F595))-1</f>
        <v>0.154715633730448</v>
      </c>
    </row>
    <row r="596" customFormat="false" ht="15" hidden="false" customHeight="false" outlineLevel="0" collapsed="false">
      <c r="A596" s="20" t="n">
        <v>45335</v>
      </c>
      <c r="B596" s="21" t="n">
        <v>478.423615</v>
      </c>
      <c r="C596" s="21" t="n">
        <v>87.550323</v>
      </c>
      <c r="D596" s="22" t="n">
        <f aca="false">LN(B596/B595)</f>
        <v>-0.0138687572466984</v>
      </c>
      <c r="E596" s="22" t="n">
        <f aca="false">LN(C596/C595)</f>
        <v>-0.00925969196952566</v>
      </c>
      <c r="F596" s="22" t="n">
        <f aca="false">LN(Summary!$B$13*EXP(D596)+Summary!$B$14*EXP(E596))</f>
        <v>-0.0120225811365882</v>
      </c>
      <c r="G596" s="22" t="n">
        <f aca="false">EXP(F596)-1</f>
        <v>-0.0119505986684657</v>
      </c>
      <c r="H596" s="21" t="n">
        <f aca="false">EXP(SUM(F345:F596))-1</f>
        <v>0.141304175717506</v>
      </c>
    </row>
    <row r="597" customFormat="false" ht="15" hidden="false" customHeight="false" outlineLevel="0" collapsed="false">
      <c r="A597" s="20" t="n">
        <v>45336</v>
      </c>
      <c r="B597" s="21" t="n">
        <v>482.771332</v>
      </c>
      <c r="C597" s="21" t="n">
        <v>87.939445</v>
      </c>
      <c r="D597" s="22" t="n">
        <f aca="false">LN(B597/B596)</f>
        <v>0.00904654495937683</v>
      </c>
      <c r="E597" s="22" t="n">
        <f aca="false">LN(C597/C596)</f>
        <v>0.00443470456608625</v>
      </c>
      <c r="F597" s="22" t="n">
        <f aca="false">LN(Summary!$B$13*EXP(D597)+Summary!$B$14*EXP(E597))</f>
        <v>0.0072043603039727</v>
      </c>
      <c r="G597" s="22" t="n">
        <f aca="false">EXP(F597)-1</f>
        <v>0.00723037414116279</v>
      </c>
      <c r="H597" s="21" t="n">
        <f aca="false">EXP(SUM(F346:F597))-1</f>
        <v>0.140135520388936</v>
      </c>
    </row>
    <row r="598" customFormat="false" ht="15" hidden="false" customHeight="false" outlineLevel="0" collapsed="false">
      <c r="A598" s="20" t="n">
        <v>45337</v>
      </c>
      <c r="B598" s="21" t="n">
        <v>486.102448</v>
      </c>
      <c r="C598" s="21" t="n">
        <v>88.14756</v>
      </c>
      <c r="D598" s="22" t="n">
        <f aca="false">LN(B598/B597)</f>
        <v>0.00687629120384524</v>
      </c>
      <c r="E598" s="22" t="n">
        <f aca="false">LN(C598/C597)</f>
        <v>0.00236377575849417</v>
      </c>
      <c r="F598" s="22" t="n">
        <f aca="false">LN(Summary!$B$13*EXP(D598)+Summary!$B$14*EXP(E598))</f>
        <v>0.00507372782425969</v>
      </c>
      <c r="G598" s="22" t="n">
        <f aca="false">EXP(F598)-1</f>
        <v>0.00508662097750445</v>
      </c>
      <c r="H598" s="21" t="n">
        <f aca="false">EXP(SUM(F347:F598))-1</f>
        <v>0.147879776869374</v>
      </c>
    </row>
    <row r="599" customFormat="false" ht="15" hidden="false" customHeight="false" outlineLevel="0" collapsed="false">
      <c r="A599" s="20" t="n">
        <v>45338</v>
      </c>
      <c r="B599" s="21" t="n">
        <v>483.68161</v>
      </c>
      <c r="C599" s="21" t="n">
        <v>87.867043</v>
      </c>
      <c r="D599" s="22" t="n">
        <f aca="false">LN(B599/B598)</f>
        <v>-0.00499254036690468</v>
      </c>
      <c r="E599" s="22" t="n">
        <f aca="false">LN(C599/C598)</f>
        <v>-0.00318743141440134</v>
      </c>
      <c r="F599" s="22" t="n">
        <f aca="false">LN(Summary!$B$13*EXP(D599)+Summary!$B$14*EXP(E599))</f>
        <v>-0.00427010572869603</v>
      </c>
      <c r="G599" s="22" t="n">
        <f aca="false">EXP(F599)-1</f>
        <v>-0.00426100179009881</v>
      </c>
      <c r="H599" s="21" t="n">
        <f aca="false">EXP(SUM(F348:F599))-1</f>
        <v>0.141646306422536</v>
      </c>
    </row>
    <row r="600" customFormat="false" ht="15" hidden="false" customHeight="false" outlineLevel="0" collapsed="false">
      <c r="A600" s="20" t="n">
        <v>45342</v>
      </c>
      <c r="B600" s="21" t="n">
        <v>481.018707</v>
      </c>
      <c r="C600" s="21" t="n">
        <v>87.948494</v>
      </c>
      <c r="D600" s="22" t="n">
        <f aca="false">LN(B600/B599)</f>
        <v>-0.00552069843126428</v>
      </c>
      <c r="E600" s="22" t="n">
        <f aca="false">LN(C600/C599)</f>
        <v>0.000926550715789372</v>
      </c>
      <c r="F600" s="22" t="n">
        <f aca="false">LN(Summary!$B$13*EXP(D600)+Summary!$B$14*EXP(E600))</f>
        <v>-0.00293680859352225</v>
      </c>
      <c r="G600" s="22" t="n">
        <f aca="false">EXP(F600)-1</f>
        <v>-0.00293250038965343</v>
      </c>
      <c r="H600" s="21" t="n">
        <f aca="false">EXP(SUM(F349:F600))-1</f>
        <v>0.149717048654993</v>
      </c>
    </row>
    <row r="601" customFormat="false" ht="15" hidden="false" customHeight="false" outlineLevel="0" collapsed="false">
      <c r="A601" s="20" t="n">
        <v>45343</v>
      </c>
      <c r="B601" s="21" t="n">
        <v>481.454468</v>
      </c>
      <c r="C601" s="21" t="n">
        <v>87.686066</v>
      </c>
      <c r="D601" s="22" t="n">
        <f aca="false">LN(B601/B600)</f>
        <v>0.000905502700944716</v>
      </c>
      <c r="E601" s="22" t="n">
        <f aca="false">LN(C601/C600)</f>
        <v>-0.00298834347060668</v>
      </c>
      <c r="F601" s="22" t="n">
        <f aca="false">LN(Summary!$B$13*EXP(D601)+Summary!$B$14*EXP(E601))</f>
        <v>-0.000650216796434876</v>
      </c>
      <c r="G601" s="22" t="n">
        <f aca="false">EXP(F601)-1</f>
        <v>-0.000650005451302893</v>
      </c>
      <c r="H601" s="21" t="n">
        <f aca="false">EXP(SUM(F350:F601))-1</f>
        <v>0.149611169567334</v>
      </c>
    </row>
    <row r="602" customFormat="false" ht="15" hidden="false" customHeight="false" outlineLevel="0" collapsed="false">
      <c r="A602" s="20" t="n">
        <v>45344</v>
      </c>
      <c r="B602" s="21" t="n">
        <v>491.418396</v>
      </c>
      <c r="C602" s="21" t="n">
        <v>87.758476</v>
      </c>
      <c r="D602" s="22" t="n">
        <f aca="false">LN(B602/B601)</f>
        <v>0.0204842313414811</v>
      </c>
      <c r="E602" s="22" t="n">
        <f aca="false">LN(C602/C601)</f>
        <v>0.000825446072998454</v>
      </c>
      <c r="F602" s="22" t="n">
        <f aca="false">LN(Summary!$B$13*EXP(D602)+Summary!$B$14*EXP(E602))</f>
        <v>0.0126670319398191</v>
      </c>
      <c r="G602" s="22" t="n">
        <f aca="false">EXP(F602)-1</f>
        <v>0.0127475986097025</v>
      </c>
      <c r="H602" s="21" t="n">
        <f aca="false">EXP(SUM(F351:F602))-1</f>
        <v>0.182946672785459</v>
      </c>
    </row>
    <row r="603" customFormat="false" ht="15" hidden="false" customHeight="false" outlineLevel="0" collapsed="false">
      <c r="A603" s="20" t="n">
        <v>45345</v>
      </c>
      <c r="B603" s="21" t="n">
        <v>491.757294</v>
      </c>
      <c r="C603" s="21" t="n">
        <v>88.084229</v>
      </c>
      <c r="D603" s="22" t="n">
        <f aca="false">LN(B603/B602)</f>
        <v>0.000689394615569038</v>
      </c>
      <c r="E603" s="22" t="n">
        <f aca="false">LN(C603/C602)</f>
        <v>0.003705054157871</v>
      </c>
      <c r="F603" s="22" t="n">
        <f aca="false">LN(Summary!$B$13*EXP(D603)+Summary!$B$14*EXP(E603))</f>
        <v>0.00189674995582285</v>
      </c>
      <c r="G603" s="22" t="n">
        <f aca="false">EXP(F603)-1</f>
        <v>0.00189854992387017</v>
      </c>
      <c r="H603" s="21" t="n">
        <f aca="false">EXP(SUM(F352:F603))-1</f>
        <v>0.1849026659983</v>
      </c>
    </row>
    <row r="604" customFormat="false" ht="15" hidden="false" customHeight="false" outlineLevel="0" collapsed="false">
      <c r="A604" s="20" t="n">
        <v>45348</v>
      </c>
      <c r="B604" s="21" t="n">
        <v>489.956268</v>
      </c>
      <c r="C604" s="21" t="n">
        <v>87.894203</v>
      </c>
      <c r="D604" s="22" t="n">
        <f aca="false">LN(B604/B603)</f>
        <v>-0.00366915175722468</v>
      </c>
      <c r="E604" s="22" t="n">
        <f aca="false">LN(C604/C603)</f>
        <v>-0.00215965185845363</v>
      </c>
      <c r="F604" s="22" t="n">
        <f aca="false">LN(Summary!$B$13*EXP(D604)+Summary!$B$14*EXP(E604))</f>
        <v>-0.00306507833942953</v>
      </c>
      <c r="G604" s="22" t="n">
        <f aca="false">EXP(F604)-1</f>
        <v>-0.00306038578239209</v>
      </c>
      <c r="H604" s="21" t="n">
        <f aca="false">EXP(SUM(F353:F604))-1</f>
        <v>0.175832441719948</v>
      </c>
    </row>
    <row r="605" customFormat="false" ht="15" hidden="false" customHeight="false" outlineLevel="0" collapsed="false">
      <c r="A605" s="20" t="n">
        <v>45349</v>
      </c>
      <c r="B605" s="21" t="n">
        <v>490.866425</v>
      </c>
      <c r="C605" s="21" t="n">
        <v>87.776543</v>
      </c>
      <c r="D605" s="22" t="n">
        <f aca="false">LN(B605/B604)</f>
        <v>0.00185590579773479</v>
      </c>
      <c r="E605" s="22" t="n">
        <f aca="false">LN(C605/C604)</f>
        <v>-0.00133955163592323</v>
      </c>
      <c r="F605" s="22" t="n">
        <f aca="false">LN(Summary!$B$13*EXP(D605)+Summary!$B$14*EXP(E605))</f>
        <v>0.000578947876569243</v>
      </c>
      <c r="G605" s="22" t="n">
        <f aca="false">EXP(F605)-1</f>
        <v>0.000579115499237837</v>
      </c>
      <c r="H605" s="21" t="n">
        <f aca="false">EXP(SUM(F354:F605))-1</f>
        <v>0.186841977111536</v>
      </c>
    </row>
    <row r="606" customFormat="false" ht="15" hidden="false" customHeight="false" outlineLevel="0" collapsed="false">
      <c r="A606" s="20" t="n">
        <v>45350</v>
      </c>
      <c r="B606" s="21" t="n">
        <v>490.217712</v>
      </c>
      <c r="C606" s="21" t="n">
        <v>87.948494</v>
      </c>
      <c r="D606" s="22" t="n">
        <f aca="false">LN(B606/B605)</f>
        <v>-0.00132244130768538</v>
      </c>
      <c r="E606" s="22" t="n">
        <f aca="false">LN(C606/C605)</f>
        <v>0.00195704673411413</v>
      </c>
      <c r="F606" s="22" t="n">
        <f aca="false">LN(Summary!$B$13*EXP(D606)+Summary!$B$14*EXP(E606))</f>
        <v>-9.35520428858832E-006</v>
      </c>
      <c r="G606" s="22" t="n">
        <f aca="false">EXP(F606)-1</f>
        <v>-9.35516052880114E-006</v>
      </c>
      <c r="H606" s="21" t="n">
        <f aca="false">EXP(SUM(F355:F606))-1</f>
        <v>0.183486295337865</v>
      </c>
    </row>
    <row r="607" customFormat="false" ht="15" hidden="false" customHeight="false" outlineLevel="0" collapsed="false">
      <c r="A607" s="20" t="n">
        <v>45351</v>
      </c>
      <c r="B607" s="21" t="n">
        <v>491.980011</v>
      </c>
      <c r="C607" s="21" t="n">
        <v>88.093277</v>
      </c>
      <c r="D607" s="22" t="n">
        <f aca="false">LN(B607/B606)</f>
        <v>0.00358848498598333</v>
      </c>
      <c r="E607" s="22" t="n">
        <f aca="false">LN(C607/C606)</f>
        <v>0.00164487134867275</v>
      </c>
      <c r="F607" s="22" t="n">
        <f aca="false">LN(Summary!$B$13*EXP(D607)+Summary!$B$14*EXP(E607))</f>
        <v>0.00281149278833478</v>
      </c>
      <c r="G607" s="22" t="n">
        <f aca="false">EXP(F607)-1</f>
        <v>0.00281544874069262</v>
      </c>
      <c r="H607" s="21" t="n">
        <f aca="false">EXP(SUM(F356:F607))-1</f>
        <v>0.18950506343194</v>
      </c>
    </row>
    <row r="608" customFormat="false" ht="15" hidden="false" customHeight="false" outlineLevel="0" collapsed="false">
      <c r="A608" s="20" t="n">
        <v>45352</v>
      </c>
      <c r="B608" s="21" t="n">
        <v>496.598846</v>
      </c>
      <c r="C608" s="21" t="n">
        <v>88.516197</v>
      </c>
      <c r="D608" s="22" t="n">
        <f aca="false">LN(B608/B607)</f>
        <v>0.00934446165132744</v>
      </c>
      <c r="E608" s="22" t="n">
        <f aca="false">LN(C608/C607)</f>
        <v>0.00478933319739284</v>
      </c>
      <c r="F608" s="22" t="n">
        <f aca="false">LN(Summary!$B$13*EXP(D608)+Summary!$B$14*EXP(E608))</f>
        <v>0.00752489941516666</v>
      </c>
      <c r="G608" s="22" t="n">
        <f aca="false">EXP(F608)-1</f>
        <v>0.00755328261969113</v>
      </c>
      <c r="H608" s="21" t="n">
        <f aca="false">EXP(SUM(F357:F608))-1</f>
        <v>0.204019326381873</v>
      </c>
    </row>
    <row r="609" customFormat="false" ht="15" hidden="false" customHeight="false" outlineLevel="0" collapsed="false">
      <c r="A609" s="20" t="n">
        <v>45355</v>
      </c>
      <c r="B609" s="21" t="n">
        <v>496.066315</v>
      </c>
      <c r="C609" s="21" t="n">
        <v>88.298416</v>
      </c>
      <c r="D609" s="22" t="n">
        <f aca="false">LN(B609/B608)</f>
        <v>-0.00107293188480648</v>
      </c>
      <c r="E609" s="22" t="n">
        <f aca="false">LN(C609/C608)</f>
        <v>-0.00246338361331343</v>
      </c>
      <c r="F609" s="22" t="n">
        <f aca="false">LN(Summary!$B$13*EXP(D609)+Summary!$B$14*EXP(E609))</f>
        <v>-0.0016288805950106</v>
      </c>
      <c r="G609" s="22" t="n">
        <f aca="false">EXP(F609)-1</f>
        <v>-0.00162755468902609</v>
      </c>
      <c r="H609" s="21" t="n">
        <f aca="false">EXP(SUM(F358:F609))-1</f>
        <v>0.19746442034809</v>
      </c>
    </row>
    <row r="610" customFormat="false" ht="15" hidden="false" customHeight="false" outlineLevel="0" collapsed="false">
      <c r="A610" s="20" t="n">
        <v>45356</v>
      </c>
      <c r="B610" s="21" t="n">
        <v>491.108551</v>
      </c>
      <c r="C610" s="21" t="n">
        <v>88.779396</v>
      </c>
      <c r="D610" s="22" t="n">
        <f aca="false">LN(B610/B609)</f>
        <v>-0.0100444325586975</v>
      </c>
      <c r="E610" s="22" t="n">
        <f aca="false">LN(C610/C609)</f>
        <v>0.00543242744449804</v>
      </c>
      <c r="F610" s="22" t="n">
        <f aca="false">LN(Summary!$B$13*EXP(D610)+Summary!$B$14*EXP(E610))</f>
        <v>-0.00382491516929805</v>
      </c>
      <c r="G610" s="22" t="n">
        <f aca="false">EXP(F610)-1</f>
        <v>-0.00381760949876342</v>
      </c>
      <c r="H610" s="21" t="n">
        <f aca="false">EXP(SUM(F359:F610))-1</f>
        <v>0.177841555044781</v>
      </c>
    </row>
    <row r="611" customFormat="false" ht="15" hidden="false" customHeight="false" outlineLevel="0" collapsed="false">
      <c r="A611" s="20" t="n">
        <v>45357</v>
      </c>
      <c r="B611" s="21" t="n">
        <v>493.597137</v>
      </c>
      <c r="C611" s="21" t="n">
        <v>88.915543</v>
      </c>
      <c r="D611" s="22" t="n">
        <f aca="false">LN(B611/B610)</f>
        <v>0.00505448750523512</v>
      </c>
      <c r="E611" s="22" t="n">
        <f aca="false">LN(C611/C610)</f>
        <v>0.0015323680843959</v>
      </c>
      <c r="F611" s="22" t="n">
        <f aca="false">LN(Summary!$B$13*EXP(D611)+Summary!$B$14*EXP(E611))</f>
        <v>0.00364712802570409</v>
      </c>
      <c r="G611" s="22" t="n">
        <f aca="false">EXP(F611)-1</f>
        <v>0.00365378688990448</v>
      </c>
      <c r="H611" s="21" t="n">
        <f aca="false">EXP(SUM(F360:F611))-1</f>
        <v>0.182822931869461</v>
      </c>
    </row>
    <row r="612" customFormat="false" ht="15" hidden="false" customHeight="false" outlineLevel="0" collapsed="false">
      <c r="A612" s="20" t="n">
        <v>45358</v>
      </c>
      <c r="B612" s="21" t="n">
        <v>498.496735</v>
      </c>
      <c r="C612" s="21" t="n">
        <v>89.106148</v>
      </c>
      <c r="D612" s="22" t="n">
        <f aca="false">LN(B612/B611)</f>
        <v>0.00987736740025233</v>
      </c>
      <c r="E612" s="22" t="n">
        <f aca="false">LN(C612/C611)</f>
        <v>0.00214136908557198</v>
      </c>
      <c r="F612" s="22" t="n">
        <f aca="false">LN(Summary!$B$13*EXP(D612)+Summary!$B$14*EXP(E612))</f>
        <v>0.00679014583530528</v>
      </c>
      <c r="G612" s="22" t="n">
        <f aca="false">EXP(F612)-1</f>
        <v>0.00681325114206688</v>
      </c>
      <c r="H612" s="21" t="n">
        <f aca="false">EXP(SUM(F361:F612))-1</f>
        <v>0.202588088610399</v>
      </c>
    </row>
    <row r="613" customFormat="false" ht="15" hidden="false" customHeight="false" outlineLevel="0" collapsed="false">
      <c r="A613" s="20" t="n">
        <v>45359</v>
      </c>
      <c r="B613" s="21" t="n">
        <v>495.5047</v>
      </c>
      <c r="C613" s="21" t="n">
        <v>89.187828</v>
      </c>
      <c r="D613" s="22" t="n">
        <f aca="false">LN(B613/B612)</f>
        <v>-0.00602020063812538</v>
      </c>
      <c r="E613" s="22" t="n">
        <f aca="false">LN(C613/C612)</f>
        <v>0.000916239657072275</v>
      </c>
      <c r="F613" s="22" t="n">
        <f aca="false">LN(Summary!$B$13*EXP(D613)+Summary!$B$14*EXP(E613))</f>
        <v>-0.00323984815583753</v>
      </c>
      <c r="G613" s="22" t="n">
        <f aca="false">EXP(F613)-1</f>
        <v>-0.00323460551112031</v>
      </c>
      <c r="H613" s="21" t="n">
        <f aca="false">EXP(SUM(F362:F613))-1</f>
        <v>0.198020801496296</v>
      </c>
    </row>
    <row r="614" customFormat="false" ht="15" hidden="false" customHeight="false" outlineLevel="0" collapsed="false">
      <c r="A614" s="20" t="n">
        <v>45362</v>
      </c>
      <c r="B614" s="21" t="n">
        <v>495.078613</v>
      </c>
      <c r="C614" s="21" t="n">
        <v>89.087982</v>
      </c>
      <c r="D614" s="22" t="n">
        <f aca="false">LN(B614/B613)</f>
        <v>-0.000860274992897942</v>
      </c>
      <c r="E614" s="22" t="n">
        <f aca="false">LN(C614/C613)</f>
        <v>-0.00112012965123704</v>
      </c>
      <c r="F614" s="22" t="n">
        <f aca="false">LN(Summary!$B$13*EXP(D614)+Summary!$B$14*EXP(E614))</f>
        <v>-0.000964208753440803</v>
      </c>
      <c r="G614" s="22" t="n">
        <f aca="false">EXP(F614)-1</f>
        <v>-0.000963744053548599</v>
      </c>
      <c r="H614" s="21" t="n">
        <f aca="false">EXP(SUM(F363:F614))-1</f>
        <v>0.208492608002474</v>
      </c>
    </row>
    <row r="615" customFormat="false" ht="15" hidden="false" customHeight="false" outlineLevel="0" collapsed="false">
      <c r="A615" s="20" t="n">
        <v>45363</v>
      </c>
      <c r="B615" s="21" t="n">
        <v>500.404358</v>
      </c>
      <c r="C615" s="21" t="n">
        <v>88.861084</v>
      </c>
      <c r="D615" s="22" t="n">
        <f aca="false">LN(B615/B614)</f>
        <v>0.0106999234871326</v>
      </c>
      <c r="E615" s="22" t="n">
        <f aca="false">LN(C615/C614)</f>
        <v>-0.00255014682644634</v>
      </c>
      <c r="F615" s="22" t="n">
        <f aca="false">LN(Summary!$B$13*EXP(D615)+Summary!$B$14*EXP(E615))</f>
        <v>0.00542094434006532</v>
      </c>
      <c r="G615" s="22" t="n">
        <f aca="false">EXP(F615)-1</f>
        <v>0.00543566424541009</v>
      </c>
      <c r="H615" s="21" t="n">
        <f aca="false">EXP(SUM(F364:F615))-1</f>
        <v>0.219936508589096</v>
      </c>
    </row>
    <row r="616" customFormat="false" ht="15" hidden="false" customHeight="false" outlineLevel="0" collapsed="false">
      <c r="A616" s="20" t="n">
        <v>45364</v>
      </c>
      <c r="B616" s="21" t="n">
        <v>499.619965</v>
      </c>
      <c r="C616" s="21" t="n">
        <v>88.697731</v>
      </c>
      <c r="D616" s="22" t="n">
        <f aca="false">LN(B616/B615)</f>
        <v>-0.00156874816506647</v>
      </c>
      <c r="E616" s="22" t="n">
        <f aca="false">LN(C616/C615)</f>
        <v>-0.00183998801846845</v>
      </c>
      <c r="F616" s="22" t="n">
        <f aca="false">LN(Summary!$B$13*EXP(D616)+Summary!$B$14*EXP(E616))</f>
        <v>-0.00167723527805998</v>
      </c>
      <c r="G616" s="22" t="n">
        <f aca="false">EXP(F616)-1</f>
        <v>-0.00167582950501821</v>
      </c>
      <c r="H616" s="21" t="n">
        <f aca="false">EXP(SUM(F365:F616))-1</f>
        <v>0.215066185741159</v>
      </c>
    </row>
    <row r="617" customFormat="false" ht="15" hidden="false" customHeight="false" outlineLevel="0" collapsed="false">
      <c r="A617" s="20" t="n">
        <v>45365</v>
      </c>
      <c r="B617" s="21" t="n">
        <v>498.632324</v>
      </c>
      <c r="C617" s="21" t="n">
        <v>88.135033</v>
      </c>
      <c r="D617" s="22" t="n">
        <f aca="false">LN(B617/B616)</f>
        <v>-0.00197874091176177</v>
      </c>
      <c r="E617" s="22" t="n">
        <f aca="false">LN(C617/C616)</f>
        <v>-0.00636420408210693</v>
      </c>
      <c r="F617" s="22" t="n">
        <f aca="false">LN(Summary!$B$13*EXP(D617)+Summary!$B$14*EXP(E617))</f>
        <v>-0.00373061898179975</v>
      </c>
      <c r="G617" s="22" t="n">
        <f aca="false">EXP(F617)-1</f>
        <v>-0.00372366886823416</v>
      </c>
      <c r="H617" s="21" t="n">
        <f aca="false">EXP(SUM(F366:F617))-1</f>
        <v>0.201445107943477</v>
      </c>
    </row>
    <row r="618" customFormat="false" ht="15" hidden="false" customHeight="false" outlineLevel="0" collapsed="false">
      <c r="A618" s="20" t="n">
        <v>45366</v>
      </c>
      <c r="B618" s="21" t="n">
        <v>495.208435</v>
      </c>
      <c r="C618" s="21" t="n">
        <v>88.125954</v>
      </c>
      <c r="D618" s="22" t="n">
        <f aca="false">LN(B618/B617)</f>
        <v>-0.00689024376365126</v>
      </c>
      <c r="E618" s="22" t="n">
        <f aca="false">LN(C618/C617)</f>
        <v>-0.000103017691691961</v>
      </c>
      <c r="F618" s="22" t="n">
        <f aca="false">LN(Summary!$B$13*EXP(D618)+Summary!$B$14*EXP(E618))</f>
        <v>-0.00416982287037891</v>
      </c>
      <c r="G618" s="22" t="n">
        <f aca="false">EXP(F618)-1</f>
        <v>-0.00416114123015299</v>
      </c>
      <c r="H618" s="21" t="n">
        <f aca="false">EXP(SUM(F367:F618))-1</f>
        <v>0.196163895250087</v>
      </c>
    </row>
    <row r="619" customFormat="false" ht="15" hidden="false" customHeight="false" outlineLevel="0" collapsed="false">
      <c r="A619" s="20" t="n">
        <v>45369</v>
      </c>
      <c r="B619" s="21" t="n">
        <v>498.15155</v>
      </c>
      <c r="C619" s="21" t="n">
        <v>88.035187</v>
      </c>
      <c r="D619" s="22" t="n">
        <f aca="false">LN(B619/B618)</f>
        <v>0.00592559325149416</v>
      </c>
      <c r="E619" s="22" t="n">
        <f aca="false">LN(C619/C618)</f>
        <v>-0.00103049977443492</v>
      </c>
      <c r="F619" s="22" t="n">
        <f aca="false">LN(Summary!$B$13*EXP(D619)+Summary!$B$14*EXP(E619))</f>
        <v>0.00314895980576671</v>
      </c>
      <c r="G619" s="22" t="n">
        <f aca="false">EXP(F619)-1</f>
        <v>0.00315392298794892</v>
      </c>
      <c r="H619" s="21" t="n">
        <f aca="false">EXP(SUM(F368:F619))-1</f>
        <v>0.189285570956387</v>
      </c>
    </row>
    <row r="620" customFormat="false" ht="15" hidden="false" customHeight="false" outlineLevel="0" collapsed="false">
      <c r="A620" s="20" t="n">
        <v>45370</v>
      </c>
      <c r="B620" s="21" t="n">
        <v>500.91983</v>
      </c>
      <c r="C620" s="21" t="n">
        <v>88.252998</v>
      </c>
      <c r="D620" s="22" t="n">
        <f aca="false">LN(B620/B619)</f>
        <v>0.00554172032160405</v>
      </c>
      <c r="E620" s="22" t="n">
        <f aca="false">LN(C620/C619)</f>
        <v>0.00247108007645322</v>
      </c>
      <c r="F620" s="22" t="n">
        <f aca="false">LN(Summary!$B$13*EXP(D620)+Summary!$B$14*EXP(E620))</f>
        <v>0.00431459545131408</v>
      </c>
      <c r="G620" s="22" t="n">
        <f aca="false">EXP(F620)-1</f>
        <v>0.00432391671928034</v>
      </c>
      <c r="H620" s="21" t="n">
        <f aca="false">EXP(SUM(F369:F620))-1</f>
        <v>0.199836081372508</v>
      </c>
    </row>
    <row r="621" customFormat="false" ht="15" hidden="false" customHeight="false" outlineLevel="0" collapsed="false">
      <c r="A621" s="20" t="n">
        <v>45371</v>
      </c>
      <c r="B621" s="21" t="n">
        <v>505.552948</v>
      </c>
      <c r="C621" s="21" t="n">
        <v>88.434547</v>
      </c>
      <c r="D621" s="22" t="n">
        <f aca="false">LN(B621/B620)</f>
        <v>0.00920670847305229</v>
      </c>
      <c r="E621" s="22" t="n">
        <f aca="false">LN(C621/C620)</f>
        <v>0.00205502955958004</v>
      </c>
      <c r="F621" s="22" t="n">
        <f aca="false">LN(Summary!$B$13*EXP(D621)+Summary!$B$14*EXP(E621))</f>
        <v>0.00635217155125356</v>
      </c>
      <c r="G621" s="22" t="n">
        <f aca="false">EXP(F621)-1</f>
        <v>0.00637238937932882</v>
      </c>
      <c r="H621" s="21" t="n">
        <f aca="false">EXP(SUM(F370:F621))-1</f>
        <v>0.202478235698987</v>
      </c>
    </row>
    <row r="622" customFormat="false" ht="15" hidden="false" customHeight="false" outlineLevel="0" collapsed="false">
      <c r="A622" s="20" t="n">
        <v>45372</v>
      </c>
      <c r="B622" s="21" t="n">
        <v>507.223694</v>
      </c>
      <c r="C622" s="21" t="n">
        <v>88.49807</v>
      </c>
      <c r="D622" s="22" t="n">
        <f aca="false">LN(B622/B621)</f>
        <v>0.00329934053829773</v>
      </c>
      <c r="E622" s="22" t="n">
        <f aca="false">LN(C622/C621)</f>
        <v>0.000718047399133066</v>
      </c>
      <c r="F622" s="22" t="n">
        <f aca="false">LN(Summary!$B$13*EXP(D622)+Summary!$B$14*EXP(E622))</f>
        <v>0.00226762271375435</v>
      </c>
      <c r="G622" s="22" t="n">
        <f aca="false">EXP(F622)-1</f>
        <v>0.00227019571463782</v>
      </c>
      <c r="H622" s="21" t="n">
        <f aca="false">EXP(SUM(F371:F622))-1</f>
        <v>0.197225858534874</v>
      </c>
    </row>
    <row r="623" customFormat="false" ht="15" hidden="false" customHeight="false" outlineLevel="0" collapsed="false">
      <c r="A623" s="20" t="n">
        <v>45373</v>
      </c>
      <c r="B623" s="21" t="n">
        <v>506.261993</v>
      </c>
      <c r="C623" s="21" t="n">
        <v>88.779396</v>
      </c>
      <c r="D623" s="22" t="n">
        <f aca="false">LN(B623/B622)</f>
        <v>-0.00189780931488368</v>
      </c>
      <c r="E623" s="22" t="n">
        <f aca="false">LN(C623/C622)</f>
        <v>0.00317385218217893</v>
      </c>
      <c r="F623" s="22" t="n">
        <f aca="false">LN(Summary!$B$13*EXP(D623)+Summary!$B$14*EXP(E623))</f>
        <v>0.000133942934684794</v>
      </c>
      <c r="G623" s="22" t="n">
        <f aca="false">EXP(F623)-1</f>
        <v>0.000133951905440188</v>
      </c>
      <c r="H623" s="21" t="n">
        <f aca="false">EXP(SUM(F372:F623))-1</f>
        <v>0.205076474599587</v>
      </c>
    </row>
    <row r="624" customFormat="false" ht="15" hidden="false" customHeight="false" outlineLevel="0" collapsed="false">
      <c r="A624" s="20" t="n">
        <v>45376</v>
      </c>
      <c r="B624" s="21" t="n">
        <v>504.863403</v>
      </c>
      <c r="C624" s="21" t="n">
        <v>88.616035</v>
      </c>
      <c r="D624" s="22" t="n">
        <f aca="false">LN(B624/B623)</f>
        <v>-0.00276640443901962</v>
      </c>
      <c r="E624" s="22" t="n">
        <f aca="false">LN(C624/C623)</f>
        <v>-0.0018417728715736</v>
      </c>
      <c r="F624" s="22" t="n">
        <f aca="false">LN(Summary!$B$13*EXP(D624)+Summary!$B$14*EXP(E624))</f>
        <v>-0.00239644921249615</v>
      </c>
      <c r="G624" s="22" t="n">
        <f aca="false">EXP(F624)-1</f>
        <v>-0.00239358002049739</v>
      </c>
      <c r="H624" s="21" t="n">
        <f aca="false">EXP(SUM(F373:F624))-1</f>
        <v>0.199093111226877</v>
      </c>
    </row>
    <row r="625" customFormat="false" ht="15" hidden="false" customHeight="false" outlineLevel="0" collapsed="false">
      <c r="A625" s="20" t="n">
        <v>45377</v>
      </c>
      <c r="B625" s="21" t="n">
        <v>503.930878</v>
      </c>
      <c r="C625" s="21" t="n">
        <v>88.70681</v>
      </c>
      <c r="D625" s="22" t="n">
        <f aca="false">LN(B625/B624)</f>
        <v>-0.00184879173718589</v>
      </c>
      <c r="E625" s="22" t="n">
        <f aca="false">LN(C625/C624)</f>
        <v>0.00102383883959843</v>
      </c>
      <c r="F625" s="22" t="n">
        <f aca="false">LN(Summary!$B$13*EXP(D625)+Summary!$B$14*EXP(E625))</f>
        <v>-0.000698749076360496</v>
      </c>
      <c r="G625" s="22" t="n">
        <f aca="false">EXP(F625)-1</f>
        <v>-0.000698505008075445</v>
      </c>
      <c r="H625" s="21" t="n">
        <f aca="false">EXP(SUM(F374:F625))-1</f>
        <v>0.192748265585608</v>
      </c>
    </row>
    <row r="626" customFormat="false" ht="15" hidden="false" customHeight="false" outlineLevel="0" collapsed="false">
      <c r="A626" s="20" t="n">
        <v>45378</v>
      </c>
      <c r="B626" s="21" t="n">
        <v>508.165802</v>
      </c>
      <c r="C626" s="21" t="n">
        <v>88.997238</v>
      </c>
      <c r="D626" s="22" t="n">
        <f aca="false">LN(B626/B625)</f>
        <v>0.00836866437677714</v>
      </c>
      <c r="E626" s="22" t="n">
        <f aca="false">LN(C626/C625)</f>
        <v>0.00326867352603192</v>
      </c>
      <c r="F626" s="22" t="n">
        <f aca="false">LN(Summary!$B$13*EXP(D626)+Summary!$B$14*EXP(E626))</f>
        <v>0.00633178816110397</v>
      </c>
      <c r="G626" s="22" t="n">
        <f aca="false">EXP(F626)-1</f>
        <v>0.00635187630734402</v>
      </c>
      <c r="H626" s="21" t="n">
        <f aca="false">EXP(SUM(F375:F626))-1</f>
        <v>0.204166994504581</v>
      </c>
    </row>
    <row r="627" customFormat="false" ht="15" hidden="false" customHeight="false" outlineLevel="0" collapsed="false">
      <c r="A627" s="20" t="n">
        <v>45379</v>
      </c>
      <c r="B627" s="21" t="n">
        <v>508.068634</v>
      </c>
      <c r="C627" s="21" t="n">
        <v>88.888321</v>
      </c>
      <c r="D627" s="22" t="n">
        <f aca="false">LN(B627/B626)</f>
        <v>-0.000191231465602759</v>
      </c>
      <c r="E627" s="22" t="n">
        <f aca="false">LN(C627/C626)</f>
        <v>-0.00122457398141928</v>
      </c>
      <c r="F627" s="22" t="n">
        <f aca="false">LN(Summary!$B$13*EXP(D627)+Summary!$B$14*EXP(E627))</f>
        <v>-0.000604440345151095</v>
      </c>
      <c r="G627" s="22" t="n">
        <f aca="false">EXP(F627)-1</f>
        <v>-0.000604257707885303</v>
      </c>
      <c r="H627" s="21" t="n">
        <f aca="false">EXP(SUM(F376:F627))-1</f>
        <v>0.205793685950236</v>
      </c>
    </row>
    <row r="628" customFormat="false" ht="15" hidden="false" customHeight="false" outlineLevel="0" collapsed="false">
      <c r="A628" s="20" t="n">
        <v>45383</v>
      </c>
      <c r="B628" s="21" t="n">
        <v>507.184753</v>
      </c>
      <c r="C628" s="21" t="n">
        <v>88.24202</v>
      </c>
      <c r="D628" s="22" t="n">
        <f aca="false">LN(B628/B627)</f>
        <v>-0.00174120320036251</v>
      </c>
      <c r="E628" s="22" t="n">
        <f aca="false">LN(C628/C627)</f>
        <v>-0.00729749476565255</v>
      </c>
      <c r="F628" s="22" t="n">
        <f aca="false">LN(Summary!$B$13*EXP(D628)+Summary!$B$14*EXP(E628))</f>
        <v>-0.00396001651784053</v>
      </c>
      <c r="G628" s="22" t="n">
        <f aca="false">EXP(F628)-1</f>
        <v>-0.00395218599217684</v>
      </c>
      <c r="H628" s="21" t="n">
        <f aca="false">EXP(SUM(F377:F628))-1</f>
        <v>0.19007215293236</v>
      </c>
    </row>
    <row r="629" customFormat="false" ht="15" hidden="false" customHeight="false" outlineLevel="0" collapsed="false">
      <c r="A629" s="20" t="n">
        <v>45384</v>
      </c>
      <c r="B629" s="21" t="n">
        <v>503.960114</v>
      </c>
      <c r="C629" s="21" t="n">
        <v>88.178299</v>
      </c>
      <c r="D629" s="22" t="n">
        <f aca="false">LN(B629/B628)</f>
        <v>-0.00637821550046526</v>
      </c>
      <c r="E629" s="22" t="n">
        <f aca="false">LN(C629/C628)</f>
        <v>-0.000722377140367304</v>
      </c>
      <c r="F629" s="22" t="n">
        <f aca="false">LN(Summary!$B$13*EXP(D629)+Summary!$B$14*EXP(E629))</f>
        <v>-0.00411204009265156</v>
      </c>
      <c r="G629" s="22" t="n">
        <f aca="false">EXP(F629)-1</f>
        <v>-0.00410359723221443</v>
      </c>
      <c r="H629" s="21" t="n">
        <f aca="false">EXP(SUM(F378:F629))-1</f>
        <v>0.180516813357863</v>
      </c>
    </row>
    <row r="630" customFormat="false" ht="15" hidden="false" customHeight="false" outlineLevel="0" collapsed="false">
      <c r="A630" s="20" t="n">
        <v>45385</v>
      </c>
      <c r="B630" s="21" t="n">
        <v>504.513702</v>
      </c>
      <c r="C630" s="21" t="n">
        <v>88.232918</v>
      </c>
      <c r="D630" s="22" t="n">
        <f aca="false">LN(B630/B629)</f>
        <v>0.0010978729379414</v>
      </c>
      <c r="E630" s="22" t="n">
        <f aca="false">LN(C630/C629)</f>
        <v>0.000619223682871137</v>
      </c>
      <c r="F630" s="22" t="n">
        <f aca="false">LN(Summary!$B$13*EXP(D630)+Summary!$B$14*EXP(E630))</f>
        <v>0.00090644072764886</v>
      </c>
      <c r="G630" s="22" t="n">
        <f aca="false">EXP(F630)-1</f>
        <v>0.00090685166920057</v>
      </c>
      <c r="H630" s="21" t="n">
        <f aca="false">EXP(SUM(F379:F630))-1</f>
        <v>0.169433538080345</v>
      </c>
    </row>
    <row r="631" customFormat="false" ht="15" hidden="false" customHeight="false" outlineLevel="0" collapsed="false">
      <c r="A631" s="20" t="n">
        <v>45386</v>
      </c>
      <c r="B631" s="21" t="n">
        <v>498.355499</v>
      </c>
      <c r="C631" s="21" t="n">
        <v>88.442268</v>
      </c>
      <c r="D631" s="22" t="n">
        <f aca="false">LN(B631/B630)</f>
        <v>-0.0122813232226227</v>
      </c>
      <c r="E631" s="22" t="n">
        <f aca="false">LN(C631/C630)</f>
        <v>0.0023698868270288</v>
      </c>
      <c r="F631" s="22" t="n">
        <f aca="false">LN(Summary!$B$13*EXP(D631)+Summary!$B$14*EXP(E631))</f>
        <v>-0.00639505529131011</v>
      </c>
      <c r="G631" s="22" t="n">
        <f aca="false">EXP(F631)-1</f>
        <v>-0.00637465044509766</v>
      </c>
      <c r="H631" s="21" t="n">
        <f aca="false">EXP(SUM(F380:F631))-1</f>
        <v>0.157320665607507</v>
      </c>
    </row>
    <row r="632" customFormat="false" ht="15" hidden="false" customHeight="false" outlineLevel="0" collapsed="false">
      <c r="A632" s="20" t="n">
        <v>45387</v>
      </c>
      <c r="B632" s="21" t="n">
        <v>503.561707</v>
      </c>
      <c r="C632" s="21" t="n">
        <v>88.005363</v>
      </c>
      <c r="D632" s="22" t="n">
        <f aca="false">LN(B632/B631)</f>
        <v>0.0103925849903287</v>
      </c>
      <c r="E632" s="22" t="n">
        <f aca="false">LN(C632/C631)</f>
        <v>-0.00495224436211535</v>
      </c>
      <c r="F632" s="22" t="n">
        <f aca="false">LN(Summary!$B$13*EXP(D632)+Summary!$B$14*EXP(E632))</f>
        <v>0.00428287975537346</v>
      </c>
      <c r="G632" s="22" t="n">
        <f aca="false">EXP(F632)-1</f>
        <v>0.0042920643924238</v>
      </c>
      <c r="H632" s="21" t="n">
        <f aca="false">EXP(SUM(F381:F632))-1</f>
        <v>0.16443781734751</v>
      </c>
    </row>
    <row r="633" customFormat="false" ht="15" hidden="false" customHeight="false" outlineLevel="0" collapsed="false">
      <c r="A633" s="20" t="n">
        <v>45390</v>
      </c>
      <c r="B633" s="21" t="n">
        <v>503.843414</v>
      </c>
      <c r="C633" s="21" t="n">
        <v>87.923424</v>
      </c>
      <c r="D633" s="22" t="n">
        <f aca="false">LN(B633/B632)</f>
        <v>0.000559272533900107</v>
      </c>
      <c r="E633" s="22" t="n">
        <f aca="false">LN(C633/C632)</f>
        <v>-0.000931501971020217</v>
      </c>
      <c r="F633" s="22" t="n">
        <f aca="false">LN(Summary!$B$13*EXP(D633)+Summary!$B$14*EXP(E633))</f>
        <v>-3.67706055597095E-005</v>
      </c>
      <c r="G633" s="22" t="n">
        <f aca="false">EXP(F633)-1</f>
        <v>-3.67699295292789E-005</v>
      </c>
      <c r="H633" s="21" t="n">
        <f aca="false">EXP(SUM(F382:F633))-1</f>
        <v>0.164643561859473</v>
      </c>
    </row>
    <row r="634" customFormat="false" ht="15" hidden="false" customHeight="false" outlineLevel="0" collapsed="false">
      <c r="A634" s="20" t="n">
        <v>45391</v>
      </c>
      <c r="B634" s="21" t="n">
        <v>504.42627</v>
      </c>
      <c r="C634" s="21" t="n">
        <v>88.223824</v>
      </c>
      <c r="D634" s="22" t="n">
        <f aca="false">LN(B634/B633)</f>
        <v>0.001156151125386</v>
      </c>
      <c r="E634" s="22" t="n">
        <f aca="false">LN(C634/C633)</f>
        <v>0.00341078608533542</v>
      </c>
      <c r="F634" s="22" t="n">
        <f aca="false">LN(Summary!$B$13*EXP(D634)+Summary!$B$14*EXP(E634))</f>
        <v>0.0020586152063976</v>
      </c>
      <c r="G634" s="22" t="n">
        <f aca="false">EXP(F634)-1</f>
        <v>0.00206073560946329</v>
      </c>
      <c r="H634" s="21" t="n">
        <f aca="false">EXP(SUM(F383:F634))-1</f>
        <v>0.164734543205117</v>
      </c>
    </row>
    <row r="635" customFormat="false" ht="15" hidden="false" customHeight="false" outlineLevel="0" collapsed="false">
      <c r="A635" s="20" t="n">
        <v>45392</v>
      </c>
      <c r="B635" s="21" t="n">
        <v>499.375366</v>
      </c>
      <c r="C635" s="21" t="n">
        <v>87.1679</v>
      </c>
      <c r="D635" s="22" t="n">
        <f aca="false">LN(B635/B634)</f>
        <v>-0.0100636349793505</v>
      </c>
      <c r="E635" s="22" t="n">
        <f aca="false">LN(C635/C634)</f>
        <v>-0.0120408960410305</v>
      </c>
      <c r="F635" s="22" t="n">
        <f aca="false">LN(Summary!$B$13*EXP(D635)+Summary!$B$14*EXP(E635))</f>
        <v>-0.0108540703185748</v>
      </c>
      <c r="G635" s="22" t="n">
        <f aca="false">EXP(F635)-1</f>
        <v>-0.0107953774414743</v>
      </c>
      <c r="H635" s="21" t="n">
        <f aca="false">EXP(SUM(F384:F635))-1</f>
        <v>0.154622607601592</v>
      </c>
    </row>
    <row r="636" customFormat="false" ht="15" hidden="false" customHeight="false" outlineLevel="0" collapsed="false">
      <c r="A636" s="20" t="n">
        <v>45393</v>
      </c>
      <c r="B636" s="21" t="n">
        <v>503.144165</v>
      </c>
      <c r="C636" s="21" t="n">
        <v>87.186089</v>
      </c>
      <c r="D636" s="22" t="n">
        <f aca="false">LN(B636/B635)</f>
        <v>0.00751868993639906</v>
      </c>
      <c r="E636" s="22" t="n">
        <f aca="false">LN(C636/C635)</f>
        <v>0.000208644495836229</v>
      </c>
      <c r="F636" s="22" t="n">
        <f aca="false">LN(Summary!$B$13*EXP(D636)+Summary!$B$14*EXP(E636))</f>
        <v>0.00460108103434533</v>
      </c>
      <c r="G636" s="22" t="n">
        <f aca="false">EXP(F636)-1</f>
        <v>0.00461168226048514</v>
      </c>
      <c r="H636" s="21" t="n">
        <f aca="false">EXP(SUM(F385:F636))-1</f>
        <v>0.15948164669637</v>
      </c>
    </row>
    <row r="637" customFormat="false" ht="15" hidden="false" customHeight="false" outlineLevel="0" collapsed="false">
      <c r="A637" s="20" t="n">
        <v>45394</v>
      </c>
      <c r="B637" s="21" t="n">
        <v>496.199188</v>
      </c>
      <c r="C637" s="21" t="n">
        <v>87.34996</v>
      </c>
      <c r="D637" s="22" t="n">
        <f aca="false">LN(B637/B636)</f>
        <v>-0.0138993045533736</v>
      </c>
      <c r="E637" s="22" t="n">
        <f aca="false">LN(C637/C636)</f>
        <v>0.00187779027989893</v>
      </c>
      <c r="F637" s="22" t="n">
        <f aca="false">LN(Summary!$B$13*EXP(D637)+Summary!$B$14*EXP(E637))</f>
        <v>-0.00755856546939083</v>
      </c>
      <c r="G637" s="22" t="n">
        <f aca="false">EXP(F637)-1</f>
        <v>-0.00753007135016581</v>
      </c>
      <c r="H637" s="21" t="n">
        <f aca="false">EXP(SUM(F386:F637))-1</f>
        <v>0.153015923934037</v>
      </c>
    </row>
    <row r="638" customFormat="false" ht="15" hidden="false" customHeight="false" outlineLevel="0" collapsed="false">
      <c r="A638" s="20" t="n">
        <v>45397</v>
      </c>
      <c r="B638" s="21" t="n">
        <v>489.982758</v>
      </c>
      <c r="C638" s="21" t="n">
        <v>86.821983</v>
      </c>
      <c r="D638" s="22" t="n">
        <f aca="false">LN(B638/B637)</f>
        <v>-0.0126072320889744</v>
      </c>
      <c r="E638" s="22" t="n">
        <f aca="false">LN(C638/C637)</f>
        <v>-0.00606272868210957</v>
      </c>
      <c r="F638" s="22" t="n">
        <f aca="false">LN(Summary!$B$13*EXP(D638)+Summary!$B$14*EXP(E638))</f>
        <v>-0.00998428882889181</v>
      </c>
      <c r="G638" s="22" t="n">
        <f aca="false">EXP(F638)-1</f>
        <v>-0.00993461128629525</v>
      </c>
      <c r="H638" s="21" t="n">
        <f aca="false">EXP(SUM(F387:F638))-1</f>
        <v>0.132715059746632</v>
      </c>
    </row>
    <row r="639" customFormat="false" ht="15" hidden="false" customHeight="false" outlineLevel="0" collapsed="false">
      <c r="A639" s="20" t="n">
        <v>45398</v>
      </c>
      <c r="B639" s="21" t="n">
        <v>489.089111</v>
      </c>
      <c r="C639" s="21" t="n">
        <v>86.576218</v>
      </c>
      <c r="D639" s="22" t="n">
        <f aca="false">LN(B639/B638)</f>
        <v>-0.00182549877381709</v>
      </c>
      <c r="E639" s="22" t="n">
        <f aca="false">LN(C639/C638)</f>
        <v>-0.00283469105391503</v>
      </c>
      <c r="F639" s="22" t="n">
        <f aca="false">LN(Summary!$B$13*EXP(D639)+Summary!$B$14*EXP(E639))</f>
        <v>-0.00222905347779647</v>
      </c>
      <c r="G639" s="22" t="n">
        <f aca="false">EXP(F639)-1</f>
        <v>-0.00222657098297352</v>
      </c>
      <c r="H639" s="21" t="n">
        <f aca="false">EXP(SUM(F388:F639))-1</f>
        <v>0.134080664781258</v>
      </c>
    </row>
    <row r="640" customFormat="false" ht="15" hidden="false" customHeight="false" outlineLevel="0" collapsed="false">
      <c r="A640" s="20" t="n">
        <v>45399</v>
      </c>
      <c r="B640" s="21" t="n">
        <v>486.194519</v>
      </c>
      <c r="C640" s="21" t="n">
        <v>86.97673</v>
      </c>
      <c r="D640" s="22" t="n">
        <f aca="false">LN(B640/B639)</f>
        <v>-0.00593591527679497</v>
      </c>
      <c r="E640" s="22" t="n">
        <f aca="false">LN(C640/C639)</f>
        <v>0.00461545269733797</v>
      </c>
      <c r="F640" s="22" t="n">
        <f aca="false">LN(Summary!$B$13*EXP(D640)+Summary!$B$14*EXP(E640))</f>
        <v>-0.0017019989802556</v>
      </c>
      <c r="G640" s="22" t="n">
        <f aca="false">EXP(F640)-1</f>
        <v>-0.00170055140136693</v>
      </c>
      <c r="H640" s="21" t="n">
        <f aca="false">EXP(SUM(F389:F640))-1</f>
        <v>0.131992436321706</v>
      </c>
    </row>
    <row r="641" customFormat="false" ht="15" hidden="false" customHeight="false" outlineLevel="0" collapsed="false">
      <c r="A641" s="20" t="n">
        <v>45400</v>
      </c>
      <c r="B641" s="21" t="n">
        <v>485.194122</v>
      </c>
      <c r="C641" s="21" t="n">
        <v>86.730957</v>
      </c>
      <c r="D641" s="22" t="n">
        <f aca="false">LN(B641/B640)</f>
        <v>-0.0020597262752627</v>
      </c>
      <c r="E641" s="22" t="n">
        <f aca="false">LN(C641/C640)</f>
        <v>-0.00282973273370387</v>
      </c>
      <c r="F641" s="22" t="n">
        <f aca="false">LN(Summary!$B$13*EXP(D641)+Summary!$B$14*EXP(E641))</f>
        <v>-0.00236765771309948</v>
      </c>
      <c r="G641" s="22" t="n">
        <f aca="false">EXP(F641)-1</f>
        <v>-0.00236485702237133</v>
      </c>
      <c r="H641" s="21" t="n">
        <f aca="false">EXP(SUM(F390:F641))-1</f>
        <v>0.128235058427113</v>
      </c>
    </row>
    <row r="642" customFormat="false" ht="15" hidden="false" customHeight="false" outlineLevel="0" collapsed="false">
      <c r="A642" s="20" t="n">
        <v>45401</v>
      </c>
      <c r="B642" s="21" t="n">
        <v>480.959167</v>
      </c>
      <c r="C642" s="21" t="n">
        <v>86.821983</v>
      </c>
      <c r="D642" s="22" t="n">
        <f aca="false">LN(B642/B641)</f>
        <v>-0.00876668779424327</v>
      </c>
      <c r="E642" s="22" t="n">
        <f aca="false">LN(C642/C641)</f>
        <v>0.00104897109028084</v>
      </c>
      <c r="F642" s="22" t="n">
        <f aca="false">LN(Summary!$B$13*EXP(D642)+Summary!$B$14*EXP(E642))</f>
        <v>-0.00482885505653884</v>
      </c>
      <c r="G642" s="22" t="n">
        <f aca="false">EXP(F642)-1</f>
        <v>-0.00481721487973963</v>
      </c>
      <c r="H642" s="21" t="n">
        <f aca="false">EXP(SUM(F391:F642))-1</f>
        <v>0.123594676947762</v>
      </c>
    </row>
    <row r="643" customFormat="false" ht="15" hidden="false" customHeight="false" outlineLevel="0" collapsed="false">
      <c r="A643" s="20" t="n">
        <v>45404</v>
      </c>
      <c r="B643" s="21" t="n">
        <v>485.388428</v>
      </c>
      <c r="C643" s="21" t="n">
        <v>86.876602</v>
      </c>
      <c r="D643" s="22" t="n">
        <f aca="false">LN(B643/B642)</f>
        <v>0.00916707826612192</v>
      </c>
      <c r="E643" s="22" t="n">
        <f aca="false">LN(C643/C642)</f>
        <v>0.000628894032731254</v>
      </c>
      <c r="F643" s="22" t="n">
        <f aca="false">LN(Summary!$B$13*EXP(D643)+Summary!$B$14*EXP(E643))</f>
        <v>0.0057605476407071</v>
      </c>
      <c r="G643" s="22" t="n">
        <f aca="false">EXP(F643)-1</f>
        <v>0.00577717150078416</v>
      </c>
      <c r="H643" s="21" t="n">
        <f aca="false">EXP(SUM(F392:F643))-1</f>
        <v>0.131731436993938</v>
      </c>
    </row>
    <row r="644" customFormat="false" ht="15" hidden="false" customHeight="false" outlineLevel="0" collapsed="false">
      <c r="A644" s="20" t="n">
        <v>45405</v>
      </c>
      <c r="B644" s="21" t="n">
        <v>491.148315</v>
      </c>
      <c r="C644" s="21" t="n">
        <v>87.058662</v>
      </c>
      <c r="D644" s="22" t="n">
        <f aca="false">LN(B644/B643)</f>
        <v>0.0117966965147118</v>
      </c>
      <c r="E644" s="22" t="n">
        <f aca="false">LN(C644/C643)</f>
        <v>0.00209342329211203</v>
      </c>
      <c r="F644" s="22" t="n">
        <f aca="false">LN(Summary!$B$13*EXP(D644)+Summary!$B$14*EXP(E644))</f>
        <v>0.00792667829930118</v>
      </c>
      <c r="G644" s="22" t="n">
        <f aca="false">EXP(F644)-1</f>
        <v>0.00795817758696549</v>
      </c>
      <c r="H644" s="21" t="n">
        <f aca="false">EXP(SUM(F393:F644))-1</f>
        <v>0.140987252747506</v>
      </c>
    </row>
    <row r="645" customFormat="false" ht="15" hidden="false" customHeight="false" outlineLevel="0" collapsed="false">
      <c r="A645" s="20" t="n">
        <v>45406</v>
      </c>
      <c r="B645" s="21" t="n">
        <v>490.915192</v>
      </c>
      <c r="C645" s="21" t="n">
        <v>86.831108</v>
      </c>
      <c r="D645" s="22" t="n">
        <f aca="false">LN(B645/B644)</f>
        <v>-0.000474761566267713</v>
      </c>
      <c r="E645" s="22" t="n">
        <f aca="false">LN(C645/C644)</f>
        <v>-0.00261722273705506</v>
      </c>
      <c r="F645" s="22" t="n">
        <f aca="false">LN(Summary!$B$13*EXP(D645)+Summary!$B$14*EXP(E645))</f>
        <v>-0.00133119529656458</v>
      </c>
      <c r="G645" s="22" t="n">
        <f aca="false">EXP(F645)-1</f>
        <v>-0.00133030964913927</v>
      </c>
      <c r="H645" s="21" t="n">
        <f aca="false">EXP(SUM(F394:F645))-1</f>
        <v>0.1369691008252</v>
      </c>
    </row>
    <row r="646" customFormat="false" ht="15" hidden="false" customHeight="false" outlineLevel="0" collapsed="false">
      <c r="A646" s="20" t="n">
        <v>45407</v>
      </c>
      <c r="B646" s="21" t="n">
        <v>489.050262</v>
      </c>
      <c r="C646" s="21" t="n">
        <v>86.585335</v>
      </c>
      <c r="D646" s="22" t="n">
        <f aca="false">LN(B646/B645)</f>
        <v>-0.00380611835601351</v>
      </c>
      <c r="E646" s="22" t="n">
        <f aca="false">LN(C646/C645)</f>
        <v>-0.00283448513070086</v>
      </c>
      <c r="F646" s="22" t="n">
        <f aca="false">LN(Summary!$B$13*EXP(D646)+Summary!$B$14*EXP(E646))</f>
        <v>-0.00341735177001912</v>
      </c>
      <c r="G646" s="22" t="n">
        <f aca="false">EXP(F646)-1</f>
        <v>-0.00341151926925298</v>
      </c>
      <c r="H646" s="21" t="n">
        <f aca="false">EXP(SUM(F395:F646))-1</f>
        <v>0.141116100104266</v>
      </c>
    </row>
    <row r="647" customFormat="false" ht="15" hidden="false" customHeight="false" outlineLevel="0" collapsed="false">
      <c r="A647" s="20" t="n">
        <v>45408</v>
      </c>
      <c r="B647" s="21" t="n">
        <v>493.683472</v>
      </c>
      <c r="C647" s="21" t="n">
        <v>86.776489</v>
      </c>
      <c r="D647" s="22" t="n">
        <f aca="false">LN(B647/B646)</f>
        <v>0.00942929741498263</v>
      </c>
      <c r="E647" s="22" t="n">
        <f aca="false">LN(C647/C646)</f>
        <v>0.00220526149364914</v>
      </c>
      <c r="F647" s="22" t="n">
        <f aca="false">LN(Summary!$B$13*EXP(D647)+Summary!$B$14*EXP(E647))</f>
        <v>0.00654594242189148</v>
      </c>
      <c r="G647" s="22" t="n">
        <f aca="false">EXP(F647)-1</f>
        <v>0.00656741392783289</v>
      </c>
      <c r="H647" s="21" t="n">
        <f aca="false">EXP(SUM(F396:F647))-1</f>
        <v>0.153244890780164</v>
      </c>
    </row>
    <row r="648" customFormat="false" ht="15" hidden="false" customHeight="false" outlineLevel="0" collapsed="false">
      <c r="A648" s="20" t="n">
        <v>45411</v>
      </c>
      <c r="B648" s="21" t="n">
        <v>495.431854</v>
      </c>
      <c r="C648" s="21" t="n">
        <v>87.040474</v>
      </c>
      <c r="D648" s="22" t="n">
        <f aca="false">LN(B648/B647)</f>
        <v>0.0035352476601621</v>
      </c>
      <c r="E648" s="22" t="n">
        <f aca="false">LN(C648/C647)</f>
        <v>0.00303750794415194</v>
      </c>
      <c r="F648" s="22" t="n">
        <f aca="false">LN(Summary!$B$13*EXP(D648)+Summary!$B$14*EXP(E648))</f>
        <v>0.0033361815021503</v>
      </c>
      <c r="G648" s="22" t="n">
        <f aca="false">EXP(F648)-1</f>
        <v>0.00334175274949922</v>
      </c>
      <c r="H648" s="21" t="n">
        <f aca="false">EXP(SUM(F397:F648))-1</f>
        <v>0.145073096930772</v>
      </c>
    </row>
    <row r="649" customFormat="false" ht="15" hidden="false" customHeight="false" outlineLevel="0" collapsed="false">
      <c r="A649" s="20" t="n">
        <v>45412</v>
      </c>
      <c r="B649" s="21" t="n">
        <v>487.583588</v>
      </c>
      <c r="C649" s="21" t="n">
        <v>86.685455</v>
      </c>
      <c r="D649" s="22" t="n">
        <f aca="false">LN(B649/B648)</f>
        <v>-0.0159680762400666</v>
      </c>
      <c r="E649" s="22" t="n">
        <f aca="false">LN(C649/C648)</f>
        <v>-0.00408712155112956</v>
      </c>
      <c r="F649" s="22" t="n">
        <f aca="false">LN(Summary!$B$13*EXP(D649)+Summary!$B$14*EXP(E649))</f>
        <v>-0.0111987421855747</v>
      </c>
      <c r="G649" s="22" t="n">
        <f aca="false">EXP(F649)-1</f>
        <v>-0.0111362696942171</v>
      </c>
      <c r="H649" s="21" t="n">
        <f aca="false">EXP(SUM(F398:F649))-1</f>
        <v>0.124257598516438</v>
      </c>
    </row>
    <row r="650" customFormat="false" ht="15" hidden="false" customHeight="false" outlineLevel="0" collapsed="false">
      <c r="A650" s="20" t="n">
        <v>45413</v>
      </c>
      <c r="B650" s="21" t="n">
        <v>486.000305</v>
      </c>
      <c r="C650" s="21" t="n">
        <v>86.991325</v>
      </c>
      <c r="D650" s="22" t="n">
        <f aca="false">LN(B650/B649)</f>
        <v>-0.00325248683166573</v>
      </c>
      <c r="E650" s="22" t="n">
        <f aca="false">LN(C650/C649)</f>
        <v>0.00352229372553588</v>
      </c>
      <c r="F650" s="22" t="n">
        <f aca="false">LN(Summary!$B$13*EXP(D650)+Summary!$B$14*EXP(E650))</f>
        <v>-0.000537064412300816</v>
      </c>
      <c r="G650" s="22" t="n">
        <f aca="false">EXP(F650)-1</f>
        <v>-0.000536920219024184</v>
      </c>
      <c r="H650" s="21" t="n">
        <f aca="false">EXP(SUM(F399:F650))-1</f>
        <v>0.128962029596262</v>
      </c>
    </row>
    <row r="651" customFormat="false" ht="15" hidden="false" customHeight="false" outlineLevel="0" collapsed="false">
      <c r="A651" s="20" t="n">
        <v>45414</v>
      </c>
      <c r="B651" s="21" t="n">
        <v>490.546112</v>
      </c>
      <c r="C651" s="21" t="n">
        <v>87.38398</v>
      </c>
      <c r="D651" s="22" t="n">
        <f aca="false">LN(B651/B650)</f>
        <v>0.00931003330810298</v>
      </c>
      <c r="E651" s="22" t="n">
        <f aca="false">LN(C651/C650)</f>
        <v>0.00450356962709503</v>
      </c>
      <c r="F651" s="22" t="n">
        <f aca="false">LN(Summary!$B$13*EXP(D651)+Summary!$B$14*EXP(E651))</f>
        <v>0.00739021919621247</v>
      </c>
      <c r="G651" s="22" t="n">
        <f aca="false">EXP(F651)-1</f>
        <v>0.00741759426045396</v>
      </c>
      <c r="H651" s="21" t="n">
        <f aca="false">EXP(SUM(F400:F651))-1</f>
        <v>0.140589967953584</v>
      </c>
    </row>
    <row r="652" customFormat="false" ht="15" hidden="false" customHeight="false" outlineLevel="0" collapsed="false">
      <c r="A652" s="20" t="n">
        <v>45415</v>
      </c>
      <c r="B652" s="21" t="n">
        <v>496.626556</v>
      </c>
      <c r="C652" s="21" t="n">
        <v>87.831398</v>
      </c>
      <c r="D652" s="22" t="n">
        <f aca="false">LN(B652/B651)</f>
        <v>0.0123190624981924</v>
      </c>
      <c r="E652" s="22" t="n">
        <f aca="false">LN(C652/C651)</f>
        <v>0.00510707424858954</v>
      </c>
      <c r="F652" s="22" t="n">
        <f aca="false">LN(Summary!$B$13*EXP(D652)+Summary!$B$14*EXP(E652))</f>
        <v>0.00944050571847992</v>
      </c>
      <c r="G652" s="22" t="n">
        <f aca="false">EXP(F652)-1</f>
        <v>0.00948520785210349</v>
      </c>
      <c r="H652" s="21" t="n">
        <f aca="false">EXP(SUM(F401:F652))-1</f>
        <v>0.15412346091546</v>
      </c>
    </row>
    <row r="653" customFormat="false" ht="15" hidden="false" customHeight="false" outlineLevel="0" collapsed="false">
      <c r="A653" s="20" t="n">
        <v>45418</v>
      </c>
      <c r="B653" s="21" t="n">
        <v>501.755096</v>
      </c>
      <c r="C653" s="21" t="n">
        <v>87.895317</v>
      </c>
      <c r="D653" s="22" t="n">
        <f aca="false">LN(B653/B652)</f>
        <v>0.0102737967986789</v>
      </c>
      <c r="E653" s="22" t="n">
        <f aca="false">LN(C653/C652)</f>
        <v>0.000727481906424888</v>
      </c>
      <c r="F653" s="22" t="n">
        <f aca="false">LN(Summary!$B$13*EXP(D653)+Summary!$B$14*EXP(E653))</f>
        <v>0.00646619970084956</v>
      </c>
      <c r="G653" s="22" t="n">
        <f aca="false">EXP(F653)-1</f>
        <v>0.00648715070358064</v>
      </c>
      <c r="H653" s="21" t="n">
        <f aca="false">EXP(SUM(F402:F653))-1</f>
        <v>0.167130146720045</v>
      </c>
    </row>
    <row r="654" customFormat="false" ht="15" hidden="false" customHeight="false" outlineLevel="0" collapsed="false">
      <c r="A654" s="20" t="n">
        <v>45419</v>
      </c>
      <c r="B654" s="21" t="n">
        <v>502.308807</v>
      </c>
      <c r="C654" s="21" t="n">
        <v>88.077927</v>
      </c>
      <c r="D654" s="22" t="n">
        <f aca="false">LN(B654/B653)</f>
        <v>0.00110293987160968</v>
      </c>
      <c r="E654" s="22" t="n">
        <f aca="false">LN(C654/C653)</f>
        <v>0.00207542989373988</v>
      </c>
      <c r="F654" s="22" t="n">
        <f aca="false">LN(Summary!$B$13*EXP(D654)+Summary!$B$14*EXP(E654))</f>
        <v>0.00149204937623689</v>
      </c>
      <c r="G654" s="22" t="n">
        <f aca="false">EXP(F654)-1</f>
        <v>0.00149316303571689</v>
      </c>
      <c r="H654" s="21" t="n">
        <f aca="false">EXP(SUM(F403:F654))-1</f>
        <v>0.157497845133675</v>
      </c>
    </row>
    <row r="655" customFormat="false" ht="15" hidden="false" customHeight="false" outlineLevel="0" collapsed="false">
      <c r="A655" s="20" t="n">
        <v>45420</v>
      </c>
      <c r="B655" s="21" t="n">
        <v>502.3573</v>
      </c>
      <c r="C655" s="21" t="n">
        <v>87.895317</v>
      </c>
      <c r="D655" s="22" t="n">
        <f aca="false">LN(B655/B654)</f>
        <v>9.65355548470149E-005</v>
      </c>
      <c r="E655" s="22" t="n">
        <f aca="false">LN(C655/C654)</f>
        <v>-0.00207542989373992</v>
      </c>
      <c r="F655" s="22" t="n">
        <f aca="false">LN(Summary!$B$13*EXP(D655)+Summary!$B$14*EXP(E655))</f>
        <v>-0.000771684614585241</v>
      </c>
      <c r="G655" s="22" t="n">
        <f aca="false">EXP(F655)-1</f>
        <v>-0.000771386942587604</v>
      </c>
      <c r="H655" s="21" t="n">
        <f aca="false">EXP(SUM(F404:F655))-1</f>
        <v>0.158978281164967</v>
      </c>
    </row>
    <row r="656" customFormat="false" ht="15" hidden="false" customHeight="false" outlineLevel="0" collapsed="false">
      <c r="A656" s="20" t="n">
        <v>45421</v>
      </c>
      <c r="B656" s="21" t="n">
        <v>505.251831</v>
      </c>
      <c r="C656" s="21" t="n">
        <v>88.059639</v>
      </c>
      <c r="D656" s="22" t="n">
        <f aca="false">LN(B656/B655)</f>
        <v>0.0057453607219597</v>
      </c>
      <c r="E656" s="22" t="n">
        <f aca="false">LN(C656/C655)</f>
        <v>0.0018677740201971</v>
      </c>
      <c r="F656" s="22" t="n">
        <f aca="false">LN(Summary!$B$13*EXP(D656)+Summary!$B$14*EXP(E656))</f>
        <v>0.00419612985527907</v>
      </c>
      <c r="G656" s="22" t="n">
        <f aca="false">EXP(F656)-1</f>
        <v>0.00420494593498555</v>
      </c>
      <c r="H656" s="21" t="n">
        <f aca="false">EXP(SUM(F405:F656))-1</f>
        <v>0.167347397304431</v>
      </c>
    </row>
    <row r="657" customFormat="false" ht="15" hidden="false" customHeight="false" outlineLevel="0" collapsed="false">
      <c r="A657" s="20" t="n">
        <v>45422</v>
      </c>
      <c r="B657" s="21" t="n">
        <v>505.90274</v>
      </c>
      <c r="C657" s="21" t="n">
        <v>87.877037</v>
      </c>
      <c r="D657" s="22" t="n">
        <f aca="false">LN(B657/B656)</f>
        <v>0.00128745714765574</v>
      </c>
      <c r="E657" s="22" t="n">
        <f aca="false">LN(C657/C656)</f>
        <v>-0.00207577032507575</v>
      </c>
      <c r="F657" s="22" t="n">
        <f aca="false">LN(Summary!$B$13*EXP(D657)+Summary!$B$14*EXP(E657))</f>
        <v>-5.64767904552199E-005</v>
      </c>
      <c r="G657" s="22" t="n">
        <f aca="false">EXP(F657)-1</f>
        <v>-5.64751956713128E-005</v>
      </c>
      <c r="H657" s="21" t="n">
        <f aca="false">EXP(SUM(F406:F657))-1</f>
        <v>0.161024759081666</v>
      </c>
    </row>
    <row r="658" customFormat="false" ht="15" hidden="false" customHeight="false" outlineLevel="0" collapsed="false">
      <c r="A658" s="20" t="n">
        <v>45425</v>
      </c>
      <c r="B658" s="21" t="n">
        <v>505.970612</v>
      </c>
      <c r="C658" s="21" t="n">
        <v>87.922714</v>
      </c>
      <c r="D658" s="22" t="n">
        <f aca="false">LN(B658/B657)</f>
        <v>0.000134151176069029</v>
      </c>
      <c r="E658" s="22" t="n">
        <f aca="false">LN(C658/C657)</f>
        <v>0.000519648074221257</v>
      </c>
      <c r="F658" s="22" t="n">
        <f aca="false">LN(Summary!$B$13*EXP(D658)+Summary!$B$14*EXP(E658))</f>
        <v>0.000288367768731277</v>
      </c>
      <c r="G658" s="22" t="n">
        <f aca="false">EXP(F658)-1</f>
        <v>0.00028840935071317</v>
      </c>
      <c r="H658" s="21" t="n">
        <f aca="false">EXP(SUM(F407:F658))-1</f>
        <v>0.161176221907557</v>
      </c>
    </row>
    <row r="659" customFormat="false" ht="15" hidden="false" customHeight="false" outlineLevel="0" collapsed="false">
      <c r="A659" s="20" t="n">
        <v>45426</v>
      </c>
      <c r="B659" s="21" t="n">
        <v>508.292084</v>
      </c>
      <c r="C659" s="21" t="n">
        <v>88.160103</v>
      </c>
      <c r="D659" s="22" t="n">
        <f aca="false">LN(B659/B658)</f>
        <v>0.00457766230193195</v>
      </c>
      <c r="E659" s="22" t="n">
        <f aca="false">LN(C659/C658)</f>
        <v>0.00269633514350895</v>
      </c>
      <c r="F659" s="22" t="n">
        <f aca="false">LN(Summary!$B$13*EXP(D659)+Summary!$B$14*EXP(E659))</f>
        <v>0.00382555611226277</v>
      </c>
      <c r="G659" s="22" t="n">
        <f aca="false">EXP(F659)-1</f>
        <v>0.00383288289206996</v>
      </c>
      <c r="H659" s="21" t="n">
        <f aca="false">EXP(SUM(F408:F659))-1</f>
        <v>0.169166319627168</v>
      </c>
    </row>
    <row r="660" customFormat="false" ht="15" hidden="false" customHeight="false" outlineLevel="0" collapsed="false">
      <c r="A660" s="20" t="n">
        <v>45427</v>
      </c>
      <c r="B660" s="21" t="n">
        <v>514.586304</v>
      </c>
      <c r="C660" s="21" t="n">
        <v>88.744514</v>
      </c>
      <c r="D660" s="22" t="n">
        <f aca="false">LN(B660/B659)</f>
        <v>0.0123070337956191</v>
      </c>
      <c r="E660" s="22" t="n">
        <f aca="false">LN(C660/C659)</f>
        <v>0.00660709862621832</v>
      </c>
      <c r="F660" s="22" t="n">
        <f aca="false">LN(Summary!$B$13*EXP(D660)+Summary!$B$14*EXP(E660))</f>
        <v>0.0100309569530376</v>
      </c>
      <c r="G660" s="22" t="n">
        <f aca="false">EXP(F660)-1</f>
        <v>0.0100814356437433</v>
      </c>
      <c r="H660" s="21" t="n">
        <f aca="false">EXP(SUM(F409:F660))-1</f>
        <v>0.179698096605178</v>
      </c>
    </row>
    <row r="661" customFormat="false" ht="15" hidden="false" customHeight="false" outlineLevel="0" collapsed="false">
      <c r="A661" s="20" t="n">
        <v>45428</v>
      </c>
      <c r="B661" s="21" t="n">
        <v>513.527466</v>
      </c>
      <c r="C661" s="21" t="n">
        <v>88.644058</v>
      </c>
      <c r="D661" s="22" t="n">
        <f aca="false">LN(B661/B660)</f>
        <v>-0.00205976888016279</v>
      </c>
      <c r="E661" s="22" t="n">
        <f aca="false">LN(C661/C660)</f>
        <v>-0.0011326097234582</v>
      </c>
      <c r="F661" s="22" t="n">
        <f aca="false">LN(Summary!$B$13*EXP(D661)+Summary!$B$14*EXP(E661))</f>
        <v>-0.00168880205621594</v>
      </c>
      <c r="G661" s="22" t="n">
        <f aca="false">EXP(F661)-1</f>
        <v>-0.00168737683244324</v>
      </c>
      <c r="H661" s="21" t="n">
        <f aca="false">EXP(SUM(F410:F661))-1</f>
        <v>0.183551469309783</v>
      </c>
    </row>
    <row r="662" customFormat="false" ht="15" hidden="false" customHeight="false" outlineLevel="0" collapsed="false">
      <c r="A662" s="20" t="n">
        <v>45429</v>
      </c>
      <c r="B662" s="21" t="n">
        <v>514.265625</v>
      </c>
      <c r="C662" s="21" t="n">
        <v>88.360985</v>
      </c>
      <c r="D662" s="22" t="n">
        <f aca="false">LN(B662/B661)</f>
        <v>0.0014363963591116</v>
      </c>
      <c r="E662" s="22" t="n">
        <f aca="false">LN(C662/C661)</f>
        <v>-0.0031984765691184</v>
      </c>
      <c r="F662" s="22" t="n">
        <f aca="false">LN(Summary!$B$13*EXP(D662)+Summary!$B$14*EXP(E662))</f>
        <v>-0.000414975765094504</v>
      </c>
      <c r="G662" s="22" t="n">
        <f aca="false">EXP(F662)-1</f>
        <v>-0.000414889674560603</v>
      </c>
      <c r="H662" s="21" t="n">
        <f aca="false">EXP(SUM(F411:F662))-1</f>
        <v>0.175213640286992</v>
      </c>
    </row>
    <row r="663" customFormat="false" ht="15" hidden="false" customHeight="false" outlineLevel="0" collapsed="false">
      <c r="A663" s="20" t="n">
        <v>45432</v>
      </c>
      <c r="B663" s="21" t="n">
        <v>514.858215</v>
      </c>
      <c r="C663" s="21" t="n">
        <v>88.278839</v>
      </c>
      <c r="D663" s="22" t="n">
        <f aca="false">LN(B663/B662)</f>
        <v>0.00115163995325339</v>
      </c>
      <c r="E663" s="22" t="n">
        <f aca="false">LN(C663/C662)</f>
        <v>-0.000930096102472215</v>
      </c>
      <c r="F663" s="22" t="n">
        <f aca="false">LN(Summary!$B$13*EXP(D663)+Summary!$B$14*EXP(E663))</f>
        <v>0.000319465493709519</v>
      </c>
      <c r="G663" s="22" t="n">
        <f aca="false">EXP(F663)-1</f>
        <v>0.000319516528244801</v>
      </c>
      <c r="H663" s="21" t="n">
        <f aca="false">EXP(SUM(F412:F663))-1</f>
        <v>0.171002519874882</v>
      </c>
    </row>
    <row r="664" customFormat="false" ht="15" hidden="false" customHeight="false" outlineLevel="0" collapsed="false">
      <c r="A664" s="20" t="n">
        <v>45433</v>
      </c>
      <c r="B664" s="21" t="n">
        <v>516.121094</v>
      </c>
      <c r="C664" s="21" t="n">
        <v>88.443169</v>
      </c>
      <c r="D664" s="22" t="n">
        <f aca="false">LN(B664/B663)</f>
        <v>0.00244986416431087</v>
      </c>
      <c r="E664" s="22" t="n">
        <f aca="false">LN(C664/C663)</f>
        <v>0.00185975758451075</v>
      </c>
      <c r="F664" s="22" t="n">
        <f aca="false">LN(Summary!$B$13*EXP(D664)+Summary!$B$14*EXP(E664))</f>
        <v>0.00221386331783943</v>
      </c>
      <c r="G664" s="22" t="n">
        <f aca="false">EXP(F664)-1</f>
        <v>0.00221631572266356</v>
      </c>
      <c r="H664" s="21" t="n">
        <f aca="false">EXP(SUM(F413:F664))-1</f>
        <v>0.175676977605461</v>
      </c>
    </row>
    <row r="665" customFormat="false" ht="15" hidden="false" customHeight="false" outlineLevel="0" collapsed="false">
      <c r="A665" s="20" t="n">
        <v>45434</v>
      </c>
      <c r="B665" s="21" t="n">
        <v>514.634827</v>
      </c>
      <c r="C665" s="21" t="n">
        <v>88.333565</v>
      </c>
      <c r="D665" s="22" t="n">
        <f aca="false">LN(B665/B664)</f>
        <v>-0.00288384087788238</v>
      </c>
      <c r="E665" s="22" t="n">
        <f aca="false">LN(C665/C664)</f>
        <v>-0.00124002759372801</v>
      </c>
      <c r="F665" s="22" t="n">
        <f aca="false">LN(Summary!$B$13*EXP(D665)+Summary!$B$14*EXP(E665))</f>
        <v>-0.00222599127406487</v>
      </c>
      <c r="G665" s="22" t="n">
        <f aca="false">EXP(F665)-1</f>
        <v>-0.00222351559277778</v>
      </c>
      <c r="H665" s="21" t="n">
        <f aca="false">EXP(SUM(F414:F665))-1</f>
        <v>0.173207355331936</v>
      </c>
    </row>
    <row r="666" customFormat="false" ht="15" hidden="false" customHeight="false" outlineLevel="0" collapsed="false">
      <c r="A666" s="20" t="n">
        <v>45435</v>
      </c>
      <c r="B666" s="21" t="n">
        <v>510.875977</v>
      </c>
      <c r="C666" s="21" t="n">
        <v>88.087067</v>
      </c>
      <c r="D666" s="22" t="n">
        <f aca="false">LN(B666/B665)</f>
        <v>-0.00733072107781062</v>
      </c>
      <c r="E666" s="22" t="n">
        <f aca="false">LN(C666/C665)</f>
        <v>-0.0027944368820312</v>
      </c>
      <c r="F666" s="22" t="n">
        <f aca="false">LN(Summary!$B$13*EXP(D666)+Summary!$B$14*EXP(E666))</f>
        <v>-0.00551373730967026</v>
      </c>
      <c r="G666" s="22" t="n">
        <f aca="false">EXP(F666)-1</f>
        <v>-0.00549856455910558</v>
      </c>
      <c r="H666" s="21" t="n">
        <f aca="false">EXP(SUM(F415:F666))-1</f>
        <v>0.174135475410419</v>
      </c>
    </row>
    <row r="667" customFormat="false" ht="15" hidden="false" customHeight="false" outlineLevel="0" collapsed="false">
      <c r="A667" s="20" t="n">
        <v>45436</v>
      </c>
      <c r="B667" s="21" t="n">
        <v>514.256165</v>
      </c>
      <c r="C667" s="21" t="n">
        <v>88.1875</v>
      </c>
      <c r="D667" s="22" t="n">
        <f aca="false">LN(B667/B666)</f>
        <v>0.0065946625059302</v>
      </c>
      <c r="E667" s="22" t="n">
        <f aca="false">LN(C667/C666)</f>
        <v>0.00113950653888117</v>
      </c>
      <c r="F667" s="22" t="n">
        <f aca="false">LN(Summary!$B$13*EXP(D667)+Summary!$B$14*EXP(E667))</f>
        <v>0.00441616986370477</v>
      </c>
      <c r="G667" s="22" t="n">
        <f aca="false">EXP(F667)-1</f>
        <v>0.00442593551213277</v>
      </c>
      <c r="H667" s="21" t="n">
        <f aca="false">EXP(SUM(F416:F667))-1</f>
        <v>0.185694783622282</v>
      </c>
    </row>
    <row r="668" customFormat="false" ht="15" hidden="false" customHeight="false" outlineLevel="0" collapsed="false">
      <c r="A668" s="20" t="n">
        <v>45440</v>
      </c>
      <c r="B668" s="21" t="n">
        <v>514.615479</v>
      </c>
      <c r="C668" s="21" t="n">
        <v>87.776604</v>
      </c>
      <c r="D668" s="22" t="n">
        <f aca="false">LN(B668/B667)</f>
        <v>0.000698462275062193</v>
      </c>
      <c r="E668" s="22" t="n">
        <f aca="false">LN(C668/C667)</f>
        <v>-0.00467023372949168</v>
      </c>
      <c r="F668" s="22" t="n">
        <f aca="false">LN(Summary!$B$13*EXP(D668)+Summary!$B$14*EXP(E668))</f>
        <v>-0.00144555862072759</v>
      </c>
      <c r="G668" s="22" t="n">
        <f aca="false">EXP(F668)-1</f>
        <v>-0.00144451430413217</v>
      </c>
      <c r="H668" s="21" t="n">
        <f aca="false">EXP(SUM(F417:F668))-1</f>
        <v>0.179588909878812</v>
      </c>
    </row>
    <row r="669" customFormat="false" ht="15" hidden="false" customHeight="false" outlineLevel="0" collapsed="false">
      <c r="A669" s="20" t="n">
        <v>45441</v>
      </c>
      <c r="B669" s="21" t="n">
        <v>511.01178</v>
      </c>
      <c r="C669" s="21" t="n">
        <v>87.438774</v>
      </c>
      <c r="D669" s="22" t="n">
        <f aca="false">LN(B669/B668)</f>
        <v>-0.00702733629322723</v>
      </c>
      <c r="E669" s="22" t="n">
        <f aca="false">LN(C669/C668)</f>
        <v>-0.00385617315655473</v>
      </c>
      <c r="F669" s="22" t="n">
        <f aca="false">LN(Summary!$B$13*EXP(D669)+Summary!$B$14*EXP(E669))</f>
        <v>-0.00575766403080603</v>
      </c>
      <c r="G669" s="22" t="n">
        <f aca="false">EXP(F669)-1</f>
        <v>-0.00574112044928332</v>
      </c>
      <c r="H669" s="21" t="n">
        <f aca="false">EXP(SUM(F418:F669))-1</f>
        <v>0.163394787855605</v>
      </c>
    </row>
    <row r="670" customFormat="false" ht="15" hidden="false" customHeight="false" outlineLevel="0" collapsed="false">
      <c r="A670" s="20" t="n">
        <v>45442</v>
      </c>
      <c r="B670" s="21" t="n">
        <v>507.621979</v>
      </c>
      <c r="C670" s="21" t="n">
        <v>87.849655</v>
      </c>
      <c r="D670" s="22" t="n">
        <f aca="false">LN(B670/B669)</f>
        <v>-0.00665560803034811</v>
      </c>
      <c r="E670" s="22" t="n">
        <f aca="false">LN(C670/C669)</f>
        <v>0.00468806474985978</v>
      </c>
      <c r="F670" s="22" t="n">
        <f aca="false">LN(Summary!$B$13*EXP(D670)+Summary!$B$14*EXP(E670))</f>
        <v>-0.00210268584427295</v>
      </c>
      <c r="G670" s="22" t="n">
        <f aca="false">EXP(F670)-1</f>
        <v>-0.00210047674900882</v>
      </c>
      <c r="H670" s="21" t="n">
        <f aca="false">EXP(SUM(F419:F670))-1</f>
        <v>0.157601767814174</v>
      </c>
    </row>
    <row r="671" customFormat="false" ht="15" hidden="false" customHeight="false" outlineLevel="0" collapsed="false">
      <c r="A671" s="20" t="n">
        <v>45443</v>
      </c>
      <c r="B671" s="21" t="n">
        <v>512.245422</v>
      </c>
      <c r="C671" s="21" t="n">
        <v>88.132729</v>
      </c>
      <c r="D671" s="22" t="n">
        <f aca="false">LN(B671/B670)</f>
        <v>0.00906681529139666</v>
      </c>
      <c r="E671" s="22" t="n">
        <f aca="false">LN(C671/C670)</f>
        <v>0.00321707477426995</v>
      </c>
      <c r="F671" s="22" t="n">
        <f aca="false">LN(Summary!$B$13*EXP(D671)+Summary!$B$14*EXP(E671))</f>
        <v>0.0067310238136931</v>
      </c>
      <c r="G671" s="22" t="n">
        <f aca="false">EXP(F671)-1</f>
        <v>0.00675372806685304</v>
      </c>
      <c r="H671" s="21" t="n">
        <f aca="false">EXP(SUM(F420:F671))-1</f>
        <v>0.167640712561579</v>
      </c>
    </row>
    <row r="672" customFormat="false" ht="15" hidden="false" customHeight="false" outlineLevel="0" collapsed="false">
      <c r="A672" s="20" t="n">
        <v>45446</v>
      </c>
      <c r="B672" s="21" t="n">
        <v>512.663025</v>
      </c>
      <c r="C672" s="21" t="n">
        <v>88.66581</v>
      </c>
      <c r="D672" s="22" t="n">
        <f aca="false">LN(B672/B671)</f>
        <v>0.000814907954622406</v>
      </c>
      <c r="E672" s="22" t="n">
        <f aca="false">LN(C672/C671)</f>
        <v>0.0060303961616638</v>
      </c>
      <c r="F672" s="22" t="n">
        <f aca="false">LN(Summary!$B$13*EXP(D672)+Summary!$B$14*EXP(E672))</f>
        <v>0.00290436852719427</v>
      </c>
      <c r="G672" s="22" t="n">
        <f aca="false">EXP(F672)-1</f>
        <v>0.00290859029166235</v>
      </c>
      <c r="H672" s="21" t="n">
        <f aca="false">EXP(SUM(F421:F672))-1</f>
        <v>0.162997057040457</v>
      </c>
    </row>
    <row r="673" customFormat="false" ht="15" hidden="false" customHeight="false" outlineLevel="0" collapsed="false">
      <c r="A673" s="20" t="n">
        <v>45447</v>
      </c>
      <c r="B673" s="21" t="n">
        <v>513.236023</v>
      </c>
      <c r="C673" s="21" t="n">
        <v>88.986374</v>
      </c>
      <c r="D673" s="22" t="n">
        <f aca="false">LN(B673/B672)</f>
        <v>0.00111706519408716</v>
      </c>
      <c r="E673" s="22" t="n">
        <f aca="false">LN(C673/C672)</f>
        <v>0.00360889847459102</v>
      </c>
      <c r="F673" s="22" t="n">
        <f aca="false">LN(Summary!$B$13*EXP(D673)+Summary!$B$14*EXP(E673))</f>
        <v>0.00211454373786972</v>
      </c>
      <c r="G673" s="22" t="n">
        <f aca="false">EXP(F673)-1</f>
        <v>0.00211678096210433</v>
      </c>
      <c r="H673" s="21" t="n">
        <f aca="false">EXP(SUM(F422:F673))-1</f>
        <v>0.157854794264895</v>
      </c>
    </row>
    <row r="674" customFormat="false" ht="15" hidden="false" customHeight="false" outlineLevel="0" collapsed="false">
      <c r="A674" s="20" t="n">
        <v>45448</v>
      </c>
      <c r="B674" s="21" t="n">
        <v>519.335999</v>
      </c>
      <c r="C674" s="21" t="n">
        <v>89.2612</v>
      </c>
      <c r="D674" s="22" t="n">
        <f aca="false">LN(B674/B673)</f>
        <v>0.0118152474267319</v>
      </c>
      <c r="E674" s="22" t="n">
        <f aca="false">LN(C674/C673)</f>
        <v>0.0030836460952201</v>
      </c>
      <c r="F674" s="22" t="n">
        <f aca="false">LN(Summary!$B$13*EXP(D674)+Summary!$B$14*EXP(E674))</f>
        <v>0.00833175044636889</v>
      </c>
      <c r="G674" s="22" t="n">
        <f aca="false">EXP(F674)-1</f>
        <v>0.00836655607590675</v>
      </c>
      <c r="H674" s="21" t="n">
        <f aca="false">EXP(SUM(F423:F674))-1</f>
        <v>0.168933580311263</v>
      </c>
    </row>
    <row r="675" customFormat="false" ht="15" hidden="false" customHeight="false" outlineLevel="0" collapsed="false">
      <c r="A675" s="20" t="n">
        <v>45449</v>
      </c>
      <c r="B675" s="21" t="n">
        <v>519.326416</v>
      </c>
      <c r="C675" s="21" t="n">
        <v>89.288658</v>
      </c>
      <c r="D675" s="22" t="n">
        <f aca="false">LN(B675/B674)</f>
        <v>-1.84525787434123E-005</v>
      </c>
      <c r="E675" s="22" t="n">
        <f aca="false">LN(C675/C674)</f>
        <v>0.000307566755011939</v>
      </c>
      <c r="F675" s="22" t="n">
        <f aca="false">LN(Summary!$B$13*EXP(D675)+Summary!$B$14*EXP(E675))</f>
        <v>0.000111967909668747</v>
      </c>
      <c r="G675" s="22" t="n">
        <f aca="false">EXP(F675)-1</f>
        <v>0.000111974178309104</v>
      </c>
      <c r="H675" s="21" t="n">
        <f aca="false">EXP(SUM(F424:F675))-1</f>
        <v>0.166968943534604</v>
      </c>
    </row>
    <row r="676" customFormat="false" ht="15" hidden="false" customHeight="false" outlineLevel="0" collapsed="false">
      <c r="A676" s="20" t="n">
        <v>45450</v>
      </c>
      <c r="B676" s="21" t="n">
        <v>518.695068</v>
      </c>
      <c r="C676" s="21" t="n">
        <v>88.500954</v>
      </c>
      <c r="D676" s="22" t="n">
        <f aca="false">LN(B676/B675)</f>
        <v>-0.00121644510751279</v>
      </c>
      <c r="E676" s="22" t="n">
        <f aca="false">LN(C676/C675)</f>
        <v>-0.00886113812080229</v>
      </c>
      <c r="F676" s="22" t="n">
        <f aca="false">LN(Summary!$B$13*EXP(D676)+Summary!$B$14*EXP(E676))</f>
        <v>-0.00426731294221289</v>
      </c>
      <c r="G676" s="22" t="n">
        <f aca="false">EXP(F676)-1</f>
        <v>-0.00425822089980066</v>
      </c>
      <c r="H676" s="21" t="n">
        <f aca="false">EXP(SUM(F425:F676))-1</f>
        <v>0.166892164880663</v>
      </c>
    </row>
    <row r="677" customFormat="false" ht="15" hidden="false" customHeight="false" outlineLevel="0" collapsed="false">
      <c r="A677" s="20" t="n">
        <v>45453</v>
      </c>
      <c r="B677" s="21" t="n">
        <v>520.297607</v>
      </c>
      <c r="C677" s="21" t="n">
        <v>88.427666</v>
      </c>
      <c r="D677" s="22" t="n">
        <f aca="false">LN(B677/B676)</f>
        <v>0.00308479609022988</v>
      </c>
      <c r="E677" s="22" t="n">
        <f aca="false">LN(C677/C676)</f>
        <v>-0.000828447135252717</v>
      </c>
      <c r="F677" s="22" t="n">
        <f aca="false">LN(Summary!$B$13*EXP(D677)+Summary!$B$14*EXP(E677))</f>
        <v>0.00152133593630799</v>
      </c>
      <c r="G677" s="22" t="n">
        <f aca="false">EXP(F677)-1</f>
        <v>0.00152249375489277</v>
      </c>
      <c r="H677" s="21" t="n">
        <f aca="false">EXP(SUM(F426:F677))-1</f>
        <v>0.161977547623016</v>
      </c>
    </row>
    <row r="678" customFormat="false" ht="15" hidden="false" customHeight="false" outlineLevel="0" collapsed="false">
      <c r="A678" s="20" t="n">
        <v>45454</v>
      </c>
      <c r="B678" s="21" t="n">
        <v>521.550537</v>
      </c>
      <c r="C678" s="21" t="n">
        <v>88.729919</v>
      </c>
      <c r="D678" s="22" t="n">
        <f aca="false">LN(B678/B677)</f>
        <v>0.00240520772865945</v>
      </c>
      <c r="E678" s="22" t="n">
        <f aca="false">LN(C678/C677)</f>
        <v>0.00341225348350549</v>
      </c>
      <c r="F678" s="22" t="n">
        <f aca="false">LN(Summary!$B$13*EXP(D678)+Summary!$B$14*EXP(E678))</f>
        <v>0.00280814773570179</v>
      </c>
      <c r="G678" s="22" t="n">
        <f aca="false">EXP(F678)-1</f>
        <v>0.00281209427584583</v>
      </c>
      <c r="H678" s="21" t="n">
        <f aca="false">EXP(SUM(F427:F678))-1</f>
        <v>0.165082129079453</v>
      </c>
    </row>
    <row r="679" customFormat="false" ht="15" hidden="false" customHeight="false" outlineLevel="0" collapsed="false">
      <c r="A679" s="20" t="n">
        <v>45455</v>
      </c>
      <c r="B679" s="21" t="n">
        <v>525.83429</v>
      </c>
      <c r="C679" s="21" t="n">
        <v>89.151291</v>
      </c>
      <c r="D679" s="22" t="n">
        <f aca="false">LN(B679/B678)</f>
        <v>0.00817994833530493</v>
      </c>
      <c r="E679" s="22" t="n">
        <f aca="false">LN(C679/C678)</f>
        <v>0.00473768745068568</v>
      </c>
      <c r="F679" s="22" t="n">
        <f aca="false">LN(Summary!$B$13*EXP(D679)+Summary!$B$14*EXP(E679))</f>
        <v>0.00680446555373636</v>
      </c>
      <c r="G679" s="22" t="n">
        <f aca="false">EXP(F679)-1</f>
        <v>0.00682766852756211</v>
      </c>
      <c r="H679" s="21" t="n">
        <f aca="false">EXP(SUM(F428:F679))-1</f>
        <v>0.165881623456333</v>
      </c>
    </row>
    <row r="680" customFormat="false" ht="15" hidden="false" customHeight="false" outlineLevel="0" collapsed="false">
      <c r="A680" s="20" t="n">
        <v>45456</v>
      </c>
      <c r="B680" s="21" t="n">
        <v>526.892822</v>
      </c>
      <c r="C680" s="21" t="n">
        <v>89.600105</v>
      </c>
      <c r="D680" s="22" t="n">
        <f aca="false">LN(B680/B679)</f>
        <v>0.00201102896406868</v>
      </c>
      <c r="E680" s="22" t="n">
        <f aca="false">LN(C680/C679)</f>
        <v>0.00502166643945914</v>
      </c>
      <c r="F680" s="22" t="n">
        <f aca="false">LN(Summary!$B$13*EXP(D680)+Summary!$B$14*EXP(E680))</f>
        <v>0.00321637184473012</v>
      </c>
      <c r="G680" s="22" t="n">
        <f aca="false">EXP(F680)-1</f>
        <v>0.00322154991870072</v>
      </c>
      <c r="H680" s="21" t="n">
        <f aca="false">EXP(SUM(F429:F680))-1</f>
        <v>0.167208842484714</v>
      </c>
    </row>
    <row r="681" customFormat="false" ht="15" hidden="false" customHeight="false" outlineLevel="0" collapsed="false">
      <c r="A681" s="20" t="n">
        <v>45457</v>
      </c>
      <c r="B681" s="21" t="n">
        <v>527.21344</v>
      </c>
      <c r="C681" s="21" t="n">
        <v>89.691696</v>
      </c>
      <c r="D681" s="22" t="n">
        <f aca="false">LN(B681/B680)</f>
        <v>0.000608321990761838</v>
      </c>
      <c r="E681" s="22" t="n">
        <f aca="false">LN(C681/C680)</f>
        <v>0.00102169767336301</v>
      </c>
      <c r="F681" s="22" t="n">
        <f aca="false">LN(Summary!$B$13*EXP(D681)+Summary!$B$14*EXP(E681))</f>
        <v>0.000773692769902005</v>
      </c>
      <c r="G681" s="22" t="n">
        <f aca="false">EXP(F681)-1</f>
        <v>0.00077399214735685</v>
      </c>
      <c r="H681" s="21" t="n">
        <f aca="false">EXP(SUM(F430:F681))-1</f>
        <v>0.166848314849442</v>
      </c>
    </row>
    <row r="682" customFormat="false" ht="15" hidden="false" customHeight="false" outlineLevel="0" collapsed="false">
      <c r="A682" s="20" t="n">
        <v>45460</v>
      </c>
      <c r="B682" s="21" t="n">
        <v>531.409485</v>
      </c>
      <c r="C682" s="21" t="n">
        <v>89.371124</v>
      </c>
      <c r="D682" s="22" t="n">
        <f aca="false">LN(B682/B681)</f>
        <v>0.0079274062095036</v>
      </c>
      <c r="E682" s="22" t="n">
        <f aca="false">LN(C682/C681)</f>
        <v>-0.00358055728696906</v>
      </c>
      <c r="F682" s="22" t="n">
        <f aca="false">LN(Summary!$B$13*EXP(D682)+Summary!$B$14*EXP(E682))</f>
        <v>0.00334010052846398</v>
      </c>
      <c r="G682" s="22" t="n">
        <f aca="false">EXP(F682)-1</f>
        <v>0.00334568487993492</v>
      </c>
      <c r="H682" s="21" t="n">
        <f aca="false">EXP(SUM(F431:F682))-1</f>
        <v>0.158907666757184</v>
      </c>
    </row>
    <row r="683" customFormat="false" ht="15" hidden="false" customHeight="false" outlineLevel="0" collapsed="false">
      <c r="A683" s="20" t="n">
        <v>45461</v>
      </c>
      <c r="B683" s="21" t="n">
        <v>532.759705</v>
      </c>
      <c r="C683" s="21" t="n">
        <v>89.691696</v>
      </c>
      <c r="D683" s="22" t="n">
        <f aca="false">LN(B683/B682)</f>
        <v>0.00253760536809963</v>
      </c>
      <c r="E683" s="22" t="n">
        <f aca="false">LN(C683/C682)</f>
        <v>0.00358055728696907</v>
      </c>
      <c r="F683" s="22" t="n">
        <f aca="false">LN(Summary!$B$13*EXP(D683)+Summary!$B$14*EXP(E683))</f>
        <v>0.0029549166745627</v>
      </c>
      <c r="G683" s="22" t="n">
        <f aca="false">EXP(F683)-1</f>
        <v>0.00295928674417656</v>
      </c>
      <c r="H683" s="21" t="n">
        <f aca="false">EXP(SUM(F432:F683))-1</f>
        <v>0.166189324895844</v>
      </c>
    </row>
    <row r="684" customFormat="false" ht="15" hidden="false" customHeight="false" outlineLevel="0" collapsed="false">
      <c r="A684" s="20" t="n">
        <v>45463</v>
      </c>
      <c r="B684" s="21" t="n">
        <v>531.312317</v>
      </c>
      <c r="C684" s="21" t="n">
        <v>89.535973</v>
      </c>
      <c r="D684" s="22" t="n">
        <f aca="false">LN(B684/B683)</f>
        <v>-0.00272047166497604</v>
      </c>
      <c r="E684" s="22" t="n">
        <f aca="false">LN(C684/C683)</f>
        <v>-0.00173771204027269</v>
      </c>
      <c r="F684" s="22" t="n">
        <f aca="false">LN(Summary!$B$13*EXP(D684)+Summary!$B$14*EXP(E684))</f>
        <v>-0.00232725190952789</v>
      </c>
      <c r="G684" s="22" t="n">
        <f aca="false">EXP(F684)-1</f>
        <v>-0.00232454595835307</v>
      </c>
      <c r="H684" s="21" t="n">
        <f aca="false">EXP(SUM(F433:F684))-1</f>
        <v>0.166253264261821</v>
      </c>
    </row>
    <row r="685" customFormat="false" ht="15" hidden="false" customHeight="false" outlineLevel="0" collapsed="false">
      <c r="A685" s="20" t="n">
        <v>45464</v>
      </c>
      <c r="B685" s="21" t="n">
        <v>530.600159</v>
      </c>
      <c r="C685" s="21" t="n">
        <v>89.545128</v>
      </c>
      <c r="D685" s="22" t="n">
        <f aca="false">LN(B685/B684)</f>
        <v>-0.0013412745830956</v>
      </c>
      <c r="E685" s="22" t="n">
        <f aca="false">LN(C685/C684)</f>
        <v>0.000102244178272915</v>
      </c>
      <c r="F685" s="22" t="n">
        <f aca="false">LN(Summary!$B$13*EXP(D685)+Summary!$B$14*EXP(E685))</f>
        <v>-0.000763617004934132</v>
      </c>
      <c r="G685" s="22" t="n">
        <f aca="false">EXP(F685)-1</f>
        <v>-0.000763325523667091</v>
      </c>
      <c r="H685" s="21" t="n">
        <f aca="false">EXP(SUM(F434:F685))-1</f>
        <v>0.16819388607913</v>
      </c>
    </row>
    <row r="686" customFormat="false" ht="15" hidden="false" customHeight="false" outlineLevel="0" collapsed="false">
      <c r="A686" s="20" t="n">
        <v>45467</v>
      </c>
      <c r="B686" s="21" t="n">
        <v>528.875366</v>
      </c>
      <c r="C686" s="21" t="n">
        <v>89.618431</v>
      </c>
      <c r="D686" s="22" t="n">
        <f aca="false">LN(B686/B685)</f>
        <v>-0.0032559402893837</v>
      </c>
      <c r="E686" s="22" t="n">
        <f aca="false">LN(C686/C685)</f>
        <v>0.000818280285336347</v>
      </c>
      <c r="F686" s="22" t="n">
        <f aca="false">LN(Summary!$B$13*EXP(D686)+Summary!$B$14*EXP(E686))</f>
        <v>-0.00162425960688116</v>
      </c>
      <c r="G686" s="22" t="n">
        <f aca="false">EXP(F686)-1</f>
        <v>-0.00162294121114814</v>
      </c>
      <c r="H686" s="21" t="n">
        <f aca="false">EXP(SUM(F435:F686))-1</f>
        <v>0.166188046537784</v>
      </c>
    </row>
    <row r="687" customFormat="false" ht="15" hidden="false" customHeight="false" outlineLevel="0" collapsed="false">
      <c r="A687" s="20" t="n">
        <v>45468</v>
      </c>
      <c r="B687" s="21" t="n">
        <v>530.911926</v>
      </c>
      <c r="C687" s="21" t="n">
        <v>89.609253</v>
      </c>
      <c r="D687" s="22" t="n">
        <f aca="false">LN(B687/B686)</f>
        <v>0.00384334200316516</v>
      </c>
      <c r="E687" s="22" t="n">
        <f aca="false">LN(C687/C686)</f>
        <v>-0.000102417213715993</v>
      </c>
      <c r="F687" s="22" t="n">
        <f aca="false">LN(Summary!$B$13*EXP(D687)+Summary!$B$14*EXP(E687))</f>
        <v>0.00226690610578994</v>
      </c>
      <c r="G687" s="22" t="n">
        <f aca="false">EXP(F687)-1</f>
        <v>0.00226947748009043</v>
      </c>
      <c r="H687" s="21" t="n">
        <f aca="false">EXP(SUM(F436:F687))-1</f>
        <v>0.172765717011984</v>
      </c>
    </row>
    <row r="688" customFormat="false" ht="15" hidden="false" customHeight="false" outlineLevel="0" collapsed="false">
      <c r="A688" s="20" t="n">
        <v>45469</v>
      </c>
      <c r="B688" s="21" t="n">
        <v>531.574585</v>
      </c>
      <c r="C688" s="21" t="n">
        <v>89.206245</v>
      </c>
      <c r="D688" s="22" t="n">
        <f aca="false">LN(B688/B687)</f>
        <v>0.00124737411545658</v>
      </c>
      <c r="E688" s="22" t="n">
        <f aca="false">LN(C688/C687)</f>
        <v>-0.00450753639212631</v>
      </c>
      <c r="F688" s="22" t="n">
        <f aca="false">LN(Summary!$B$13*EXP(D688)+Summary!$B$14*EXP(E688))</f>
        <v>-0.00105061733777886</v>
      </c>
      <c r="G688" s="22" t="n">
        <f aca="false">EXP(F688)-1</f>
        <v>-0.0010500656326109</v>
      </c>
      <c r="H688" s="21" t="n">
        <f aca="false">EXP(SUM(F437:F688))-1</f>
        <v>0.17383839780854</v>
      </c>
    </row>
    <row r="689" customFormat="false" ht="15" hidden="false" customHeight="false" outlineLevel="0" collapsed="false">
      <c r="A689" s="20" t="n">
        <v>45470</v>
      </c>
      <c r="B689" s="21" t="n">
        <v>532.412598</v>
      </c>
      <c r="C689" s="21" t="n">
        <v>89.352798</v>
      </c>
      <c r="D689" s="22" t="n">
        <f aca="false">LN(B689/B688)</f>
        <v>0.00157523170706084</v>
      </c>
      <c r="E689" s="22" t="n">
        <f aca="false">LN(C689/C688)</f>
        <v>0.00164150782223728</v>
      </c>
      <c r="F689" s="22" t="n">
        <f aca="false">LN(Summary!$B$13*EXP(D689)+Summary!$B$14*EXP(E689))</f>
        <v>0.00160174268023643</v>
      </c>
      <c r="G689" s="22" t="n">
        <f aca="false">EXP(F689)-1</f>
        <v>0.00160302615521735</v>
      </c>
      <c r="H689" s="21" t="n">
        <f aca="false">EXP(SUM(F438:F689))-1</f>
        <v>0.168933912990271</v>
      </c>
    </row>
    <row r="690" customFormat="false" ht="15" hidden="false" customHeight="false" outlineLevel="0" collapsed="false">
      <c r="A690" s="20" t="n">
        <v>45471</v>
      </c>
      <c r="B690" s="21" t="n">
        <v>530.317444</v>
      </c>
      <c r="C690" s="21" t="n">
        <v>88.913116</v>
      </c>
      <c r="D690" s="22" t="n">
        <f aca="false">LN(B690/B689)</f>
        <v>-0.00394297071061635</v>
      </c>
      <c r="E690" s="22" t="n">
        <f aca="false">LN(C690/C689)</f>
        <v>-0.00493288797295123</v>
      </c>
      <c r="F690" s="22" t="n">
        <f aca="false">LN(Summary!$B$13*EXP(D690)+Summary!$B$14*EXP(E690))</f>
        <v>-0.00433882003097264</v>
      </c>
      <c r="G690" s="22" t="n">
        <f aca="false">EXP(F690)-1</f>
        <v>-0.00432942094989608</v>
      </c>
      <c r="H690" s="21" t="n">
        <f aca="false">EXP(SUM(F439:F690))-1</f>
        <v>0.162148428259912</v>
      </c>
    </row>
    <row r="691" customFormat="false" ht="15" hidden="false" customHeight="false" outlineLevel="0" collapsed="false">
      <c r="A691" s="20" t="n">
        <v>45474</v>
      </c>
      <c r="B691" s="21" t="n">
        <v>531.408813</v>
      </c>
      <c r="C691" s="21" t="n">
        <v>88.436249</v>
      </c>
      <c r="D691" s="22" t="n">
        <f aca="false">LN(B691/B690)</f>
        <v>0.0020558394919436</v>
      </c>
      <c r="E691" s="22" t="n">
        <f aca="false">LN(C691/C690)</f>
        <v>-0.00537772604087333</v>
      </c>
      <c r="F691" s="22" t="n">
        <f aca="false">LN(Summary!$B$13*EXP(D691)+Summary!$B$14*EXP(E691))</f>
        <v>-0.000910959073123013</v>
      </c>
      <c r="G691" s="22" t="n">
        <f aca="false">EXP(F691)-1</f>
        <v>-0.000910544275870562</v>
      </c>
      <c r="H691" s="21" t="n">
        <f aca="false">EXP(SUM(F440:F691))-1</f>
        <v>0.161929277982371</v>
      </c>
    </row>
    <row r="692" customFormat="false" ht="15" hidden="false" customHeight="false" outlineLevel="0" collapsed="false">
      <c r="A692" s="20" t="n">
        <v>45475</v>
      </c>
      <c r="B692" s="21" t="n">
        <v>534.985168</v>
      </c>
      <c r="C692" s="21" t="n">
        <v>88.730293</v>
      </c>
      <c r="D692" s="22" t="n">
        <f aca="false">LN(B692/B691)</f>
        <v>0.00670740546523909</v>
      </c>
      <c r="E692" s="22" t="n">
        <f aca="false">LN(C692/C691)</f>
        <v>0.00331941083992381</v>
      </c>
      <c r="F692" s="22" t="n">
        <f aca="false">LN(Summary!$B$13*EXP(D692)+Summary!$B$14*EXP(E692))</f>
        <v>0.0053535847243303</v>
      </c>
      <c r="G692" s="22" t="n">
        <f aca="false">EXP(F692)-1</f>
        <v>0.0053679407663596</v>
      </c>
      <c r="H692" s="21" t="n">
        <f aca="false">EXP(SUM(F441:F692))-1</f>
        <v>0.15886997244773</v>
      </c>
    </row>
    <row r="693" customFormat="false" ht="15" hidden="false" customHeight="false" outlineLevel="0" collapsed="false">
      <c r="A693" s="20" t="n">
        <v>45476</v>
      </c>
      <c r="B693" s="21" t="n">
        <v>537.372559</v>
      </c>
      <c r="C693" s="21" t="n">
        <v>89.208092</v>
      </c>
      <c r="D693" s="22" t="n">
        <f aca="false">LN(B693/B692)</f>
        <v>0.00445260920717463</v>
      </c>
      <c r="E693" s="22" t="n">
        <f aca="false">LN(C693/C692)</f>
        <v>0.00537039996577816</v>
      </c>
      <c r="F693" s="22" t="n">
        <f aca="false">LN(Summary!$B$13*EXP(D693)+Summary!$B$14*EXP(E693))</f>
        <v>0.00481982659758289</v>
      </c>
      <c r="G693" s="22" t="n">
        <f aca="false">EXP(F693)-1</f>
        <v>0.00483146064565321</v>
      </c>
      <c r="H693" s="21" t="n">
        <f aca="false">EXP(SUM(F442:F693))-1</f>
        <v>0.164213517596988</v>
      </c>
    </row>
    <row r="694" customFormat="false" ht="15" hidden="false" customHeight="false" outlineLevel="0" collapsed="false">
      <c r="A694" s="20" t="n">
        <v>45478</v>
      </c>
      <c r="B694" s="21" t="n">
        <v>540.471313</v>
      </c>
      <c r="C694" s="21" t="n">
        <v>89.658295</v>
      </c>
      <c r="D694" s="22" t="n">
        <f aca="false">LN(B694/B693)</f>
        <v>0.00574992838572346</v>
      </c>
      <c r="E694" s="22" t="n">
        <f aca="false">LN(C694/C693)</f>
        <v>0.00503396930257268</v>
      </c>
      <c r="F694" s="22" t="n">
        <f aca="false">LN(Summary!$B$13*EXP(D694)+Summary!$B$14*EXP(E694))</f>
        <v>0.00546360626121514</v>
      </c>
      <c r="G694" s="22" t="n">
        <f aca="false">EXP(F694)-1</f>
        <v>0.00547855897741867</v>
      </c>
      <c r="H694" s="21" t="n">
        <f aca="false">EXP(SUM(F443:F694))-1</f>
        <v>0.173756302738232</v>
      </c>
    </row>
    <row r="695" customFormat="false" ht="15" hidden="false" customHeight="false" outlineLevel="0" collapsed="false">
      <c r="A695" s="20" t="n">
        <v>45481</v>
      </c>
      <c r="B695" s="21" t="n">
        <v>541.094971</v>
      </c>
      <c r="C695" s="21" t="n">
        <v>89.685837</v>
      </c>
      <c r="D695" s="22" t="n">
        <f aca="false">LN(B695/B694)</f>
        <v>0.00115324983470235</v>
      </c>
      <c r="E695" s="22" t="n">
        <f aca="false">LN(C695/C694)</f>
        <v>0.00030714135901051</v>
      </c>
      <c r="F695" s="22" t="n">
        <f aca="false">LN(Summary!$B$13*EXP(D695)+Summary!$B$14*EXP(E695))</f>
        <v>0.000814892347523936</v>
      </c>
      <c r="G695" s="22" t="n">
        <f aca="false">EXP(F695)-1</f>
        <v>0.000815224462499486</v>
      </c>
      <c r="H695" s="21" t="n">
        <f aca="false">EXP(SUM(F444:F695))-1</f>
        <v>0.183342827139549</v>
      </c>
    </row>
    <row r="696" customFormat="false" ht="15" hidden="false" customHeight="false" outlineLevel="0" collapsed="false">
      <c r="A696" s="20" t="n">
        <v>45482</v>
      </c>
      <c r="B696" s="21" t="n">
        <v>541.621216</v>
      </c>
      <c r="C696" s="21" t="n">
        <v>89.603157</v>
      </c>
      <c r="D696" s="22" t="n">
        <f aca="false">LN(B696/B695)</f>
        <v>0.000972083077279199</v>
      </c>
      <c r="E696" s="22" t="n">
        <f aca="false">LN(C696/C695)</f>
        <v>-0.000922309886584823</v>
      </c>
      <c r="F696" s="22" t="n">
        <f aca="false">LN(Summary!$B$13*EXP(D696)+Summary!$B$14*EXP(E696))</f>
        <v>0.000214756484253443</v>
      </c>
      <c r="G696" s="22" t="n">
        <f aca="false">EXP(F696)-1</f>
        <v>0.00021477954607807</v>
      </c>
      <c r="H696" s="21" t="n">
        <f aca="false">EXP(SUM(F445:F696))-1</f>
        <v>0.185294251504565</v>
      </c>
    </row>
    <row r="697" customFormat="false" ht="15" hidden="false" customHeight="false" outlineLevel="0" collapsed="false">
      <c r="A697" s="20" t="n">
        <v>45483</v>
      </c>
      <c r="B697" s="21" t="n">
        <v>546.980652</v>
      </c>
      <c r="C697" s="21" t="n">
        <v>89.695038</v>
      </c>
      <c r="D697" s="22" t="n">
        <f aca="false">LN(B697/B696)</f>
        <v>0.00984653702913411</v>
      </c>
      <c r="E697" s="22" t="n">
        <f aca="false">LN(C697/C696)</f>
        <v>0.00102489607374744</v>
      </c>
      <c r="F697" s="22" t="n">
        <f aca="false">LN(Summary!$B$13*EXP(D697)+Summary!$B$14*EXP(E697))</f>
        <v>0.00632721369017401</v>
      </c>
      <c r="G697" s="22" t="n">
        <f aca="false">EXP(F697)-1</f>
        <v>0.00634727279046987</v>
      </c>
      <c r="H697" s="21" t="n">
        <f aca="false">EXP(SUM(F446:F697))-1</f>
        <v>0.189679757039409</v>
      </c>
    </row>
    <row r="698" customFormat="false" ht="15" hidden="false" customHeight="false" outlineLevel="0" collapsed="false">
      <c r="A698" s="20" t="n">
        <v>45484</v>
      </c>
      <c r="B698" s="21" t="n">
        <v>542.264282</v>
      </c>
      <c r="C698" s="21" t="n">
        <v>90.154457</v>
      </c>
      <c r="D698" s="22" t="n">
        <f aca="false">LN(B698/B697)</f>
        <v>-0.00865994291630599</v>
      </c>
      <c r="E698" s="22" t="n">
        <f aca="false">LN(C698/C697)</f>
        <v>0.00510893844082037</v>
      </c>
      <c r="F698" s="22" t="n">
        <f aca="false">LN(Summary!$B$13*EXP(D698)+Summary!$B$14*EXP(E698))</f>
        <v>-0.00312961979804194</v>
      </c>
      <c r="G698" s="22" t="n">
        <f aca="false">EXP(F698)-1</f>
        <v>-0.00312472764286109</v>
      </c>
      <c r="H698" s="21" t="n">
        <f aca="false">EXP(SUM(F447:F698))-1</f>
        <v>0.180427618982392</v>
      </c>
    </row>
    <row r="699" customFormat="false" ht="15" hidden="false" customHeight="false" outlineLevel="0" collapsed="false">
      <c r="A699" s="20" t="n">
        <v>45485</v>
      </c>
      <c r="B699" s="21" t="n">
        <v>545.684631</v>
      </c>
      <c r="C699" s="21" t="n">
        <v>90.402519</v>
      </c>
      <c r="D699" s="22" t="n">
        <f aca="false">LN(B699/B698)</f>
        <v>0.00628772220437108</v>
      </c>
      <c r="E699" s="22" t="n">
        <f aca="false">LN(C699/C698)</f>
        <v>0.00274774380441895</v>
      </c>
      <c r="F699" s="22" t="n">
        <f aca="false">LN(Summary!$B$13*EXP(D699)+Summary!$B$14*EXP(E699))</f>
        <v>0.00487323426245997</v>
      </c>
      <c r="G699" s="22" t="n">
        <f aca="false">EXP(F699)-1</f>
        <v>0.00488512778066674</v>
      </c>
      <c r="H699" s="21" t="n">
        <f aca="false">EXP(SUM(F448:F699))-1</f>
        <v>0.176680721412703</v>
      </c>
    </row>
    <row r="700" customFormat="false" ht="15" hidden="false" customHeight="false" outlineLevel="0" collapsed="false">
      <c r="A700" s="20" t="n">
        <v>45488</v>
      </c>
      <c r="B700" s="21" t="n">
        <v>547.185364</v>
      </c>
      <c r="C700" s="21" t="n">
        <v>90.090134</v>
      </c>
      <c r="D700" s="22" t="n">
        <f aca="false">LN(B700/B699)</f>
        <v>0.0027464089053079</v>
      </c>
      <c r="E700" s="22" t="n">
        <f aca="false">LN(C700/C699)</f>
        <v>-0.00346147399042558</v>
      </c>
      <c r="F700" s="22" t="n">
        <f aca="false">LN(Summary!$B$13*EXP(D700)+Summary!$B$14*EXP(E700))</f>
        <v>0.000267878363786613</v>
      </c>
      <c r="G700" s="22" t="n">
        <f aca="false">EXP(F700)-1</f>
        <v>0.000267914246399492</v>
      </c>
      <c r="H700" s="21" t="n">
        <f aca="false">EXP(SUM(F449:F700))-1</f>
        <v>0.168515935654082</v>
      </c>
    </row>
    <row r="701" customFormat="false" ht="15" hidden="false" customHeight="false" outlineLevel="0" collapsed="false">
      <c r="A701" s="20" t="n">
        <v>45489</v>
      </c>
      <c r="B701" s="21" t="n">
        <v>550.430176</v>
      </c>
      <c r="C701" s="21" t="n">
        <v>90.457657</v>
      </c>
      <c r="D701" s="22" t="n">
        <f aca="false">LN(B701/B700)</f>
        <v>0.00591249182305395</v>
      </c>
      <c r="E701" s="22" t="n">
        <f aca="false">LN(C701/C700)</f>
        <v>0.00407120469983541</v>
      </c>
      <c r="F701" s="22" t="n">
        <f aca="false">LN(Summary!$B$13*EXP(D701)+Summary!$B$14*EXP(E701))</f>
        <v>0.0051763837643677</v>
      </c>
      <c r="G701" s="22" t="n">
        <f aca="false">EXP(F701)-1</f>
        <v>0.00518980438557515</v>
      </c>
      <c r="H701" s="21" t="n">
        <f aca="false">EXP(SUM(F450:F701))-1</f>
        <v>0.177269283448547</v>
      </c>
    </row>
    <row r="702" customFormat="false" ht="15" hidden="false" customHeight="false" outlineLevel="0" collapsed="false">
      <c r="A702" s="20" t="n">
        <v>45490</v>
      </c>
      <c r="B702" s="21" t="n">
        <v>542.712585</v>
      </c>
      <c r="C702" s="21" t="n">
        <v>90.521996</v>
      </c>
      <c r="D702" s="22" t="n">
        <f aca="false">LN(B702/B701)</f>
        <v>-0.0141202402896597</v>
      </c>
      <c r="E702" s="22" t="n">
        <f aca="false">LN(C702/C701)</f>
        <v>0.000711008134273135</v>
      </c>
      <c r="F702" s="22" t="n">
        <f aca="false">LN(Summary!$B$13*EXP(D702)+Summary!$B$14*EXP(E702))</f>
        <v>-0.00816131912298539</v>
      </c>
      <c r="G702" s="22" t="n">
        <f aca="false">EXP(F702)-1</f>
        <v>-0.00812810597385894</v>
      </c>
      <c r="H702" s="21" t="n">
        <f aca="false">EXP(SUM(F451:F702))-1</f>
        <v>0.16475053119336</v>
      </c>
    </row>
    <row r="703" customFormat="false" ht="15" hidden="false" customHeight="false" outlineLevel="0" collapsed="false">
      <c r="A703" s="20" t="n">
        <v>45491</v>
      </c>
      <c r="B703" s="21" t="n">
        <v>538.541931</v>
      </c>
      <c r="C703" s="21" t="n">
        <v>90.273903</v>
      </c>
      <c r="D703" s="22" t="n">
        <f aca="false">LN(B703/B702)</f>
        <v>-0.00771451054771704</v>
      </c>
      <c r="E703" s="22" t="n">
        <f aca="false">LN(C703/C702)</f>
        <v>-0.00274445556666564</v>
      </c>
      <c r="F703" s="22" t="n">
        <f aca="false">LN(Summary!$B$13*EXP(D703)+Summary!$B$14*EXP(E703))</f>
        <v>-0.00572352340226135</v>
      </c>
      <c r="G703" s="22" t="n">
        <f aca="false">EXP(F703)-1</f>
        <v>-0.00570717524674735</v>
      </c>
      <c r="H703" s="21" t="n">
        <f aca="false">EXP(SUM(F452:F703))-1</f>
        <v>0.152588297672362</v>
      </c>
    </row>
    <row r="704" customFormat="false" ht="15" hidden="false" customHeight="false" outlineLevel="0" collapsed="false">
      <c r="A704" s="20" t="n">
        <v>45492</v>
      </c>
      <c r="B704" s="21" t="n">
        <v>534.965637</v>
      </c>
      <c r="C704" s="21" t="n">
        <v>90.090134</v>
      </c>
      <c r="D704" s="22" t="n">
        <f aca="false">LN(B704/B703)</f>
        <v>-0.00666284493364945</v>
      </c>
      <c r="E704" s="22" t="n">
        <f aca="false">LN(C704/C703)</f>
        <v>-0.00203775726744278</v>
      </c>
      <c r="F704" s="22" t="n">
        <f aca="false">LN(Summary!$B$13*EXP(D704)+Summary!$B$14*EXP(E704))</f>
        <v>-0.00481024210537315</v>
      </c>
      <c r="G704" s="22" t="n">
        <f aca="false">EXP(F704)-1</f>
        <v>-0.00479869141877165</v>
      </c>
      <c r="H704" s="21" t="n">
        <f aca="false">EXP(SUM(F453:F704))-1</f>
        <v>0.144131688631719</v>
      </c>
    </row>
    <row r="705" customFormat="false" ht="15" hidden="false" customHeight="false" outlineLevel="0" collapsed="false">
      <c r="A705" s="20" t="n">
        <v>45495</v>
      </c>
      <c r="B705" s="21" t="n">
        <v>540.48114</v>
      </c>
      <c r="C705" s="21" t="n">
        <v>90.053383</v>
      </c>
      <c r="D705" s="22" t="n">
        <f aca="false">LN(B705/B704)</f>
        <v>0.0102572279268094</v>
      </c>
      <c r="E705" s="22" t="n">
        <f aca="false">LN(C705/C704)</f>
        <v>-0.000408019129657256</v>
      </c>
      <c r="F705" s="22" t="n">
        <f aca="false">LN(Summary!$B$13*EXP(D705)+Summary!$B$14*EXP(E705))</f>
        <v>0.00600476904160934</v>
      </c>
      <c r="G705" s="22" t="n">
        <f aca="false">EXP(F705)-1</f>
        <v>0.00602283380737889</v>
      </c>
      <c r="H705" s="21" t="n">
        <f aca="false">EXP(SUM(F454:F705))-1</f>
        <v>0.158032463268606</v>
      </c>
    </row>
    <row r="706" customFormat="false" ht="15" hidden="false" customHeight="false" outlineLevel="0" collapsed="false">
      <c r="A706" s="20" t="n">
        <v>45496</v>
      </c>
      <c r="B706" s="21" t="n">
        <v>539.633301</v>
      </c>
      <c r="C706" s="21" t="n">
        <v>90.044189</v>
      </c>
      <c r="D706" s="22" t="n">
        <f aca="false">LN(B706/B705)</f>
        <v>-0.00156990619132442</v>
      </c>
      <c r="E706" s="22" t="n">
        <f aca="false">LN(C706/C705)</f>
        <v>-0.000102100210523465</v>
      </c>
      <c r="F706" s="22" t="n">
        <f aca="false">LN(Summary!$B$13*EXP(D706)+Summary!$B$14*EXP(E706))</f>
        <v>-0.00098252523919825</v>
      </c>
      <c r="G706" s="22" t="n">
        <f aca="false">EXP(F706)-1</f>
        <v>-0.000982042719317677</v>
      </c>
      <c r="H706" s="21" t="n">
        <f aca="false">EXP(SUM(F455:F706))-1</f>
        <v>0.156564611251037</v>
      </c>
    </row>
    <row r="707" customFormat="false" ht="15" hidden="false" customHeight="false" outlineLevel="0" collapsed="false">
      <c r="A707" s="20" t="n">
        <v>45497</v>
      </c>
      <c r="B707" s="21" t="n">
        <v>527.403748</v>
      </c>
      <c r="C707" s="21" t="n">
        <v>89.768524</v>
      </c>
      <c r="D707" s="22" t="n">
        <f aca="false">LN(B707/B706)</f>
        <v>-0.0229234562077007</v>
      </c>
      <c r="E707" s="22" t="n">
        <f aca="false">LN(C707/C706)</f>
        <v>-0.00306613710861528</v>
      </c>
      <c r="F707" s="22" t="n">
        <f aca="false">LN(Summary!$B$13*EXP(D707)+Summary!$B$14*EXP(E707))</f>
        <v>-0.01493314903987</v>
      </c>
      <c r="G707" s="22" t="n">
        <f aca="false">EXP(F707)-1</f>
        <v>-0.0148222025166326</v>
      </c>
      <c r="H707" s="21" t="n">
        <f aca="false">EXP(SUM(F456:F707))-1</f>
        <v>0.13720911786427</v>
      </c>
    </row>
    <row r="708" customFormat="false" ht="15" hidden="false" customHeight="false" outlineLevel="0" collapsed="false">
      <c r="A708" s="20" t="n">
        <v>45498</v>
      </c>
      <c r="B708" s="21" t="n">
        <v>524.655823</v>
      </c>
      <c r="C708" s="21" t="n">
        <v>90.016624</v>
      </c>
      <c r="D708" s="22" t="n">
        <f aca="false">LN(B708/B707)</f>
        <v>-0.00522390808430155</v>
      </c>
      <c r="E708" s="22" t="n">
        <f aca="false">LN(C708/C707)</f>
        <v>0.00275996276944531</v>
      </c>
      <c r="F708" s="22" t="n">
        <f aca="false">LN(Summary!$B$13*EXP(D708)+Summary!$B$14*EXP(E708))</f>
        <v>-0.00202270662617197</v>
      </c>
      <c r="G708" s="22" t="n">
        <f aca="false">EXP(F708)-1</f>
        <v>-0.00202066233369114</v>
      </c>
      <c r="H708" s="21" t="n">
        <f aca="false">EXP(SUM(F457:F708))-1</f>
        <v>0.133564380500404</v>
      </c>
    </row>
    <row r="709" customFormat="false" ht="15" hidden="false" customHeight="false" outlineLevel="0" collapsed="false">
      <c r="A709" s="20" t="n">
        <v>45499</v>
      </c>
      <c r="B709" s="21" t="n">
        <v>530.531799</v>
      </c>
      <c r="C709" s="21" t="n">
        <v>90.338203</v>
      </c>
      <c r="D709" s="22" t="n">
        <f aca="false">LN(B709/B708)</f>
        <v>0.0111374254520572</v>
      </c>
      <c r="E709" s="22" t="n">
        <f aca="false">LN(C709/C708)</f>
        <v>0.00356607412331893</v>
      </c>
      <c r="F709" s="22" t="n">
        <f aca="false">LN(Summary!$B$13*EXP(D709)+Summary!$B$14*EXP(E709))</f>
        <v>0.00811576047719104</v>
      </c>
      <c r="G709" s="22" t="n">
        <f aca="false">EXP(F709)-1</f>
        <v>0.00814878253383689</v>
      </c>
      <c r="H709" s="21" t="n">
        <f aca="false">EXP(SUM(F458:F709))-1</f>
        <v>0.141201103836299</v>
      </c>
    </row>
    <row r="710" customFormat="false" ht="15" hidden="false" customHeight="false" outlineLevel="0" collapsed="false">
      <c r="A710" s="20" t="n">
        <v>45502</v>
      </c>
      <c r="B710" s="21" t="n">
        <v>530.84375</v>
      </c>
      <c r="C710" s="21" t="n">
        <v>90.485214</v>
      </c>
      <c r="D710" s="22" t="n">
        <f aca="false">LN(B710/B709)</f>
        <v>0.000587823997408721</v>
      </c>
      <c r="E710" s="22" t="n">
        <f aca="false">LN(C710/C709)</f>
        <v>0.00162601763454792</v>
      </c>
      <c r="F710" s="22" t="n">
        <f aca="false">LN(Summary!$B$13*EXP(D710)+Summary!$B$14*EXP(E710))</f>
        <v>0.00100323080273482</v>
      </c>
      <c r="G710" s="22" t="n">
        <f aca="false">EXP(F710)-1</f>
        <v>0.0010037342070861</v>
      </c>
      <c r="H710" s="21" t="n">
        <f aca="false">EXP(SUM(F459:F710))-1</f>
        <v>0.150869861621321</v>
      </c>
    </row>
    <row r="711" customFormat="false" ht="15" hidden="false" customHeight="false" outlineLevel="0" collapsed="false">
      <c r="A711" s="20" t="n">
        <v>45503</v>
      </c>
      <c r="B711" s="21" t="n">
        <v>528.154236</v>
      </c>
      <c r="C711" s="21" t="n">
        <v>90.577087</v>
      </c>
      <c r="D711" s="22" t="n">
        <f aca="false">LN(B711/B710)</f>
        <v>-0.00507936713384084</v>
      </c>
      <c r="E711" s="22" t="n">
        <f aca="false">LN(C711/C710)</f>
        <v>0.00101482205160678</v>
      </c>
      <c r="F711" s="22" t="n">
        <f aca="false">LN(Summary!$B$13*EXP(D711)+Summary!$B$14*EXP(E711))</f>
        <v>-0.00263723295805401</v>
      </c>
      <c r="G711" s="22" t="n">
        <f aca="false">EXP(F711)-1</f>
        <v>-0.00263375851419356</v>
      </c>
      <c r="H711" s="21" t="n">
        <f aca="false">EXP(SUM(F460:F711))-1</f>
        <v>0.139363638997039</v>
      </c>
    </row>
    <row r="712" customFormat="false" ht="15" hidden="false" customHeight="false" outlineLevel="0" collapsed="false">
      <c r="A712" s="20" t="n">
        <v>45504</v>
      </c>
      <c r="B712" s="21" t="n">
        <v>536.739136</v>
      </c>
      <c r="C712" s="21" t="n">
        <v>91.064072</v>
      </c>
      <c r="D712" s="22" t="n">
        <f aca="false">LN(B712/B711)</f>
        <v>0.0161238415329568</v>
      </c>
      <c r="E712" s="22" t="n">
        <f aca="false">LN(C712/C711)</f>
        <v>0.00536206848147771</v>
      </c>
      <c r="F712" s="22" t="n">
        <f aca="false">LN(Summary!$B$13*EXP(D712)+Summary!$B$14*EXP(E712))</f>
        <v>0.0118330201734976</v>
      </c>
      <c r="G712" s="22" t="n">
        <f aca="false">EXP(F712)-1</f>
        <v>0.0119033073195223</v>
      </c>
      <c r="H712" s="21" t="n">
        <f aca="false">EXP(SUM(F461:F712))-1</f>
        <v>0.15104461859929</v>
      </c>
    </row>
    <row r="713" customFormat="false" ht="15" hidden="false" customHeight="false" outlineLevel="0" collapsed="false">
      <c r="A713" s="20" t="n">
        <v>45505</v>
      </c>
      <c r="B713" s="21" t="n">
        <v>529.138489</v>
      </c>
      <c r="C713" s="21" t="n">
        <v>91.445641</v>
      </c>
      <c r="D713" s="22" t="n">
        <f aca="false">LN(B713/B712)</f>
        <v>-0.0142620046716071</v>
      </c>
      <c r="E713" s="22" t="n">
        <f aca="false">LN(C713/C712)</f>
        <v>0.00418136163458923</v>
      </c>
      <c r="F713" s="22" t="n">
        <f aca="false">LN(Summary!$B$13*EXP(D713)+Summary!$B$14*EXP(E713))</f>
        <v>-0.0068437895393181</v>
      </c>
      <c r="G713" s="22" t="n">
        <f aca="false">EXP(F713)-1</f>
        <v>-0.00682042414468875</v>
      </c>
      <c r="H713" s="21" t="n">
        <f aca="false">EXP(SUM(F462:F713))-1</f>
        <v>0.148206442113159</v>
      </c>
    </row>
    <row r="714" customFormat="false" ht="15" hidden="false" customHeight="false" outlineLevel="0" collapsed="false">
      <c r="A714" s="20" t="n">
        <v>45506</v>
      </c>
      <c r="B714" s="21" t="n">
        <v>519.286804</v>
      </c>
      <c r="C714" s="21" t="n">
        <v>92.468658</v>
      </c>
      <c r="D714" s="22" t="n">
        <f aca="false">LN(B714/B713)</f>
        <v>-0.0187938521500563</v>
      </c>
      <c r="E714" s="22" t="n">
        <f aca="false">LN(C714/C713)</f>
        <v>0.0111250463593485</v>
      </c>
      <c r="F714" s="22" t="n">
        <f aca="false">LN(Summary!$B$13*EXP(D714)+Summary!$B$14*EXP(E714))</f>
        <v>-0.00671866517826593</v>
      </c>
      <c r="G714" s="22" t="n">
        <f aca="false">EXP(F714)-1</f>
        <v>-0.0066961454098633</v>
      </c>
      <c r="H714" s="21" t="n">
        <f aca="false">EXP(SUM(F463:F714))-1</f>
        <v>0.151220936980486</v>
      </c>
    </row>
    <row r="715" customFormat="false" ht="15" hidden="false" customHeight="false" outlineLevel="0" collapsed="false">
      <c r="A715" s="20" t="n">
        <v>45509</v>
      </c>
      <c r="B715" s="21" t="n">
        <v>504.163147</v>
      </c>
      <c r="C715" s="21" t="n">
        <v>92.394928</v>
      </c>
      <c r="D715" s="22" t="n">
        <f aca="false">LN(B715/B714)</f>
        <v>-0.0295564193415435</v>
      </c>
      <c r="E715" s="22" t="n">
        <f aca="false">LN(C715/C714)</f>
        <v>-0.000797669303130372</v>
      </c>
      <c r="F715" s="22" t="n">
        <f aca="false">LN(Summary!$B$13*EXP(D715)+Summary!$B$14*EXP(E715))</f>
        <v>-0.0179534841831427</v>
      </c>
      <c r="G715" s="22" t="n">
        <f aca="false">EXP(F715)-1</f>
        <v>-0.0177932805564159</v>
      </c>
      <c r="H715" s="21" t="n">
        <f aca="false">EXP(SUM(F464:F715))-1</f>
        <v>0.135748758059826</v>
      </c>
    </row>
    <row r="716" customFormat="false" ht="15" hidden="false" customHeight="false" outlineLevel="0" collapsed="false">
      <c r="A716" s="20" t="n">
        <v>45510</v>
      </c>
      <c r="B716" s="21" t="n">
        <v>508.811371</v>
      </c>
      <c r="C716" s="21" t="n">
        <v>91.841942</v>
      </c>
      <c r="D716" s="22" t="n">
        <f aca="false">LN(B716/B715)</f>
        <v>0.00917744038421317</v>
      </c>
      <c r="E716" s="22" t="n">
        <f aca="false">LN(C716/C715)</f>
        <v>-0.0060030075480607</v>
      </c>
      <c r="F716" s="22" t="n">
        <f aca="false">LN(Summary!$B$13*EXP(D716)+Summary!$B$14*EXP(E716))</f>
        <v>0.00313288651199201</v>
      </c>
      <c r="G716" s="22" t="n">
        <f aca="false">EXP(F716)-1</f>
        <v>0.00313779912982559</v>
      </c>
      <c r="H716" s="21" t="n">
        <f aca="false">EXP(SUM(F465:F716))-1</f>
        <v>0.138650038773244</v>
      </c>
    </row>
    <row r="717" customFormat="false" ht="15" hidden="false" customHeight="false" outlineLevel="0" collapsed="false">
      <c r="A717" s="20" t="n">
        <v>45511</v>
      </c>
      <c r="B717" s="21" t="n">
        <v>505.410461</v>
      </c>
      <c r="C717" s="21" t="n">
        <v>91.565468</v>
      </c>
      <c r="D717" s="22" t="n">
        <f aca="false">LN(B717/B716)</f>
        <v>-0.00670646724315504</v>
      </c>
      <c r="E717" s="22" t="n">
        <f aca="false">LN(C717/C716)</f>
        <v>-0.00301486411498132</v>
      </c>
      <c r="F717" s="22" t="n">
        <f aca="false">LN(Summary!$B$13*EXP(D717)+Summary!$B$14*EXP(E717))</f>
        <v>-0.00522819023819308</v>
      </c>
      <c r="G717" s="22" t="n">
        <f aca="false">EXP(F717)-1</f>
        <v>-0.00521454703837976</v>
      </c>
      <c r="H717" s="21" t="n">
        <f aca="false">EXP(SUM(F466:F717))-1</f>
        <v>0.126718311410234</v>
      </c>
    </row>
    <row r="718" customFormat="false" ht="15" hidden="false" customHeight="false" outlineLevel="0" collapsed="false">
      <c r="A718" s="20" t="n">
        <v>45512</v>
      </c>
      <c r="B718" s="21" t="n">
        <v>517.094238</v>
      </c>
      <c r="C718" s="21" t="n">
        <v>91.427208</v>
      </c>
      <c r="D718" s="22" t="n">
        <f aca="false">LN(B718/B717)</f>
        <v>0.0228542432311454</v>
      </c>
      <c r="E718" s="22" t="n">
        <f aca="false">LN(C718/C717)</f>
        <v>-0.00151109901588421</v>
      </c>
      <c r="F718" s="22" t="n">
        <f aca="false">LN(Summary!$B$13*EXP(D718)+Summary!$B$14*EXP(E718))</f>
        <v>0.013179229456662</v>
      </c>
      <c r="G718" s="22" t="n">
        <f aca="false">EXP(F718)-1</f>
        <v>0.0132664582828737</v>
      </c>
      <c r="H718" s="21" t="n">
        <f aca="false">EXP(SUM(F467:F718))-1</f>
        <v>0.143561822903621</v>
      </c>
    </row>
    <row r="719" customFormat="false" ht="15" hidden="false" customHeight="false" outlineLevel="0" collapsed="false">
      <c r="A719" s="20" t="n">
        <v>45513</v>
      </c>
      <c r="B719" s="21" t="n">
        <v>519.374451</v>
      </c>
      <c r="C719" s="21" t="n">
        <v>91.749794</v>
      </c>
      <c r="D719" s="22" t="n">
        <f aca="false">LN(B719/B718)</f>
        <v>0.00439997214174585</v>
      </c>
      <c r="E719" s="22" t="n">
        <f aca="false">LN(C719/C718)</f>
        <v>0.00352212701333979</v>
      </c>
      <c r="F719" s="22" t="n">
        <f aca="false">LN(Summary!$B$13*EXP(D719)+Summary!$B$14*EXP(E719))</f>
        <v>0.00404892655841732</v>
      </c>
      <c r="G719" s="22" t="n">
        <f aca="false">EXP(F719)-1</f>
        <v>0.0040571345356486</v>
      </c>
      <c r="H719" s="21" t="n">
        <f aca="false">EXP(SUM(F468:F719))-1</f>
        <v>0.152491261405727</v>
      </c>
    </row>
    <row r="720" customFormat="false" ht="15" hidden="false" customHeight="false" outlineLevel="0" collapsed="false">
      <c r="A720" s="20" t="n">
        <v>45516</v>
      </c>
      <c r="B720" s="21" t="n">
        <v>519.647156</v>
      </c>
      <c r="C720" s="21" t="n">
        <v>91.906464</v>
      </c>
      <c r="D720" s="22" t="n">
        <f aca="false">LN(B720/B719)</f>
        <v>0.000524926535549804</v>
      </c>
      <c r="E720" s="22" t="n">
        <f aca="false">LN(C720/C719)</f>
        <v>0.00170612251071388</v>
      </c>
      <c r="F720" s="22" t="n">
        <f aca="false">LN(Summary!$B$13*EXP(D720)+Summary!$B$14*EXP(E720))</f>
        <v>0.000997572365663027</v>
      </c>
      <c r="G720" s="22" t="n">
        <f aca="false">EXP(F720)-1</f>
        <v>0.00099807010647246</v>
      </c>
      <c r="H720" s="21" t="n">
        <f aca="false">EXP(SUM(F469:F720))-1</f>
        <v>0.156396863515927</v>
      </c>
    </row>
    <row r="721" customFormat="false" ht="15" hidden="false" customHeight="false" outlineLevel="0" collapsed="false">
      <c r="A721" s="20" t="n">
        <v>45517</v>
      </c>
      <c r="B721" s="21" t="n">
        <v>528.193176</v>
      </c>
      <c r="C721" s="21" t="n">
        <v>92.275139</v>
      </c>
      <c r="D721" s="22" t="n">
        <f aca="false">LN(B721/B720)</f>
        <v>0.0163120453258523</v>
      </c>
      <c r="E721" s="22" t="n">
        <f aca="false">LN(C721/C720)</f>
        <v>0.00400339107050073</v>
      </c>
      <c r="F721" s="22" t="n">
        <f aca="false">LN(Summary!$B$13*EXP(D721)+Summary!$B$14*EXP(E721))</f>
        <v>0.0114067489608991</v>
      </c>
      <c r="G721" s="22" t="n">
        <f aca="false">EXP(F721)-1</f>
        <v>0.0114720539916484</v>
      </c>
      <c r="H721" s="21" t="n">
        <f aca="false">EXP(SUM(F470:F721))-1</f>
        <v>0.171531469609762</v>
      </c>
    </row>
    <row r="722" customFormat="false" ht="15" hidden="false" customHeight="false" outlineLevel="0" collapsed="false">
      <c r="A722" s="20" t="n">
        <v>45518</v>
      </c>
      <c r="B722" s="21" t="n">
        <v>529.859436</v>
      </c>
      <c r="C722" s="21" t="n">
        <v>92.441048</v>
      </c>
      <c r="D722" s="22" t="n">
        <f aca="false">LN(B722/B721)</f>
        <v>0.00314967584524033</v>
      </c>
      <c r="E722" s="22" t="n">
        <f aca="false">LN(C722/C721)</f>
        <v>0.00179636714366331</v>
      </c>
      <c r="F722" s="22" t="n">
        <f aca="false">LN(Summary!$B$13*EXP(D722)+Summary!$B$14*EXP(E722))</f>
        <v>0.00260857211809979</v>
      </c>
      <c r="G722" s="22" t="n">
        <f aca="false">EXP(F722)-1</f>
        <v>0.00261197740268049</v>
      </c>
      <c r="H722" s="21" t="n">
        <f aca="false">EXP(SUM(F471:F722))-1</f>
        <v>0.171054401936848</v>
      </c>
    </row>
    <row r="723" customFormat="false" ht="15" hidden="false" customHeight="false" outlineLevel="0" collapsed="false">
      <c r="A723" s="20" t="n">
        <v>45519</v>
      </c>
      <c r="B723" s="21" t="n">
        <v>538.941345</v>
      </c>
      <c r="C723" s="21" t="n">
        <v>92.053925</v>
      </c>
      <c r="D723" s="22" t="n">
        <f aca="false">LN(B723/B722)</f>
        <v>0.0169949868189868</v>
      </c>
      <c r="E723" s="22" t="n">
        <f aca="false">LN(C723/C722)</f>
        <v>-0.00419657578575974</v>
      </c>
      <c r="F723" s="22" t="n">
        <f aca="false">LN(Summary!$B$13*EXP(D723)+Summary!$B$14*EXP(E723))</f>
        <v>0.00857217463797986</v>
      </c>
      <c r="G723" s="22" t="n">
        <f aca="false">EXP(F723)-1</f>
        <v>0.00860902093603988</v>
      </c>
      <c r="H723" s="21" t="n">
        <f aca="false">EXP(SUM(F472:F723))-1</f>
        <v>0.190748483324358</v>
      </c>
    </row>
    <row r="724" customFormat="false" ht="15" hidden="false" customHeight="false" outlineLevel="0" collapsed="false">
      <c r="A724" s="20" t="n">
        <v>45520</v>
      </c>
      <c r="B724" s="21" t="n">
        <v>540.149658</v>
      </c>
      <c r="C724" s="21" t="n">
        <v>92.275139</v>
      </c>
      <c r="D724" s="22" t="n">
        <f aca="false">LN(B724/B723)</f>
        <v>0.00223950251026526</v>
      </c>
      <c r="E724" s="22" t="n">
        <f aca="false">LN(C724/C723)</f>
        <v>0.00240020864209626</v>
      </c>
      <c r="F724" s="22" t="n">
        <f aca="false">LN(Summary!$B$13*EXP(D724)+Summary!$B$14*EXP(E724))</f>
        <v>0.00230378806220616</v>
      </c>
      <c r="G724" s="22" t="n">
        <f aca="false">EXP(F724)-1</f>
        <v>0.00230644382096745</v>
      </c>
      <c r="H724" s="21" t="n">
        <f aca="false">EXP(SUM(F473:F724))-1</f>
        <v>0.199931188018633</v>
      </c>
    </row>
    <row r="725" customFormat="false" ht="15" hidden="false" customHeight="false" outlineLevel="0" collapsed="false">
      <c r="A725" s="20" t="n">
        <v>45523</v>
      </c>
      <c r="B725" s="21" t="n">
        <v>545.314331</v>
      </c>
      <c r="C725" s="21" t="n">
        <v>92.376495</v>
      </c>
      <c r="D725" s="22" t="n">
        <f aca="false">LN(B725/B724)</f>
        <v>0.0095161369276087</v>
      </c>
      <c r="E725" s="22" t="n">
        <f aca="false">LN(C725/C724)</f>
        <v>0.00109780788811635</v>
      </c>
      <c r="F725" s="22" t="n">
        <f aca="false">LN(Summary!$B$13*EXP(D725)+Summary!$B$14*EXP(E725))</f>
        <v>0.00615730470866471</v>
      </c>
      <c r="G725" s="22" t="n">
        <f aca="false">EXP(F725)-1</f>
        <v>0.00617629987563362</v>
      </c>
      <c r="H725" s="21" t="n">
        <f aca="false">EXP(SUM(F474:F725))-1</f>
        <v>0.213398078770539</v>
      </c>
    </row>
    <row r="726" customFormat="false" ht="15" hidden="false" customHeight="false" outlineLevel="0" collapsed="false">
      <c r="A726" s="20" t="n">
        <v>45524</v>
      </c>
      <c r="B726" s="21" t="n">
        <v>544.427612</v>
      </c>
      <c r="C726" s="21" t="n">
        <v>92.652985</v>
      </c>
      <c r="D726" s="22" t="n">
        <f aca="false">LN(B726/B725)</f>
        <v>-0.00162739298307347</v>
      </c>
      <c r="E726" s="22" t="n">
        <f aca="false">LN(C726/C725)</f>
        <v>0.00298860706732176</v>
      </c>
      <c r="F726" s="22" t="n">
        <f aca="false">LN(Summary!$B$13*EXP(D726)+Summary!$B$14*EXP(E726))</f>
        <v>0.000221564716703115</v>
      </c>
      <c r="G726" s="22" t="n">
        <f aca="false">EXP(F726)-1</f>
        <v>0.000221589263977862</v>
      </c>
      <c r="H726" s="21" t="n">
        <f aca="false">EXP(SUM(F475:F726))-1</f>
        <v>0.212249502717614</v>
      </c>
    </row>
    <row r="727" customFormat="false" ht="15" hidden="false" customHeight="false" outlineLevel="0" collapsed="false">
      <c r="A727" s="20" t="n">
        <v>45525</v>
      </c>
      <c r="B727" s="21" t="n">
        <v>546.298523</v>
      </c>
      <c r="C727" s="21" t="n">
        <v>92.828094</v>
      </c>
      <c r="D727" s="22" t="n">
        <f aca="false">LN(B727/B726)</f>
        <v>0.00343058220545745</v>
      </c>
      <c r="E727" s="22" t="n">
        <f aca="false">LN(C727/C726)</f>
        <v>0.00188816080829632</v>
      </c>
      <c r="F727" s="22" t="n">
        <f aca="false">LN(Summary!$B$13*EXP(D727)+Summary!$B$14*EXP(E727))</f>
        <v>0.00281389910486388</v>
      </c>
      <c r="G727" s="22" t="n">
        <f aca="false">EXP(F727)-1</f>
        <v>0.00281786183498589</v>
      </c>
      <c r="H727" s="21" t="n">
        <f aca="false">EXP(SUM(F476:F727))-1</f>
        <v>0.213365102241631</v>
      </c>
    </row>
    <row r="728" customFormat="false" ht="15" hidden="false" customHeight="false" outlineLevel="0" collapsed="false">
      <c r="A728" s="20" t="n">
        <v>45526</v>
      </c>
      <c r="B728" s="21" t="n">
        <v>542.010925</v>
      </c>
      <c r="C728" s="21" t="n">
        <v>92.450218</v>
      </c>
      <c r="D728" s="22" t="n">
        <f aca="false">LN(B728/B727)</f>
        <v>-0.00787941369226152</v>
      </c>
      <c r="E728" s="22" t="n">
        <f aca="false">LN(C728/C727)</f>
        <v>-0.0040790151837783</v>
      </c>
      <c r="F728" s="22" t="n">
        <f aca="false">LN(Summary!$B$13*EXP(D728)+Summary!$B$14*EXP(E728))</f>
        <v>-0.00635752068721373</v>
      </c>
      <c r="G728" s="22" t="n">
        <f aca="false">EXP(F728)-1</f>
        <v>-0.00633735441104044</v>
      </c>
      <c r="H728" s="21" t="n">
        <f aca="false">EXP(SUM(F477:F728))-1</f>
        <v>0.20712993326826</v>
      </c>
    </row>
    <row r="729" customFormat="false" ht="15" hidden="false" customHeight="false" outlineLevel="0" collapsed="false">
      <c r="A729" s="20" t="n">
        <v>45527</v>
      </c>
      <c r="B729" s="21" t="n">
        <v>547.770081</v>
      </c>
      <c r="C729" s="21" t="n">
        <v>92.874199</v>
      </c>
      <c r="D729" s="22" t="n">
        <f aca="false">LN(B729/B728)</f>
        <v>0.010569480625954</v>
      </c>
      <c r="E729" s="22" t="n">
        <f aca="false">LN(C729/C728)</f>
        <v>0.00457556264372066</v>
      </c>
      <c r="F729" s="22" t="n">
        <f aca="false">LN(Summary!$B$13*EXP(D729)+Summary!$B$14*EXP(E729))</f>
        <v>0.00817622295097007</v>
      </c>
      <c r="G729" s="22" t="n">
        <f aca="false">EXP(F729)-1</f>
        <v>0.0082097395459535</v>
      </c>
      <c r="H729" s="21" t="n">
        <f aca="false">EXP(SUM(F478:F729))-1</f>
        <v>0.204388642165195</v>
      </c>
    </row>
    <row r="730" customFormat="false" ht="15" hidden="false" customHeight="false" outlineLevel="0" collapsed="false">
      <c r="A730" s="20" t="n">
        <v>45530</v>
      </c>
      <c r="B730" s="21" t="n">
        <v>546.464233</v>
      </c>
      <c r="C730" s="21" t="n">
        <v>92.79126</v>
      </c>
      <c r="D730" s="22" t="n">
        <f aca="false">LN(B730/B729)</f>
        <v>-0.00238678060670101</v>
      </c>
      <c r="E730" s="22" t="n">
        <f aca="false">LN(C730/C729)</f>
        <v>-0.00089342418308276</v>
      </c>
      <c r="F730" s="22" t="n">
        <f aca="false">LN(Summary!$B$13*EXP(D730)+Summary!$B$14*EXP(E730))</f>
        <v>-0.00178917039702383</v>
      </c>
      <c r="G730" s="22" t="n">
        <f aca="false">EXP(F730)-1</f>
        <v>-0.00178757078580361</v>
      </c>
      <c r="H730" s="21" t="n">
        <f aca="false">EXP(SUM(F479:F730))-1</f>
        <v>0.213436546952539</v>
      </c>
    </row>
    <row r="731" customFormat="false" ht="15" hidden="false" customHeight="false" outlineLevel="0" collapsed="false">
      <c r="A731" s="20" t="n">
        <v>45531</v>
      </c>
      <c r="B731" s="21" t="n">
        <v>547.214539</v>
      </c>
      <c r="C731" s="21" t="n">
        <v>92.818901</v>
      </c>
      <c r="D731" s="22" t="n">
        <f aca="false">LN(B731/B730)</f>
        <v>0.00137207768298939</v>
      </c>
      <c r="E731" s="22" t="n">
        <f aca="false">LN(C731/C730)</f>
        <v>0.000297839299911221</v>
      </c>
      <c r="F731" s="22" t="n">
        <f aca="false">LN(Summary!$B$13*EXP(D731)+Summary!$B$14*EXP(E731))</f>
        <v>0.000942520798407396</v>
      </c>
      <c r="G731" s="22" t="n">
        <f aca="false">EXP(F731)-1</f>
        <v>0.000942965110715344</v>
      </c>
      <c r="H731" s="21" t="n">
        <f aca="false">EXP(SUM(F480:F731))-1</f>
        <v>0.209766143653581</v>
      </c>
    </row>
    <row r="732" customFormat="false" ht="15" hidden="false" customHeight="false" outlineLevel="0" collapsed="false">
      <c r="A732" s="20" t="n">
        <v>45532</v>
      </c>
      <c r="B732" s="21" t="n">
        <v>544.037781</v>
      </c>
      <c r="C732" s="21" t="n">
        <v>92.735947</v>
      </c>
      <c r="D732" s="22" t="n">
        <f aca="false">LN(B732/B731)</f>
        <v>-0.00582224095328643</v>
      </c>
      <c r="E732" s="22" t="n">
        <f aca="false">LN(C732/C731)</f>
        <v>-0.000894118439055239</v>
      </c>
      <c r="F732" s="22" t="n">
        <f aca="false">LN(Summary!$B$13*EXP(D732)+Summary!$B$14*EXP(E732))</f>
        <v>-0.003848076625719</v>
      </c>
      <c r="G732" s="22" t="n">
        <f aca="false">EXP(F732)-1</f>
        <v>-0.00384068226658785</v>
      </c>
      <c r="H732" s="21" t="n">
        <f aca="false">EXP(SUM(F481:F732))-1</f>
        <v>0.199504789741674</v>
      </c>
    </row>
    <row r="733" customFormat="false" ht="15" hidden="false" customHeight="false" outlineLevel="0" collapsed="false">
      <c r="A733" s="20" t="n">
        <v>45533</v>
      </c>
      <c r="B733" s="21" t="n">
        <v>544.086548</v>
      </c>
      <c r="C733" s="21" t="n">
        <v>92.616119</v>
      </c>
      <c r="D733" s="22" t="n">
        <f aca="false">LN(B733/B732)</f>
        <v>8.96349777923871E-005</v>
      </c>
      <c r="E733" s="22" t="n">
        <f aca="false">LN(C733/C732)</f>
        <v>-0.00129297740543058</v>
      </c>
      <c r="F733" s="22" t="n">
        <f aca="false">LN(Summary!$B$13*EXP(D733)+Summary!$B$14*EXP(E733))</f>
        <v>-0.000463180602616852</v>
      </c>
      <c r="G733" s="22" t="n">
        <f aca="false">EXP(F733)-1</f>
        <v>-0.000463073351041121</v>
      </c>
      <c r="H733" s="21" t="n">
        <f aca="false">EXP(SUM(F482:F733))-1</f>
        <v>0.185606663825259</v>
      </c>
    </row>
    <row r="734" customFormat="false" ht="15" hidden="false" customHeight="false" outlineLevel="0" collapsed="false">
      <c r="A734" s="20" t="n">
        <v>45534</v>
      </c>
      <c r="B734" s="21" t="n">
        <v>549.280457</v>
      </c>
      <c r="C734" s="21" t="n">
        <v>92.394928</v>
      </c>
      <c r="D734" s="22" t="n">
        <f aca="false">LN(B734/B733)</f>
        <v>0.00950083191747094</v>
      </c>
      <c r="E734" s="22" t="n">
        <f aca="false">LN(C734/C733)</f>
        <v>-0.00239111241164741</v>
      </c>
      <c r="F734" s="22" t="n">
        <f aca="false">LN(Summary!$B$13*EXP(D734)+Summary!$B$14*EXP(E734))</f>
        <v>0.00476101084488589</v>
      </c>
      <c r="G734" s="22" t="n">
        <f aca="false">EXP(F734)-1</f>
        <v>0.00477236246493074</v>
      </c>
      <c r="H734" s="21" t="n">
        <f aca="false">EXP(SUM(F483:F734))-1</f>
        <v>0.188524250389646</v>
      </c>
    </row>
    <row r="735" customFormat="false" ht="15" hidden="false" customHeight="false" outlineLevel="0" collapsed="false">
      <c r="A735" s="20" t="n">
        <v>45538</v>
      </c>
      <c r="B735" s="21" t="n">
        <v>537.976807</v>
      </c>
      <c r="C735" s="21" t="n">
        <v>92.78508</v>
      </c>
      <c r="D735" s="22" t="n">
        <f aca="false">LN(B735/B734)</f>
        <v>-0.0207937121401794</v>
      </c>
      <c r="E735" s="22" t="n">
        <f aca="false">LN(C735/C734)</f>
        <v>0.00421376563812351</v>
      </c>
      <c r="F735" s="22" t="n">
        <f aca="false">LN(Summary!$B$13*EXP(D735)+Summary!$B$14*EXP(E735))</f>
        <v>-0.0107155527713817</v>
      </c>
      <c r="G735" s="22" t="n">
        <f aca="false">EXP(F735)-1</f>
        <v>-0.0106583457530578</v>
      </c>
      <c r="H735" s="21" t="n">
        <f aca="false">EXP(SUM(F484:F735))-1</f>
        <v>0.176207761985352</v>
      </c>
    </row>
    <row r="736" customFormat="false" ht="15" hidden="false" customHeight="false" outlineLevel="0" collapsed="false">
      <c r="A736" s="20" t="n">
        <v>45539</v>
      </c>
      <c r="B736" s="21" t="n">
        <v>536.87561</v>
      </c>
      <c r="C736" s="21" t="n">
        <v>93.191856</v>
      </c>
      <c r="D736" s="22" t="n">
        <f aca="false">LN(B736/B735)</f>
        <v>-0.00204902062434478</v>
      </c>
      <c r="E736" s="22" t="n">
        <f aca="false">LN(C736/C735)</f>
        <v>0.00437448489500792</v>
      </c>
      <c r="F736" s="22" t="n">
        <f aca="false">LN(Summary!$B$13*EXP(D736)+Summary!$B$14*EXP(E736))</f>
        <v>0.000525335067019784</v>
      </c>
      <c r="G736" s="22" t="n">
        <f aca="false">EXP(F736)-1</f>
        <v>0.000525473079652672</v>
      </c>
      <c r="H736" s="21" t="n">
        <f aca="false">EXP(SUM(F485:F736))-1</f>
        <v>0.17794801096632</v>
      </c>
    </row>
    <row r="737" customFormat="false" ht="15" hidden="false" customHeight="false" outlineLevel="0" collapsed="false">
      <c r="A737" s="20" t="n">
        <v>45540</v>
      </c>
      <c r="B737" s="21" t="n">
        <v>535.569824</v>
      </c>
      <c r="C737" s="21" t="n">
        <v>93.432228</v>
      </c>
      <c r="D737" s="22" t="n">
        <f aca="false">LN(B737/B736)</f>
        <v>-0.00243515726558615</v>
      </c>
      <c r="E737" s="22" t="n">
        <f aca="false">LN(C737/C736)</f>
        <v>0.00257600335143834</v>
      </c>
      <c r="F737" s="22" t="n">
        <f aca="false">LN(Summary!$B$13*EXP(D737)+Summary!$B$14*EXP(E737))</f>
        <v>-0.000427678607154435</v>
      </c>
      <c r="G737" s="22" t="n">
        <f aca="false">EXP(F737)-1</f>
        <v>-0.000427587165695242</v>
      </c>
      <c r="H737" s="21" t="n">
        <f aca="false">EXP(SUM(F486:F737))-1</f>
        <v>0.18307438856397</v>
      </c>
    </row>
    <row r="738" customFormat="false" ht="15" hidden="false" customHeight="false" outlineLevel="0" collapsed="false">
      <c r="A738" s="20" t="n">
        <v>45541</v>
      </c>
      <c r="B738" s="21" t="n">
        <v>526.556152</v>
      </c>
      <c r="C738" s="21" t="n">
        <v>93.55246</v>
      </c>
      <c r="D738" s="22" t="n">
        <f aca="false">LN(B738/B737)</f>
        <v>-0.0169732943180266</v>
      </c>
      <c r="E738" s="22" t="n">
        <f aca="false">LN(C738/C737)</f>
        <v>0.0012860092219977</v>
      </c>
      <c r="F738" s="22" t="n">
        <f aca="false">LN(Summary!$B$13*EXP(D738)+Summary!$B$14*EXP(E738))</f>
        <v>-0.00962951643120237</v>
      </c>
      <c r="G738" s="22" t="n">
        <f aca="false">EXP(F738)-1</f>
        <v>-0.00958330110057826</v>
      </c>
      <c r="H738" s="21" t="n">
        <f aca="false">EXP(SUM(F487:F738))-1</f>
        <v>0.176927467037068</v>
      </c>
    </row>
    <row r="739" customFormat="false" ht="15" hidden="false" customHeight="false" outlineLevel="0" collapsed="false">
      <c r="A739" s="20" t="n">
        <v>45544</v>
      </c>
      <c r="B739" s="21" t="n">
        <v>532.451538</v>
      </c>
      <c r="C739" s="21" t="n">
        <v>93.691116</v>
      </c>
      <c r="D739" s="22" t="n">
        <f aca="false">LN(B739/B738)</f>
        <v>0.0111339076322045</v>
      </c>
      <c r="E739" s="22" t="n">
        <f aca="false">LN(C739/C738)</f>
        <v>0.00148102304288768</v>
      </c>
      <c r="F739" s="22" t="n">
        <f aca="false">LN(Summary!$B$13*EXP(D739)+Summary!$B$14*EXP(E739))</f>
        <v>0.00728392794454092</v>
      </c>
      <c r="G739" s="22" t="n">
        <f aca="false">EXP(F739)-1</f>
        <v>0.00731052027401891</v>
      </c>
      <c r="H739" s="21" t="n">
        <f aca="false">EXP(SUM(F488:F739))-1</f>
        <v>0.186224745330068</v>
      </c>
    </row>
    <row r="740" customFormat="false" ht="15" hidden="false" customHeight="false" outlineLevel="0" collapsed="false">
      <c r="A740" s="20" t="n">
        <v>45545</v>
      </c>
      <c r="B740" s="21" t="n">
        <v>534.770752</v>
      </c>
      <c r="C740" s="21" t="n">
        <v>93.977715</v>
      </c>
      <c r="D740" s="22" t="n">
        <f aca="false">LN(B740/B739)</f>
        <v>0.00434626913731149</v>
      </c>
      <c r="E740" s="22" t="n">
        <f aca="false">LN(C740/C739)</f>
        <v>0.00305430817973174</v>
      </c>
      <c r="F740" s="22" t="n">
        <f aca="false">LN(Summary!$B$13*EXP(D740)+Summary!$B$14*EXP(E740))</f>
        <v>0.00382968503658925</v>
      </c>
      <c r="G740" s="22" t="n">
        <f aca="false">EXP(F740)-1</f>
        <v>0.00383702765063654</v>
      </c>
      <c r="H740" s="21" t="n">
        <f aca="false">EXP(SUM(F489:F740))-1</f>
        <v>0.189453217028527</v>
      </c>
    </row>
    <row r="741" customFormat="false" ht="15" hidden="false" customHeight="false" outlineLevel="0" collapsed="false">
      <c r="A741" s="20" t="n">
        <v>45546</v>
      </c>
      <c r="B741" s="21" t="n">
        <v>540.256897</v>
      </c>
      <c r="C741" s="21" t="n">
        <v>93.949989</v>
      </c>
      <c r="D741" s="22" t="n">
        <f aca="false">LN(B741/B740)</f>
        <v>0.0102066074887322</v>
      </c>
      <c r="E741" s="22" t="n">
        <f aca="false">LN(C741/C740)</f>
        <v>-0.000295070919412339</v>
      </c>
      <c r="F741" s="22" t="n">
        <f aca="false">LN(Summary!$B$13*EXP(D741)+Summary!$B$14*EXP(E741))</f>
        <v>0.00601916103653899</v>
      </c>
      <c r="G741" s="22" t="n">
        <f aca="false">EXP(F741)-1</f>
        <v>0.00603731258709117</v>
      </c>
      <c r="H741" s="21" t="n">
        <f aca="false">EXP(SUM(F490:F741))-1</f>
        <v>0.192476512646113</v>
      </c>
    </row>
    <row r="742" customFormat="false" ht="15" hidden="false" customHeight="false" outlineLevel="0" collapsed="false">
      <c r="A742" s="20" t="n">
        <v>45547</v>
      </c>
      <c r="B742" s="21" t="n">
        <v>544.807678</v>
      </c>
      <c r="C742" s="21" t="n">
        <v>93.866768</v>
      </c>
      <c r="D742" s="22" t="n">
        <f aca="false">LN(B742/B741)</f>
        <v>0.00838808636382214</v>
      </c>
      <c r="E742" s="22" t="n">
        <f aca="false">LN(C742/C741)</f>
        <v>-0.000886193615263052</v>
      </c>
      <c r="F742" s="22" t="n">
        <f aca="false">LN(Summary!$B$13*EXP(D742)+Summary!$B$14*EXP(E742))</f>
        <v>0.00468868943036881</v>
      </c>
      <c r="G742" s="22" t="n">
        <f aca="false">EXP(F742)-1</f>
        <v>0.00469969853402041</v>
      </c>
      <c r="H742" s="21" t="n">
        <f aca="false">EXP(SUM(F491:F742))-1</f>
        <v>0.201885946803169</v>
      </c>
    </row>
    <row r="743" customFormat="false" ht="15" hidden="false" customHeight="false" outlineLevel="0" collapsed="false">
      <c r="A743" s="20" t="n">
        <v>45548</v>
      </c>
      <c r="B743" s="21" t="n">
        <v>547.653076</v>
      </c>
      <c r="C743" s="21" t="n">
        <v>94.060905</v>
      </c>
      <c r="D743" s="22" t="n">
        <f aca="false">LN(B743/B742)</f>
        <v>0.00520916549877161</v>
      </c>
      <c r="E743" s="22" t="n">
        <f aca="false">LN(C743/C742)</f>
        <v>0.00206608282814597</v>
      </c>
      <c r="F743" s="22" t="n">
        <f aca="false">LN(Summary!$B$13*EXP(D743)+Summary!$B$14*EXP(E743))</f>
        <v>0.00395311765792977</v>
      </c>
      <c r="G743" s="22" t="n">
        <f aca="false">EXP(F743)-1</f>
        <v>0.00396094153370852</v>
      </c>
      <c r="H743" s="21" t="n">
        <f aca="false">EXP(SUM(F492:F743))-1</f>
        <v>0.205098294269243</v>
      </c>
    </row>
    <row r="744" customFormat="false" ht="15" hidden="false" customHeight="false" outlineLevel="0" collapsed="false">
      <c r="A744" s="20" t="n">
        <v>45551</v>
      </c>
      <c r="B744" s="21" t="n">
        <v>548.461853</v>
      </c>
      <c r="C744" s="21" t="n">
        <v>94.282814</v>
      </c>
      <c r="D744" s="22" t="n">
        <f aca="false">LN(B744/B743)</f>
        <v>0.00147571595893348</v>
      </c>
      <c r="E744" s="22" t="n">
        <f aca="false">LN(C744/C743)</f>
        <v>0.00235642689718476</v>
      </c>
      <c r="F744" s="22" t="n">
        <f aca="false">LN(Summary!$B$13*EXP(D744)+Summary!$B$14*EXP(E744))</f>
        <v>0.00182809341790724</v>
      </c>
      <c r="G744" s="22" t="n">
        <f aca="false">EXP(F744)-1</f>
        <v>0.00182976539937041</v>
      </c>
      <c r="H744" s="21" t="n">
        <f aca="false">EXP(SUM(F493:F744))-1</f>
        <v>0.201738075050464</v>
      </c>
    </row>
    <row r="745" customFormat="false" ht="15" hidden="false" customHeight="false" outlineLevel="0" collapsed="false">
      <c r="A745" s="20" t="n">
        <v>45552</v>
      </c>
      <c r="B745" s="21" t="n">
        <v>548.685913</v>
      </c>
      <c r="C745" s="21" t="n">
        <v>94.190353</v>
      </c>
      <c r="D745" s="22" t="n">
        <f aca="false">LN(B745/B744)</f>
        <v>0.000408440886557556</v>
      </c>
      <c r="E745" s="22" t="n">
        <f aca="false">LN(C745/C744)</f>
        <v>-0.00098115831435529</v>
      </c>
      <c r="F745" s="22" t="n">
        <f aca="false">LN(Summary!$B$13*EXP(D745)+Summary!$B$14*EXP(E745))</f>
        <v>-0.000147167096977655</v>
      </c>
      <c r="G745" s="22" t="n">
        <f aca="false">EXP(F745)-1</f>
        <v>-0.000147156268431647</v>
      </c>
      <c r="H745" s="21" t="n">
        <f aca="false">EXP(SUM(F494:F745))-1</f>
        <v>0.211432559240954</v>
      </c>
    </row>
    <row r="746" customFormat="false" ht="15" hidden="false" customHeight="false" outlineLevel="0" collapsed="false">
      <c r="A746" s="20" t="n">
        <v>45553</v>
      </c>
      <c r="B746" s="21" t="n">
        <v>547.058716</v>
      </c>
      <c r="C746" s="21" t="n">
        <v>93.894508</v>
      </c>
      <c r="D746" s="22" t="n">
        <f aca="false">LN(B746/B745)</f>
        <v>-0.00297003179951213</v>
      </c>
      <c r="E746" s="22" t="n">
        <f aca="false">LN(C746/C745)</f>
        <v>-0.00314586982081162</v>
      </c>
      <c r="F746" s="22" t="n">
        <f aca="false">LN(Summary!$B$13*EXP(D746)+Summary!$B$14*EXP(E746))</f>
        <v>-0.00304036329779425</v>
      </c>
      <c r="G746" s="22" t="n">
        <f aca="false">EXP(F746)-1</f>
        <v>-0.00303574607383439</v>
      </c>
      <c r="H746" s="21" t="n">
        <f aca="false">EXP(SUM(F495:F746))-1</f>
        <v>0.206622916683766</v>
      </c>
    </row>
    <row r="747" customFormat="false" ht="15" hidden="false" customHeight="false" outlineLevel="0" collapsed="false">
      <c r="A747" s="20" t="n">
        <v>45554</v>
      </c>
      <c r="B747" s="21" t="n">
        <v>556.39386</v>
      </c>
      <c r="C747" s="21" t="n">
        <v>93.90374</v>
      </c>
      <c r="D747" s="22" t="n">
        <f aca="false">LN(B747/B746)</f>
        <v>0.0169202862359714</v>
      </c>
      <c r="E747" s="22" t="n">
        <f aca="false">LN(C747/C746)</f>
        <v>9.8318276190007E-005</v>
      </c>
      <c r="F747" s="22" t="n">
        <f aca="false">LN(Summary!$B$13*EXP(D747)+Summary!$B$14*EXP(E747))</f>
        <v>0.0102254180514074</v>
      </c>
      <c r="G747" s="22" t="n">
        <f aca="false">EXP(F747)-1</f>
        <v>0.0102778762885742</v>
      </c>
      <c r="H747" s="21" t="n">
        <f aca="false">EXP(SUM(F496:F747))-1</f>
        <v>0.221976034609791</v>
      </c>
    </row>
    <row r="748" customFormat="false" ht="15" hidden="false" customHeight="false" outlineLevel="0" collapsed="false">
      <c r="A748" s="20" t="n">
        <v>45555</v>
      </c>
      <c r="B748" s="21" t="n">
        <v>555.432068</v>
      </c>
      <c r="C748" s="21" t="n">
        <v>93.820572</v>
      </c>
      <c r="D748" s="22" t="n">
        <f aca="false">LN(B748/B747)</f>
        <v>-0.00173011298925257</v>
      </c>
      <c r="E748" s="22" t="n">
        <f aca="false">LN(C748/C747)</f>
        <v>-0.000886065364206482</v>
      </c>
      <c r="F748" s="22" t="n">
        <f aca="false">LN(Summary!$B$13*EXP(D748)+Summary!$B$14*EXP(E748))</f>
        <v>-0.00139240844445868</v>
      </c>
      <c r="G748" s="22" t="n">
        <f aca="false">EXP(F748)-1</f>
        <v>-0.00139143949359788</v>
      </c>
      <c r="H748" s="21" t="n">
        <f aca="false">EXP(SUM(F497:F748))-1</f>
        <v>0.227302856131912</v>
      </c>
    </row>
    <row r="749" customFormat="false" ht="15" hidden="false" customHeight="false" outlineLevel="0" collapsed="false">
      <c r="A749" s="20" t="n">
        <v>45558</v>
      </c>
      <c r="B749" s="21" t="n">
        <v>556.820007</v>
      </c>
      <c r="C749" s="21" t="n">
        <v>93.783569</v>
      </c>
      <c r="D749" s="22" t="n">
        <f aca="false">LN(B749/B748)</f>
        <v>0.00249572871404503</v>
      </c>
      <c r="E749" s="22" t="n">
        <f aca="false">LN(C749/C748)</f>
        <v>-0.000394479570468037</v>
      </c>
      <c r="F749" s="22" t="n">
        <f aca="false">LN(Summary!$B$13*EXP(D749)+Summary!$B$14*EXP(E749))</f>
        <v>0.00134064760326184</v>
      </c>
      <c r="G749" s="22" t="n">
        <f aca="false">EXP(F749)-1</f>
        <v>0.00134154667299358</v>
      </c>
      <c r="H749" s="21" t="n">
        <f aca="false">EXP(SUM(F498:F749))-1</f>
        <v>0.244688938566037</v>
      </c>
    </row>
    <row r="750" customFormat="false" ht="15" hidden="false" customHeight="false" outlineLevel="0" collapsed="false">
      <c r="A750" s="20" t="n">
        <v>45559</v>
      </c>
      <c r="B750" s="21" t="n">
        <v>558.413269</v>
      </c>
      <c r="C750" s="21" t="n">
        <v>93.913002</v>
      </c>
      <c r="D750" s="22" t="n">
        <f aca="false">LN(B750/B749)</f>
        <v>0.00285727321491868</v>
      </c>
      <c r="E750" s="22" t="n">
        <f aca="false">LN(C750/C749)</f>
        <v>0.00137917298996809</v>
      </c>
      <c r="F750" s="22" t="n">
        <f aca="false">LN(Summary!$B$13*EXP(D750)+Summary!$B$14*EXP(E750))</f>
        <v>0.00226629527271572</v>
      </c>
      <c r="G750" s="22" t="n">
        <f aca="false">EXP(F750)-1</f>
        <v>0.00226886526093129</v>
      </c>
      <c r="H750" s="21" t="n">
        <f aca="false">EXP(SUM(F499:F750))-1</f>
        <v>0.247087306033046</v>
      </c>
    </row>
    <row r="751" customFormat="false" ht="15" hidden="false" customHeight="false" outlineLevel="0" collapsed="false">
      <c r="A751" s="20" t="n">
        <v>45560</v>
      </c>
      <c r="B751" s="21" t="n">
        <v>557.181641</v>
      </c>
      <c r="C751" s="21" t="n">
        <v>93.55246</v>
      </c>
      <c r="D751" s="22" t="n">
        <f aca="false">LN(B751/B750)</f>
        <v>-0.00220802101075459</v>
      </c>
      <c r="E751" s="22" t="n">
        <f aca="false">LN(C751/C750)</f>
        <v>-0.00384649460959144</v>
      </c>
      <c r="F751" s="22" t="n">
        <f aca="false">LN(Summary!$B$13*EXP(D751)+Summary!$B$14*EXP(E751))</f>
        <v>-0.00286308833402208</v>
      </c>
      <c r="G751" s="22" t="n">
        <f aca="false">EXP(F751)-1</f>
        <v>-0.00285899360540665</v>
      </c>
      <c r="H751" s="21" t="n">
        <f aca="false">EXP(SUM(F500:F751))-1</f>
        <v>0.244309443729348</v>
      </c>
    </row>
    <row r="752" customFormat="false" ht="15" hidden="false" customHeight="false" outlineLevel="0" collapsed="false">
      <c r="A752" s="20" t="n">
        <v>45561</v>
      </c>
      <c r="B752" s="21" t="n">
        <v>559.390686</v>
      </c>
      <c r="C752" s="21" t="n">
        <v>93.570885</v>
      </c>
      <c r="D752" s="22" t="n">
        <f aca="false">LN(B752/B751)</f>
        <v>0.00395683795622285</v>
      </c>
      <c r="E752" s="22" t="n">
        <f aca="false">LN(C752/C751)</f>
        <v>0.000196928930054712</v>
      </c>
      <c r="F752" s="22" t="n">
        <f aca="false">LN(Summary!$B$13*EXP(D752)+Summary!$B$14*EXP(E752))</f>
        <v>0.00245457034955483</v>
      </c>
      <c r="G752" s="22" t="n">
        <f aca="false">EXP(F752)-1</f>
        <v>0.00245758527363171</v>
      </c>
      <c r="H752" s="21" t="n">
        <f aca="false">EXP(SUM(F501:F752))-1</f>
        <v>0.259107107038891</v>
      </c>
    </row>
    <row r="753" customFormat="false" ht="15" hidden="false" customHeight="false" outlineLevel="0" collapsed="false">
      <c r="A753" s="20" t="n">
        <v>45562</v>
      </c>
      <c r="B753" s="21" t="n">
        <v>558.579407</v>
      </c>
      <c r="C753" s="21" t="n">
        <v>93.839066</v>
      </c>
      <c r="D753" s="22" t="n">
        <f aca="false">LN(B753/B752)</f>
        <v>-0.00145134319332153</v>
      </c>
      <c r="E753" s="22" t="n">
        <f aca="false">LN(C753/C752)</f>
        <v>0.00286197378124796</v>
      </c>
      <c r="F753" s="22" t="n">
        <f aca="false">LN(Summary!$B$13*EXP(D753)+Summary!$B$14*EXP(E753))</f>
        <v>0.000276216801364695</v>
      </c>
      <c r="G753" s="22" t="n">
        <f aca="false">EXP(F753)-1</f>
        <v>0.000276254952737975</v>
      </c>
      <c r="H753" s="21" t="n">
        <f aca="false">EXP(SUM(F502:F753))-1</f>
        <v>0.260920504930515</v>
      </c>
    </row>
    <row r="754" customFormat="false" ht="15" hidden="false" customHeight="false" outlineLevel="0" collapsed="false">
      <c r="A754" s="20" t="n">
        <v>45565</v>
      </c>
      <c r="B754" s="21" t="n">
        <v>560.817749</v>
      </c>
      <c r="C754" s="21" t="n">
        <v>93.626404</v>
      </c>
      <c r="D754" s="22" t="n">
        <f aca="false">LN(B754/B753)</f>
        <v>0.00399919719513288</v>
      </c>
      <c r="E754" s="22" t="n">
        <f aca="false">LN(C754/C753)</f>
        <v>-0.00226881346440385</v>
      </c>
      <c r="F754" s="22" t="n">
        <f aca="false">LN(Summary!$B$13*EXP(D754)+Summary!$B$14*EXP(E754))</f>
        <v>0.00149670550939047</v>
      </c>
      <c r="G754" s="22" t="n">
        <f aca="false">EXP(F754)-1</f>
        <v>0.00149782613209237</v>
      </c>
      <c r="H754" s="21" t="n">
        <f aca="false">EXP(SUM(F503:F754))-1</f>
        <v>0.256936806341696</v>
      </c>
    </row>
    <row r="755" customFormat="false" ht="15" hidden="false" customHeight="false" outlineLevel="0" collapsed="false">
      <c r="A755" s="20" t="n">
        <v>45566</v>
      </c>
      <c r="B755" s="21" t="n">
        <v>555.793701</v>
      </c>
      <c r="C755" s="21" t="n">
        <v>93.873993</v>
      </c>
      <c r="D755" s="22" t="n">
        <f aca="false">LN(B755/B754)</f>
        <v>-0.00899880061813836</v>
      </c>
      <c r="E755" s="22" t="n">
        <f aca="false">LN(C755/C754)</f>
        <v>0.00264094527653366</v>
      </c>
      <c r="F755" s="22" t="n">
        <f aca="false">LN(Summary!$B$13*EXP(D755)+Summary!$B$14*EXP(E755))</f>
        <v>-0.00432663168309093</v>
      </c>
      <c r="G755" s="22" t="n">
        <f aca="false">EXP(F755)-1</f>
        <v>-0.0043172852965464</v>
      </c>
      <c r="H755" s="21" t="n">
        <f aca="false">EXP(SUM(F504:F755))-1</f>
        <v>0.25381550631017</v>
      </c>
    </row>
    <row r="756" customFormat="false" ht="15" hidden="false" customHeight="false" outlineLevel="0" collapsed="false">
      <c r="A756" s="20" t="n">
        <v>45567</v>
      </c>
      <c r="B756" s="21" t="n">
        <v>556.028381</v>
      </c>
      <c r="C756" s="21" t="n">
        <v>93.679245</v>
      </c>
      <c r="D756" s="22" t="n">
        <f aca="false">LN(B756/B755)</f>
        <v>0.000422153881065235</v>
      </c>
      <c r="E756" s="22" t="n">
        <f aca="false">LN(C756/C755)</f>
        <v>-0.00207672309013492</v>
      </c>
      <c r="F756" s="22" t="n">
        <f aca="false">LN(Summary!$B$13*EXP(D756)+Summary!$B$14*EXP(E756))</f>
        <v>-0.000576647706083834</v>
      </c>
      <c r="G756" s="22" t="n">
        <f aca="false">EXP(F756)-1</f>
        <v>-0.000576481476748825</v>
      </c>
      <c r="H756" s="21" t="n">
        <f aca="false">EXP(SUM(F505:F756))-1</f>
        <v>0.256893111397298</v>
      </c>
    </row>
    <row r="757" customFormat="false" ht="15" hidden="false" customHeight="false" outlineLevel="0" collapsed="false">
      <c r="A757" s="20" t="n">
        <v>45568</v>
      </c>
      <c r="B757" s="21" t="n">
        <v>555.011902</v>
      </c>
      <c r="C757" s="21" t="n">
        <v>93.299042</v>
      </c>
      <c r="D757" s="22" t="n">
        <f aca="false">LN(B757/B756)</f>
        <v>-0.00182977935032349</v>
      </c>
      <c r="E757" s="22" t="n">
        <f aca="false">LN(C757/C756)</f>
        <v>-0.004066820058261</v>
      </c>
      <c r="F757" s="22" t="n">
        <f aca="false">LN(Summary!$B$13*EXP(D757)+Summary!$B$14*EXP(E757))</f>
        <v>-0.00272399520103273</v>
      </c>
      <c r="G757" s="22" t="n">
        <f aca="false">EXP(F757)-1</f>
        <v>-0.00272028849255435</v>
      </c>
      <c r="H757" s="21" t="n">
        <f aca="false">EXP(SUM(F506:F757))-1</f>
        <v>0.267629764576482</v>
      </c>
    </row>
    <row r="758" customFormat="false" ht="15" hidden="false" customHeight="false" outlineLevel="0" collapsed="false">
      <c r="A758" s="20" t="n">
        <v>45569</v>
      </c>
      <c r="B758" s="21" t="n">
        <v>560.055359</v>
      </c>
      <c r="C758" s="21" t="n">
        <v>92.696289</v>
      </c>
      <c r="D758" s="22" t="n">
        <f aca="false">LN(B758/B757)</f>
        <v>0.009046075638931</v>
      </c>
      <c r="E758" s="22" t="n">
        <f aca="false">LN(C758/C757)</f>
        <v>-0.00648140043970866</v>
      </c>
      <c r="F758" s="22" t="n">
        <f aca="false">LN(Summary!$B$13*EXP(D758)+Summary!$B$14*EXP(E758))</f>
        <v>0.00286398730428006</v>
      </c>
      <c r="G758" s="22" t="n">
        <f aca="false">EXP(F758)-1</f>
        <v>0.00286809243399722</v>
      </c>
      <c r="H758" s="21" t="n">
        <f aca="false">EXP(SUM(F507:F758))-1</f>
        <v>0.262198930005839</v>
      </c>
    </row>
    <row r="759" customFormat="false" ht="15" hidden="false" customHeight="false" outlineLevel="0" collapsed="false">
      <c r="A759" s="20" t="n">
        <v>45572</v>
      </c>
      <c r="B759" s="21" t="n">
        <v>554.992188</v>
      </c>
      <c r="C759" s="21" t="n">
        <v>92.380989</v>
      </c>
      <c r="D759" s="22" t="n">
        <f aca="false">LN(B759/B758)</f>
        <v>-0.0090815962287732</v>
      </c>
      <c r="E759" s="22" t="n">
        <f aca="false">LN(C759/C758)</f>
        <v>-0.00340722868240861</v>
      </c>
      <c r="F759" s="22" t="n">
        <f aca="false">LN(Summary!$B$13*EXP(D759)+Summary!$B$14*EXP(E759))</f>
        <v>-0.00680798393950066</v>
      </c>
      <c r="G759" s="22" t="n">
        <f aca="false">EXP(F759)-1</f>
        <v>-0.00678486211759277</v>
      </c>
      <c r="H759" s="21" t="n">
        <f aca="false">EXP(SUM(F508:F759))-1</f>
        <v>0.253595178732418</v>
      </c>
    </row>
    <row r="760" customFormat="false" ht="15" hidden="false" customHeight="false" outlineLevel="0" collapsed="false">
      <c r="A760" s="20" t="n">
        <v>45573</v>
      </c>
      <c r="B760" s="21" t="n">
        <v>560.241089</v>
      </c>
      <c r="C760" s="21" t="n">
        <v>92.538635</v>
      </c>
      <c r="D760" s="22" t="n">
        <f aca="false">LN(B760/B759)</f>
        <v>0.00941316918347316</v>
      </c>
      <c r="E760" s="22" t="n">
        <f aca="false">LN(C760/C759)</f>
        <v>0.00170502226622588</v>
      </c>
      <c r="F760" s="22" t="n">
        <f aca="false">LN(Summary!$B$13*EXP(D760)+Summary!$B$14*EXP(E760))</f>
        <v>0.00633703660066077</v>
      </c>
      <c r="G760" s="22" t="n">
        <f aca="false">EXP(F760)-1</f>
        <v>0.00635715809820026</v>
      </c>
      <c r="H760" s="21" t="n">
        <f aca="false">EXP(SUM(F509:F760))-1</f>
        <v>0.25456775872853</v>
      </c>
    </row>
    <row r="761" customFormat="false" ht="15" hidden="false" customHeight="false" outlineLevel="0" collapsed="false">
      <c r="A761" s="20" t="n">
        <v>45574</v>
      </c>
      <c r="B761" s="21" t="n">
        <v>564.121582</v>
      </c>
      <c r="C761" s="21" t="n">
        <v>92.297539</v>
      </c>
      <c r="D761" s="22" t="n">
        <f aca="false">LN(B761/B760)</f>
        <v>0.00690259203280323</v>
      </c>
      <c r="E761" s="22" t="n">
        <f aca="false">LN(C761/C760)</f>
        <v>-0.00260875489376449</v>
      </c>
      <c r="F761" s="22" t="n">
        <f aca="false">LN(Summary!$B$13*EXP(D761)+Summary!$B$14*EXP(E761))</f>
        <v>0.00310890222906123</v>
      </c>
      <c r="G761" s="22" t="n">
        <f aca="false">EXP(F761)-1</f>
        <v>0.00311373987755581</v>
      </c>
      <c r="H761" s="21" t="n">
        <f aca="false">EXP(SUM(F510:F761))-1</f>
        <v>0.248509247769119</v>
      </c>
    </row>
    <row r="762" customFormat="false" ht="15" hidden="false" customHeight="false" outlineLevel="0" collapsed="false">
      <c r="A762" s="20" t="n">
        <v>45575</v>
      </c>
      <c r="B762" s="21" t="n">
        <v>563.134399</v>
      </c>
      <c r="C762" s="21" t="n">
        <v>92.24189</v>
      </c>
      <c r="D762" s="22" t="n">
        <f aca="false">LN(B762/B761)</f>
        <v>-0.00175148017664612</v>
      </c>
      <c r="E762" s="22" t="n">
        <f aca="false">LN(C762/C761)</f>
        <v>-0.000603112321181337</v>
      </c>
      <c r="F762" s="22" t="n">
        <f aca="false">LN(Summary!$B$13*EXP(D762)+Summary!$B$14*EXP(E762))</f>
        <v>-0.00129197477250475</v>
      </c>
      <c r="G762" s="22" t="n">
        <f aca="false">EXP(F762)-1</f>
        <v>-0.00129114053240942</v>
      </c>
      <c r="H762" s="21" t="n">
        <f aca="false">EXP(SUM(F511:F762))-1</f>
        <v>0.243491527052676</v>
      </c>
    </row>
    <row r="763" customFormat="false" ht="15" hidden="false" customHeight="false" outlineLevel="0" collapsed="false">
      <c r="A763" s="20" t="n">
        <v>45576</v>
      </c>
      <c r="B763" s="21" t="n">
        <v>566.506592</v>
      </c>
      <c r="C763" s="21" t="n">
        <v>92.269699</v>
      </c>
      <c r="D763" s="22" t="n">
        <f aca="false">LN(B763/B762)</f>
        <v>0.00597039775266933</v>
      </c>
      <c r="E763" s="22" t="n">
        <f aca="false">LN(C763/C762)</f>
        <v>0.00030143364285459</v>
      </c>
      <c r="F763" s="22" t="n">
        <f aca="false">LN(Summary!$B$13*EXP(D763)+Summary!$B$14*EXP(E763))</f>
        <v>0.00370666710521792</v>
      </c>
      <c r="G763" s="22" t="n">
        <f aca="false">EXP(F763)-1</f>
        <v>0.00371354529148893</v>
      </c>
      <c r="H763" s="21" t="n">
        <f aca="false">EXP(SUM(F512:F763))-1</f>
        <v>0.242771604034533</v>
      </c>
    </row>
    <row r="764" customFormat="false" ht="15" hidden="false" customHeight="false" outlineLevel="0" collapsed="false">
      <c r="A764" s="20" t="n">
        <v>45579</v>
      </c>
      <c r="B764" s="21" t="n">
        <v>571.139648</v>
      </c>
      <c r="C764" s="21" t="n">
        <v>92.186264</v>
      </c>
      <c r="D764" s="22" t="n">
        <f aca="false">LN(B764/B763)</f>
        <v>0.00814503041584649</v>
      </c>
      <c r="E764" s="22" t="n">
        <f aca="false">LN(C764/C763)</f>
        <v>-0.000904660433128435</v>
      </c>
      <c r="F764" s="22" t="n">
        <f aca="false">LN(Summary!$B$13*EXP(D764)+Summary!$B$14*EXP(E764))</f>
        <v>0.00453497574619319</v>
      </c>
      <c r="G764" s="22" t="n">
        <f aca="false">EXP(F764)-1</f>
        <v>0.00454527431073082</v>
      </c>
      <c r="H764" s="21" t="n">
        <f aca="false">EXP(SUM(F513:F764))-1</f>
        <v>0.257351168848386</v>
      </c>
    </row>
    <row r="765" customFormat="false" ht="15" hidden="false" customHeight="false" outlineLevel="0" collapsed="false">
      <c r="A765" s="20" t="n">
        <v>45580</v>
      </c>
      <c r="B765" s="21" t="n">
        <v>566.702087</v>
      </c>
      <c r="C765" s="21" t="n">
        <v>92.55719</v>
      </c>
      <c r="D765" s="22" t="n">
        <f aca="false">LN(B765/B764)</f>
        <v>-0.00780000128650378</v>
      </c>
      <c r="E765" s="22" t="n">
        <f aca="false">LN(C765/C764)</f>
        <v>0.00401558475169826</v>
      </c>
      <c r="F765" s="22" t="n">
        <f aca="false">LN(Summary!$B$13*EXP(D765)+Summary!$B$14*EXP(E765))</f>
        <v>-0.00305700079193262</v>
      </c>
      <c r="G765" s="22" t="n">
        <f aca="false">EXP(F765)-1</f>
        <v>-0.00305233292278306</v>
      </c>
      <c r="H765" s="21" t="n">
        <f aca="false">EXP(SUM(F514:F765))-1</f>
        <v>0.25511046823225</v>
      </c>
    </row>
    <row r="766" customFormat="false" ht="15" hidden="false" customHeight="false" outlineLevel="0" collapsed="false">
      <c r="A766" s="20" t="n">
        <v>45581</v>
      </c>
      <c r="B766" s="21" t="n">
        <v>569.165222</v>
      </c>
      <c r="C766" s="21" t="n">
        <v>92.677727</v>
      </c>
      <c r="D766" s="22" t="n">
        <f aca="false">LN(B766/B765)</f>
        <v>0.00433701866651335</v>
      </c>
      <c r="E766" s="22" t="n">
        <f aca="false">LN(C766/C765)</f>
        <v>0.00130145027693156</v>
      </c>
      <c r="F766" s="22" t="n">
        <f aca="false">LN(Summary!$B$13*EXP(D766)+Summary!$B$14*EXP(E766))</f>
        <v>0.0031238968475867</v>
      </c>
      <c r="G766" s="22" t="n">
        <f aca="false">EXP(F766)-1</f>
        <v>0.00312878129819283</v>
      </c>
      <c r="H766" s="21" t="n">
        <f aca="false">EXP(SUM(F515:F766))-1</f>
        <v>0.25390680902629</v>
      </c>
    </row>
    <row r="767" customFormat="false" ht="15" hidden="false" customHeight="false" outlineLevel="0" collapsed="false">
      <c r="A767" s="20" t="n">
        <v>45582</v>
      </c>
      <c r="B767" s="21" t="n">
        <v>569.214111</v>
      </c>
      <c r="C767" s="21" t="n">
        <v>92.223335</v>
      </c>
      <c r="D767" s="22" t="n">
        <f aca="false">LN(B767/B766)</f>
        <v>8.58922832008958E-005</v>
      </c>
      <c r="E767" s="22" t="n">
        <f aca="false">LN(C767/C766)</f>
        <v>-0.00491498436857322</v>
      </c>
      <c r="F767" s="22" t="n">
        <f aca="false">LN(Summary!$B$13*EXP(D767)+Summary!$B$14*EXP(E767))</f>
        <v>-0.00191145832871008</v>
      </c>
      <c r="G767" s="22" t="n">
        <f aca="false">EXP(F767)-1</f>
        <v>-0.0019096326556568</v>
      </c>
      <c r="H767" s="21" t="n">
        <f aca="false">EXP(SUM(F516:F767))-1</f>
        <v>0.255159315826551</v>
      </c>
    </row>
    <row r="768" customFormat="false" ht="15" hidden="false" customHeight="false" outlineLevel="0" collapsed="false">
      <c r="A768" s="20" t="n">
        <v>45583</v>
      </c>
      <c r="B768" s="21" t="n">
        <v>571.403625</v>
      </c>
      <c r="C768" s="21" t="n">
        <v>92.288269</v>
      </c>
      <c r="D768" s="22" t="n">
        <f aca="false">LN(B768/B767)</f>
        <v>0.00383917700070028</v>
      </c>
      <c r="E768" s="22" t="n">
        <f aca="false">LN(C768/C767)</f>
        <v>0.000703847359981667</v>
      </c>
      <c r="F768" s="22" t="n">
        <f aca="false">LN(Summary!$B$13*EXP(D768)+Summary!$B$14*EXP(E768))</f>
        <v>0.00258622453245285</v>
      </c>
      <c r="G768" s="22" t="n">
        <f aca="false">EXP(F768)-1</f>
        <v>0.00258957169600249</v>
      </c>
      <c r="H768" s="21" t="n">
        <f aca="false">EXP(SUM(F517:F768))-1</f>
        <v>0.270935405467909</v>
      </c>
    </row>
    <row r="769" customFormat="false" ht="15" hidden="false" customHeight="false" outlineLevel="0" collapsed="false">
      <c r="A769" s="20" t="n">
        <v>45586</v>
      </c>
      <c r="B769" s="21" t="n">
        <v>570.46521</v>
      </c>
      <c r="C769" s="21" t="n">
        <v>91.648399</v>
      </c>
      <c r="D769" s="22" t="n">
        <f aca="false">LN(B769/B768)</f>
        <v>-0.00164364799616747</v>
      </c>
      <c r="E769" s="22" t="n">
        <f aca="false">LN(C769/C768)</f>
        <v>-0.00695753150419389</v>
      </c>
      <c r="F769" s="22" t="n">
        <f aca="false">LN(Summary!$B$13*EXP(D769)+Summary!$B$14*EXP(E769))</f>
        <v>-0.00376581412033102</v>
      </c>
      <c r="G769" s="22" t="n">
        <f aca="false">EXP(F769)-1</f>
        <v>-0.00375873233468838</v>
      </c>
      <c r="H769" s="21" t="n">
        <f aca="false">EXP(SUM(F518:F769))-1</f>
        <v>0.274818498523229</v>
      </c>
    </row>
    <row r="770" customFormat="false" ht="15" hidden="false" customHeight="false" outlineLevel="0" collapsed="false">
      <c r="A770" s="20" t="n">
        <v>45587</v>
      </c>
      <c r="B770" s="21" t="n">
        <v>570.162231</v>
      </c>
      <c r="C770" s="21" t="n">
        <v>91.666946</v>
      </c>
      <c r="D770" s="22" t="n">
        <f aca="false">LN(B770/B769)</f>
        <v>-0.000531249724905859</v>
      </c>
      <c r="E770" s="22" t="n">
        <f aca="false">LN(C770/C769)</f>
        <v>0.000202350764070361</v>
      </c>
      <c r="F770" s="22" t="n">
        <f aca="false">LN(Summary!$B$13*EXP(D770)+Summary!$B$14*EXP(E770))</f>
        <v>-0.000237744945796898</v>
      </c>
      <c r="G770" s="22" t="n">
        <f aca="false">EXP(F770)-1</f>
        <v>-0.000237716686706801</v>
      </c>
      <c r="H770" s="21" t="n">
        <f aca="false">EXP(SUM(F519:F770))-1</f>
        <v>0.282121970694446</v>
      </c>
    </row>
    <row r="771" customFormat="false" ht="15" hidden="false" customHeight="false" outlineLevel="0" collapsed="false">
      <c r="A771" s="20" t="n">
        <v>45588</v>
      </c>
      <c r="B771" s="21" t="n">
        <v>564.952393</v>
      </c>
      <c r="C771" s="21" t="n">
        <v>91.43512</v>
      </c>
      <c r="D771" s="22" t="n">
        <f aca="false">LN(B771/B770)</f>
        <v>-0.00917946870331765</v>
      </c>
      <c r="E771" s="22" t="n">
        <f aca="false">LN(C771/C770)</f>
        <v>-0.00253220653308948</v>
      </c>
      <c r="F771" s="22" t="n">
        <f aca="false">LN(Summary!$B$13*EXP(D771)+Summary!$B$14*EXP(E771))</f>
        <v>-0.0065152591627712</v>
      </c>
      <c r="G771" s="22" t="n">
        <f aca="false">EXP(F771)-1</f>
        <v>-0.00649408088075187</v>
      </c>
      <c r="H771" s="21" t="n">
        <f aca="false">EXP(SUM(F520:F771))-1</f>
        <v>0.273127140468989</v>
      </c>
    </row>
    <row r="772" customFormat="false" ht="15" hidden="false" customHeight="false" outlineLevel="0" collapsed="false">
      <c r="A772" s="20" t="n">
        <v>45589</v>
      </c>
      <c r="B772" s="21" t="n">
        <v>566.174194</v>
      </c>
      <c r="C772" s="21" t="n">
        <v>91.611313</v>
      </c>
      <c r="D772" s="22" t="n">
        <f aca="false">LN(B772/B771)</f>
        <v>0.00216032668531009</v>
      </c>
      <c r="E772" s="22" t="n">
        <f aca="false">LN(C772/C771)</f>
        <v>0.0019251186874039</v>
      </c>
      <c r="F772" s="22" t="n">
        <f aca="false">LN(Summary!$B$13*EXP(D772)+Summary!$B$14*EXP(E772))</f>
        <v>0.00206625012477991</v>
      </c>
      <c r="G772" s="22" t="n">
        <f aca="false">EXP(F772)-1</f>
        <v>0.00206838629059991</v>
      </c>
      <c r="H772" s="21" t="n">
        <f aca="false">EXP(SUM(F521:F772))-1</f>
        <v>0.26821114435149</v>
      </c>
    </row>
    <row r="773" customFormat="false" ht="15" hidden="false" customHeight="false" outlineLevel="0" collapsed="false">
      <c r="A773" s="20" t="n">
        <v>45590</v>
      </c>
      <c r="B773" s="21" t="n">
        <v>565.978699</v>
      </c>
      <c r="C773" s="21" t="n">
        <v>91.425835</v>
      </c>
      <c r="D773" s="22" t="n">
        <f aca="false">LN(B773/B772)</f>
        <v>-0.000345350885294397</v>
      </c>
      <c r="E773" s="22" t="n">
        <f aca="false">LN(C773/C772)</f>
        <v>-0.00202667125785809</v>
      </c>
      <c r="F773" s="22" t="n">
        <f aca="false">LN(Summary!$B$13*EXP(D773)+Summary!$B$14*EXP(E773))</f>
        <v>-0.00101753985179419</v>
      </c>
      <c r="G773" s="22" t="n">
        <f aca="false">EXP(F773)-1</f>
        <v>-0.00101702233366585</v>
      </c>
      <c r="H773" s="21" t="n">
        <f aca="false">EXP(SUM(F522:F773))-1</f>
        <v>0.28177561302829</v>
      </c>
    </row>
    <row r="774" customFormat="false" ht="15" hidden="false" customHeight="false" outlineLevel="0" collapsed="false">
      <c r="A774" s="20" t="n">
        <v>45593</v>
      </c>
      <c r="B774" s="21" t="n">
        <v>567.728394</v>
      </c>
      <c r="C774" s="21" t="n">
        <v>91.277443</v>
      </c>
      <c r="D774" s="22" t="n">
        <f aca="false">LN(B774/B773)</f>
        <v>0.00308668155999579</v>
      </c>
      <c r="E774" s="22" t="n">
        <f aca="false">LN(C774/C773)</f>
        <v>-0.00162440470969605</v>
      </c>
      <c r="F774" s="22" t="n">
        <f aca="false">LN(Summary!$B$13*EXP(D774)+Summary!$B$14*EXP(E774))</f>
        <v>0.00120490953353886</v>
      </c>
      <c r="G774" s="22" t="n">
        <f aca="false">EXP(F774)-1</f>
        <v>0.00120563572866805</v>
      </c>
      <c r="H774" s="21" t="n">
        <f aca="false">EXP(SUM(F523:F774))-1</f>
        <v>0.289107905312537</v>
      </c>
    </row>
    <row r="775" customFormat="false" ht="15" hidden="false" customHeight="false" outlineLevel="0" collapsed="false">
      <c r="A775" s="20" t="n">
        <v>45594</v>
      </c>
      <c r="B775" s="21" t="n">
        <v>568.647156</v>
      </c>
      <c r="C775" s="21" t="n">
        <v>91.379471</v>
      </c>
      <c r="D775" s="22" t="n">
        <f aca="false">LN(B775/B774)</f>
        <v>0.00161700451966057</v>
      </c>
      <c r="E775" s="22" t="n">
        <f aca="false">LN(C775/C774)</f>
        <v>0.00111715465214958</v>
      </c>
      <c r="F775" s="22" t="n">
        <f aca="false">LN(Summary!$B$13*EXP(D775)+Summary!$B$14*EXP(E775))</f>
        <v>0.00141709455364352</v>
      </c>
      <c r="G775" s="22" t="n">
        <f aca="false">EXP(F775)-1</f>
        <v>0.00141809910658997</v>
      </c>
      <c r="H775" s="21" t="n">
        <f aca="false">EXP(SUM(F524:F775))-1</f>
        <v>0.294624724153495</v>
      </c>
    </row>
    <row r="776" customFormat="false" ht="15" hidden="false" customHeight="false" outlineLevel="0" collapsed="false">
      <c r="A776" s="20" t="n">
        <v>45595</v>
      </c>
      <c r="B776" s="21" t="n">
        <v>566.92688</v>
      </c>
      <c r="C776" s="21" t="n">
        <v>91.286728</v>
      </c>
      <c r="D776" s="22" t="n">
        <f aca="false">LN(B776/B775)</f>
        <v>-0.00302979332289067</v>
      </c>
      <c r="E776" s="22" t="n">
        <f aca="false">LN(C776/C775)</f>
        <v>-0.00101543699356264</v>
      </c>
      <c r="F776" s="22" t="n">
        <f aca="false">LN(Summary!$B$13*EXP(D776)+Summary!$B$14*EXP(E776))</f>
        <v>-0.00222356381007322</v>
      </c>
      <c r="G776" s="22" t="n">
        <f aca="false">EXP(F776)-1</f>
        <v>-0.00222109352335043</v>
      </c>
      <c r="H776" s="21" t="n">
        <f aca="false">EXP(SUM(F525:F776))-1</f>
        <v>0.283760398559796</v>
      </c>
    </row>
    <row r="777" customFormat="false" ht="15" hidden="false" customHeight="false" outlineLevel="0" collapsed="false">
      <c r="A777" s="20" t="n">
        <v>45596</v>
      </c>
      <c r="B777" s="21" t="n">
        <v>555.813293</v>
      </c>
      <c r="C777" s="21" t="n">
        <v>91.268173</v>
      </c>
      <c r="D777" s="22" t="n">
        <f aca="false">LN(B777/B776)</f>
        <v>-0.0197979020771692</v>
      </c>
      <c r="E777" s="22" t="n">
        <f aca="false">LN(C777/C776)</f>
        <v>-0.000203281313864954</v>
      </c>
      <c r="F777" s="22" t="n">
        <f aca="false">LN(Summary!$B$13*EXP(D777)+Summary!$B$14*EXP(E777))</f>
        <v>-0.011913920336392</v>
      </c>
      <c r="G777" s="22" t="n">
        <f aca="false">EXP(F777)-1</f>
        <v>-0.0118432305966391</v>
      </c>
      <c r="H777" s="21" t="n">
        <f aca="false">EXP(SUM(F526:F777))-1</f>
        <v>0.264121433997375</v>
      </c>
    </row>
    <row r="778" customFormat="false" ht="15" hidden="false" customHeight="false" outlineLevel="0" collapsed="false">
      <c r="A778" s="20" t="n">
        <v>45597</v>
      </c>
      <c r="B778" s="21" t="n">
        <v>558.159119</v>
      </c>
      <c r="C778" s="21" t="n">
        <v>90.90538</v>
      </c>
      <c r="D778" s="22" t="n">
        <f aca="false">LN(B778/B777)</f>
        <v>0.00421164733030304</v>
      </c>
      <c r="E778" s="22" t="n">
        <f aca="false">LN(C778/C777)</f>
        <v>-0.00398294344742071</v>
      </c>
      <c r="F778" s="22" t="n">
        <f aca="false">LN(Summary!$B$13*EXP(D778)+Summary!$B$14*EXP(E778))</f>
        <v>0.000941864755341635</v>
      </c>
      <c r="G778" s="22" t="n">
        <f aca="false">EXP(F778)-1</f>
        <v>0.00094230844923926</v>
      </c>
      <c r="H778" s="21" t="n">
        <f aca="false">EXP(SUM(F527:F778))-1</f>
        <v>0.251769694424543</v>
      </c>
    </row>
    <row r="779" customFormat="false" ht="15" hidden="false" customHeight="false" outlineLevel="0" collapsed="false">
      <c r="A779" s="20" t="n">
        <v>45600</v>
      </c>
      <c r="B779" s="21" t="n">
        <v>556.956909</v>
      </c>
      <c r="C779" s="21" t="n">
        <v>91.286781</v>
      </c>
      <c r="D779" s="22" t="n">
        <f aca="false">LN(B779/B778)</f>
        <v>-0.00215620695172906</v>
      </c>
      <c r="E779" s="22" t="n">
        <f aca="false">LN(C779/C778)</f>
        <v>0.00418680534934908</v>
      </c>
      <c r="F779" s="22" t="n">
        <f aca="false">LN(Summary!$B$13*EXP(D779)+Summary!$B$14*EXP(E779))</f>
        <v>0.000385828059806374</v>
      </c>
      <c r="G779" s="22" t="n">
        <f aca="false">EXP(F779)-1</f>
        <v>0.00038590250102577</v>
      </c>
      <c r="H779" s="21" t="n">
        <f aca="false">EXP(SUM(F528:F779))-1</f>
        <v>0.23507798275871</v>
      </c>
    </row>
    <row r="780" customFormat="false" ht="15" hidden="false" customHeight="false" outlineLevel="0" collapsed="false">
      <c r="A780" s="20" t="n">
        <v>45601</v>
      </c>
      <c r="B780" s="21" t="n">
        <v>563.691528</v>
      </c>
      <c r="C780" s="21" t="n">
        <v>91.500748</v>
      </c>
      <c r="D780" s="22" t="n">
        <f aca="false">LN(B780/B779)</f>
        <v>0.012019291426152</v>
      </c>
      <c r="E780" s="22" t="n">
        <f aca="false">LN(C780/C779)</f>
        <v>0.00234115641149298</v>
      </c>
      <c r="F780" s="22" t="n">
        <f aca="false">LN(Summary!$B$13*EXP(D780)+Summary!$B$14*EXP(E780))</f>
        <v>0.00815927008531245</v>
      </c>
      <c r="G780" s="22" t="n">
        <f aca="false">EXP(F780)-1</f>
        <v>0.00819264764656302</v>
      </c>
      <c r="H780" s="21" t="n">
        <f aca="false">EXP(SUM(F529:F780))-1</f>
        <v>0.235424752674374</v>
      </c>
    </row>
    <row r="781" customFormat="false" ht="15" hidden="false" customHeight="false" outlineLevel="0" collapsed="false">
      <c r="A781" s="20" t="n">
        <v>45602</v>
      </c>
      <c r="B781" s="21" t="n">
        <v>577.707947</v>
      </c>
      <c r="C781" s="21" t="n">
        <v>90.784431</v>
      </c>
      <c r="D781" s="22" t="n">
        <f aca="false">LN(B781/B780)</f>
        <v>0.0245612932637864</v>
      </c>
      <c r="E781" s="22" t="n">
        <f aca="false">LN(C781/C780)</f>
        <v>-0.00785934096367338</v>
      </c>
      <c r="F781" s="22" t="n">
        <f aca="false">LN(Summary!$B$13*EXP(D781)+Summary!$B$14*EXP(E781))</f>
        <v>0.011718893823723</v>
      </c>
      <c r="G781" s="22" t="n">
        <f aca="false">EXP(F781)-1</f>
        <v>0.0117878290784135</v>
      </c>
      <c r="H781" s="21" t="n">
        <f aca="false">EXP(SUM(F530:F781))-1</f>
        <v>0.250758108817563</v>
      </c>
    </row>
    <row r="782" customFormat="false" ht="15" hidden="false" customHeight="false" outlineLevel="0" collapsed="false">
      <c r="A782" s="20" t="n">
        <v>45603</v>
      </c>
      <c r="B782" s="21" t="n">
        <v>582.174988</v>
      </c>
      <c r="C782" s="21" t="n">
        <v>91.472832</v>
      </c>
      <c r="D782" s="22" t="n">
        <f aca="false">LN(B782/B781)</f>
        <v>0.00770261023945411</v>
      </c>
      <c r="E782" s="22" t="n">
        <f aca="false">LN(C782/C781)</f>
        <v>0.00755420401202604</v>
      </c>
      <c r="F782" s="22" t="n">
        <f aca="false">LN(Summary!$B$13*EXP(D782)+Summary!$B$14*EXP(E782))</f>
        <v>0.00764325039138573</v>
      </c>
      <c r="G782" s="22" t="n">
        <f aca="false">EXP(F782)-1</f>
        <v>0.00767253459093631</v>
      </c>
      <c r="H782" s="21" t="n">
        <f aca="false">EXP(SUM(F531:F782))-1</f>
        <v>0.255531034746716</v>
      </c>
    </row>
    <row r="783" customFormat="false" ht="15" hidden="false" customHeight="false" outlineLevel="0" collapsed="false">
      <c r="A783" s="20" t="n">
        <v>45604</v>
      </c>
      <c r="B783" s="21" t="n">
        <v>584.696777</v>
      </c>
      <c r="C783" s="21" t="n">
        <v>91.630997</v>
      </c>
      <c r="D783" s="22" t="n">
        <f aca="false">LN(B783/B782)</f>
        <v>0.00432231373099882</v>
      </c>
      <c r="E783" s="22" t="n">
        <f aca="false">LN(C783/C782)</f>
        <v>0.00172759947404767</v>
      </c>
      <c r="F783" s="22" t="n">
        <f aca="false">LN(Summary!$B$13*EXP(D783)+Summary!$B$14*EXP(E783))</f>
        <v>0.00328523579331594</v>
      </c>
      <c r="G783" s="22" t="n">
        <f aca="false">EXP(F783)-1</f>
        <v>0.0032906380947495</v>
      </c>
      <c r="H783" s="21" t="n">
        <f aca="false">EXP(SUM(F532:F783))-1</f>
        <v>0.257401545400472</v>
      </c>
    </row>
    <row r="784" customFormat="false" ht="15" hidden="false" customHeight="false" outlineLevel="0" collapsed="false">
      <c r="A784" s="20" t="n">
        <v>45607</v>
      </c>
      <c r="B784" s="21" t="n">
        <v>585.253845</v>
      </c>
      <c r="C784" s="21" t="n">
        <v>91.426346</v>
      </c>
      <c r="D784" s="22" t="n">
        <f aca="false">LN(B784/B783)</f>
        <v>0.000952293253447502</v>
      </c>
      <c r="E784" s="22" t="n">
        <f aca="false">LN(C784/C783)</f>
        <v>-0.00223592325668363</v>
      </c>
      <c r="F784" s="22" t="n">
        <f aca="false">LN(Summary!$B$13*EXP(D784)+Summary!$B$14*EXP(E784))</f>
        <v>-0.000321773843376179</v>
      </c>
      <c r="G784" s="22" t="n">
        <f aca="false">EXP(F784)-1</f>
        <v>-0.000321722079725251</v>
      </c>
      <c r="H784" s="21" t="n">
        <f aca="false">EXP(SUM(F533:F784))-1</f>
        <v>0.267162447792596</v>
      </c>
    </row>
    <row r="785" customFormat="false" ht="15" hidden="false" customHeight="false" outlineLevel="0" collapsed="false">
      <c r="A785" s="20" t="n">
        <v>45608</v>
      </c>
      <c r="B785" s="21" t="n">
        <v>583.435852</v>
      </c>
      <c r="C785" s="21" t="n">
        <v>90.896072</v>
      </c>
      <c r="D785" s="22" t="n">
        <f aca="false">LN(B785/B784)</f>
        <v>-0.00311116709779174</v>
      </c>
      <c r="E785" s="22" t="n">
        <f aca="false">LN(C785/C784)</f>
        <v>-0.00581689844864455</v>
      </c>
      <c r="F785" s="22" t="n">
        <f aca="false">LN(Summary!$B$13*EXP(D785)+Summary!$B$14*EXP(E785))</f>
        <v>-0.00419258127898026</v>
      </c>
      <c r="G785" s="22" t="n">
        <f aca="false">EXP(F785)-1</f>
        <v>-0.00418380467990898</v>
      </c>
      <c r="H785" s="21" t="n">
        <f aca="false">EXP(SUM(F534:F785))-1</f>
        <v>0.248993890697517</v>
      </c>
    </row>
    <row r="786" customFormat="false" ht="15" hidden="false" customHeight="false" outlineLevel="0" collapsed="false">
      <c r="A786" s="20" t="n">
        <v>45609</v>
      </c>
      <c r="B786" s="21" t="n">
        <v>583.71936</v>
      </c>
      <c r="C786" s="21" t="n">
        <v>90.877464</v>
      </c>
      <c r="D786" s="22" t="n">
        <f aca="false">LN(B786/B785)</f>
        <v>0.000485810289259211</v>
      </c>
      <c r="E786" s="22" t="n">
        <f aca="false">LN(C786/C785)</f>
        <v>-0.0002047382746078</v>
      </c>
      <c r="F786" s="22" t="n">
        <f aca="false">LN(Summary!$B$13*EXP(D786)+Summary!$B$14*EXP(E786))</f>
        <v>0.000209648083955348</v>
      </c>
      <c r="G786" s="22" t="n">
        <f aca="false">EXP(F786)-1</f>
        <v>0.000209670061650735</v>
      </c>
      <c r="H786" s="21" t="n">
        <f aca="false">EXP(SUM(F535:F786))-1</f>
        <v>0.250024111055492</v>
      </c>
    </row>
    <row r="787" customFormat="false" ht="15" hidden="false" customHeight="false" outlineLevel="0" collapsed="false">
      <c r="A787" s="20" t="n">
        <v>45610</v>
      </c>
      <c r="B787" s="21" t="n">
        <v>579.96582</v>
      </c>
      <c r="C787" s="21" t="n">
        <v>90.840263</v>
      </c>
      <c r="D787" s="22" t="n">
        <f aca="false">LN(B787/B786)</f>
        <v>-0.00645114861337346</v>
      </c>
      <c r="E787" s="22" t="n">
        <f aca="false">LN(C787/C786)</f>
        <v>-0.000409437220395178</v>
      </c>
      <c r="F787" s="22" t="n">
        <f aca="false">LN(Summary!$B$13*EXP(D787)+Summary!$B$14*EXP(E787))</f>
        <v>-0.00403008202457429</v>
      </c>
      <c r="G787" s="22" t="n">
        <f aca="false">EXP(F787)-1</f>
        <v>-0.00402197214216682</v>
      </c>
      <c r="H787" s="21" t="n">
        <f aca="false">EXP(SUM(F536:F787))-1</f>
        <v>0.224589206512117</v>
      </c>
    </row>
    <row r="788" customFormat="false" ht="15" hidden="false" customHeight="false" outlineLevel="0" collapsed="false">
      <c r="A788" s="20" t="n">
        <v>45611</v>
      </c>
      <c r="B788" s="21" t="n">
        <v>572.537354</v>
      </c>
      <c r="C788" s="21" t="n">
        <v>90.849579</v>
      </c>
      <c r="D788" s="22" t="n">
        <f aca="false">LN(B788/B787)</f>
        <v>-0.0128911903080172</v>
      </c>
      <c r="E788" s="22" t="n">
        <f aca="false">LN(C788/C787)</f>
        <v>0.000102548385816502</v>
      </c>
      <c r="F788" s="22" t="n">
        <f aca="false">LN(Summary!$B$13*EXP(D788)+Summary!$B$14*EXP(E788))</f>
        <v>-0.00767341693614208</v>
      </c>
      <c r="G788" s="22" t="n">
        <f aca="false">EXP(F788)-1</f>
        <v>-0.00764405143166269</v>
      </c>
      <c r="H788" s="21" t="n">
        <f aca="false">EXP(SUM(F537:F788))-1</f>
        <v>0.216701540704366</v>
      </c>
    </row>
    <row r="789" customFormat="false" ht="15" hidden="false" customHeight="false" outlineLevel="0" collapsed="false">
      <c r="A789" s="20" t="n">
        <v>45614</v>
      </c>
      <c r="B789" s="21" t="n">
        <v>574.883301</v>
      </c>
      <c r="C789" s="21" t="n">
        <v>90.933296</v>
      </c>
      <c r="D789" s="22" t="n">
        <f aca="false">LN(B789/B788)</f>
        <v>0.00408908495516944</v>
      </c>
      <c r="E789" s="22" t="n">
        <f aca="false">LN(C789/C788)</f>
        <v>0.000921065924592901</v>
      </c>
      <c r="F789" s="22" t="n">
        <f aca="false">LN(Summary!$B$13*EXP(D789)+Summary!$B$14*EXP(E789))</f>
        <v>0.00282308144948254</v>
      </c>
      <c r="G789" s="22" t="n">
        <f aca="false">EXP(F789)-1</f>
        <v>0.00282707009645966</v>
      </c>
      <c r="H789" s="21" t="n">
        <f aca="false">EXP(SUM(F538:F789))-1</f>
        <v>0.216571720677925</v>
      </c>
    </row>
    <row r="790" customFormat="false" ht="15" hidden="false" customHeight="false" outlineLevel="0" collapsed="false">
      <c r="A790" s="20" t="n">
        <v>45615</v>
      </c>
      <c r="B790" s="21" t="n">
        <v>576.984802</v>
      </c>
      <c r="C790" s="21" t="n">
        <v>91.063522</v>
      </c>
      <c r="D790" s="22" t="n">
        <f aca="false">LN(B790/B789)</f>
        <v>0.00364886105652939</v>
      </c>
      <c r="E790" s="22" t="n">
        <f aca="false">LN(C790/C789)</f>
        <v>0.00143108020960174</v>
      </c>
      <c r="F790" s="22" t="n">
        <f aca="false">LN(Summary!$B$13*EXP(D790)+Summary!$B$14*EXP(E790))</f>
        <v>0.00276233885661209</v>
      </c>
      <c r="G790" s="22" t="n">
        <f aca="false">EXP(F790)-1</f>
        <v>0.00276615763003063</v>
      </c>
      <c r="H790" s="21" t="n">
        <f aca="false">EXP(SUM(F539:F790))-1</f>
        <v>0.218054192426799</v>
      </c>
    </row>
    <row r="791" customFormat="false" ht="15" hidden="false" customHeight="false" outlineLevel="0" collapsed="false">
      <c r="A791" s="20" t="n">
        <v>45616</v>
      </c>
      <c r="B791" s="21" t="n">
        <v>577.180176</v>
      </c>
      <c r="C791" s="21" t="n">
        <v>90.970497</v>
      </c>
      <c r="D791" s="22" t="n">
        <f aca="false">LN(B791/B790)</f>
        <v>0.000338554722401531</v>
      </c>
      <c r="E791" s="22" t="n">
        <f aca="false">LN(C791/C790)</f>
        <v>-0.00102206179492111</v>
      </c>
      <c r="F791" s="22" t="n">
        <f aca="false">LN(Summary!$B$13*EXP(D791)+Summary!$B$14*EXP(E791))</f>
        <v>-0.00020546975141681</v>
      </c>
      <c r="G791" s="22" t="n">
        <f aca="false">EXP(F791)-1</f>
        <v>-0.00020544864395311</v>
      </c>
      <c r="H791" s="21" t="n">
        <f aca="false">EXP(SUM(F540:F791))-1</f>
        <v>0.211445595974816</v>
      </c>
    </row>
    <row r="792" customFormat="false" ht="15" hidden="false" customHeight="false" outlineLevel="0" collapsed="false">
      <c r="A792" s="20" t="n">
        <v>45617</v>
      </c>
      <c r="B792" s="21" t="n">
        <v>580.278687</v>
      </c>
      <c r="C792" s="21" t="n">
        <v>90.923996</v>
      </c>
      <c r="D792" s="22" t="n">
        <f aca="false">LN(B792/B791)</f>
        <v>0.00535400177181263</v>
      </c>
      <c r="E792" s="22" t="n">
        <f aca="false">LN(C792/C791)</f>
        <v>-0.000511296414158444</v>
      </c>
      <c r="F792" s="22" t="n">
        <f aca="false">LN(Summary!$B$13*EXP(D792)+Summary!$B$14*EXP(E792))</f>
        <v>0.00301200908474842</v>
      </c>
      <c r="G792" s="22" t="n">
        <f aca="false">EXP(F792)-1</f>
        <v>0.00301654974180066</v>
      </c>
      <c r="H792" s="21" t="n">
        <f aca="false">EXP(SUM(F541:F792))-1</f>
        <v>0.216180565248916</v>
      </c>
    </row>
    <row r="793" customFormat="false" ht="15" hidden="false" customHeight="false" outlineLevel="0" collapsed="false">
      <c r="A793" s="20" t="n">
        <v>45618</v>
      </c>
      <c r="B793" s="21" t="n">
        <v>582.077209</v>
      </c>
      <c r="C793" s="21" t="n">
        <v>90.98912</v>
      </c>
      <c r="D793" s="22" t="n">
        <f aca="false">LN(B793/B792)</f>
        <v>0.00309461747732891</v>
      </c>
      <c r="E793" s="22" t="n">
        <f aca="false">LN(C793/C792)</f>
        <v>0.000715990184919969</v>
      </c>
      <c r="F793" s="22" t="n">
        <f aca="false">LN(Summary!$B$13*EXP(D793)+Summary!$B$14*EXP(E793))</f>
        <v>0.00214384539669646</v>
      </c>
      <c r="G793" s="22" t="n">
        <f aca="false">EXP(F793)-1</f>
        <v>0.00214614507633115</v>
      </c>
      <c r="H793" s="21" t="n">
        <f aca="false">EXP(SUM(F542:F793))-1</f>
        <v>0.215516726373655</v>
      </c>
    </row>
    <row r="794" customFormat="false" ht="15" hidden="false" customHeight="false" outlineLevel="0" collapsed="false">
      <c r="A794" s="20" t="n">
        <v>45621</v>
      </c>
      <c r="B794" s="21" t="n">
        <v>584.051697</v>
      </c>
      <c r="C794" s="21" t="n">
        <v>91.807732</v>
      </c>
      <c r="D794" s="22" t="n">
        <f aca="false">LN(B794/B793)</f>
        <v>0.00338640072593173</v>
      </c>
      <c r="E794" s="22" t="n">
        <f aca="false">LN(C794/C793)</f>
        <v>0.00895658172973585</v>
      </c>
      <c r="F794" s="22" t="n">
        <f aca="false">LN(Summary!$B$13*EXP(D794)+Summary!$B$14*EXP(E794))</f>
        <v>0.00561819773578774</v>
      </c>
      <c r="G794" s="22" t="n">
        <f aca="false">EXP(F794)-1</f>
        <v>0.00563400940584802</v>
      </c>
      <c r="H794" s="21" t="n">
        <f aca="false">EXP(SUM(F543:F794))-1</f>
        <v>0.224166852908955</v>
      </c>
    </row>
    <row r="795" customFormat="false" ht="15" hidden="false" customHeight="false" outlineLevel="0" collapsed="false">
      <c r="A795" s="20" t="n">
        <v>45622</v>
      </c>
      <c r="B795" s="21" t="n">
        <v>587.101379</v>
      </c>
      <c r="C795" s="21" t="n">
        <v>91.668205</v>
      </c>
      <c r="D795" s="22" t="n">
        <f aca="false">LN(B795/B794)</f>
        <v>0.00520801072999287</v>
      </c>
      <c r="E795" s="22" t="n">
        <f aca="false">LN(C795/C794)</f>
        <v>-0.00152092998327606</v>
      </c>
      <c r="F795" s="22" t="n">
        <f aca="false">LN(Summary!$B$13*EXP(D795)+Summary!$B$14*EXP(E795))</f>
        <v>0.00252186543543138</v>
      </c>
      <c r="G795" s="22" t="n">
        <f aca="false">EXP(F795)-1</f>
        <v>0.00252504801285025</v>
      </c>
      <c r="H795" s="21" t="n">
        <f aca="false">EXP(SUM(F544:F795))-1</f>
        <v>0.225799810097305</v>
      </c>
    </row>
    <row r="796" customFormat="false" ht="15" hidden="false" customHeight="false" outlineLevel="0" collapsed="false">
      <c r="A796" s="20" t="n">
        <v>45623</v>
      </c>
      <c r="B796" s="21" t="n">
        <v>585.322388</v>
      </c>
      <c r="C796" s="21" t="n">
        <v>91.919365</v>
      </c>
      <c r="D796" s="22" t="n">
        <f aca="false">LN(B796/B795)</f>
        <v>-0.00303472586514056</v>
      </c>
      <c r="E796" s="22" t="n">
        <f aca="false">LN(C796/C795)</f>
        <v>0.00273613465978146</v>
      </c>
      <c r="F796" s="22" t="n">
        <f aca="false">LN(Summary!$B$13*EXP(D796)+Summary!$B$14*EXP(E796))</f>
        <v>-0.000722383782824707</v>
      </c>
      <c r="G796" s="22" t="n">
        <f aca="false">EXP(F796)-1</f>
        <v>-0.000722122926476443</v>
      </c>
      <c r="H796" s="21" t="n">
        <f aca="false">EXP(SUM(F545:F796))-1</f>
        <v>0.222043020738787</v>
      </c>
    </row>
    <row r="797" customFormat="false" ht="15" hidden="false" customHeight="false" outlineLevel="0" collapsed="false">
      <c r="A797" s="20" t="n">
        <v>45625</v>
      </c>
      <c r="B797" s="21" t="n">
        <v>588.958374</v>
      </c>
      <c r="C797" s="21" t="n">
        <v>92.282166</v>
      </c>
      <c r="D797" s="22" t="n">
        <f aca="false">LN(B797/B796)</f>
        <v>0.00619272279271475</v>
      </c>
      <c r="E797" s="22" t="n">
        <f aca="false">LN(C797/C796)</f>
        <v>0.00393917973608963</v>
      </c>
      <c r="F797" s="22" t="n">
        <f aca="false">LN(Summary!$B$13*EXP(D797)+Summary!$B$14*EXP(E797))</f>
        <v>0.00529191489315199</v>
      </c>
      <c r="G797" s="22" t="n">
        <f aca="false">EXP(F797)-1</f>
        <v>0.00530594180693278</v>
      </c>
      <c r="H797" s="21" t="n">
        <f aca="false">EXP(SUM(F546:F797))-1</f>
        <v>0.2266455948735</v>
      </c>
    </row>
    <row r="798" customFormat="false" ht="15" hidden="false" customHeight="false" outlineLevel="0" collapsed="false">
      <c r="A798" s="20" t="n">
        <v>45628</v>
      </c>
      <c r="B798" s="21" t="n">
        <v>590.014038</v>
      </c>
      <c r="C798" s="21" t="n">
        <v>92.293373</v>
      </c>
      <c r="D798" s="22" t="n">
        <f aca="false">LN(B798/B797)</f>
        <v>0.00179082100884593</v>
      </c>
      <c r="E798" s="22" t="n">
        <f aca="false">LN(C798/C797)</f>
        <v>0.000121435376263725</v>
      </c>
      <c r="F798" s="22" t="n">
        <f aca="false">LN(Summary!$B$13*EXP(D798)+Summary!$B$14*EXP(E798))</f>
        <v>0.00112340114036712</v>
      </c>
      <c r="G798" s="22" t="n">
        <f aca="false">EXP(F798)-1</f>
        <v>0.00112403239178893</v>
      </c>
      <c r="H798" s="21" t="n">
        <f aca="false">EXP(SUM(F547:F798))-1</f>
        <v>0.226751938896097</v>
      </c>
    </row>
    <row r="799" customFormat="false" ht="15" hidden="false" customHeight="false" outlineLevel="0" collapsed="false">
      <c r="A799" s="20" t="n">
        <v>45629</v>
      </c>
      <c r="B799" s="21" t="n">
        <v>590.28772</v>
      </c>
      <c r="C799" s="21" t="n">
        <v>92.116058</v>
      </c>
      <c r="D799" s="22" t="n">
        <f aca="false">LN(B799/B798)</f>
        <v>0.000463749211674021</v>
      </c>
      <c r="E799" s="22" t="n">
        <f aca="false">LN(C799/C798)</f>
        <v>-0.00192305842150606</v>
      </c>
      <c r="F799" s="22" t="n">
        <f aca="false">LN(Summary!$B$13*EXP(D799)+Summary!$B$14*EXP(E799))</f>
        <v>-0.000490290328437684</v>
      </c>
      <c r="G799" s="22" t="n">
        <f aca="false">EXP(F799)-1</f>
        <v>-0.000490170155775238</v>
      </c>
      <c r="H799" s="21" t="n">
        <f aca="false">EXP(SUM(F548:F799))-1</f>
        <v>0.217546528876356</v>
      </c>
    </row>
    <row r="800" customFormat="false" ht="15" hidden="false" customHeight="false" outlineLevel="0" collapsed="false">
      <c r="A800" s="20" t="n">
        <v>45630</v>
      </c>
      <c r="B800" s="21" t="n">
        <v>593.953064</v>
      </c>
      <c r="C800" s="21" t="n">
        <v>92.414688</v>
      </c>
      <c r="D800" s="22" t="n">
        <f aca="false">LN(B800/B799)</f>
        <v>0.00619022035690979</v>
      </c>
      <c r="E800" s="22" t="n">
        <f aca="false">LN(C800/C799)</f>
        <v>0.00323664502717336</v>
      </c>
      <c r="F800" s="22" t="n">
        <f aca="false">LN(Summary!$B$13*EXP(D800)+Summary!$B$14*EXP(E800))</f>
        <v>0.00500983685142135</v>
      </c>
      <c r="G800" s="22" t="n">
        <f aca="false">EXP(F800)-1</f>
        <v>0.00502240706686985</v>
      </c>
      <c r="H800" s="21" t="n">
        <f aca="false">EXP(SUM(F549:F800))-1</f>
        <v>0.229412870203755</v>
      </c>
    </row>
    <row r="801" customFormat="false" ht="15" hidden="false" customHeight="false" outlineLevel="0" collapsed="false">
      <c r="A801" s="20" t="n">
        <v>45631</v>
      </c>
      <c r="B801" s="21" t="n">
        <v>592.975647</v>
      </c>
      <c r="C801" s="21" t="n">
        <v>92.43335</v>
      </c>
      <c r="D801" s="22" t="n">
        <f aca="false">LN(B801/B800)</f>
        <v>-0.00164696870482474</v>
      </c>
      <c r="E801" s="22" t="n">
        <f aca="false">LN(C801/C800)</f>
        <v>0.000201917210107698</v>
      </c>
      <c r="F801" s="22" t="n">
        <f aca="false">LN(Summary!$B$13*EXP(D801)+Summary!$B$14*EXP(E801))</f>
        <v>-0.000907004082846546</v>
      </c>
      <c r="G801" s="22" t="n">
        <f aca="false">EXP(F801)-1</f>
        <v>-0.000906592878973989</v>
      </c>
      <c r="H801" s="21" t="n">
        <f aca="false">EXP(SUM(F550:F801))-1</f>
        <v>0.225191509667629</v>
      </c>
    </row>
    <row r="802" customFormat="false" ht="15" hidden="false" customHeight="false" outlineLevel="0" collapsed="false">
      <c r="A802" s="20" t="n">
        <v>45632</v>
      </c>
      <c r="B802" s="21" t="n">
        <v>594.099731</v>
      </c>
      <c r="C802" s="21" t="n">
        <v>92.694656</v>
      </c>
      <c r="D802" s="22" t="n">
        <f aca="false">LN(B802/B801)</f>
        <v>0.00189387187505808</v>
      </c>
      <c r="E802" s="22" t="n">
        <f aca="false">LN(C802/C801)</f>
        <v>0.00282297831840133</v>
      </c>
      <c r="F802" s="22" t="n">
        <f aca="false">LN(Summary!$B$13*EXP(D802)+Summary!$B$14*EXP(E802))</f>
        <v>0.00226561804746244</v>
      </c>
      <c r="G802" s="22" t="n">
        <f aca="false">EXP(F802)-1</f>
        <v>0.00226818649937499</v>
      </c>
      <c r="H802" s="21" t="n">
        <f aca="false">EXP(SUM(F551:F802))-1</f>
        <v>0.229677185005143</v>
      </c>
    </row>
    <row r="803" customFormat="false" ht="15" hidden="false" customHeight="false" outlineLevel="0" collapsed="false">
      <c r="A803" s="20" t="n">
        <v>45635</v>
      </c>
      <c r="B803" s="21" t="n">
        <v>591.040344</v>
      </c>
      <c r="C803" s="21" t="n">
        <v>92.424026</v>
      </c>
      <c r="D803" s="22" t="n">
        <f aca="false">LN(B803/B802)</f>
        <v>-0.0051629235402559</v>
      </c>
      <c r="E803" s="22" t="n">
        <f aca="false">LN(C803/C802)</f>
        <v>-0.00292385608924993</v>
      </c>
      <c r="F803" s="22" t="n">
        <f aca="false">LN(Summary!$B$13*EXP(D803)+Summary!$B$14*EXP(E803))</f>
        <v>-0.00426669485939503</v>
      </c>
      <c r="G803" s="22" t="n">
        <f aca="false">EXP(F803)-1</f>
        <v>-0.00425760544872578</v>
      </c>
      <c r="H803" s="21" t="n">
        <f aca="false">EXP(SUM(F552:F803))-1</f>
        <v>0.218712009198977</v>
      </c>
    </row>
    <row r="804" customFormat="false" ht="15" hidden="false" customHeight="false" outlineLevel="0" collapsed="false">
      <c r="A804" s="20" t="n">
        <v>45636</v>
      </c>
      <c r="B804" s="21" t="n">
        <v>589.202759</v>
      </c>
      <c r="C804" s="21" t="n">
        <v>92.312027</v>
      </c>
      <c r="D804" s="22" t="n">
        <f aca="false">LN(B804/B803)</f>
        <v>-0.00311391183759681</v>
      </c>
      <c r="E804" s="22" t="n">
        <f aca="false">LN(C804/C803)</f>
        <v>-0.00121253011421664</v>
      </c>
      <c r="F804" s="22" t="n">
        <f aca="false">LN(Summary!$B$13*EXP(D804)+Summary!$B$14*EXP(E804))</f>
        <v>-0.0023529252630156</v>
      </c>
      <c r="G804" s="22" t="n">
        <f aca="false">EXP(F804)-1</f>
        <v>-0.00235015930415905</v>
      </c>
      <c r="H804" s="21" t="n">
        <f aca="false">EXP(SUM(F553:F804))-1</f>
        <v>0.21515914024214</v>
      </c>
    </row>
    <row r="805" customFormat="false" ht="15" hidden="false" customHeight="false" outlineLevel="0" collapsed="false">
      <c r="A805" s="20" t="n">
        <v>45637</v>
      </c>
      <c r="B805" s="21" t="n">
        <v>593.75769</v>
      </c>
      <c r="C805" s="21" t="n">
        <v>92.097412</v>
      </c>
      <c r="D805" s="22" t="n">
        <f aca="false">LN(B805/B804)</f>
        <v>0.00770093964591323</v>
      </c>
      <c r="E805" s="22" t="n">
        <f aca="false">LN(C805/C804)</f>
        <v>-0.00232759340364496</v>
      </c>
      <c r="F805" s="22" t="n">
        <f aca="false">LN(Summary!$B$13*EXP(D805)+Summary!$B$14*EXP(E805))</f>
        <v>0.00370158689000241</v>
      </c>
      <c r="G805" s="22" t="n">
        <f aca="false">EXP(F805)-1</f>
        <v>0.00370844622361632</v>
      </c>
      <c r="H805" s="21" t="n">
        <f aca="false">EXP(SUM(F554:F805))-1</f>
        <v>0.216775633044763</v>
      </c>
    </row>
    <row r="806" customFormat="false" ht="15" hidden="false" customHeight="false" outlineLevel="0" collapsed="false">
      <c r="A806" s="20" t="n">
        <v>45638</v>
      </c>
      <c r="B806" s="21" t="n">
        <v>590.698242</v>
      </c>
      <c r="C806" s="21" t="n">
        <v>91.724113</v>
      </c>
      <c r="D806" s="22" t="n">
        <f aca="false">LN(B806/B805)</f>
        <v>-0.00516600866518174</v>
      </c>
      <c r="E806" s="22" t="n">
        <f aca="false">LN(C806/C805)</f>
        <v>-0.00406154299030696</v>
      </c>
      <c r="F806" s="22" t="n">
        <f aca="false">LN(Summary!$B$13*EXP(D806)+Summary!$B$14*EXP(E806))</f>
        <v>-0.00472407600312891</v>
      </c>
      <c r="G806" s="22" t="n">
        <f aca="false">EXP(F806)-1</f>
        <v>-0.00471293510647231</v>
      </c>
      <c r="H806" s="21" t="n">
        <f aca="false">EXP(SUM(F555:F806))-1</f>
        <v>0.206291339496715</v>
      </c>
    </row>
    <row r="807" customFormat="false" ht="15" hidden="false" customHeight="false" outlineLevel="0" collapsed="false">
      <c r="A807" s="20" t="n">
        <v>45639</v>
      </c>
      <c r="B807" s="21" t="n">
        <v>590.581055</v>
      </c>
      <c r="C807" s="21" t="n">
        <v>91.37883</v>
      </c>
      <c r="D807" s="22" t="n">
        <f aca="false">LN(B807/B806)</f>
        <v>-0.000198406931675005</v>
      </c>
      <c r="E807" s="22" t="n">
        <f aca="false">LN(C807/C806)</f>
        <v>-0.00377146760851827</v>
      </c>
      <c r="F807" s="22" t="n">
        <f aca="false">LN(Summary!$B$13*EXP(D807)+Summary!$B$14*EXP(E807))</f>
        <v>-0.00162609955654834</v>
      </c>
      <c r="G807" s="22" t="n">
        <f aca="false">EXP(F807)-1</f>
        <v>-0.00162477817299522</v>
      </c>
      <c r="H807" s="21" t="n">
        <f aca="false">EXP(SUM(F556:F807))-1</f>
        <v>0.188529776887388</v>
      </c>
    </row>
    <row r="808" customFormat="false" ht="15" hidden="false" customHeight="false" outlineLevel="0" collapsed="false">
      <c r="A808" s="20" t="n">
        <v>45642</v>
      </c>
      <c r="B808" s="21" t="n">
        <v>593.102783</v>
      </c>
      <c r="C808" s="21" t="n">
        <v>91.46283</v>
      </c>
      <c r="D808" s="22" t="n">
        <f aca="false">LN(B808/B807)</f>
        <v>0.00426081988132406</v>
      </c>
      <c r="E808" s="22" t="n">
        <f aca="false">LN(C808/C807)</f>
        <v>0.000918827863515475</v>
      </c>
      <c r="F808" s="22" t="n">
        <f aca="false">LN(Summary!$B$13*EXP(D808)+Summary!$B$14*EXP(E808))</f>
        <v>0.0029253630443183</v>
      </c>
      <c r="G808" s="22" t="n">
        <f aca="false">EXP(F808)-1</f>
        <v>0.00292964609426249</v>
      </c>
      <c r="H808" s="21" t="n">
        <f aca="false">EXP(SUM(F557:F808))-1</f>
        <v>0.185899469672215</v>
      </c>
    </row>
    <row r="809" customFormat="false" ht="15" hidden="false" customHeight="false" outlineLevel="0" collapsed="false">
      <c r="A809" s="20" t="n">
        <v>45643</v>
      </c>
      <c r="B809" s="21" t="n">
        <v>590.659119</v>
      </c>
      <c r="C809" s="21" t="n">
        <v>91.46283</v>
      </c>
      <c r="D809" s="22" t="n">
        <f aca="false">LN(B809/B808)</f>
        <v>-0.00412864692982459</v>
      </c>
      <c r="E809" s="22" t="n">
        <f aca="false">LN(C809/C808)</f>
        <v>0</v>
      </c>
      <c r="F809" s="22" t="n">
        <f aca="false">LN(Summary!$B$13*EXP(D809)+Summary!$B$14*EXP(E809))</f>
        <v>-0.00247514210911126</v>
      </c>
      <c r="G809" s="22" t="n">
        <f aca="false">EXP(F809)-1</f>
        <v>-0.00247208147057365</v>
      </c>
      <c r="H809" s="21" t="n">
        <f aca="false">EXP(SUM(F558:F809))-1</f>
        <v>0.18524105644414</v>
      </c>
    </row>
    <row r="810" customFormat="false" ht="15" hidden="false" customHeight="false" outlineLevel="0" collapsed="false">
      <c r="A810" s="20" t="n">
        <v>45644</v>
      </c>
      <c r="B810" s="21" t="n">
        <v>573.05542</v>
      </c>
      <c r="C810" s="21" t="n">
        <v>90.766281</v>
      </c>
      <c r="D810" s="22" t="n">
        <f aca="false">LN(B810/B809)</f>
        <v>-0.0302566331381261</v>
      </c>
      <c r="E810" s="22" t="n">
        <f aca="false">LN(C810/C809)</f>
        <v>-0.00764479822722686</v>
      </c>
      <c r="F810" s="22" t="n">
        <f aca="false">LN(Summary!$B$13*EXP(D810)+Summary!$B$14*EXP(E810))</f>
        <v>-0.0211504524285158</v>
      </c>
      <c r="G810" s="22" t="n">
        <f aca="false">EXP(F810)-1</f>
        <v>-0.0209283502195968</v>
      </c>
      <c r="H810" s="21" t="n">
        <f aca="false">EXP(SUM(F559:F810))-1</f>
        <v>0.157467674239649</v>
      </c>
    </row>
    <row r="811" customFormat="false" ht="15" hidden="false" customHeight="false" outlineLevel="0" collapsed="false">
      <c r="A811" s="20" t="n">
        <v>45645</v>
      </c>
      <c r="B811" s="21" t="n">
        <v>572.879517</v>
      </c>
      <c r="C811" s="21" t="n">
        <v>90.532211</v>
      </c>
      <c r="D811" s="22" t="n">
        <f aca="false">LN(B811/B810)</f>
        <v>-0.000307003470619605</v>
      </c>
      <c r="E811" s="22" t="n">
        <f aca="false">LN(C811/C810)</f>
        <v>-0.00258215198012018</v>
      </c>
      <c r="F811" s="22" t="n">
        <f aca="false">LN(Summary!$B$13*EXP(D811)+Summary!$B$14*EXP(E811))</f>
        <v>-0.00121644181266363</v>
      </c>
      <c r="G811" s="22" t="n">
        <f aca="false">EXP(F811)-1</f>
        <v>-0.00121570224723166</v>
      </c>
      <c r="H811" s="21" t="n">
        <f aca="false">EXP(SUM(F560:F811))-1</f>
        <v>0.151298975520457</v>
      </c>
    </row>
    <row r="812" customFormat="false" ht="15" hidden="false" customHeight="false" outlineLevel="0" collapsed="false">
      <c r="A812" s="20" t="n">
        <v>45646</v>
      </c>
      <c r="B812" s="21" t="n">
        <v>579.760315</v>
      </c>
      <c r="C812" s="21" t="n">
        <v>90.775635</v>
      </c>
      <c r="D812" s="22" t="n">
        <f aca="false">LN(B812/B811)</f>
        <v>0.0119393405393278</v>
      </c>
      <c r="E812" s="22" t="n">
        <f aca="false">LN(C812/C811)</f>
        <v>0.00268520256165387</v>
      </c>
      <c r="F812" s="22" t="n">
        <f aca="false">LN(Summary!$B$13*EXP(D812)+Summary!$B$14*EXP(E812))</f>
        <v>0.00824795566427874</v>
      </c>
      <c r="G812" s="22" t="n">
        <f aca="false">EXP(F812)-1</f>
        <v>0.00828206376013041</v>
      </c>
      <c r="H812" s="21" t="n">
        <f aca="false">EXP(SUM(F561:F812))-1</f>
        <v>0.168845423201032</v>
      </c>
    </row>
    <row r="813" customFormat="false" ht="15" hidden="false" customHeight="false" outlineLevel="0" collapsed="false">
      <c r="A813" s="20" t="n">
        <v>45649</v>
      </c>
      <c r="B813" s="21" t="n">
        <v>583.231995</v>
      </c>
      <c r="C813" s="21" t="n">
        <v>90.494759</v>
      </c>
      <c r="D813" s="22" t="n">
        <f aca="false">LN(B813/B812)</f>
        <v>0.00597027217159173</v>
      </c>
      <c r="E813" s="22" t="n">
        <f aca="false">LN(C813/C812)</f>
        <v>-0.00309897516729756</v>
      </c>
      <c r="F813" s="22" t="n">
        <f aca="false">LN(Summary!$B$13*EXP(D813)+Summary!$B$14*EXP(E813))</f>
        <v>0.00235243738833504</v>
      </c>
      <c r="G813" s="22" t="n">
        <f aca="false">EXP(F813)-1</f>
        <v>0.00235520654016108</v>
      </c>
      <c r="H813" s="21" t="n">
        <f aca="false">EXP(SUM(F562:F813))-1</f>
        <v>0.16501750656286</v>
      </c>
    </row>
    <row r="814" customFormat="false" ht="15" hidden="false" customHeight="false" outlineLevel="0" collapsed="false">
      <c r="A814" s="20" t="n">
        <v>45650</v>
      </c>
      <c r="B814" s="21" t="n">
        <v>589.714722</v>
      </c>
      <c r="C814" s="21" t="n">
        <v>90.597748</v>
      </c>
      <c r="D814" s="22" t="n">
        <f aca="false">LN(B814/B813)</f>
        <v>0.0110538576306493</v>
      </c>
      <c r="E814" s="22" t="n">
        <f aca="false">LN(C814/C813)</f>
        <v>0.00113741880113511</v>
      </c>
      <c r="F814" s="22" t="n">
        <f aca="false">LN(Summary!$B$13*EXP(D814)+Summary!$B$14*EXP(E814))</f>
        <v>0.00709907454633119</v>
      </c>
      <c r="G814" s="22" t="n">
        <f aca="false">EXP(F814)-1</f>
        <v>0.00712433271052593</v>
      </c>
      <c r="H814" s="21" t="n">
        <f aca="false">EXP(SUM(F563:F814))-1</f>
        <v>0.17251984002015</v>
      </c>
    </row>
    <row r="815" customFormat="false" ht="15" hidden="false" customHeight="false" outlineLevel="0" collapsed="false">
      <c r="A815" s="20" t="n">
        <v>45652</v>
      </c>
      <c r="B815" s="21" t="n">
        <v>589.754089</v>
      </c>
      <c r="C815" s="21" t="n">
        <v>90.663292</v>
      </c>
      <c r="D815" s="22" t="n">
        <f aca="false">LN(B815/B814)</f>
        <v>6.67537787306526E-005</v>
      </c>
      <c r="E815" s="22" t="n">
        <f aca="false">LN(C815/C814)</f>
        <v>0.000723200119084945</v>
      </c>
      <c r="F815" s="22" t="n">
        <f aca="false">LN(Summary!$B$13*EXP(D815)+Summary!$B$14*EXP(E815))</f>
        <v>0.000329384027750212</v>
      </c>
      <c r="G815" s="22" t="n">
        <f aca="false">EXP(F815)-1</f>
        <v>0.000329438280625594</v>
      </c>
      <c r="H815" s="21" t="n">
        <f aca="false">EXP(SUM(F564:F815))-1</f>
        <v>0.168997958307058</v>
      </c>
    </row>
    <row r="816" customFormat="false" ht="15" hidden="false" customHeight="false" outlineLevel="0" collapsed="false">
      <c r="A816" s="20" t="n">
        <v>45653</v>
      </c>
      <c r="B816" s="21" t="n">
        <v>583.545959</v>
      </c>
      <c r="C816" s="21" t="n">
        <v>90.476059</v>
      </c>
      <c r="D816" s="22" t="n">
        <f aca="false">LN(B816/B815)</f>
        <v>-0.0105824387322198</v>
      </c>
      <c r="E816" s="22" t="n">
        <f aca="false">LN(C816/C815)</f>
        <v>-0.00206728207479072</v>
      </c>
      <c r="F816" s="22" t="n">
        <f aca="false">LN(Summary!$B$13*EXP(D816)+Summary!$B$14*EXP(E816))</f>
        <v>-0.00716767020593765</v>
      </c>
      <c r="G816" s="22" t="n">
        <f aca="false">EXP(F816)-1</f>
        <v>-0.00714204372179672</v>
      </c>
      <c r="H816" s="21" t="n">
        <f aca="false">EXP(SUM(F565:F816))-1</f>
        <v>0.156451598807412</v>
      </c>
    </row>
    <row r="817" customFormat="false" ht="15" hidden="false" customHeight="false" outlineLevel="0" collapsed="false">
      <c r="A817" s="20" t="n">
        <v>45656</v>
      </c>
      <c r="B817" s="21" t="n">
        <v>576.886719</v>
      </c>
      <c r="C817" s="21" t="n">
        <v>90.831818</v>
      </c>
      <c r="D817" s="22" t="n">
        <f aca="false">LN(B817/B816)</f>
        <v>-0.0114772933009077</v>
      </c>
      <c r="E817" s="22" t="n">
        <f aca="false">LN(C817/C816)</f>
        <v>0.00392436845506769</v>
      </c>
      <c r="F817" s="22" t="n">
        <f aca="false">LN(Summary!$B$13*EXP(D817)+Summary!$B$14*EXP(E817))</f>
        <v>-0.00528813427699743</v>
      </c>
      <c r="G817" s="22" t="n">
        <f aca="false">EXP(F817)-1</f>
        <v>-0.0052741767089346</v>
      </c>
      <c r="H817" s="21" t="n">
        <f aca="false">EXP(SUM(F566:F817))-1</f>
        <v>0.151107786638933</v>
      </c>
    </row>
    <row r="818" customFormat="false" ht="15" hidden="false" customHeight="false" outlineLevel="0" collapsed="false">
      <c r="A818" s="20" t="n">
        <v>45657</v>
      </c>
      <c r="B818" s="21" t="n">
        <v>574.787964</v>
      </c>
      <c r="C818" s="21" t="n">
        <v>90.719467</v>
      </c>
      <c r="D818" s="22" t="n">
        <f aca="false">LN(B818/B817)</f>
        <v>-0.0036447051485623</v>
      </c>
      <c r="E818" s="22" t="n">
        <f aca="false">LN(C818/C817)</f>
        <v>-0.00123767798550197</v>
      </c>
      <c r="F818" s="22" t="n">
        <f aca="false">LN(Summary!$B$13*EXP(D818)+Summary!$B$14*EXP(E818))</f>
        <v>-0.00268119891834794</v>
      </c>
      <c r="G818" s="22" t="n">
        <f aca="false">EXP(F818)-1</f>
        <v>-0.00267760771482206</v>
      </c>
      <c r="H818" s="21" t="n">
        <f aca="false">EXP(SUM(F567:F818))-1</f>
        <v>0.15090429320334</v>
      </c>
    </row>
    <row r="819" customFormat="false" ht="15" hidden="false" customHeight="false" outlineLevel="0" collapsed="false">
      <c r="A819" s="20" t="n">
        <v>45659</v>
      </c>
      <c r="B819" s="21" t="n">
        <v>573.375671</v>
      </c>
      <c r="C819" s="21" t="n">
        <v>90.728836</v>
      </c>
      <c r="D819" s="22" t="n">
        <f aca="false">LN(B819/B818)</f>
        <v>-0.00246009134799355</v>
      </c>
      <c r="E819" s="22" t="n">
        <f aca="false">LN(C819/C818)</f>
        <v>0.000103269083848486</v>
      </c>
      <c r="F819" s="22" t="n">
        <f aca="false">LN(Summary!$B$13*EXP(D819)+Summary!$B$14*EXP(E819))</f>
        <v>-0.00143395854269539</v>
      </c>
      <c r="G819" s="22" t="n">
        <f aca="false">EXP(F819)-1</f>
        <v>-0.00143293091539465</v>
      </c>
      <c r="H819" s="21" t="n">
        <f aca="false">EXP(SUM(F568:F819))-1</f>
        <v>0.155322970265011</v>
      </c>
    </row>
    <row r="820" customFormat="false" ht="15" hidden="false" customHeight="false" outlineLevel="0" collapsed="false">
      <c r="A820" s="20" t="n">
        <v>45660</v>
      </c>
      <c r="B820" s="21" t="n">
        <v>580.544861</v>
      </c>
      <c r="C820" s="21" t="n">
        <v>90.635216</v>
      </c>
      <c r="D820" s="22" t="n">
        <f aca="false">LN(B820/B819)</f>
        <v>0.0124259549026597</v>
      </c>
      <c r="E820" s="22" t="n">
        <f aca="false">LN(C820/C819)</f>
        <v>-0.00103239872822634</v>
      </c>
      <c r="F820" s="22" t="n">
        <f aca="false">LN(Summary!$B$13*EXP(D820)+Summary!$B$14*EXP(E820))</f>
        <v>0.00706432907878178</v>
      </c>
      <c r="G820" s="22" t="n">
        <f aca="false">EXP(F820)-1</f>
        <v>0.00708934031262265</v>
      </c>
      <c r="H820" s="21" t="n">
        <f aca="false">EXP(SUM(F569:F820))-1</f>
        <v>0.16900497806609</v>
      </c>
    </row>
    <row r="821" customFormat="false" ht="15" hidden="false" customHeight="false" outlineLevel="0" collapsed="false">
      <c r="A821" s="20" t="n">
        <v>45663</v>
      </c>
      <c r="B821" s="21" t="n">
        <v>583.889099</v>
      </c>
      <c r="C821" s="21" t="n">
        <v>90.541588</v>
      </c>
      <c r="D821" s="22" t="n">
        <f aca="false">LN(B821/B820)</f>
        <v>0.00574398773943151</v>
      </c>
      <c r="E821" s="22" t="n">
        <f aca="false">LN(C821/C820)</f>
        <v>-0.00103355403415452</v>
      </c>
      <c r="F821" s="22" t="n">
        <f aca="false">LN(Summary!$B$13*EXP(D821)+Summary!$B$14*EXP(E821))</f>
        <v>0.00303848073880788</v>
      </c>
      <c r="G821" s="22" t="n">
        <f aca="false">EXP(F821)-1</f>
        <v>0.00304310160035559</v>
      </c>
      <c r="H821" s="21" t="n">
        <f aca="false">EXP(SUM(F570:F821))-1</f>
        <v>0.176741667746916</v>
      </c>
    </row>
    <row r="822" customFormat="false" ht="15" hidden="false" customHeight="false" outlineLevel="0" collapsed="false">
      <c r="A822" s="20" t="n">
        <v>45664</v>
      </c>
      <c r="B822" s="21" t="n">
        <v>577.288818</v>
      </c>
      <c r="C822" s="21" t="n">
        <v>90.223297</v>
      </c>
      <c r="D822" s="22" t="n">
        <f aca="false">LN(B822/B821)</f>
        <v>-0.0113683734218415</v>
      </c>
      <c r="E822" s="22" t="n">
        <f aca="false">LN(C822/C821)</f>
        <v>-0.00352160574711085</v>
      </c>
      <c r="F822" s="22" t="n">
        <f aca="false">LN(Summary!$B$13*EXP(D822)+Summary!$B$14*EXP(E822))</f>
        <v>-0.00822227389198484</v>
      </c>
      <c r="G822" s="22" t="n">
        <f aca="false">EXP(F822)-1</f>
        <v>-0.00818856345343177</v>
      </c>
      <c r="H822" s="21" t="n">
        <f aca="false">EXP(SUM(F571:F822))-1</f>
        <v>0.167237529113165</v>
      </c>
    </row>
    <row r="823" customFormat="false" ht="15" hidden="false" customHeight="false" outlineLevel="0" collapsed="false">
      <c r="A823" s="20" t="n">
        <v>45665</v>
      </c>
      <c r="B823" s="21" t="n">
        <v>578.132324</v>
      </c>
      <c r="C823" s="21" t="n">
        <v>90.326248</v>
      </c>
      <c r="D823" s="22" t="n">
        <f aca="false">LN(B823/B822)</f>
        <v>0.00146008432629513</v>
      </c>
      <c r="E823" s="22" t="n">
        <f aca="false">LN(C823/C822)</f>
        <v>0.00114041839493725</v>
      </c>
      <c r="F823" s="22" t="n">
        <f aca="false">LN(Summary!$B$13*EXP(D823)+Summary!$B$14*EXP(E823))</f>
        <v>0.00133223021584753</v>
      </c>
      <c r="G823" s="22" t="n">
        <f aca="false">EXP(F823)-1</f>
        <v>0.00133311802873481</v>
      </c>
      <c r="H823" s="21" t="n">
        <f aca="false">EXP(SUM(F572:F823))-1</f>
        <v>0.157138117833878</v>
      </c>
    </row>
    <row r="824" customFormat="false" ht="15" hidden="false" customHeight="false" outlineLevel="0" collapsed="false">
      <c r="A824" s="20" t="n">
        <v>45667</v>
      </c>
      <c r="B824" s="21" t="n">
        <v>569.305664</v>
      </c>
      <c r="C824" s="21" t="n">
        <v>89.820702</v>
      </c>
      <c r="D824" s="22" t="n">
        <f aca="false">LN(B824/B823)</f>
        <v>-0.015385291759191</v>
      </c>
      <c r="E824" s="22" t="n">
        <f aca="false">LN(C824/C823)</f>
        <v>-0.00561261045070572</v>
      </c>
      <c r="F824" s="22" t="n">
        <f aca="false">LN(Summary!$B$13*EXP(D824)+Summary!$B$14*EXP(E824))</f>
        <v>-0.0114647511732596</v>
      </c>
      <c r="G824" s="22" t="n">
        <f aca="false">EXP(F824)-1</f>
        <v>-0.0113992813507908</v>
      </c>
      <c r="H824" s="21" t="n">
        <f aca="false">EXP(SUM(F573:F824))-1</f>
        <v>0.145082667286631</v>
      </c>
    </row>
    <row r="825" customFormat="false" ht="15" hidden="false" customHeight="false" outlineLevel="0" collapsed="false">
      <c r="A825" s="20" t="n">
        <v>45670</v>
      </c>
      <c r="B825" s="21" t="n">
        <v>570.188416</v>
      </c>
      <c r="C825" s="21" t="n">
        <v>89.736427</v>
      </c>
      <c r="D825" s="22" t="n">
        <f aca="false">LN(B825/B824)</f>
        <v>0.00154937562570203</v>
      </c>
      <c r="E825" s="22" t="n">
        <f aca="false">LN(C825/C824)</f>
        <v>-0.000938698526286547</v>
      </c>
      <c r="F825" s="22" t="n">
        <f aca="false">LN(Summary!$B$13*EXP(D825)+Summary!$B$14*EXP(E825))</f>
        <v>0.000554888703076702</v>
      </c>
      <c r="G825" s="22" t="n">
        <f aca="false">EXP(F825)-1</f>
        <v>0.000555042682292228</v>
      </c>
      <c r="H825" s="21" t="n">
        <f aca="false">EXP(SUM(F574:F825))-1</f>
        <v>0.142722024110962</v>
      </c>
    </row>
    <row r="826" customFormat="false" ht="15" hidden="false" customHeight="false" outlineLevel="0" collapsed="false">
      <c r="A826" s="20" t="n">
        <v>45671</v>
      </c>
      <c r="B826" s="21" t="n">
        <v>570.972961</v>
      </c>
      <c r="C826" s="21" t="n">
        <v>89.764526</v>
      </c>
      <c r="D826" s="22" t="n">
        <f aca="false">LN(B826/B825)</f>
        <v>0.0013749941759652</v>
      </c>
      <c r="E826" s="22" t="n">
        <f aca="false">LN(C826/C825)</f>
        <v>0.000313079120304312</v>
      </c>
      <c r="F826" s="22" t="n">
        <f aca="false">LN(Summary!$B$13*EXP(D826)+Summary!$B$14*EXP(E826))</f>
        <v>0.000950363463745681</v>
      </c>
      <c r="G826" s="22" t="n">
        <f aca="false">EXP(F826)-1</f>
        <v>0.000950815202196198</v>
      </c>
      <c r="H826" s="21" t="n">
        <f aca="false">EXP(SUM(F575:F826))-1</f>
        <v>0.141510711604226</v>
      </c>
    </row>
    <row r="827" customFormat="false" ht="15" hidden="false" customHeight="false" outlineLevel="0" collapsed="false">
      <c r="A827" s="20" t="n">
        <v>45672</v>
      </c>
      <c r="B827" s="21" t="n">
        <v>581.358948</v>
      </c>
      <c r="C827" s="21" t="n">
        <v>90.541588</v>
      </c>
      <c r="D827" s="22" t="n">
        <f aca="false">LN(B827/B826)</f>
        <v>0.0180265219872614</v>
      </c>
      <c r="E827" s="22" t="n">
        <f aca="false">LN(C827/C826)</f>
        <v>0.00861941720886137</v>
      </c>
      <c r="F827" s="22" t="n">
        <f aca="false">LN(Summary!$B$13*EXP(D827)+Summary!$B$14*EXP(E827))</f>
        <v>0.0142742926161873</v>
      </c>
      <c r="G827" s="22" t="n">
        <f aca="false">EXP(F827)-1</f>
        <v>0.0143766568099328</v>
      </c>
      <c r="H827" s="21" t="n">
        <f aca="false">EXP(SUM(F576:F827))-1</f>
        <v>0.156599186959953</v>
      </c>
    </row>
    <row r="828" customFormat="false" ht="15" hidden="false" customHeight="false" outlineLevel="0" collapsed="false">
      <c r="A828" s="20" t="n">
        <v>45673</v>
      </c>
      <c r="B828" s="21" t="n">
        <v>580.240784</v>
      </c>
      <c r="C828" s="21" t="n">
        <v>90.738174</v>
      </c>
      <c r="D828" s="22" t="n">
        <f aca="false">LN(B828/B827)</f>
        <v>-0.0019252145374435</v>
      </c>
      <c r="E828" s="22" t="n">
        <f aca="false">LN(C828/C827)</f>
        <v>0.0021688695405681</v>
      </c>
      <c r="F828" s="22" t="n">
        <f aca="false">LN(Summary!$B$13*EXP(D828)+Summary!$B$14*EXP(E828))</f>
        <v>-0.000285568975558637</v>
      </c>
      <c r="G828" s="22" t="n">
        <f aca="false">EXP(F828)-1</f>
        <v>-0.0002855282046198</v>
      </c>
      <c r="H828" s="21" t="n">
        <f aca="false">EXP(SUM(F577:F828))-1</f>
        <v>0.162300931092764</v>
      </c>
    </row>
    <row r="829" customFormat="false" ht="15" hidden="false" customHeight="false" outlineLevel="0" collapsed="false">
      <c r="A829" s="20" t="n">
        <v>45674</v>
      </c>
      <c r="B829" s="21" t="n">
        <v>586.066406</v>
      </c>
      <c r="C829" s="21" t="n">
        <v>90.738174</v>
      </c>
      <c r="D829" s="22" t="n">
        <f aca="false">LN(B829/B828)</f>
        <v>0.00998994175652708</v>
      </c>
      <c r="E829" s="22" t="n">
        <f aca="false">LN(C829/C828)</f>
        <v>0</v>
      </c>
      <c r="F829" s="22" t="n">
        <f aca="false">LN(Summary!$B$13*EXP(D829)+Summary!$B$14*EXP(E829))</f>
        <v>0.00600593290663934</v>
      </c>
      <c r="G829" s="22" t="n">
        <f aca="false">EXP(F829)-1</f>
        <v>0.00602400468285591</v>
      </c>
      <c r="H829" s="21" t="n">
        <f aca="false">EXP(SUM(F578:F829))-1</f>
        <v>0.174509334030038</v>
      </c>
    </row>
    <row r="830" customFormat="false" ht="15" hidden="false" customHeight="false" outlineLevel="0" collapsed="false">
      <c r="A830" s="20" t="n">
        <v>45678</v>
      </c>
      <c r="B830" s="21" t="n">
        <v>591.430969</v>
      </c>
      <c r="C830" s="21" t="n">
        <v>91.037773</v>
      </c>
      <c r="D830" s="22" t="n">
        <f aca="false">LN(B830/B829)</f>
        <v>0.0091118676447578</v>
      </c>
      <c r="E830" s="22" t="n">
        <f aca="false">LN(C830/C829)</f>
        <v>0.00329635770002279</v>
      </c>
      <c r="F830" s="22" t="n">
        <f aca="false">LN(Summary!$B$13*EXP(D830)+Summary!$B$14*EXP(E830))</f>
        <v>0.00678972050709457</v>
      </c>
      <c r="G830" s="22" t="n">
        <f aca="false">EXP(F830)-1</f>
        <v>0.00681282291607932</v>
      </c>
      <c r="H830" s="21" t="n">
        <f aca="false">EXP(SUM(F579:F830))-1</f>
        <v>0.176664761911308</v>
      </c>
    </row>
    <row r="831" customFormat="false" ht="15" hidden="false" customHeight="false" outlineLevel="0" collapsed="false">
      <c r="A831" s="20" t="n">
        <v>45679</v>
      </c>
      <c r="B831" s="21" t="n">
        <v>594.755737</v>
      </c>
      <c r="C831" s="21" t="n">
        <v>90.822464</v>
      </c>
      <c r="D831" s="22" t="n">
        <f aca="false">LN(B831/B830)</f>
        <v>0.00560582358575701</v>
      </c>
      <c r="E831" s="22" t="n">
        <f aca="false">LN(C831/C830)</f>
        <v>-0.00236785241402929</v>
      </c>
      <c r="F831" s="22" t="n">
        <f aca="false">LN(Summary!$B$13*EXP(D831)+Summary!$B$14*EXP(E831))</f>
        <v>0.00242397865345515</v>
      </c>
      <c r="G831" s="22" t="n">
        <f aca="false">EXP(F831)-1</f>
        <v>0.00242691886490132</v>
      </c>
      <c r="H831" s="21" t="n">
        <f aca="false">EXP(SUM(F580:F831))-1</f>
        <v>0.170668637317733</v>
      </c>
    </row>
    <row r="832" customFormat="false" ht="15" hidden="false" customHeight="false" outlineLevel="0" collapsed="false">
      <c r="A832" s="20" t="n">
        <v>45680</v>
      </c>
      <c r="B832" s="21" t="n">
        <v>598.001892</v>
      </c>
      <c r="C832" s="21" t="n">
        <v>90.672661</v>
      </c>
      <c r="D832" s="22" t="n">
        <f aca="false">LN(B832/B831)</f>
        <v>0.00544312261890422</v>
      </c>
      <c r="E832" s="22" t="n">
        <f aca="false">LN(C832/C831)</f>
        <v>-0.00165076647670976</v>
      </c>
      <c r="F832" s="22" t="n">
        <f aca="false">LN(Summary!$B$13*EXP(D832)+Summary!$B$14*EXP(E832))</f>
        <v>0.00261160290512852</v>
      </c>
      <c r="G832" s="22" t="n">
        <f aca="false">EXP(F832)-1</f>
        <v>0.00261501611066128</v>
      </c>
      <c r="H832" s="21" t="n">
        <f aca="false">EXP(SUM(F581:F832))-1</f>
        <v>0.171383519185282</v>
      </c>
    </row>
    <row r="833" customFormat="false" ht="15" hidden="false" customHeight="false" outlineLevel="0" collapsed="false">
      <c r="A833" s="20" t="n">
        <v>45681</v>
      </c>
      <c r="B833" s="21" t="n">
        <v>596.256165</v>
      </c>
      <c r="C833" s="21" t="n">
        <v>90.822464</v>
      </c>
      <c r="D833" s="22" t="n">
        <f aca="false">LN(B833/B832)</f>
        <v>-0.00292353605348641</v>
      </c>
      <c r="E833" s="22" t="n">
        <f aca="false">LN(C833/C832)</f>
        <v>0.00165076647670973</v>
      </c>
      <c r="F833" s="22" t="n">
        <f aca="false">LN(Summary!$B$13*EXP(D833)+Summary!$B$14*EXP(E833))</f>
        <v>-0.00109130336838881</v>
      </c>
      <c r="G833" s="22" t="n">
        <f aca="false">EXP(F833)-1</f>
        <v>-0.00109070811342216</v>
      </c>
      <c r="H833" s="21" t="n">
        <f aca="false">EXP(SUM(F582:F833))-1</f>
        <v>0.169202830431617</v>
      </c>
    </row>
    <row r="834" customFormat="false" ht="15" hidden="false" customHeight="false" outlineLevel="0" collapsed="false">
      <c r="A834" s="20" t="n">
        <v>45684</v>
      </c>
      <c r="B834" s="21" t="n">
        <v>587.821899</v>
      </c>
      <c r="C834" s="21" t="n">
        <v>91.328018</v>
      </c>
      <c r="D834" s="22" t="n">
        <f aca="false">LN(B834/B833)</f>
        <v>-0.0142463726115613</v>
      </c>
      <c r="E834" s="22" t="n">
        <f aca="false">LN(C834/C833)</f>
        <v>0.00555096305639926</v>
      </c>
      <c r="F834" s="22" t="n">
        <f aca="false">LN(Summary!$B$13*EXP(D834)+Summary!$B$14*EXP(E834))</f>
        <v>-0.00628034480852844</v>
      </c>
      <c r="G834" s="22" t="n">
        <f aca="false">EXP(F834)-1</f>
        <v>-0.00626066466398911</v>
      </c>
      <c r="H834" s="21" t="n">
        <f aca="false">EXP(SUM(F583:F834))-1</f>
        <v>0.162164581339307</v>
      </c>
    </row>
    <row r="835" customFormat="false" ht="15" hidden="false" customHeight="false" outlineLevel="0" collapsed="false">
      <c r="A835" s="20" t="n">
        <v>45685</v>
      </c>
      <c r="B835" s="21" t="n">
        <v>592.872803</v>
      </c>
      <c r="C835" s="21" t="n">
        <v>91.299904</v>
      </c>
      <c r="D835" s="22" t="n">
        <f aca="false">LN(B835/B834)</f>
        <v>0.00855586935918604</v>
      </c>
      <c r="E835" s="22" t="n">
        <f aca="false">LN(C835/C834)</f>
        <v>-0.000307882824424683</v>
      </c>
      <c r="F835" s="22" t="n">
        <f aca="false">LN(Summary!$B$13*EXP(D835)+Summary!$B$14*EXP(E835))</f>
        <v>0.00501979081983253</v>
      </c>
      <c r="G835" s="22" t="n">
        <f aca="false">EXP(F835)-1</f>
        <v>0.00503241107795205</v>
      </c>
      <c r="H835" s="21" t="n">
        <f aca="false">EXP(SUM(F584:F835))-1</f>
        <v>0.162127981809784</v>
      </c>
    </row>
    <row r="836" customFormat="false" ht="15" hidden="false" customHeight="false" outlineLevel="0" collapsed="false">
      <c r="A836" s="20" t="n">
        <v>45686</v>
      </c>
      <c r="B836" s="21" t="n">
        <v>590.214844</v>
      </c>
      <c r="C836" s="21" t="n">
        <v>91.243744</v>
      </c>
      <c r="D836" s="22" t="n">
        <f aca="false">LN(B836/B835)</f>
        <v>-0.00449326553046056</v>
      </c>
      <c r="E836" s="22" t="n">
        <f aca="false">LN(C836/C835)</f>
        <v>-0.000615304913505869</v>
      </c>
      <c r="F836" s="22" t="n">
        <f aca="false">LN(Summary!$B$13*EXP(D836)+Summary!$B$14*EXP(E836))</f>
        <v>-0.00294027618869674</v>
      </c>
      <c r="G836" s="22" t="n">
        <f aca="false">EXP(F836)-1</f>
        <v>-0.00293595781010925</v>
      </c>
      <c r="H836" s="21" t="n">
        <f aca="false">EXP(SUM(F585:F836))-1</f>
        <v>0.160120248872099</v>
      </c>
    </row>
    <row r="837" customFormat="false" ht="15" hidden="false" customHeight="false" outlineLevel="0" collapsed="false">
      <c r="A837" s="20" t="n">
        <v>45687</v>
      </c>
      <c r="B837" s="21" t="n">
        <v>593.382629</v>
      </c>
      <c r="C837" s="21" t="n">
        <v>91.374825</v>
      </c>
      <c r="D837" s="22" t="n">
        <f aca="false">LN(B837/B836)</f>
        <v>0.00535282076222084</v>
      </c>
      <c r="E837" s="22" t="n">
        <f aca="false">LN(C837/C836)</f>
        <v>0.00143557167520776</v>
      </c>
      <c r="F837" s="22" t="n">
        <f aca="false">LN(Summary!$B$13*EXP(D837)+Summary!$B$14*EXP(E837))</f>
        <v>0.00378776202635289</v>
      </c>
      <c r="G837" s="22" t="n">
        <f aca="false">EXP(F837)-1</f>
        <v>0.00379494466277963</v>
      </c>
      <c r="H837" s="21" t="n">
        <f aca="false">EXP(SUM(F586:F837))-1</f>
        <v>0.157183630777052</v>
      </c>
    </row>
    <row r="838" customFormat="false" ht="15" hidden="false" customHeight="false" outlineLevel="0" collapsed="false">
      <c r="A838" s="20" t="n">
        <v>45688</v>
      </c>
      <c r="B838" s="21" t="n">
        <v>590.22467</v>
      </c>
      <c r="C838" s="21" t="n">
        <v>91.187569</v>
      </c>
      <c r="D838" s="22" t="n">
        <f aca="false">LN(B838/B837)</f>
        <v>-0.00533617272581789</v>
      </c>
      <c r="E838" s="22" t="n">
        <f aca="false">LN(C838/C837)</f>
        <v>-0.00205141991805265</v>
      </c>
      <c r="F838" s="22" t="n">
        <f aca="false">LN(Summary!$B$13*EXP(D838)+Summary!$B$14*EXP(E838))</f>
        <v>-0.004020976567574</v>
      </c>
      <c r="G838" s="22" t="n">
        <f aca="false">EXP(F838)-1</f>
        <v>-0.00401290326577286</v>
      </c>
      <c r="H838" s="21" t="n">
        <f aca="false">EXP(SUM(F587:F838))-1</f>
        <v>0.152185373909695</v>
      </c>
    </row>
    <row r="839" customFormat="false" ht="15" hidden="false" customHeight="false" outlineLevel="0" collapsed="false">
      <c r="A839" s="20" t="n">
        <v>45691</v>
      </c>
      <c r="B839" s="21" t="n">
        <v>586.252686</v>
      </c>
      <c r="C839" s="21" t="n">
        <v>91.273994</v>
      </c>
      <c r="D839" s="22" t="n">
        <f aca="false">LN(B839/B838)</f>
        <v>-0.00675235961219963</v>
      </c>
      <c r="E839" s="22" t="n">
        <f aca="false">LN(C839/C838)</f>
        <v>0.000947322877677018</v>
      </c>
      <c r="F839" s="22" t="n">
        <f aca="false">LN(Summary!$B$13*EXP(D839)+Summary!$B$14*EXP(E839))</f>
        <v>-0.00366536876666843</v>
      </c>
      <c r="G839" s="22" t="n">
        <f aca="false">EXP(F839)-1</f>
        <v>-0.00365865950238309</v>
      </c>
      <c r="H839" s="21" t="n">
        <f aca="false">EXP(SUM(F588:F839))-1</f>
        <v>0.157187734681233</v>
      </c>
    </row>
    <row r="840" customFormat="false" ht="15" hidden="false" customHeight="false" outlineLevel="0" collapsed="false">
      <c r="A840" s="20" t="n">
        <v>45692</v>
      </c>
      <c r="B840" s="21" t="n">
        <v>590.185547</v>
      </c>
      <c r="C840" s="21" t="n">
        <v>91.443077</v>
      </c>
      <c r="D840" s="22" t="n">
        <f aca="false">LN(B840/B839)</f>
        <v>0.00668607248684136</v>
      </c>
      <c r="E840" s="22" t="n">
        <f aca="false">LN(C840/C839)</f>
        <v>0.00185076355852598</v>
      </c>
      <c r="F840" s="22" t="n">
        <f aca="false">LN(Summary!$B$13*EXP(D840)+Summary!$B$14*EXP(E840))</f>
        <v>0.00475475363419934</v>
      </c>
      <c r="G840" s="22" t="n">
        <f aca="false">EXP(F840)-1</f>
        <v>0.0047660754122365</v>
      </c>
      <c r="H840" s="21" t="n">
        <f aca="false">EXP(SUM(F589:F840))-1</f>
        <v>0.151040460227869</v>
      </c>
    </row>
    <row r="841" customFormat="false" ht="15" hidden="false" customHeight="false" outlineLevel="0" collapsed="false">
      <c r="A841" s="20" t="n">
        <v>45693</v>
      </c>
      <c r="B841" s="21" t="n">
        <v>592.578369</v>
      </c>
      <c r="C841" s="21" t="n">
        <v>91.931534</v>
      </c>
      <c r="D841" s="22" t="n">
        <f aca="false">LN(B841/B840)</f>
        <v>0.00404615871708124</v>
      </c>
      <c r="E841" s="22" t="n">
        <f aca="false">LN(C841/C840)</f>
        <v>0.00532743494423976</v>
      </c>
      <c r="F841" s="22" t="n">
        <f aca="false">LN(Summary!$B$13*EXP(D841)+Summary!$B$14*EXP(E841))</f>
        <v>0.00455886622501254</v>
      </c>
      <c r="G841" s="22" t="n">
        <f aca="false">EXP(F841)-1</f>
        <v>0.0045692736650067</v>
      </c>
      <c r="H841" s="21" t="n">
        <f aca="false">EXP(SUM(F590:F841))-1</f>
        <v>0.153239833518168</v>
      </c>
    </row>
    <row r="842" customFormat="false" ht="15" hidden="false" customHeight="false" outlineLevel="0" collapsed="false">
      <c r="A842" s="20" t="n">
        <v>45694</v>
      </c>
      <c r="B842" s="21" t="n">
        <v>594.638</v>
      </c>
      <c r="C842" s="21" t="n">
        <v>91.837593</v>
      </c>
      <c r="D842" s="22" t="n">
        <f aca="false">LN(B842/B841)</f>
        <v>0.00346968441482908</v>
      </c>
      <c r="E842" s="22" t="n">
        <f aca="false">LN(C842/C841)</f>
        <v>-0.00102238074170915</v>
      </c>
      <c r="F842" s="22" t="n">
        <f aca="false">LN(Summary!$B$13*EXP(D842)+Summary!$B$14*EXP(E842))</f>
        <v>0.00167527906319759</v>
      </c>
      <c r="G842" s="22" t="n">
        <f aca="false">EXP(F842)-1</f>
        <v>0.00167668312712421</v>
      </c>
      <c r="H842" s="21" t="n">
        <f aca="false">EXP(SUM(F591:F842))-1</f>
        <v>0.161533250476476</v>
      </c>
    </row>
    <row r="843" customFormat="false" ht="15" hidden="false" customHeight="false" outlineLevel="0" collapsed="false">
      <c r="A843" s="20" t="n">
        <v>45695</v>
      </c>
      <c r="B843" s="21" t="n">
        <v>589.194946</v>
      </c>
      <c r="C843" s="21" t="n">
        <v>91.546394</v>
      </c>
      <c r="D843" s="22" t="n">
        <f aca="false">LN(B843/B842)</f>
        <v>-0.00919571021269063</v>
      </c>
      <c r="E843" s="22" t="n">
        <f aca="false">LN(C843/C842)</f>
        <v>-0.00317584157172869</v>
      </c>
      <c r="F843" s="22" t="n">
        <f aca="false">LN(Summary!$B$13*EXP(D843)+Summary!$B$14*EXP(E843))</f>
        <v>-0.00678341235865215</v>
      </c>
      <c r="G843" s="22" t="n">
        <f aca="false">EXP(F843)-1</f>
        <v>-0.0067604569516968</v>
      </c>
      <c r="H843" s="21" t="n">
        <f aca="false">EXP(SUM(F592:F843))-1</f>
        <v>0.14927789110398</v>
      </c>
    </row>
    <row r="844" customFormat="false" ht="15" hidden="false" customHeight="false" outlineLevel="0" collapsed="false">
      <c r="A844" s="20" t="n">
        <v>45698</v>
      </c>
      <c r="B844" s="21" t="n">
        <v>593.196289</v>
      </c>
      <c r="C844" s="21" t="n">
        <v>91.574577</v>
      </c>
      <c r="D844" s="22" t="n">
        <f aca="false">LN(B844/B843)</f>
        <v>0.006768247524839</v>
      </c>
      <c r="E844" s="22" t="n">
        <f aca="false">LN(C844/C843)</f>
        <v>0.000307807457208282</v>
      </c>
      <c r="F844" s="22" t="n">
        <f aca="false">LN(Summary!$B$13*EXP(D844)+Summary!$B$14*EXP(E844))</f>
        <v>0.00418907780730457</v>
      </c>
      <c r="G844" s="22" t="n">
        <f aca="false">EXP(F844)-1</f>
        <v>0.00419786425850077</v>
      </c>
      <c r="H844" s="21" t="n">
        <f aca="false">EXP(SUM(F593:F844))-1</f>
        <v>0.149287803367416</v>
      </c>
    </row>
    <row r="845" customFormat="false" ht="15" hidden="false" customHeight="false" outlineLevel="0" collapsed="false">
      <c r="A845" s="20" t="n">
        <v>45699</v>
      </c>
      <c r="B845" s="21" t="n">
        <v>593.647461</v>
      </c>
      <c r="C845" s="21" t="n">
        <v>91.367935</v>
      </c>
      <c r="D845" s="22" t="n">
        <f aca="false">LN(B845/B844)</f>
        <v>0.000760288827797257</v>
      </c>
      <c r="E845" s="22" t="n">
        <f aca="false">LN(C845/C844)</f>
        <v>-0.00225909315034605</v>
      </c>
      <c r="F845" s="22" t="n">
        <f aca="false">LN(Summary!$B$13*EXP(D845)+Summary!$B$14*EXP(E845))</f>
        <v>-0.000446370183935597</v>
      </c>
      <c r="G845" s="22" t="n">
        <f aca="false">EXP(F845)-1</f>
        <v>-0.000446270575586327</v>
      </c>
      <c r="H845" s="21" t="n">
        <f aca="false">EXP(SUM(F594:F845))-1</f>
        <v>0.149878727857198</v>
      </c>
    </row>
    <row r="846" customFormat="false" ht="15" hidden="false" customHeight="false" outlineLevel="0" collapsed="false">
      <c r="A846" s="20" t="n">
        <v>45700</v>
      </c>
      <c r="B846" s="21" t="n">
        <v>591.734985</v>
      </c>
      <c r="C846" s="21" t="n">
        <v>90.888878</v>
      </c>
      <c r="D846" s="22" t="n">
        <f aca="false">LN(B846/B845)</f>
        <v>-0.00322676899063419</v>
      </c>
      <c r="E846" s="22" t="n">
        <f aca="false">LN(C846/C845)</f>
        <v>-0.00525695687712501</v>
      </c>
      <c r="F846" s="22" t="n">
        <f aca="false">LN(Summary!$B$13*EXP(D846)+Summary!$B$14*EXP(E846))</f>
        <v>-0.00403834961270469</v>
      </c>
      <c r="G846" s="22" t="n">
        <f aca="false">EXP(F846)-1</f>
        <v>-0.00403020644424912</v>
      </c>
      <c r="H846" s="21" t="n">
        <f aca="false">EXP(SUM(F595:F846))-1</f>
        <v>0.141426836116735</v>
      </c>
    </row>
    <row r="847" customFormat="false" ht="15" hidden="false" customHeight="false" outlineLevel="0" collapsed="false">
      <c r="A847" s="20" t="n">
        <v>45701</v>
      </c>
      <c r="B847" s="21" t="n">
        <v>597.9823</v>
      </c>
      <c r="C847" s="21" t="n">
        <v>91.433678</v>
      </c>
      <c r="D847" s="22" t="n">
        <f aca="false">LN(B847/B846)</f>
        <v>0.0105022806692059</v>
      </c>
      <c r="E847" s="22" t="n">
        <f aca="false">LN(C847/C846)</f>
        <v>0.00597623940155697</v>
      </c>
      <c r="F847" s="22" t="n">
        <f aca="false">LN(Summary!$B$13*EXP(D847)+Summary!$B$14*EXP(E847))</f>
        <v>0.00869432162451872</v>
      </c>
      <c r="G847" s="22" t="n">
        <f aca="false">EXP(F847)-1</f>
        <v>0.00873222701301546</v>
      </c>
      <c r="H847" s="21" t="n">
        <f aca="false">EXP(SUM(F596:F847))-1</f>
        <v>0.151602787578883</v>
      </c>
    </row>
    <row r="848" customFormat="false" ht="15" hidden="false" customHeight="false" outlineLevel="0" collapsed="false">
      <c r="A848" s="20" t="n">
        <v>45702</v>
      </c>
      <c r="B848" s="21" t="n">
        <v>597.952881</v>
      </c>
      <c r="C848" s="21" t="n">
        <v>91.771828</v>
      </c>
      <c r="D848" s="22" t="n">
        <f aca="false">LN(B848/B847)</f>
        <v>-4.9198318559819E-005</v>
      </c>
      <c r="E848" s="22" t="n">
        <f aca="false">LN(C848/C847)</f>
        <v>0.00369148713248391</v>
      </c>
      <c r="F848" s="22" t="n">
        <f aca="false">LN(Summary!$B$13*EXP(D848)+Summary!$B$14*EXP(E848))</f>
        <v>0.00144875540705202</v>
      </c>
      <c r="G848" s="22" t="n">
        <f aca="false">EXP(F848)-1</f>
        <v>0.00144980536014727</v>
      </c>
      <c r="H848" s="21" t="n">
        <f aca="false">EXP(SUM(F597:F848))-1</f>
        <v>0.167221381763787</v>
      </c>
    </row>
    <row r="849" customFormat="false" ht="15" hidden="false" customHeight="false" outlineLevel="0" collapsed="false">
      <c r="A849" s="20" t="n">
        <v>45706</v>
      </c>
      <c r="B849" s="21" t="n">
        <v>599.708374</v>
      </c>
      <c r="C849" s="21" t="n">
        <v>91.405479</v>
      </c>
      <c r="D849" s="22" t="n">
        <f aca="false">LN(B849/B848)</f>
        <v>0.00293153719364877</v>
      </c>
      <c r="E849" s="22" t="n">
        <f aca="false">LN(C849/C848)</f>
        <v>-0.00399994403729867</v>
      </c>
      <c r="F849" s="22" t="n">
        <f aca="false">LN(Summary!$B$13*EXP(D849)+Summary!$B$14*EXP(E849))</f>
        <v>0.000164707478763653</v>
      </c>
      <c r="G849" s="22" t="n">
        <f aca="false">EXP(F849)-1</f>
        <v>0.000164721043785177</v>
      </c>
      <c r="H849" s="21" t="n">
        <f aca="false">EXP(SUM(F598:F849))-1</f>
        <v>0.15903340254561</v>
      </c>
    </row>
    <row r="850" customFormat="false" ht="15" hidden="false" customHeight="false" outlineLevel="0" collapsed="false">
      <c r="A850" s="20" t="n">
        <v>45707</v>
      </c>
      <c r="B850" s="21" t="n">
        <v>601.120667</v>
      </c>
      <c r="C850" s="21" t="n">
        <v>91.536995</v>
      </c>
      <c r="D850" s="22" t="n">
        <f aca="false">LN(B850/B849)</f>
        <v>0.00235219769500082</v>
      </c>
      <c r="E850" s="22" t="n">
        <f aca="false">LN(C850/C849)</f>
        <v>0.00143778554843559</v>
      </c>
      <c r="F850" s="22" t="n">
        <f aca="false">LN(Summary!$B$13*EXP(D850)+Summary!$B$14*EXP(E850))</f>
        <v>0.00198653316820378</v>
      </c>
      <c r="G850" s="22" t="n">
        <f aca="false">EXP(F850)-1</f>
        <v>0.00198850763244773</v>
      </c>
      <c r="H850" s="21" t="n">
        <f aca="false">EXP(SUM(F599:F850))-1</f>
        <v>0.155460758380572</v>
      </c>
    </row>
    <row r="851" customFormat="false" ht="15" hidden="false" customHeight="false" outlineLevel="0" collapsed="false">
      <c r="A851" s="20" t="n">
        <v>45708</v>
      </c>
      <c r="B851" s="21" t="n">
        <v>598.619873</v>
      </c>
      <c r="C851" s="21" t="n">
        <v>91.677902</v>
      </c>
      <c r="D851" s="22" t="n">
        <f aca="false">LN(B851/B850)</f>
        <v>-0.00416889742163917</v>
      </c>
      <c r="E851" s="22" t="n">
        <f aca="false">LN(C851/C850)</f>
        <v>0.00153816125313717</v>
      </c>
      <c r="F851" s="22" t="n">
        <f aca="false">LN(Summary!$B$13*EXP(D851)+Summary!$B$14*EXP(E851))</f>
        <v>-0.00188216400709996</v>
      </c>
      <c r="G851" s="22" t="n">
        <f aca="false">EXP(F851)-1</f>
        <v>-0.00188039384717642</v>
      </c>
      <c r="H851" s="21" t="n">
        <f aca="false">EXP(SUM(F600:F851))-1</f>
        <v>0.158223228329103</v>
      </c>
    </row>
    <row r="852" customFormat="false" ht="15" hidden="false" customHeight="false" outlineLevel="0" collapsed="false">
      <c r="A852" s="20" t="n">
        <v>45709</v>
      </c>
      <c r="B852" s="21" t="n">
        <v>588.380981</v>
      </c>
      <c r="C852" s="21" t="n">
        <v>92.072426</v>
      </c>
      <c r="D852" s="22" t="n">
        <f aca="false">LN(B852/B851)</f>
        <v>-0.0172521290434411</v>
      </c>
      <c r="E852" s="22" t="n">
        <f aca="false">LN(C852/C851)</f>
        <v>0.00429413770884965</v>
      </c>
      <c r="F852" s="22" t="n">
        <f aca="false">LN(Summary!$B$13*EXP(D852)+Summary!$B$14*EXP(E852))</f>
        <v>-0.00857783427957811</v>
      </c>
      <c r="G852" s="22" t="n">
        <f aca="false">EXP(F852)-1</f>
        <v>-0.00854114962567709</v>
      </c>
      <c r="H852" s="21" t="n">
        <f aca="false">EXP(SUM(F601:F852))-1</f>
        <v>0.151708054755347</v>
      </c>
    </row>
    <row r="853" customFormat="false" ht="15" hidden="false" customHeight="false" outlineLevel="0" collapsed="false">
      <c r="A853" s="20" t="n">
        <v>45712</v>
      </c>
      <c r="B853" s="21" t="n">
        <v>585.703613</v>
      </c>
      <c r="C853" s="21" t="n">
        <v>92.232117</v>
      </c>
      <c r="D853" s="22" t="n">
        <f aca="false">LN(B853/B852)</f>
        <v>-0.00456078319163334</v>
      </c>
      <c r="E853" s="22" t="n">
        <f aca="false">LN(C853/C852)</f>
        <v>0.00173290400076687</v>
      </c>
      <c r="F853" s="22" t="n">
        <f aca="false">LN(Summary!$B$13*EXP(D853)+Summary!$B$14*EXP(E853))</f>
        <v>-0.00203855306739839</v>
      </c>
      <c r="G853" s="22" t="n">
        <f aca="false">EXP(F853)-1</f>
        <v>-0.00203647662931017</v>
      </c>
      <c r="H853" s="21" t="n">
        <f aca="false">EXP(SUM(F602:F853))-1</f>
        <v>0.150110206121627</v>
      </c>
    </row>
    <row r="854" customFormat="false" ht="15" hidden="false" customHeight="false" outlineLevel="0" collapsed="false">
      <c r="A854" s="20" t="n">
        <v>45713</v>
      </c>
      <c r="B854" s="21" t="n">
        <v>582.790771</v>
      </c>
      <c r="C854" s="21" t="n">
        <v>92.805122</v>
      </c>
      <c r="D854" s="22" t="n">
        <f aca="false">LN(B854/B853)</f>
        <v>-0.00498564318922596</v>
      </c>
      <c r="E854" s="22" t="n">
        <f aca="false">LN(C854/C853)</f>
        <v>0.00619342176449023</v>
      </c>
      <c r="F854" s="22" t="n">
        <f aca="false">LN(Summary!$B$13*EXP(D854)+Summary!$B$14*EXP(E854))</f>
        <v>-0.000499009520884661</v>
      </c>
      <c r="G854" s="22" t="n">
        <f aca="false">EXP(F854)-1</f>
        <v>-0.000498885036340879</v>
      </c>
      <c r="H854" s="21" t="n">
        <f aca="false">EXP(SUM(F603:F854))-1</f>
        <v>0.135067054148271</v>
      </c>
    </row>
    <row r="855" customFormat="false" ht="15" hidden="false" customHeight="false" outlineLevel="0" collapsed="false">
      <c r="A855" s="20" t="n">
        <v>45714</v>
      </c>
      <c r="B855" s="21" t="n">
        <v>583.084961</v>
      </c>
      <c r="C855" s="21" t="n">
        <v>92.955391</v>
      </c>
      <c r="D855" s="22" t="n">
        <f aca="false">LN(B855/B854)</f>
        <v>0.00050466786153835</v>
      </c>
      <c r="E855" s="22" t="n">
        <f aca="false">LN(C855/C854)</f>
        <v>0.00161787917519195</v>
      </c>
      <c r="F855" s="22" t="n">
        <f aca="false">LN(Summary!$B$13*EXP(D855)+Summary!$B$14*EXP(E855))</f>
        <v>0.000950101106760731</v>
      </c>
      <c r="G855" s="22" t="n">
        <f aca="false">EXP(F855)-1</f>
        <v>0.000950552595792686</v>
      </c>
      <c r="H855" s="21" t="n">
        <f aca="false">EXP(SUM(F604:F855))-1</f>
        <v>0.133993052659195</v>
      </c>
    </row>
    <row r="856" customFormat="false" ht="15" hidden="false" customHeight="false" outlineLevel="0" collapsed="false">
      <c r="A856" s="20" t="n">
        <v>45715</v>
      </c>
      <c r="B856" s="21" t="n">
        <v>573.77771</v>
      </c>
      <c r="C856" s="21" t="n">
        <v>92.814468</v>
      </c>
      <c r="D856" s="22" t="n">
        <f aca="false">LN(B856/B855)</f>
        <v>-0.0160908499312415</v>
      </c>
      <c r="E856" s="22" t="n">
        <f aca="false">LN(C856/C855)</f>
        <v>-0.00151717859711288</v>
      </c>
      <c r="F856" s="22" t="n">
        <f aca="false">LN(Summary!$B$13*EXP(D856)+Summary!$B$14*EXP(E856))</f>
        <v>-0.0102358698063914</v>
      </c>
      <c r="G856" s="22" t="n">
        <f aca="false">EXP(F856)-1</f>
        <v>-0.0101836615751052</v>
      </c>
      <c r="H856" s="21" t="n">
        <f aca="false">EXP(SUM(F605:F856))-1</f>
        <v>0.125890510493237</v>
      </c>
    </row>
    <row r="857" customFormat="false" ht="15" hidden="false" customHeight="false" outlineLevel="0" collapsed="false">
      <c r="A857" s="20" t="n">
        <v>45716</v>
      </c>
      <c r="B857" s="21" t="n">
        <v>582.731934</v>
      </c>
      <c r="C857" s="21" t="n">
        <v>93.227783</v>
      </c>
      <c r="D857" s="22" t="n">
        <f aca="false">LN(B857/B856)</f>
        <v>0.0154852196434928</v>
      </c>
      <c r="E857" s="22" t="n">
        <f aca="false">LN(C857/C856)</f>
        <v>0.0044432453140615</v>
      </c>
      <c r="F857" s="22" t="n">
        <f aca="false">LN(Summary!$B$13*EXP(D857)+Summary!$B$14*EXP(E857))</f>
        <v>0.0110830500997266</v>
      </c>
      <c r="G857" s="22" t="n">
        <f aca="false">EXP(F857)-1</f>
        <v>0.011144694625449</v>
      </c>
      <c r="H857" s="21" t="n">
        <f aca="false">EXP(SUM(F606:F857))-1</f>
        <v>0.137779310780789</v>
      </c>
    </row>
    <row r="858" customFormat="false" ht="15" hidden="false" customHeight="false" outlineLevel="0" collapsed="false">
      <c r="A858" s="20" t="n">
        <v>45719</v>
      </c>
      <c r="B858" s="21" t="n">
        <v>572.522461</v>
      </c>
      <c r="C858" s="21" t="n">
        <v>93.42942</v>
      </c>
      <c r="D858" s="22" t="n">
        <f aca="false">LN(B858/B857)</f>
        <v>-0.0176753083017491</v>
      </c>
      <c r="E858" s="22" t="n">
        <f aca="false">LN(C858/C857)</f>
        <v>0.00216050680276447</v>
      </c>
      <c r="F858" s="22" t="n">
        <f aca="false">LN(Summary!$B$13*EXP(D858)+Summary!$B$14*EXP(E858))</f>
        <v>-0.00969370535937208</v>
      </c>
      <c r="G858" s="22" t="n">
        <f aca="false">EXP(F858)-1</f>
        <v>-0.00964687284659904</v>
      </c>
      <c r="H858" s="21" t="n">
        <f aca="false">EXP(SUM(F607:F858))-1</f>
        <v>0.126813839966555</v>
      </c>
    </row>
    <row r="859" customFormat="false" ht="15" hidden="false" customHeight="false" outlineLevel="0" collapsed="false">
      <c r="A859" s="20" t="n">
        <v>45720</v>
      </c>
      <c r="B859" s="21" t="n">
        <v>565.745544</v>
      </c>
      <c r="C859" s="21" t="n">
        <v>93.193863</v>
      </c>
      <c r="D859" s="22" t="n">
        <f aca="false">LN(B859/B858)</f>
        <v>-0.011907559634375</v>
      </c>
      <c r="E859" s="22" t="n">
        <f aca="false">LN(C859/C858)</f>
        <v>-0.00252441304543691</v>
      </c>
      <c r="F859" s="22" t="n">
        <f aca="false">LN(Summary!$B$13*EXP(D859)+Summary!$B$14*EXP(E859))</f>
        <v>-0.00814372921117644</v>
      </c>
      <c r="G859" s="22" t="n">
        <f aca="false">EXP(F859)-1</f>
        <v>-0.00811065888127127</v>
      </c>
      <c r="H859" s="21" t="n">
        <f aca="false">EXP(SUM(F608:F859))-1</f>
        <v>0.114536716293546</v>
      </c>
    </row>
    <row r="860" customFormat="false" ht="15" hidden="false" customHeight="false" outlineLevel="0" collapsed="false">
      <c r="A860" s="20" t="n">
        <v>45721</v>
      </c>
      <c r="B860" s="21" t="n">
        <v>571.826233</v>
      </c>
      <c r="C860" s="21" t="n">
        <v>92.873512</v>
      </c>
      <c r="D860" s="22" t="n">
        <f aca="false">LN(B860/B859)</f>
        <v>0.010690748553006</v>
      </c>
      <c r="E860" s="22" t="n">
        <f aca="false">LN(C860/C859)</f>
        <v>-0.00344339050875263</v>
      </c>
      <c r="F860" s="22" t="n">
        <f aca="false">LN(Summary!$B$13*EXP(D860)+Summary!$B$14*EXP(E860))</f>
        <v>0.00506104303051333</v>
      </c>
      <c r="G860" s="22" t="n">
        <f aca="false">EXP(F860)-1</f>
        <v>0.00507387174188101</v>
      </c>
      <c r="H860" s="21" t="n">
        <f aca="false">EXP(SUM(F609:F860))-1</f>
        <v>0.111794038059288</v>
      </c>
    </row>
    <row r="861" customFormat="false" ht="15" hidden="false" customHeight="false" outlineLevel="0" collapsed="false">
      <c r="A861" s="20" t="n">
        <v>45722</v>
      </c>
      <c r="B861" s="21" t="n">
        <v>561.675476</v>
      </c>
      <c r="C861" s="21" t="n">
        <v>92.779297</v>
      </c>
      <c r="D861" s="22" t="n">
        <f aca="false">LN(B861/B860)</f>
        <v>-0.0179109184968448</v>
      </c>
      <c r="E861" s="22" t="n">
        <f aca="false">LN(C861/C860)</f>
        <v>-0.00101495914438771</v>
      </c>
      <c r="F861" s="22" t="n">
        <f aca="false">LN(Summary!$B$13*EXP(D861)+Summary!$B$14*EXP(E861))</f>
        <v>-0.0111182397155961</v>
      </c>
      <c r="G861" s="22" t="n">
        <f aca="false">EXP(F861)-1</f>
        <v>-0.0110566605171305</v>
      </c>
      <c r="H861" s="21" t="n">
        <f aca="false">EXP(SUM(F610:F861))-1</f>
        <v>0.101293724580933</v>
      </c>
    </row>
    <row r="862" customFormat="false" ht="15" hidden="false" customHeight="false" outlineLevel="0" collapsed="false">
      <c r="A862" s="20" t="n">
        <v>45723</v>
      </c>
      <c r="B862" s="21" t="n">
        <v>564.823669</v>
      </c>
      <c r="C862" s="21" t="n">
        <v>92.666214</v>
      </c>
      <c r="D862" s="22" t="n">
        <f aca="false">LN(B862/B861)</f>
        <v>0.00558935390229976</v>
      </c>
      <c r="E862" s="22" t="n">
        <f aca="false">LN(C862/C861)</f>
        <v>-0.00121958211235925</v>
      </c>
      <c r="F862" s="22" t="n">
        <f aca="false">LN(Summary!$B$13*EXP(D862)+Summary!$B$14*EXP(E862))</f>
        <v>0.00287134035476217</v>
      </c>
      <c r="G862" s="22" t="n">
        <f aca="false">EXP(F862)-1</f>
        <v>0.00287546660081905</v>
      </c>
      <c r="H862" s="21" t="n">
        <f aca="false">EXP(SUM(F611:F862))-1</f>
        <v>0.108693014888508</v>
      </c>
    </row>
    <row r="863" customFormat="false" ht="15" hidden="false" customHeight="false" outlineLevel="0" collapsed="false">
      <c r="A863" s="20" t="n">
        <v>45726</v>
      </c>
      <c r="B863" s="21" t="n">
        <v>549.779297</v>
      </c>
      <c r="C863" s="21" t="n">
        <v>93.10907</v>
      </c>
      <c r="D863" s="22" t="n">
        <f aca="false">LN(B863/B862)</f>
        <v>-0.0269966726595885</v>
      </c>
      <c r="E863" s="22" t="n">
        <f aca="false">LN(C863/C862)</f>
        <v>0.00476766154602978</v>
      </c>
      <c r="F863" s="22" t="n">
        <f aca="false">LN(Summary!$B$13*EXP(D863)+Summary!$B$14*EXP(E863))</f>
        <v>-0.0141696103345992</v>
      </c>
      <c r="G863" s="22" t="n">
        <f aca="false">EXP(F863)-1</f>
        <v>-0.0140696938885077</v>
      </c>
      <c r="H863" s="21" t="n">
        <f aca="false">EXP(SUM(F612:F863))-1</f>
        <v>0.0891146507202956</v>
      </c>
    </row>
    <row r="864" customFormat="false" ht="15" hidden="false" customHeight="false" outlineLevel="0" collapsed="false">
      <c r="A864" s="20" t="n">
        <v>45727</v>
      </c>
      <c r="B864" s="21" t="n">
        <v>545.209045</v>
      </c>
      <c r="C864" s="21" t="n">
        <v>92.779297</v>
      </c>
      <c r="D864" s="22" t="n">
        <f aca="false">LN(B864/B863)</f>
        <v>-0.00834762958418999</v>
      </c>
      <c r="E864" s="22" t="n">
        <f aca="false">LN(C864/C863)</f>
        <v>-0.00354807943367058</v>
      </c>
      <c r="F864" s="22" t="n">
        <f aca="false">LN(Summary!$B$13*EXP(D864)+Summary!$B$14*EXP(E864))</f>
        <v>-0.00642504436003397</v>
      </c>
      <c r="G864" s="22" t="n">
        <f aca="false">EXP(F864)-1</f>
        <v>-0.00640444789719008</v>
      </c>
      <c r="H864" s="21" t="n">
        <f aca="false">EXP(SUM(F613:F864))-1</f>
        <v>0.0748164780888398</v>
      </c>
    </row>
    <row r="865" customFormat="false" ht="15" hidden="false" customHeight="false" outlineLevel="0" collapsed="false">
      <c r="A865" s="20" t="n">
        <v>45728</v>
      </c>
      <c r="B865" s="21" t="n">
        <v>548.102173</v>
      </c>
      <c r="C865" s="21" t="n">
        <v>92.506058</v>
      </c>
      <c r="D865" s="22" t="n">
        <f aca="false">LN(B865/B864)</f>
        <v>0.00529242672233678</v>
      </c>
      <c r="E865" s="22" t="n">
        <f aca="false">LN(C865/C864)</f>
        <v>-0.00294938796509812</v>
      </c>
      <c r="F865" s="22" t="n">
        <f aca="false">LN(Summary!$B$13*EXP(D865)+Summary!$B$14*EXP(E865))</f>
        <v>0.00200384764944283</v>
      </c>
      <c r="G865" s="22" t="n">
        <f aca="false">EXP(F865)-1</f>
        <v>0.00200585669385944</v>
      </c>
      <c r="H865" s="21" t="n">
        <f aca="false">EXP(SUM(F614:F865))-1</f>
        <v>0.0804672913713398</v>
      </c>
    </row>
    <row r="866" customFormat="false" ht="15" hidden="false" customHeight="false" outlineLevel="0" collapsed="false">
      <c r="A866" s="20" t="n">
        <v>45729</v>
      </c>
      <c r="B866" s="21" t="n">
        <v>540.795715</v>
      </c>
      <c r="C866" s="21" t="n">
        <v>92.788704</v>
      </c>
      <c r="D866" s="22" t="n">
        <f aca="false">LN(B866/B865)</f>
        <v>-0.0134201153985927</v>
      </c>
      <c r="E866" s="22" t="n">
        <f aca="false">LN(C866/C865)</f>
        <v>0.00305077397946855</v>
      </c>
      <c r="F866" s="22" t="n">
        <f aca="false">LN(Summary!$B$13*EXP(D866)+Summary!$B$14*EXP(E866))</f>
        <v>-0.00679916940135281</v>
      </c>
      <c r="G866" s="22" t="n">
        <f aca="false">EXP(F866)-1</f>
        <v>-0.00677610734628631</v>
      </c>
      <c r="H866" s="21" t="n">
        <f aca="false">EXP(SUM(F615:F866))-1</f>
        <v>0.0741811647307997</v>
      </c>
    </row>
    <row r="867" customFormat="false" ht="15" hidden="false" customHeight="false" outlineLevel="0" collapsed="false">
      <c r="A867" s="20" t="n">
        <v>45730</v>
      </c>
      <c r="B867" s="21" t="n">
        <v>551.966309</v>
      </c>
      <c r="C867" s="21" t="n">
        <v>92.600266</v>
      </c>
      <c r="D867" s="22" t="n">
        <f aca="false">LN(B867/B866)</f>
        <v>0.0204454087435113</v>
      </c>
      <c r="E867" s="22" t="n">
        <f aca="false">LN(C867/C866)</f>
        <v>-0.00203289402703734</v>
      </c>
      <c r="F867" s="22" t="n">
        <f aca="false">LN(Summary!$B$13*EXP(D867)+Summary!$B$14*EXP(E867))</f>
        <v>0.0115146285461299</v>
      </c>
      <c r="G867" s="22" t="n">
        <f aca="false">EXP(F867)-1</f>
        <v>0.0115811770632757</v>
      </c>
      <c r="H867" s="21" t="n">
        <f aca="false">EXP(SUM(F616:F867))-1</f>
        <v>0.0807468698786444</v>
      </c>
    </row>
    <row r="868" customFormat="false" ht="15" hidden="false" customHeight="false" outlineLevel="0" collapsed="false">
      <c r="A868" s="20" t="n">
        <v>45733</v>
      </c>
      <c r="B868" s="21" t="n">
        <v>556.222717</v>
      </c>
      <c r="C868" s="21" t="n">
        <v>92.722763</v>
      </c>
      <c r="D868" s="22" t="n">
        <f aca="false">LN(B868/B867)</f>
        <v>0.00768177419353592</v>
      </c>
      <c r="E868" s="22" t="n">
        <f aca="false">LN(C868/C867)</f>
        <v>0.00132198376533175</v>
      </c>
      <c r="F868" s="22" t="n">
        <f aca="false">LN(Summary!$B$13*EXP(D868)+Summary!$B$14*EXP(E868))</f>
        <v>0.00514270958930648</v>
      </c>
      <c r="G868" s="22" t="n">
        <f aca="false">EXP(F868)-1</f>
        <v>0.00515595601804364</v>
      </c>
      <c r="H868" s="21" t="n">
        <f aca="false">EXP(SUM(F617:F868))-1</f>
        <v>0.0881426948400601</v>
      </c>
    </row>
    <row r="869" customFormat="false" ht="15" hidden="false" customHeight="false" outlineLevel="0" collapsed="false">
      <c r="A869" s="20" t="n">
        <v>45734</v>
      </c>
      <c r="B869" s="21" t="n">
        <v>550.210876</v>
      </c>
      <c r="C869" s="21" t="n">
        <v>92.816971</v>
      </c>
      <c r="D869" s="22" t="n">
        <f aca="false">LN(B869/B868)</f>
        <v>-0.0108671685352383</v>
      </c>
      <c r="E869" s="22" t="n">
        <f aca="false">LN(C869/C868)</f>
        <v>0.00101550224380451</v>
      </c>
      <c r="F869" s="22" t="n">
        <f aca="false">LN(Summary!$B$13*EXP(D869)+Summary!$B$14*EXP(E869))</f>
        <v>-0.00609714314527766</v>
      </c>
      <c r="G869" s="22" t="n">
        <f aca="false">EXP(F869)-1</f>
        <v>-0.00607859328753757</v>
      </c>
      <c r="H869" s="21" t="n">
        <f aca="false">EXP(SUM(F618:F869))-1</f>
        <v>0.0855706234942975</v>
      </c>
    </row>
    <row r="870" customFormat="false" ht="15" hidden="false" customHeight="false" outlineLevel="0" collapsed="false">
      <c r="A870" s="20" t="n">
        <v>45735</v>
      </c>
      <c r="B870" s="21" t="n">
        <v>556.203125</v>
      </c>
      <c r="C870" s="21" t="n">
        <v>93.09024</v>
      </c>
      <c r="D870" s="22" t="n">
        <f aca="false">LN(B870/B869)</f>
        <v>0.0108319446142139</v>
      </c>
      <c r="E870" s="22" t="n">
        <f aca="false">LN(C870/C869)</f>
        <v>0.00293984504791353</v>
      </c>
      <c r="F870" s="22" t="n">
        <f aca="false">LN(Summary!$B$13*EXP(D870)+Summary!$B$14*EXP(E870))</f>
        <v>0.00768257506642476</v>
      </c>
      <c r="G870" s="22" t="n">
        <f aca="false">EXP(F870)-1</f>
        <v>0.00771216176506262</v>
      </c>
      <c r="H870" s="21" t="n">
        <f aca="false">EXP(SUM(F619:F870))-1</f>
        <v>0.0985137907767784</v>
      </c>
    </row>
    <row r="871" customFormat="false" ht="15" hidden="false" customHeight="false" outlineLevel="0" collapsed="false">
      <c r="A871" s="20" t="n">
        <v>45736</v>
      </c>
      <c r="B871" s="21" t="n">
        <v>554.594666</v>
      </c>
      <c r="C871" s="21" t="n">
        <v>93.146767</v>
      </c>
      <c r="D871" s="22" t="n">
        <f aca="false">LN(B871/B870)</f>
        <v>-0.0028960448737314</v>
      </c>
      <c r="E871" s="22" t="n">
        <f aca="false">LN(C871/C870)</f>
        <v>0.000607043708943007</v>
      </c>
      <c r="F871" s="22" t="n">
        <f aca="false">LN(Summary!$B$13*EXP(D871)+Summary!$B$14*EXP(E871))</f>
        <v>-0.00149333650186165</v>
      </c>
      <c r="G871" s="22" t="n">
        <f aca="false">EXP(F871)-1</f>
        <v>-0.00149222202973742</v>
      </c>
      <c r="H871" s="21" t="n">
        <f aca="false">EXP(SUM(F620:F871))-1</f>
        <v>0.0934259829549486</v>
      </c>
    </row>
    <row r="872" customFormat="false" ht="15" hidden="false" customHeight="false" outlineLevel="0" collapsed="false">
      <c r="A872" s="20" t="n">
        <v>45737</v>
      </c>
      <c r="B872" s="21" t="n">
        <v>554.777649</v>
      </c>
      <c r="C872" s="21" t="n">
        <v>93.033691</v>
      </c>
      <c r="D872" s="22" t="n">
        <f aca="false">LN(B872/B871)</f>
        <v>0.000329885646478214</v>
      </c>
      <c r="E872" s="22" t="n">
        <f aca="false">LN(C872/C871)</f>
        <v>-0.00121469261723938</v>
      </c>
      <c r="F872" s="22" t="n">
        <f aca="false">LN(Summary!$B$13*EXP(D872)+Summary!$B$14*EXP(E872))</f>
        <v>-0.000287659401871763</v>
      </c>
      <c r="G872" s="22" t="n">
        <f aca="false">EXP(F872)-1</f>
        <v>-0.000287618031872938</v>
      </c>
      <c r="H872" s="21" t="n">
        <f aca="false">EXP(SUM(F621:F872))-1</f>
        <v>0.0884053199653805</v>
      </c>
    </row>
    <row r="873" customFormat="false" ht="15" hidden="false" customHeight="false" outlineLevel="0" collapsed="false">
      <c r="A873" s="20" t="n">
        <v>45740</v>
      </c>
      <c r="B873" s="21" t="n">
        <v>564.71283</v>
      </c>
      <c r="C873" s="21" t="n">
        <v>92.675652</v>
      </c>
      <c r="D873" s="22" t="n">
        <f aca="false">LN(B873/B872)</f>
        <v>0.0177499354096409</v>
      </c>
      <c r="E873" s="22" t="n">
        <f aca="false">LN(C873/C872)</f>
        <v>-0.00385591201635912</v>
      </c>
      <c r="F873" s="22" t="n">
        <f aca="false">LN(Summary!$B$13*EXP(D873)+Summary!$B$14*EXP(E873))</f>
        <v>0.00916353231408123</v>
      </c>
      <c r="G873" s="22" t="n">
        <f aca="false">EXP(F873)-1</f>
        <v>0.00920564601477869</v>
      </c>
      <c r="H873" s="21" t="n">
        <f aca="false">EXP(SUM(F622:F873))-1</f>
        <v>0.0914695252510132</v>
      </c>
    </row>
    <row r="874" customFormat="false" ht="15" hidden="false" customHeight="false" outlineLevel="0" collapsed="false">
      <c r="A874" s="20" t="n">
        <v>45741</v>
      </c>
      <c r="B874" s="21" t="n">
        <v>566.070312</v>
      </c>
      <c r="C874" s="21" t="n">
        <v>92.760445</v>
      </c>
      <c r="D874" s="22" t="n">
        <f aca="false">LN(B874/B873)</f>
        <v>0.00240096018713501</v>
      </c>
      <c r="E874" s="22" t="n">
        <f aca="false">LN(C874/C873)</f>
        <v>0.000914525351660786</v>
      </c>
      <c r="F874" s="22" t="n">
        <f aca="false">LN(Summary!$B$13*EXP(D874)+Summary!$B$14*EXP(E874))</f>
        <v>0.00180665136527213</v>
      </c>
      <c r="G874" s="22" t="n">
        <f aca="false">EXP(F874)-1</f>
        <v>0.00180828434310909</v>
      </c>
      <c r="H874" s="21" t="n">
        <f aca="false">EXP(SUM(F623:F874))-1</f>
        <v>0.0909665050199953</v>
      </c>
    </row>
    <row r="875" customFormat="false" ht="15" hidden="false" customHeight="false" outlineLevel="0" collapsed="false">
      <c r="A875" s="20" t="n">
        <v>45742</v>
      </c>
      <c r="B875" s="21" t="n">
        <v>559.312439</v>
      </c>
      <c r="C875" s="21" t="n">
        <v>92.534325</v>
      </c>
      <c r="D875" s="22" t="n">
        <f aca="false">LN(B875/B874)</f>
        <v>-0.0120100547555577</v>
      </c>
      <c r="E875" s="22" t="n">
        <f aca="false">LN(C875/C874)</f>
        <v>-0.00244065293635341</v>
      </c>
      <c r="F875" s="22" t="n">
        <f aca="false">LN(Summary!$B$13*EXP(D875)+Summary!$B$14*EXP(E875))</f>
        <v>-0.00817129824026672</v>
      </c>
      <c r="G875" s="22" t="n">
        <f aca="false">EXP(F875)-1</f>
        <v>-0.00813800393043096</v>
      </c>
      <c r="H875" s="21" t="n">
        <f aca="false">EXP(SUM(F624:F875))-1</f>
        <v>0.0819432869493091</v>
      </c>
    </row>
    <row r="876" customFormat="false" ht="15" hidden="false" customHeight="false" outlineLevel="0" collapsed="false">
      <c r="A876" s="20" t="n">
        <v>45743</v>
      </c>
      <c r="B876" s="21" t="n">
        <v>557.827087</v>
      </c>
      <c r="C876" s="21" t="n">
        <v>92.487206</v>
      </c>
      <c r="D876" s="22" t="n">
        <f aca="false">LN(B876/B875)</f>
        <v>-0.00265920745031654</v>
      </c>
      <c r="E876" s="22" t="n">
        <f aca="false">LN(C876/C875)</f>
        <v>-0.000509335327234347</v>
      </c>
      <c r="F876" s="22" t="n">
        <f aca="false">LN(Summary!$B$13*EXP(D876)+Summary!$B$14*EXP(E876))</f>
        <v>-0.00179870388766743</v>
      </c>
      <c r="G876" s="22" t="n">
        <f aca="false">EXP(F876)-1</f>
        <v>-0.0017970871892955</v>
      </c>
      <c r="H876" s="21" t="n">
        <f aca="false">EXP(SUM(F625:F876))-1</f>
        <v>0.0825902068182143</v>
      </c>
    </row>
    <row r="877" customFormat="false" ht="15" hidden="false" customHeight="false" outlineLevel="0" collapsed="false">
      <c r="A877" s="20" t="n">
        <v>45744</v>
      </c>
      <c r="B877" s="21" t="n">
        <v>546.593384</v>
      </c>
      <c r="C877" s="21" t="n">
        <v>93.024284</v>
      </c>
      <c r="D877" s="22" t="n">
        <f aca="false">LN(B877/B876)</f>
        <v>-0.0203438649246863</v>
      </c>
      <c r="E877" s="22" t="n">
        <f aca="false">LN(C877/C876)</f>
        <v>0.00579025590871134</v>
      </c>
      <c r="F877" s="22" t="n">
        <f aca="false">LN(Summary!$B$13*EXP(D877)+Summary!$B$14*EXP(E877))</f>
        <v>-0.0098081167850952</v>
      </c>
      <c r="G877" s="22" t="n">
        <f aca="false">EXP(F877)-1</f>
        <v>-0.0097601740782447</v>
      </c>
      <c r="H877" s="21" t="n">
        <f aca="false">EXP(SUM(F626:F877))-1</f>
        <v>0.0727732754496968</v>
      </c>
    </row>
    <row r="878" customFormat="false" ht="15" hidden="false" customHeight="false" outlineLevel="0" collapsed="false">
      <c r="A878" s="20" t="n">
        <v>45747</v>
      </c>
      <c r="B878" s="21" t="n">
        <v>550.262573</v>
      </c>
      <c r="C878" s="21" t="n">
        <v>93.203278</v>
      </c>
      <c r="D878" s="22" t="n">
        <f aca="false">LN(B878/B877)</f>
        <v>0.00669040025373135</v>
      </c>
      <c r="E878" s="22" t="n">
        <f aca="false">LN(C878/C877)</f>
        <v>0.00192231539947515</v>
      </c>
      <c r="F878" s="22" t="n">
        <f aca="false">LN(Summary!$B$13*EXP(D878)+Summary!$B$14*EXP(E878))</f>
        <v>0.00478589359853248</v>
      </c>
      <c r="G878" s="22" t="n">
        <f aca="false">EXP(F878)-1</f>
        <v>0.00479736427915256</v>
      </c>
      <c r="H878" s="21" t="n">
        <f aca="false">EXP(SUM(F627:F878))-1</f>
        <v>0.0711161622674488</v>
      </c>
    </row>
    <row r="879" customFormat="false" ht="15" hidden="false" customHeight="false" outlineLevel="0" collapsed="false">
      <c r="A879" s="20" t="n">
        <v>45748</v>
      </c>
      <c r="B879" s="21" t="n">
        <v>551.816711</v>
      </c>
      <c r="C879" s="21" t="n">
        <v>93.548325</v>
      </c>
      <c r="D879" s="22" t="n">
        <f aca="false">LN(B879/B878)</f>
        <v>0.00282037608866238</v>
      </c>
      <c r="E879" s="22" t="n">
        <f aca="false">LN(C879/C878)</f>
        <v>0.00369525494923899</v>
      </c>
      <c r="F879" s="22" t="n">
        <f aca="false">LN(Summary!$B$13*EXP(D879)+Summary!$B$14*EXP(E879))</f>
        <v>0.00317041948781003</v>
      </c>
      <c r="G879" s="22" t="n">
        <f aca="false">EXP(F879)-1</f>
        <v>0.0031754505831636</v>
      </c>
      <c r="H879" s="21" t="n">
        <f aca="false">EXP(SUM(F628:F879))-1</f>
        <v>0.0751671167271042</v>
      </c>
    </row>
    <row r="880" customFormat="false" ht="15" hidden="false" customHeight="false" outlineLevel="0" collapsed="false">
      <c r="A880" s="20" t="n">
        <v>45749</v>
      </c>
      <c r="B880" s="21" t="n">
        <v>555.308899</v>
      </c>
      <c r="C880" s="21" t="n">
        <v>93.444344</v>
      </c>
      <c r="D880" s="22" t="n">
        <f aca="false">LN(B880/B879)</f>
        <v>0.0063085878429194</v>
      </c>
      <c r="E880" s="22" t="n">
        <f aca="false">LN(C880/C879)</f>
        <v>-0.00111213997076498</v>
      </c>
      <c r="F880" s="22" t="n">
        <f aca="false">LN(Summary!$B$13*EXP(D880)+Summary!$B$14*EXP(E880))</f>
        <v>0.00334690149916459</v>
      </c>
      <c r="G880" s="22" t="n">
        <f aca="false">EXP(F880)-1</f>
        <v>0.00335250862774439</v>
      </c>
      <c r="H880" s="21" t="n">
        <f aca="false">EXP(SUM(F629:F880))-1</f>
        <v>0.0830520468907188</v>
      </c>
    </row>
    <row r="881" customFormat="false" ht="15" hidden="false" customHeight="false" outlineLevel="0" collapsed="false">
      <c r="A881" s="20" t="n">
        <v>45750</v>
      </c>
      <c r="B881" s="21" t="n">
        <v>527.942749</v>
      </c>
      <c r="C881" s="21" t="n">
        <v>93.935913</v>
      </c>
      <c r="D881" s="22" t="n">
        <f aca="false">LN(B881/B880)</f>
        <v>-0.0505366857878464</v>
      </c>
      <c r="E881" s="22" t="n">
        <f aca="false">LN(C881/C880)</f>
        <v>0.00524676543357708</v>
      </c>
      <c r="F881" s="22" t="n">
        <f aca="false">LN(Summary!$B$13*EXP(D881)+Summary!$B$14*EXP(E881))</f>
        <v>-0.0278485444003138</v>
      </c>
      <c r="G881" s="22" t="n">
        <f aca="false">EXP(F881)-1</f>
        <v>-0.0274643483822578</v>
      </c>
      <c r="H881" s="21" t="n">
        <f aca="false">EXP(SUM(F630:F881))-1</f>
        <v>0.0576468849886944</v>
      </c>
    </row>
    <row r="882" customFormat="false" ht="15" hidden="false" customHeight="false" outlineLevel="0" collapsed="false">
      <c r="A882" s="20" t="n">
        <v>45751</v>
      </c>
      <c r="B882" s="21" t="n">
        <v>497.035431</v>
      </c>
      <c r="C882" s="21" t="n">
        <v>94.020988</v>
      </c>
      <c r="D882" s="22" t="n">
        <f aca="false">LN(B882/B881)</f>
        <v>-0.0603265346090033</v>
      </c>
      <c r="E882" s="22" t="n">
        <f aca="false">LN(C882/C881)</f>
        <v>0.000905260784331546</v>
      </c>
      <c r="F882" s="22" t="n">
        <f aca="false">LN(Summary!$B$13*EXP(D882)+Summary!$B$14*EXP(E882))</f>
        <v>-0.0353821223801508</v>
      </c>
      <c r="G882" s="22" t="n">
        <f aca="false">EXP(F882)-1</f>
        <v>-0.0347634926937082</v>
      </c>
      <c r="H882" s="21" t="n">
        <f aca="false">EXP(SUM(F631:F882))-1</f>
        <v>0.0199544378453982</v>
      </c>
    </row>
    <row r="883" customFormat="false" ht="15" hidden="false" customHeight="false" outlineLevel="0" collapsed="false">
      <c r="A883" s="20" t="n">
        <v>45754</v>
      </c>
      <c r="B883" s="21" t="n">
        <v>496.150146</v>
      </c>
      <c r="C883" s="21" t="n">
        <v>92.829903</v>
      </c>
      <c r="D883" s="22" t="n">
        <f aca="false">LN(B883/B882)</f>
        <v>-0.00178271866801242</v>
      </c>
      <c r="E883" s="22" t="n">
        <f aca="false">LN(C883/C882)</f>
        <v>-0.0127492154527669</v>
      </c>
      <c r="F883" s="22" t="n">
        <f aca="false">LN(Summary!$B$13*EXP(D883)+Summary!$B$14*EXP(E883))</f>
        <v>-0.00615489631022884</v>
      </c>
      <c r="G883" s="22" t="n">
        <f aca="false">EXP(F883)-1</f>
        <v>-0.00613599373694318</v>
      </c>
      <c r="H883" s="21" t="n">
        <f aca="false">EXP(SUM(F632:F883))-1</f>
        <v>0.0201994184799128</v>
      </c>
    </row>
    <row r="884" customFormat="false" ht="15" hidden="false" customHeight="false" outlineLevel="0" collapsed="false">
      <c r="A884" s="20" t="n">
        <v>45755</v>
      </c>
      <c r="B884" s="21" t="n">
        <v>488.379059</v>
      </c>
      <c r="C884" s="21" t="n">
        <v>92.347771</v>
      </c>
      <c r="D884" s="22" t="n">
        <f aca="false">LN(B884/B883)</f>
        <v>-0.0157867300491151</v>
      </c>
      <c r="E884" s="22" t="n">
        <f aca="false">LN(C884/C883)</f>
        <v>-0.00520724857397803</v>
      </c>
      <c r="F884" s="22" t="n">
        <f aca="false">LN(Summary!$B$13*EXP(D884)+Summary!$B$14*EXP(E884))</f>
        <v>-0.0115414969899818</v>
      </c>
      <c r="G884" s="22" t="n">
        <f aca="false">EXP(F884)-1</f>
        <v>-0.0114751494090405</v>
      </c>
      <c r="H884" s="21" t="n">
        <f aca="false">EXP(SUM(F633:F884))-1</f>
        <v>0.0041824619374613</v>
      </c>
    </row>
    <row r="885" customFormat="false" ht="15" hidden="false" customHeight="false" outlineLevel="0" collapsed="false">
      <c r="A885" s="20" t="n">
        <v>45756</v>
      </c>
      <c r="B885" s="21" t="n">
        <v>539.668335</v>
      </c>
      <c r="C885" s="21" t="n">
        <v>92.555763</v>
      </c>
      <c r="D885" s="22" t="n">
        <f aca="false">LN(B885/B884)</f>
        <v>0.0998628918422612</v>
      </c>
      <c r="E885" s="22" t="n">
        <f aca="false">LN(C885/C884)</f>
        <v>0.00224973620813592</v>
      </c>
      <c r="F885" s="22" t="n">
        <f aca="false">LN(Summary!$B$13*EXP(D885)+Summary!$B$14*EXP(E885))</f>
        <v>0.0619531956374448</v>
      </c>
      <c r="G885" s="22" t="n">
        <f aca="false">EXP(F885)-1</f>
        <v>0.0639125478140714</v>
      </c>
      <c r="H885" s="21" t="n">
        <f aca="false">EXP(SUM(F634:F885))-1</f>
        <v>0.0684016066018749</v>
      </c>
    </row>
    <row r="886" customFormat="false" ht="15" hidden="false" customHeight="false" outlineLevel="0" collapsed="false">
      <c r="A886" s="20" t="n">
        <v>45757</v>
      </c>
      <c r="B886" s="21" t="n">
        <v>516.020569</v>
      </c>
      <c r="C886" s="21" t="n">
        <v>91.827835</v>
      </c>
      <c r="D886" s="22" t="n">
        <f aca="false">LN(B886/B885)</f>
        <v>-0.0448081293290212</v>
      </c>
      <c r="E886" s="22" t="n">
        <f aca="false">LN(C886/C885)</f>
        <v>-0.00789584095048557</v>
      </c>
      <c r="F886" s="22" t="n">
        <f aca="false">LN(Summary!$B$13*EXP(D886)+Summary!$B$14*EXP(E886))</f>
        <v>-0.0298793178039493</v>
      </c>
      <c r="G886" s="22" t="n">
        <f aca="false">EXP(F886)-1</f>
        <v>-0.0294373438861936</v>
      </c>
      <c r="H886" s="21" t="n">
        <f aca="false">EXP(SUM(F635:F886))-1</f>
        <v>0.0348182143561291</v>
      </c>
    </row>
    <row r="887" customFormat="false" ht="15" hidden="false" customHeight="false" outlineLevel="0" collapsed="false">
      <c r="A887" s="20" t="n">
        <v>45758</v>
      </c>
      <c r="B887" s="21" t="n">
        <v>525.227905</v>
      </c>
      <c r="C887" s="21" t="n">
        <v>91.733315</v>
      </c>
      <c r="D887" s="22" t="n">
        <f aca="false">LN(B887/B886)</f>
        <v>0.017685646067137</v>
      </c>
      <c r="E887" s="22" t="n">
        <f aca="false">LN(C887/C886)</f>
        <v>-0.00102984763773678</v>
      </c>
      <c r="F887" s="22" t="n">
        <f aca="false">LN(Summary!$B$13*EXP(D887)+Summary!$B$14*EXP(E887))</f>
        <v>0.0102414279678837</v>
      </c>
      <c r="G887" s="22" t="n">
        <f aca="false">EXP(F887)-1</f>
        <v>0.010294050882468</v>
      </c>
      <c r="H887" s="21" t="n">
        <f aca="false">EXP(SUM(F636:F887))-1</f>
        <v>0.0568801053565244</v>
      </c>
    </row>
    <row r="888" customFormat="false" ht="15" hidden="false" customHeight="false" outlineLevel="0" collapsed="false">
      <c r="A888" s="20" t="n">
        <v>45761</v>
      </c>
      <c r="B888" s="21" t="n">
        <v>530.323242</v>
      </c>
      <c r="C888" s="21" t="n">
        <v>92.272156</v>
      </c>
      <c r="D888" s="22" t="n">
        <f aca="false">LN(B888/B887)</f>
        <v>0.00965443804722304</v>
      </c>
      <c r="E888" s="22" t="n">
        <f aca="false">LN(C888/C887)</f>
        <v>0.00585680998893919</v>
      </c>
      <c r="F888" s="22" t="n">
        <f aca="false">LN(Summary!$B$13*EXP(D888)+Summary!$B$14*EXP(E888))</f>
        <v>0.00813711702230459</v>
      </c>
      <c r="G888" s="22" t="n">
        <f aca="false">EXP(F888)-1</f>
        <v>0.00817031333870322</v>
      </c>
      <c r="H888" s="21" t="n">
        <f aca="false">EXP(SUM(F637:F888))-1</f>
        <v>0.0606238866157762</v>
      </c>
    </row>
    <row r="889" customFormat="false" ht="15" hidden="false" customHeight="false" outlineLevel="0" collapsed="false">
      <c r="A889" s="20" t="n">
        <v>45762</v>
      </c>
      <c r="B889" s="21" t="n">
        <v>528.837891</v>
      </c>
      <c r="C889" s="21" t="n">
        <v>92.461212</v>
      </c>
      <c r="D889" s="22" t="n">
        <f aca="false">LN(B889/B888)</f>
        <v>-0.00280477054427344</v>
      </c>
      <c r="E889" s="22" t="n">
        <f aca="false">LN(C889/C888)</f>
        <v>0.00204679932000586</v>
      </c>
      <c r="F889" s="22" t="n">
        <f aca="false">LN(Summary!$B$13*EXP(D889)+Summary!$B$14*EXP(E889))</f>
        <v>-0.000861317159824195</v>
      </c>
      <c r="G889" s="22" t="n">
        <f aca="false">EXP(F889)-1</f>
        <v>-0.000860946332673529</v>
      </c>
      <c r="H889" s="21" t="n">
        <f aca="false">EXP(SUM(F638:F889))-1</f>
        <v>0.06775098749026</v>
      </c>
    </row>
    <row r="890" customFormat="false" ht="15" hidden="false" customHeight="false" outlineLevel="0" collapsed="false">
      <c r="A890" s="20" t="n">
        <v>45763</v>
      </c>
      <c r="B890" s="21" t="n">
        <v>517.082886</v>
      </c>
      <c r="C890" s="21" t="n">
        <v>92.754257</v>
      </c>
      <c r="D890" s="22" t="n">
        <f aca="false">LN(B890/B889)</f>
        <v>-0.0224787579187158</v>
      </c>
      <c r="E890" s="22" t="n">
        <f aca="false">LN(C890/C889)</f>
        <v>0.00316437116305398</v>
      </c>
      <c r="F890" s="22" t="n">
        <f aca="false">LN(Summary!$B$13*EXP(D890)+Summary!$B$14*EXP(E890))</f>
        <v>-0.0121424648913052</v>
      </c>
      <c r="G890" s="22" t="n">
        <f aca="false">EXP(F890)-1</f>
        <v>-0.0120690426406473</v>
      </c>
      <c r="H890" s="21" t="n">
        <f aca="false">EXP(SUM(F639:F890))-1</f>
        <v>0.0654490777251884</v>
      </c>
    </row>
    <row r="891" customFormat="false" ht="15" hidden="false" customHeight="false" outlineLevel="0" collapsed="false">
      <c r="A891" s="20" t="n">
        <v>45764</v>
      </c>
      <c r="B891" s="21" t="n">
        <v>517.820618</v>
      </c>
      <c r="C891" s="21" t="n">
        <v>92.517944</v>
      </c>
      <c r="D891" s="22" t="n">
        <f aca="false">LN(B891/B890)</f>
        <v>0.00142570224588021</v>
      </c>
      <c r="E891" s="22" t="n">
        <f aca="false">LN(C891/C890)</f>
        <v>-0.00255098311430811</v>
      </c>
      <c r="F891" s="22" t="n">
        <f aca="false">LN(Summary!$B$13*EXP(D891)+Summary!$B$14*EXP(E891))</f>
        <v>-0.000163074719219439</v>
      </c>
      <c r="G891" s="22" t="n">
        <f aca="false">EXP(F891)-1</f>
        <v>-0.000163061423260169</v>
      </c>
      <c r="H891" s="21" t="n">
        <f aca="false">EXP(SUM(F640:F891))-1</f>
        <v>0.0676525482660302</v>
      </c>
    </row>
    <row r="892" customFormat="false" ht="15" hidden="false" customHeight="false" outlineLevel="0" collapsed="false">
      <c r="A892" s="20" t="n">
        <v>45768</v>
      </c>
      <c r="B892" s="21" t="n">
        <v>505.495087</v>
      </c>
      <c r="C892" s="21" t="n">
        <v>91.960197</v>
      </c>
      <c r="D892" s="22" t="n">
        <f aca="false">LN(B892/B891)</f>
        <v>-0.0240905656641446</v>
      </c>
      <c r="E892" s="22" t="n">
        <f aca="false">LN(C892/C891)</f>
        <v>-0.00604677276565811</v>
      </c>
      <c r="F892" s="22" t="n">
        <f aca="false">LN(Summary!$B$13*EXP(D892)+Summary!$B$14*EXP(E892))</f>
        <v>-0.0168339325597636</v>
      </c>
      <c r="G892" s="22" t="n">
        <f aca="false">EXP(F892)-1</f>
        <v>-0.0166930336524856</v>
      </c>
      <c r="H892" s="21" t="n">
        <f aca="false">EXP(SUM(F641:F892))-1</f>
        <v>0.0516185196960357</v>
      </c>
    </row>
    <row r="893" customFormat="false" ht="15" hidden="false" customHeight="false" outlineLevel="0" collapsed="false">
      <c r="A893" s="20" t="n">
        <v>45769</v>
      </c>
      <c r="B893" s="21" t="n">
        <v>518.646973</v>
      </c>
      <c r="C893" s="21" t="n">
        <v>92.130348</v>
      </c>
      <c r="D893" s="22" t="n">
        <f aca="false">LN(B893/B892)</f>
        <v>0.0256851262317263</v>
      </c>
      <c r="E893" s="22" t="n">
        <f aca="false">LN(C893/C892)</f>
        <v>0.00184855825651304</v>
      </c>
      <c r="F893" s="22" t="n">
        <f aca="false">LN(Summary!$B$13*EXP(D893)+Summary!$B$14*EXP(E893))</f>
        <v>0.0162185711156905</v>
      </c>
      <c r="G893" s="22" t="n">
        <f aca="false">EXP(F893)-1</f>
        <v>0.0163508060602444</v>
      </c>
      <c r="H893" s="21" t="n">
        <f aca="false">EXP(SUM(F642:F893))-1</f>
        <v>0.0713469124302033</v>
      </c>
    </row>
    <row r="894" customFormat="false" ht="15" hidden="false" customHeight="false" outlineLevel="0" collapsed="false">
      <c r="A894" s="20" t="n">
        <v>45770</v>
      </c>
      <c r="B894" s="21" t="n">
        <v>526.683716</v>
      </c>
      <c r="C894" s="21" t="n">
        <v>92.357231</v>
      </c>
      <c r="D894" s="22" t="n">
        <f aca="false">LN(B894/B893)</f>
        <v>0.0153767634258229</v>
      </c>
      <c r="E894" s="22" t="n">
        <f aca="false">LN(C894/C893)</f>
        <v>0.00245960314087245</v>
      </c>
      <c r="F894" s="22" t="n">
        <f aca="false">LN(Summary!$B$13*EXP(D894)+Summary!$B$14*EXP(E894))</f>
        <v>0.0102299043110591</v>
      </c>
      <c r="G894" s="22" t="n">
        <f aca="false">EXP(F894)-1</f>
        <v>0.0102824086676143</v>
      </c>
      <c r="H894" s="21" t="n">
        <f aca="false">EXP(SUM(F643:F894))-1</f>
        <v>0.0876021524807646</v>
      </c>
    </row>
    <row r="895" customFormat="false" ht="15" hidden="false" customHeight="false" outlineLevel="0" collapsed="false">
      <c r="A895" s="20" t="n">
        <v>45771</v>
      </c>
      <c r="B895" s="21" t="n">
        <v>537.769836</v>
      </c>
      <c r="C895" s="21" t="n">
        <v>92.867683</v>
      </c>
      <c r="D895" s="22" t="n">
        <f aca="false">LN(B895/B894)</f>
        <v>0.0208304455159839</v>
      </c>
      <c r="E895" s="22" t="n">
        <f aca="false">LN(C895/C894)</f>
        <v>0.00551171309762712</v>
      </c>
      <c r="F895" s="22" t="n">
        <f aca="false">LN(Summary!$B$13*EXP(D895)+Summary!$B$14*EXP(E895))</f>
        <v>0.0147310831765459</v>
      </c>
      <c r="G895" s="22" t="n">
        <f aca="false">EXP(F895)-1</f>
        <v>0.0148401203362349</v>
      </c>
      <c r="H895" s="21" t="n">
        <f aca="false">EXP(SUM(F644:F895))-1</f>
        <v>0.0974024173312298</v>
      </c>
    </row>
    <row r="896" customFormat="false" ht="15" hidden="false" customHeight="false" outlineLevel="0" collapsed="false">
      <c r="A896" s="20" t="n">
        <v>45772</v>
      </c>
      <c r="B896" s="21" t="n">
        <v>541.655334</v>
      </c>
      <c r="C896" s="21" t="n">
        <v>93.208015</v>
      </c>
      <c r="D896" s="22" t="n">
        <f aca="false">LN(B896/B895)</f>
        <v>0.00719922953389103</v>
      </c>
      <c r="E896" s="22" t="n">
        <f aca="false">LN(C896/C895)</f>
        <v>0.00365799922456584</v>
      </c>
      <c r="F896" s="22" t="n">
        <f aca="false">LN(Summary!$B$13*EXP(D896)+Summary!$B$14*EXP(E896))</f>
        <v>0.00578424189165681</v>
      </c>
      <c r="G896" s="22" t="n">
        <f aca="false">EXP(F896)-1</f>
        <v>0.00580100291981789</v>
      </c>
      <c r="H896" s="21" t="n">
        <f aca="false">EXP(SUM(F645:F896))-1</f>
        <v>0.0950538191979216</v>
      </c>
    </row>
    <row r="897" customFormat="false" ht="15" hidden="false" customHeight="false" outlineLevel="0" collapsed="false">
      <c r="A897" s="20" t="n">
        <v>45775</v>
      </c>
      <c r="B897" s="21" t="n">
        <v>541.861877</v>
      </c>
      <c r="C897" s="21" t="n">
        <v>93.463242</v>
      </c>
      <c r="D897" s="22" t="n">
        <f aca="false">LN(B897/B896)</f>
        <v>0.000381245448442963</v>
      </c>
      <c r="E897" s="22" t="n">
        <f aca="false">LN(C897/C896)</f>
        <v>0.00273450945947387</v>
      </c>
      <c r="F897" s="22" t="n">
        <f aca="false">LN(Summary!$B$13*EXP(D897)+Summary!$B$14*EXP(E897))</f>
        <v>0.0013232156991574</v>
      </c>
      <c r="G897" s="22" t="n">
        <f aca="false">EXP(F897)-1</f>
        <v>0.00132409153531476</v>
      </c>
      <c r="H897" s="21" t="n">
        <f aca="false">EXP(SUM(F646:F897))-1</f>
        <v>0.097964403330798</v>
      </c>
    </row>
    <row r="898" customFormat="false" ht="15" hidden="false" customHeight="false" outlineLevel="0" collapsed="false">
      <c r="A898" s="20" t="n">
        <v>45776</v>
      </c>
      <c r="B898" s="21" t="n">
        <v>545.275208</v>
      </c>
      <c r="C898" s="21" t="n">
        <v>93.690109</v>
      </c>
      <c r="D898" s="22" t="n">
        <f aca="false">LN(B898/B897)</f>
        <v>0.00627950653758781</v>
      </c>
      <c r="E898" s="22" t="n">
        <f aca="false">LN(C898/C897)</f>
        <v>0.00242439806617682</v>
      </c>
      <c r="F898" s="22" t="n">
        <f aca="false">LN(Summary!$B$13*EXP(D898)+Summary!$B$14*EXP(E898))</f>
        <v>0.00473924611305854</v>
      </c>
      <c r="G898" s="22" t="n">
        <f aca="false">EXP(F898)-1</f>
        <v>0.00475049410189454</v>
      </c>
      <c r="H898" s="21" t="n">
        <f aca="false">EXP(SUM(F647:F898))-1</f>
        <v>0.106956680799688</v>
      </c>
    </row>
    <row r="899" customFormat="false" ht="15" hidden="false" customHeight="false" outlineLevel="0" collapsed="false">
      <c r="A899" s="20" t="n">
        <v>45777</v>
      </c>
      <c r="B899" s="21" t="n">
        <v>545.491699</v>
      </c>
      <c r="C899" s="21" t="n">
        <v>93.605042</v>
      </c>
      <c r="D899" s="22" t="n">
        <f aca="false">LN(B899/B898)</f>
        <v>0.000396951908704717</v>
      </c>
      <c r="E899" s="22" t="n">
        <f aca="false">LN(C899/C898)</f>
        <v>-0.000908373819559024</v>
      </c>
      <c r="F899" s="22" t="n">
        <f aca="false">LN(Summary!$B$13*EXP(D899)+Summary!$B$14*EXP(E899))</f>
        <v>-0.00012497393537558</v>
      </c>
      <c r="G899" s="22" t="n">
        <f aca="false">EXP(F899)-1</f>
        <v>-0.000124966126458625</v>
      </c>
      <c r="H899" s="21" t="n">
        <f aca="false">EXP(SUM(F648:F899))-1</f>
        <v>0.0995968411018771</v>
      </c>
    </row>
    <row r="900" customFormat="false" ht="15" hidden="false" customHeight="false" outlineLevel="0" collapsed="false">
      <c r="A900" s="20" t="n">
        <v>45778</v>
      </c>
      <c r="B900" s="21" t="n">
        <v>549.357544</v>
      </c>
      <c r="C900" s="21" t="n">
        <v>93.34993</v>
      </c>
      <c r="D900" s="22" t="n">
        <f aca="false">LN(B900/B899)</f>
        <v>0.00706190572021815</v>
      </c>
      <c r="E900" s="22" t="n">
        <f aca="false">LN(C900/C899)</f>
        <v>-0.0027291294327559</v>
      </c>
      <c r="F900" s="22" t="n">
        <f aca="false">LN(Summary!$B$13*EXP(D900)+Summary!$B$14*EXP(E900))</f>
        <v>0.00315698783409315</v>
      </c>
      <c r="G900" s="22" t="n">
        <f aca="false">EXP(F900)-1</f>
        <v>0.00316197636838478</v>
      </c>
      <c r="H900" s="21" t="n">
        <f aca="false">EXP(SUM(F649:F900))-1</f>
        <v>0.0993998179637126</v>
      </c>
    </row>
    <row r="901" customFormat="false" ht="15" hidden="false" customHeight="false" outlineLevel="0" collapsed="false">
      <c r="A901" s="20" t="n">
        <v>45779</v>
      </c>
      <c r="B901" s="21" t="n">
        <v>557.512329</v>
      </c>
      <c r="C901" s="21" t="n">
        <v>92.894714</v>
      </c>
      <c r="D901" s="22" t="n">
        <f aca="false">LN(B901/B900)</f>
        <v>0.0147351242422884</v>
      </c>
      <c r="E901" s="22" t="n">
        <f aca="false">LN(C901/C900)</f>
        <v>-0.00488837581278004</v>
      </c>
      <c r="F901" s="22" t="n">
        <f aca="false">LN(Summary!$B$13*EXP(D901)+Summary!$B$14*EXP(E901))</f>
        <v>0.0069318729273106</v>
      </c>
      <c r="G901" s="22" t="n">
        <f aca="false">EXP(F901)-1</f>
        <v>0.0069559539685331</v>
      </c>
      <c r="H901" s="21" t="n">
        <f aca="false">EXP(SUM(F650:F901))-1</f>
        <v>0.119514406851744</v>
      </c>
    </row>
    <row r="902" customFormat="false" ht="15" hidden="false" customHeight="false" outlineLevel="0" collapsed="false">
      <c r="A902" s="20" t="n">
        <v>45782</v>
      </c>
      <c r="B902" s="21" t="n">
        <v>554.315247</v>
      </c>
      <c r="C902" s="21" t="n">
        <v>92.733482</v>
      </c>
      <c r="D902" s="22" t="n">
        <f aca="false">LN(B902/B901)</f>
        <v>-0.00575105507520719</v>
      </c>
      <c r="E902" s="22" t="n">
        <f aca="false">LN(C902/C901)</f>
        <v>-0.00173715032543539</v>
      </c>
      <c r="F902" s="22" t="n">
        <f aca="false">LN(Summary!$B$13*EXP(D902)+Summary!$B$14*EXP(E902))</f>
        <v>-0.00414355928732252</v>
      </c>
      <c r="G902" s="22" t="n">
        <f aca="false">EXP(F902)-1</f>
        <v>-0.00413498659011913</v>
      </c>
      <c r="H902" s="21" t="n">
        <f aca="false">EXP(SUM(F651:F902))-1</f>
        <v>0.115484155789211</v>
      </c>
    </row>
    <row r="903" customFormat="false" ht="15" hidden="false" customHeight="false" outlineLevel="0" collapsed="false">
      <c r="A903" s="20" t="n">
        <v>45783</v>
      </c>
      <c r="B903" s="21" t="n">
        <v>549.68219</v>
      </c>
      <c r="C903" s="21" t="n">
        <v>92.961082</v>
      </c>
      <c r="D903" s="22" t="n">
        <f aca="false">LN(B903/B902)</f>
        <v>-0.00839328796163581</v>
      </c>
      <c r="E903" s="22" t="n">
        <f aca="false">LN(C903/C902)</f>
        <v>0.00245133846752619</v>
      </c>
      <c r="F903" s="22" t="n">
        <f aca="false">LN(Summary!$B$13*EXP(D903)+Summary!$B$14*EXP(E903))</f>
        <v>-0.00404131453711551</v>
      </c>
      <c r="G903" s="22" t="n">
        <f aca="false">EXP(F903)-1</f>
        <v>-0.0040331594150248</v>
      </c>
      <c r="H903" s="21" t="n">
        <f aca="false">EXP(SUM(F652:F903))-1</f>
        <v>0.102805069807774</v>
      </c>
    </row>
    <row r="904" customFormat="false" ht="15" hidden="false" customHeight="false" outlineLevel="0" collapsed="false">
      <c r="A904" s="20" t="n">
        <v>45784</v>
      </c>
      <c r="B904" s="21" t="n">
        <v>551.993835</v>
      </c>
      <c r="C904" s="21" t="n">
        <v>93.10334</v>
      </c>
      <c r="D904" s="22" t="n">
        <f aca="false">LN(B904/B903)</f>
        <v>0.00419660288535786</v>
      </c>
      <c r="E904" s="22" t="n">
        <f aca="false">LN(C904/C903)</f>
        <v>0.00152912659164145</v>
      </c>
      <c r="F904" s="22" t="n">
        <f aca="false">LN(Summary!$B$13*EXP(D904)+Summary!$B$14*EXP(E904))</f>
        <v>0.00313046606738005</v>
      </c>
      <c r="G904" s="22" t="n">
        <f aca="false">EXP(F904)-1</f>
        <v>0.0031353710932831</v>
      </c>
      <c r="H904" s="21" t="n">
        <f aca="false">EXP(SUM(F653:F904))-1</f>
        <v>0.0958682349580797</v>
      </c>
    </row>
    <row r="905" customFormat="false" ht="15" hidden="false" customHeight="false" outlineLevel="0" collapsed="false">
      <c r="A905" s="20" t="n">
        <v>45785</v>
      </c>
      <c r="B905" s="21" t="n">
        <v>555.840027</v>
      </c>
      <c r="C905" s="21" t="n">
        <v>92.619675</v>
      </c>
      <c r="D905" s="22" t="n">
        <f aca="false">LN(B905/B904)</f>
        <v>0.0069436538914019</v>
      </c>
      <c r="E905" s="22" t="n">
        <f aca="false">LN(C905/C904)</f>
        <v>-0.00520846695720514</v>
      </c>
      <c r="F905" s="22" t="n">
        <f aca="false">LN(Summary!$B$13*EXP(D905)+Summary!$B$14*EXP(E905))</f>
        <v>0.00210051198471763</v>
      </c>
      <c r="G905" s="22" t="n">
        <f aca="false">EXP(F905)-1</f>
        <v>0.00210271960545727</v>
      </c>
      <c r="H905" s="21" t="n">
        <f aca="false">EXP(SUM(F654:F905))-1</f>
        <v>0.0910944444874939</v>
      </c>
    </row>
    <row r="906" customFormat="false" ht="15" hidden="false" customHeight="false" outlineLevel="0" collapsed="false">
      <c r="A906" s="20" t="n">
        <v>45786</v>
      </c>
      <c r="B906" s="21" t="n">
        <v>555.131836</v>
      </c>
      <c r="C906" s="21" t="n">
        <v>92.714516</v>
      </c>
      <c r="D906" s="22" t="n">
        <f aca="false">LN(B906/B905)</f>
        <v>-0.00127490374780666</v>
      </c>
      <c r="E906" s="22" t="n">
        <f aca="false">LN(C906/C905)</f>
        <v>0.00102345938185343</v>
      </c>
      <c r="F906" s="22" t="n">
        <f aca="false">LN(Summary!$B$13*EXP(D906)+Summary!$B$14*EXP(E906))</f>
        <v>-0.000354924502168007</v>
      </c>
      <c r="G906" s="22" t="n">
        <f aca="false">EXP(F906)-1</f>
        <v>-0.000354861523917949</v>
      </c>
      <c r="H906" s="21" t="n">
        <f aca="false">EXP(SUM(F655:F906))-1</f>
        <v>0.0890810814364853</v>
      </c>
    </row>
    <row r="907" customFormat="false" ht="15" hidden="false" customHeight="false" outlineLevel="0" collapsed="false">
      <c r="A907" s="20" t="n">
        <v>45789</v>
      </c>
      <c r="B907" s="21" t="n">
        <v>573.477478</v>
      </c>
      <c r="C907" s="21" t="n">
        <v>92.401527</v>
      </c>
      <c r="D907" s="22" t="n">
        <f aca="false">LN(B907/B906)</f>
        <v>0.0325130367761223</v>
      </c>
      <c r="E907" s="22" t="n">
        <f aca="false">LN(C907/C906)</f>
        <v>-0.00338154698184343</v>
      </c>
      <c r="F907" s="22" t="n">
        <f aca="false">LN(Summary!$B$13*EXP(D907)+Summary!$B$14*EXP(E907))</f>
        <v>0.0183094365725729</v>
      </c>
      <c r="G907" s="22" t="n">
        <f aca="false">EXP(F907)-1</f>
        <v>0.0184780820016144</v>
      </c>
      <c r="H907" s="21" t="n">
        <f aca="false">EXP(SUM(F656:F907))-1</f>
        <v>0.110061497910633</v>
      </c>
    </row>
    <row r="908" customFormat="false" ht="15" hidden="false" customHeight="false" outlineLevel="0" collapsed="false">
      <c r="A908" s="20" t="n">
        <v>45790</v>
      </c>
      <c r="B908" s="21" t="n">
        <v>577.264587</v>
      </c>
      <c r="C908" s="21" t="n">
        <v>92.306694</v>
      </c>
      <c r="D908" s="22" t="n">
        <f aca="false">LN(B908/B907)</f>
        <v>0.00658205307291661</v>
      </c>
      <c r="E908" s="22" t="n">
        <f aca="false">LN(C908/C907)</f>
        <v>-0.00102684122903968</v>
      </c>
      <c r="F908" s="22" t="n">
        <f aca="false">LN(Summary!$B$13*EXP(D908)+Summary!$B$14*EXP(E908))</f>
        <v>0.00354543924595285</v>
      </c>
      <c r="G908" s="22" t="n">
        <f aca="false">EXP(F908)-1</f>
        <v>0.0035517317500422</v>
      </c>
      <c r="H908" s="21" t="n">
        <f aca="false">EXP(SUM(F657:F908))-1</f>
        <v>0.109339426266264</v>
      </c>
    </row>
    <row r="909" customFormat="false" ht="15" hidden="false" customHeight="false" outlineLevel="0" collapsed="false">
      <c r="A909" s="20" t="n">
        <v>45791</v>
      </c>
      <c r="B909" s="21" t="n">
        <v>578.002441</v>
      </c>
      <c r="C909" s="21" t="n">
        <v>92.041168</v>
      </c>
      <c r="D909" s="22" t="n">
        <f aca="false">LN(B909/B908)</f>
        <v>0.00127737411775034</v>
      </c>
      <c r="E909" s="22" t="n">
        <f aca="false">LN(C909/C908)</f>
        <v>-0.00288070803470224</v>
      </c>
      <c r="F909" s="22" t="n">
        <f aca="false">LN(Summary!$B$13*EXP(D909)+Summary!$B$14*EXP(E909))</f>
        <v>-0.000383784562016816</v>
      </c>
      <c r="G909" s="22" t="n">
        <f aca="false">EXP(F909)-1</f>
        <v>-0.0003837109261422</v>
      </c>
      <c r="H909" s="21" t="n">
        <f aca="false">EXP(SUM(F658:F909))-1</f>
        <v>0.108976390266241</v>
      </c>
    </row>
    <row r="910" customFormat="false" ht="15" hidden="false" customHeight="false" outlineLevel="0" collapsed="false">
      <c r="A910" s="20" t="n">
        <v>45792</v>
      </c>
      <c r="B910" s="21" t="n">
        <v>580.825562</v>
      </c>
      <c r="C910" s="21" t="n">
        <v>92.562767</v>
      </c>
      <c r="D910" s="22" t="n">
        <f aca="false">LN(B910/B909)</f>
        <v>0.00487238240323765</v>
      </c>
      <c r="E910" s="22" t="n">
        <f aca="false">LN(C910/C909)</f>
        <v>0.00565102133996173</v>
      </c>
      <c r="F910" s="22" t="n">
        <f aca="false">LN(Summary!$B$13*EXP(D910)+Summary!$B$14*EXP(E910))</f>
        <v>0.00518391073513363</v>
      </c>
      <c r="G910" s="22" t="n">
        <f aca="false">EXP(F910)-1</f>
        <v>0.00519737044832169</v>
      </c>
      <c r="H910" s="21" t="n">
        <f aca="false">EXP(SUM(F659:F910))-1</f>
        <v>0.114418742598921</v>
      </c>
    </row>
    <row r="911" customFormat="false" ht="15" hidden="false" customHeight="false" outlineLevel="0" collapsed="false">
      <c r="A911" s="20" t="n">
        <v>45793</v>
      </c>
      <c r="B911" s="21" t="n">
        <v>584.504517</v>
      </c>
      <c r="C911" s="21" t="n">
        <v>92.619675</v>
      </c>
      <c r="D911" s="22" t="n">
        <f aca="false">LN(B911/B910)</f>
        <v>0.00631403460480017</v>
      </c>
      <c r="E911" s="22" t="n">
        <f aca="false">LN(C911/C910)</f>
        <v>0.000614615523770145</v>
      </c>
      <c r="F911" s="22" t="n">
        <f aca="false">LN(Summary!$B$13*EXP(D911)+Summary!$B$14*EXP(E911))</f>
        <v>0.00403816349200226</v>
      </c>
      <c r="G911" s="22" t="n">
        <f aca="false">EXP(F911)-1</f>
        <v>0.00404632786018166</v>
      </c>
      <c r="H911" s="21" t="n">
        <f aca="false">EXP(SUM(F660:F911))-1</f>
        <v>0.114655701436424</v>
      </c>
    </row>
    <row r="912" customFormat="false" ht="15" hidden="false" customHeight="false" outlineLevel="0" collapsed="false">
      <c r="A912" s="20" t="n">
        <v>45796</v>
      </c>
      <c r="B912" s="21" t="n">
        <v>585.143982</v>
      </c>
      <c r="C912" s="21" t="n">
        <v>92.591217</v>
      </c>
      <c r="D912" s="22" t="n">
        <f aca="false">LN(B912/B911)</f>
        <v>0.00109343117057533</v>
      </c>
      <c r="E912" s="22" t="n">
        <f aca="false">LN(C912/C911)</f>
        <v>-0.000307303743496445</v>
      </c>
      <c r="F912" s="22" t="n">
        <f aca="false">LN(Summary!$B$13*EXP(D912)+Summary!$B$14*EXP(E912))</f>
        <v>0.000533372629939038</v>
      </c>
      <c r="G912" s="22" t="n">
        <f aca="false">EXP(F912)-1</f>
        <v>0.000533514898413134</v>
      </c>
      <c r="H912" s="21" t="n">
        <f aca="false">EXP(SUM(F661:F912))-1</f>
        <v>0.10411927940144</v>
      </c>
    </row>
    <row r="913" customFormat="false" ht="15" hidden="false" customHeight="false" outlineLevel="0" collapsed="false">
      <c r="A913" s="20" t="n">
        <v>45797</v>
      </c>
      <c r="B913" s="21" t="n">
        <v>583.176514</v>
      </c>
      <c r="C913" s="21" t="n">
        <v>92.429985</v>
      </c>
      <c r="D913" s="22" t="n">
        <f aca="false">LN(B913/B912)</f>
        <v>-0.00336803106097805</v>
      </c>
      <c r="E913" s="22" t="n">
        <f aca="false">LN(C913/C912)</f>
        <v>-0.00174284934990497</v>
      </c>
      <c r="F913" s="22" t="n">
        <f aca="false">LN(Summary!$B$13*EXP(D913)+Summary!$B$14*EXP(E913))</f>
        <v>-0.00271764139636857</v>
      </c>
      <c r="G913" s="22" t="n">
        <f aca="false">EXP(F913)-1</f>
        <v>-0.00271395195194135</v>
      </c>
      <c r="H913" s="21" t="n">
        <f aca="false">EXP(SUM(F662:F913))-1</f>
        <v>0.102983902211081</v>
      </c>
    </row>
    <row r="914" customFormat="false" ht="15" hidden="false" customHeight="false" outlineLevel="0" collapsed="false">
      <c r="A914" s="20" t="n">
        <v>45798</v>
      </c>
      <c r="B914" s="21" t="n">
        <v>573.34967</v>
      </c>
      <c r="C914" s="21" t="n">
        <v>91.823029</v>
      </c>
      <c r="D914" s="22" t="n">
        <f aca="false">LN(B914/B913)</f>
        <v>-0.0169941340450021</v>
      </c>
      <c r="E914" s="22" t="n">
        <f aca="false">LN(C914/C913)</f>
        <v>-0.00658831225905767</v>
      </c>
      <c r="F914" s="22" t="n">
        <f aca="false">LN(Summary!$B$13*EXP(D914)+Summary!$B$14*EXP(E914))</f>
        <v>-0.0128188026330271</v>
      </c>
      <c r="G914" s="22" t="n">
        <f aca="false">EXP(F914)-1</f>
        <v>-0.0127369917282744</v>
      </c>
      <c r="H914" s="21" t="n">
        <f aca="false">EXP(SUM(F663:F914))-1</f>
        <v>0.0893871808651381</v>
      </c>
    </row>
    <row r="915" customFormat="false" ht="15" hidden="false" customHeight="false" outlineLevel="0" collapsed="false">
      <c r="A915" s="20" t="n">
        <v>45799</v>
      </c>
      <c r="B915" s="21" t="n">
        <v>573.575806</v>
      </c>
      <c r="C915" s="21" t="n">
        <v>92.088577</v>
      </c>
      <c r="D915" s="22" t="n">
        <f aca="false">LN(B915/B914)</f>
        <v>0.000394334257390373</v>
      </c>
      <c r="E915" s="22" t="n">
        <f aca="false">LN(C915/C914)</f>
        <v>0.00288778060629662</v>
      </c>
      <c r="F915" s="22" t="n">
        <f aca="false">LN(Summary!$B$13*EXP(D915)+Summary!$B$14*EXP(E915))</f>
        <v>0.00139245899376576</v>
      </c>
      <c r="G915" s="22" t="n">
        <f aca="false">EXP(F915)-1</f>
        <v>0.00139342891493</v>
      </c>
      <c r="H915" s="21" t="n">
        <f aca="false">EXP(SUM(F664:F915))-1</f>
        <v>0.0905567135675365</v>
      </c>
    </row>
    <row r="916" customFormat="false" ht="15" hidden="false" customHeight="false" outlineLevel="0" collapsed="false">
      <c r="A916" s="20" t="n">
        <v>45800</v>
      </c>
      <c r="B916" s="21" t="n">
        <v>569.660828</v>
      </c>
      <c r="C916" s="21" t="n">
        <v>92.221352</v>
      </c>
      <c r="D916" s="22" t="n">
        <f aca="false">LN(B916/B915)</f>
        <v>-0.00684896405049533</v>
      </c>
      <c r="E916" s="22" t="n">
        <f aca="false">LN(C916/C915)</f>
        <v>0.00144077992638557</v>
      </c>
      <c r="F916" s="22" t="n">
        <f aca="false">LN(Summary!$B$13*EXP(D916)+Summary!$B$14*EXP(E916))</f>
        <v>-0.00352481554056672</v>
      </c>
      <c r="G916" s="22" t="n">
        <f aca="false">EXP(F916)-1</f>
        <v>-0.00351861067075066</v>
      </c>
      <c r="H916" s="21" t="n">
        <f aca="false">EXP(SUM(F665:F916))-1</f>
        <v>0.0843162818543053</v>
      </c>
    </row>
    <row r="917" customFormat="false" ht="15" hidden="false" customHeight="false" outlineLevel="0" collapsed="false">
      <c r="A917" s="20" t="n">
        <v>45804</v>
      </c>
      <c r="B917" s="21" t="n">
        <v>581.504333</v>
      </c>
      <c r="C917" s="21" t="n">
        <v>92.638634</v>
      </c>
      <c r="D917" s="22" t="n">
        <f aca="false">LN(B917/B916)</f>
        <v>0.0205772782233231</v>
      </c>
      <c r="E917" s="22" t="n">
        <f aca="false">LN(C917/C916)</f>
        <v>0.00451458120021584</v>
      </c>
      <c r="F917" s="22" t="n">
        <f aca="false">LN(Summary!$B$13*EXP(D917)+Summary!$B$14*EXP(E917))</f>
        <v>0.0141831271955404</v>
      </c>
      <c r="G917" s="22" t="n">
        <f aca="false">EXP(F917)-1</f>
        <v>0.0142841849505024</v>
      </c>
      <c r="H917" s="21" t="n">
        <f aca="false">EXP(SUM(F666:F917))-1</f>
        <v>0.102255738992031</v>
      </c>
    </row>
    <row r="918" customFormat="false" ht="15" hidden="false" customHeight="false" outlineLevel="0" collapsed="false">
      <c r="A918" s="20" t="n">
        <v>45805</v>
      </c>
      <c r="B918" s="21" t="n">
        <v>578.140137</v>
      </c>
      <c r="C918" s="21" t="n">
        <v>92.467918</v>
      </c>
      <c r="D918" s="22" t="n">
        <f aca="false">LN(B918/B917)</f>
        <v>-0.00580213250686018</v>
      </c>
      <c r="E918" s="22" t="n">
        <f aca="false">LN(C918/C917)</f>
        <v>-0.00184451653987278</v>
      </c>
      <c r="F918" s="22" t="n">
        <f aca="false">LN(Summary!$B$13*EXP(D918)+Summary!$B$14*EXP(E918))</f>
        <v>-0.00421720609835195</v>
      </c>
      <c r="G918" s="22" t="n">
        <f aca="false">EXP(F918)-1</f>
        <v>-0.00420832617192624</v>
      </c>
      <c r="H918" s="21" t="n">
        <f aca="false">EXP(SUM(F667:F918))-1</f>
        <v>0.103685774803197</v>
      </c>
    </row>
    <row r="919" customFormat="false" ht="15" hidden="false" customHeight="false" outlineLevel="0" collapsed="false">
      <c r="A919" s="20" t="n">
        <v>45806</v>
      </c>
      <c r="B919" s="21" t="n">
        <v>580.422241</v>
      </c>
      <c r="C919" s="21" t="n">
        <v>92.809357</v>
      </c>
      <c r="D919" s="22" t="n">
        <f aca="false">LN(B919/B918)</f>
        <v>0.00393954955704602</v>
      </c>
      <c r="E919" s="22" t="n">
        <f aca="false">LN(C919/C918)</f>
        <v>0.00368571252488927</v>
      </c>
      <c r="F919" s="22" t="n">
        <f aca="false">LN(Summary!$B$13*EXP(D919)+Summary!$B$14*EXP(E919))</f>
        <v>0.00383802247604108</v>
      </c>
      <c r="G919" s="22" t="n">
        <f aca="false">EXP(F919)-1</f>
        <v>0.00384539711596399</v>
      </c>
      <c r="H919" s="21" t="n">
        <f aca="false">EXP(SUM(F668:F919))-1</f>
        <v>0.103047866176064</v>
      </c>
    </row>
    <row r="920" customFormat="false" ht="15" hidden="false" customHeight="false" outlineLevel="0" collapsed="false">
      <c r="A920" s="20" t="n">
        <v>45807</v>
      </c>
      <c r="B920" s="21" t="n">
        <v>579.773071</v>
      </c>
      <c r="C920" s="21" t="n">
        <v>93.036964</v>
      </c>
      <c r="D920" s="22" t="n">
        <f aca="false">LN(B920/B919)</f>
        <v>-0.00111907031692492</v>
      </c>
      <c r="E920" s="22" t="n">
        <f aca="false">LN(C920/C919)</f>
        <v>0.00244941210104738</v>
      </c>
      <c r="F920" s="22" t="n">
        <f aca="false">LN(Summary!$B$13*EXP(D920)+Summary!$B$14*EXP(E920))</f>
        <v>0.000309851101092487</v>
      </c>
      <c r="G920" s="22" t="n">
        <f aca="false">EXP(F920)-1</f>
        <v>0.000309899109903311</v>
      </c>
      <c r="H920" s="21" t="n">
        <f aca="false">EXP(SUM(F669:F920))-1</f>
        <v>0.104985867619613</v>
      </c>
    </row>
    <row r="921" customFormat="false" ht="15" hidden="false" customHeight="false" outlineLevel="0" collapsed="false">
      <c r="A921" s="20" t="n">
        <v>45810</v>
      </c>
      <c r="B921" s="21" t="n">
        <v>583.03894</v>
      </c>
      <c r="C921" s="21" t="n">
        <v>92.792419</v>
      </c>
      <c r="D921" s="22" t="n">
        <f aca="false">LN(B921/B920)</f>
        <v>0.00561720648984312</v>
      </c>
      <c r="E921" s="22" t="n">
        <f aca="false">LN(C921/C920)</f>
        <v>-0.00263193190675258</v>
      </c>
      <c r="F921" s="22" t="n">
        <f aca="false">LN(Summary!$B$13*EXP(D921)+Summary!$B$14*EXP(E921))</f>
        <v>0.00232571241425576</v>
      </c>
      <c r="G921" s="22" t="n">
        <f aca="false">EXP(F921)-1</f>
        <v>0.00232841898119807</v>
      </c>
      <c r="H921" s="21" t="n">
        <f aca="false">EXP(SUM(F670:F921))-1</f>
        <v>0.113954082248896</v>
      </c>
    </row>
    <row r="922" customFormat="false" ht="15" hidden="false" customHeight="false" outlineLevel="0" collapsed="false">
      <c r="A922" s="20" t="n">
        <v>45811</v>
      </c>
      <c r="B922" s="21" t="n">
        <v>586.363708</v>
      </c>
      <c r="C922" s="21" t="n">
        <v>92.725815</v>
      </c>
      <c r="D922" s="22" t="n">
        <f aca="false">LN(B922/B921)</f>
        <v>0.00568628258917676</v>
      </c>
      <c r="E922" s="22" t="n">
        <f aca="false">LN(C922/C921)</f>
        <v>-0.00071803187671118</v>
      </c>
      <c r="F922" s="22" t="n">
        <f aca="false">LN(Summary!$B$13*EXP(D922)+Summary!$B$14*EXP(E922))</f>
        <v>0.00312947652328496</v>
      </c>
      <c r="G922" s="22" t="n">
        <f aca="false">EXP(F922)-1</f>
        <v>0.00313437844709119</v>
      </c>
      <c r="H922" s="21" t="n">
        <f aca="false">EXP(SUM(F671:F922))-1</f>
        <v>0.119797745042401</v>
      </c>
    </row>
    <row r="923" customFormat="false" ht="15" hidden="false" customHeight="false" outlineLevel="0" collapsed="false">
      <c r="A923" s="20" t="n">
        <v>45812</v>
      </c>
      <c r="B923" s="21" t="n">
        <v>586.206299</v>
      </c>
      <c r="C923" s="21" t="n">
        <v>93.277695</v>
      </c>
      <c r="D923" s="22" t="n">
        <f aca="false">LN(B923/B922)</f>
        <v>-0.000268485463564514</v>
      </c>
      <c r="E923" s="22" t="n">
        <f aca="false">LN(C923/C922)</f>
        <v>0.00593409897984527</v>
      </c>
      <c r="F923" s="22" t="n">
        <f aca="false">LN(Summary!$B$13*EXP(D923)+Summary!$B$14*EXP(E923))</f>
        <v>0.00221716686274262</v>
      </c>
      <c r="G923" s="22" t="n">
        <f aca="false">EXP(F923)-1</f>
        <v>0.00221962659473407</v>
      </c>
      <c r="H923" s="21" t="n">
        <f aca="false">EXP(SUM(F672:F923))-1</f>
        <v>0.114754528948211</v>
      </c>
    </row>
    <row r="924" customFormat="false" ht="15" hidden="false" customHeight="false" outlineLevel="0" collapsed="false">
      <c r="A924" s="20" t="n">
        <v>45813</v>
      </c>
      <c r="B924" s="21" t="n">
        <v>583.373291</v>
      </c>
      <c r="C924" s="21" t="n">
        <v>93.039833</v>
      </c>
      <c r="D924" s="22" t="n">
        <f aca="false">LN(B924/B923)</f>
        <v>-0.00484449893776501</v>
      </c>
      <c r="E924" s="22" t="n">
        <f aca="false">LN(C924/C923)</f>
        <v>-0.00255329846610146</v>
      </c>
      <c r="F924" s="22" t="n">
        <f aca="false">LN(Summary!$B$13*EXP(D924)+Summary!$B$14*EXP(E924))</f>
        <v>-0.00392738870104556</v>
      </c>
      <c r="G924" s="22" t="n">
        <f aca="false">EXP(F924)-1</f>
        <v>-0.00391968659639308</v>
      </c>
      <c r="H924" s="21" t="n">
        <f aca="false">EXP(SUM(F673:F924))-1</f>
        <v>0.107164751914136</v>
      </c>
    </row>
    <row r="925" customFormat="false" ht="15" hidden="false" customHeight="false" outlineLevel="0" collapsed="false">
      <c r="A925" s="20" t="n">
        <v>45814</v>
      </c>
      <c r="B925" s="21" t="n">
        <v>589.363953</v>
      </c>
      <c r="C925" s="21" t="n">
        <v>92.564041</v>
      </c>
      <c r="D925" s="22" t="n">
        <f aca="false">LN(B925/B924)</f>
        <v>0.0102166348671001</v>
      </c>
      <c r="E925" s="22" t="n">
        <f aca="false">LN(C925/C924)</f>
        <v>-0.00512697318177887</v>
      </c>
      <c r="F925" s="22" t="n">
        <f aca="false">LN(Summary!$B$13*EXP(D925)+Summary!$B$14*EXP(E925))</f>
        <v>0.00410741366296178</v>
      </c>
      <c r="G925" s="22" t="n">
        <f aca="false">EXP(F925)-1</f>
        <v>0.00411586064758818</v>
      </c>
      <c r="H925" s="21" t="n">
        <f aca="false">EXP(SUM(F674:F925))-1</f>
        <v>0.109373387280875</v>
      </c>
    </row>
    <row r="926" customFormat="false" ht="15" hidden="false" customHeight="false" outlineLevel="0" collapsed="false">
      <c r="A926" s="20" t="n">
        <v>45817</v>
      </c>
      <c r="B926" s="21" t="n">
        <v>589.895142</v>
      </c>
      <c r="C926" s="21" t="n">
        <v>92.678253</v>
      </c>
      <c r="D926" s="22" t="n">
        <f aca="false">LN(B926/B925)</f>
        <v>0.000900886053248269</v>
      </c>
      <c r="E926" s="22" t="n">
        <f aca="false">LN(C926/C925)</f>
        <v>0.00123310948062622</v>
      </c>
      <c r="F926" s="22" t="n">
        <f aca="false">LN(Summary!$B$13*EXP(D926)+Summary!$B$14*EXP(E926))</f>
        <v>0.00103378866918142</v>
      </c>
      <c r="G926" s="22" t="n">
        <f aca="false">EXP(F926)-1</f>
        <v>0.00103432321287356</v>
      </c>
      <c r="H926" s="21" t="n">
        <f aca="false">EXP(SUM(F675:F926))-1</f>
        <v>0.101306693717326</v>
      </c>
    </row>
    <row r="927" customFormat="false" ht="15" hidden="false" customHeight="false" outlineLevel="0" collapsed="false">
      <c r="A927" s="20" t="n">
        <v>45818</v>
      </c>
      <c r="B927" s="21" t="n">
        <v>593.239746</v>
      </c>
      <c r="C927" s="21" t="n">
        <v>92.887573</v>
      </c>
      <c r="D927" s="22" t="n">
        <f aca="false">LN(B927/B926)</f>
        <v>0.0056538150354301</v>
      </c>
      <c r="E927" s="22" t="n">
        <f aca="false">LN(C927/C926)</f>
        <v>0.00225601979946481</v>
      </c>
      <c r="F927" s="22" t="n">
        <f aca="false">LN(Summary!$B$13*EXP(D927)+Summary!$B$14*EXP(E927))</f>
        <v>0.00429608202813302</v>
      </c>
      <c r="G927" s="22" t="n">
        <f aca="false">EXP(F927)-1</f>
        <v>0.00430532341771261</v>
      </c>
      <c r="H927" s="21" t="n">
        <f aca="false">EXP(SUM(F676:F927))-1</f>
        <v>0.1059243402466</v>
      </c>
    </row>
    <row r="928" customFormat="false" ht="15" hidden="false" customHeight="false" outlineLevel="0" collapsed="false">
      <c r="A928" s="20" t="n">
        <v>45819</v>
      </c>
      <c r="B928" s="21" t="n">
        <v>591.547729</v>
      </c>
      <c r="C928" s="21" t="n">
        <v>93.201584</v>
      </c>
      <c r="D928" s="22" t="n">
        <f aca="false">LN(B928/B927)</f>
        <v>-0.00285623909098758</v>
      </c>
      <c r="E928" s="22" t="n">
        <f aca="false">LN(C928/C927)</f>
        <v>0.0033748478750775</v>
      </c>
      <c r="F928" s="22" t="n">
        <f aca="false">LN(Summary!$B$13*EXP(D928)+Summary!$B$14*EXP(E928))</f>
        <v>-0.000359143202380517</v>
      </c>
      <c r="G928" s="22" t="n">
        <f aca="false">EXP(F928)-1</f>
        <v>-0.000359078718180528</v>
      </c>
      <c r="H928" s="21" t="n">
        <f aca="false">EXP(SUM(F677:F928))-1</f>
        <v>0.110254937129491</v>
      </c>
    </row>
    <row r="929" customFormat="false" ht="15" hidden="false" customHeight="false" outlineLevel="0" collapsed="false">
      <c r="A929" s="20" t="n">
        <v>45820</v>
      </c>
      <c r="B929" s="21" t="n">
        <v>593.898743</v>
      </c>
      <c r="C929" s="21" t="n">
        <v>93.544121</v>
      </c>
      <c r="D929" s="22" t="n">
        <f aca="false">LN(B929/B928)</f>
        <v>0.00396646687619801</v>
      </c>
      <c r="E929" s="22" t="n">
        <f aca="false">LN(C929/C928)</f>
        <v>0.00366849009084312</v>
      </c>
      <c r="F929" s="22" t="n">
        <f aca="false">LN(Summary!$B$13*EXP(D929)+Summary!$B$14*EXP(E929))</f>
        <v>0.00384728681666407</v>
      </c>
      <c r="G929" s="22" t="n">
        <f aca="false">EXP(F929)-1</f>
        <v>0.00385469712473485</v>
      </c>
      <c r="H929" s="21" t="n">
        <f aca="false">EXP(SUM(F678:F929))-1</f>
        <v>0.112840341173737</v>
      </c>
    </row>
    <row r="930" customFormat="false" ht="15" hidden="false" customHeight="false" outlineLevel="0" collapsed="false">
      <c r="A930" s="20" t="n">
        <v>45821</v>
      </c>
      <c r="B930" s="21" t="n">
        <v>587.258789</v>
      </c>
      <c r="C930" s="21" t="n">
        <v>93.211082</v>
      </c>
      <c r="D930" s="22" t="n">
        <f aca="false">LN(B930/B929)</f>
        <v>-0.0112432487059477</v>
      </c>
      <c r="E930" s="22" t="n">
        <f aca="false">LN(C930/C929)</f>
        <v>-0.00356658714388118</v>
      </c>
      <c r="F930" s="22" t="n">
        <f aca="false">LN(Summary!$B$13*EXP(D930)+Summary!$B$14*EXP(E930))</f>
        <v>-0.00816550874133822</v>
      </c>
      <c r="G930" s="22" t="n">
        <f aca="false">EXP(F930)-1</f>
        <v>-0.0081322615298447</v>
      </c>
      <c r="H930" s="21" t="n">
        <f aca="false">EXP(SUM(F679:F930))-1</f>
        <v>0.10069517388043</v>
      </c>
    </row>
    <row r="931" customFormat="false" ht="15" hidden="false" customHeight="false" outlineLevel="0" collapsed="false">
      <c r="A931" s="20" t="n">
        <v>45824</v>
      </c>
      <c r="B931" s="21" t="n">
        <v>592.846191</v>
      </c>
      <c r="C931" s="21" t="n">
        <v>93.02079</v>
      </c>
      <c r="D931" s="22" t="n">
        <f aca="false">LN(B931/B930)</f>
        <v>0.00946940119105951</v>
      </c>
      <c r="E931" s="22" t="n">
        <f aca="false">LN(C931/C930)</f>
        <v>-0.00204360364510127</v>
      </c>
      <c r="F931" s="22" t="n">
        <f aca="false">LN(Summary!$B$13*EXP(D931)+Summary!$B$14*EXP(E931))</f>
        <v>0.00488009288476187</v>
      </c>
      <c r="G931" s="22" t="n">
        <f aca="false">EXP(F931)-1</f>
        <v>0.00489201993185029</v>
      </c>
      <c r="H931" s="21" t="n">
        <f aca="false">EXP(SUM(F680:F931))-1</f>
        <v>0.0985790629170273</v>
      </c>
    </row>
    <row r="932" customFormat="false" ht="15" hidden="false" customHeight="false" outlineLevel="0" collapsed="false">
      <c r="A932" s="20" t="n">
        <v>45825</v>
      </c>
      <c r="B932" s="21" t="n">
        <v>587.780273</v>
      </c>
      <c r="C932" s="21" t="n">
        <v>93.306236</v>
      </c>
      <c r="D932" s="22" t="n">
        <f aca="false">LN(B932/B931)</f>
        <v>-0.00858179830005531</v>
      </c>
      <c r="E932" s="22" t="n">
        <f aca="false">LN(C932/C931)</f>
        <v>0.00306392721907729</v>
      </c>
      <c r="F932" s="22" t="n">
        <f aca="false">LN(Summary!$B$13*EXP(D932)+Summary!$B$14*EXP(E932))</f>
        <v>-0.00390722078733175</v>
      </c>
      <c r="G932" s="22" t="n">
        <f aca="false">EXP(F932)-1</f>
        <v>-0.00389959753200375</v>
      </c>
      <c r="H932" s="21" t="n">
        <f aca="false">EXP(SUM(F681:F932))-1</f>
        <v>0.09078104114016</v>
      </c>
    </row>
    <row r="933" customFormat="false" ht="15" hidden="false" customHeight="false" outlineLevel="0" collapsed="false">
      <c r="A933" s="20" t="n">
        <v>45826</v>
      </c>
      <c r="B933" s="21" t="n">
        <v>587.691711</v>
      </c>
      <c r="C933" s="21" t="n">
        <v>93.372856</v>
      </c>
      <c r="D933" s="22" t="n">
        <f aca="false">LN(B933/B932)</f>
        <v>-0.000150683302320983</v>
      </c>
      <c r="E933" s="22" t="n">
        <f aca="false">LN(C933/C932)</f>
        <v>0.000713738235111404</v>
      </c>
      <c r="F933" s="22" t="n">
        <f aca="false">LN(Summary!$B$13*EXP(D933)+Summary!$B$14*EXP(E933))</f>
        <v>0.000195174984768243</v>
      </c>
      <c r="G933" s="22" t="n">
        <f aca="false">EXP(F933)-1</f>
        <v>0.000195194032644785</v>
      </c>
      <c r="H933" s="21" t="n">
        <f aca="false">EXP(SUM(F682:F933))-1</f>
        <v>0.0901501874058208</v>
      </c>
    </row>
    <row r="934" customFormat="false" ht="15" hidden="false" customHeight="false" outlineLevel="0" collapsed="false">
      <c r="A934" s="20" t="n">
        <v>45828</v>
      </c>
      <c r="B934" s="21" t="n">
        <v>586.311523</v>
      </c>
      <c r="C934" s="21" t="n">
        <v>93.458481</v>
      </c>
      <c r="D934" s="22" t="n">
        <f aca="false">LN(B934/B933)</f>
        <v>-0.00235125184646799</v>
      </c>
      <c r="E934" s="22" t="n">
        <f aca="false">LN(C934/C933)</f>
        <v>0.00091660218644048</v>
      </c>
      <c r="F934" s="22" t="n">
        <f aca="false">LN(Summary!$B$13*EXP(D934)+Summary!$B$14*EXP(E934))</f>
        <v>-0.00104282849023309</v>
      </c>
      <c r="G934" s="22" t="n">
        <f aca="false">EXP(F934)-1</f>
        <v>-0.00104228493356495</v>
      </c>
      <c r="H934" s="21" t="n">
        <f aca="false">EXP(SUM(F683:F934))-1</f>
        <v>0.0853825921626217</v>
      </c>
    </row>
    <row r="935" customFormat="false" ht="15" hidden="false" customHeight="false" outlineLevel="0" collapsed="false">
      <c r="A935" s="20" t="n">
        <v>45831</v>
      </c>
      <c r="B935" s="21" t="n">
        <v>592.102722</v>
      </c>
      <c r="C935" s="21" t="n">
        <v>93.648788</v>
      </c>
      <c r="D935" s="22" t="n">
        <f aca="false">LN(B935/B934)</f>
        <v>0.00982887918567283</v>
      </c>
      <c r="E935" s="22" t="n">
        <f aca="false">LN(C935/C934)</f>
        <v>0.00203420280399562</v>
      </c>
      <c r="F935" s="22" t="n">
        <f aca="false">LN(Summary!$B$13*EXP(D935)+Summary!$B$14*EXP(E935))</f>
        <v>0.00671829566572083</v>
      </c>
      <c r="G935" s="22" t="n">
        <f aca="false">EXP(F935)-1</f>
        <v>0.00674091403798016</v>
      </c>
      <c r="H935" s="21" t="n">
        <f aca="false">EXP(SUM(F684:F935))-1</f>
        <v>0.0894749940068336</v>
      </c>
    </row>
    <row r="936" customFormat="false" ht="15" hidden="false" customHeight="false" outlineLevel="0" collapsed="false">
      <c r="A936" s="20" t="n">
        <v>45832</v>
      </c>
      <c r="B936" s="21" t="n">
        <v>598.64386</v>
      </c>
      <c r="C936" s="21" t="n">
        <v>94.029388</v>
      </c>
      <c r="D936" s="22" t="n">
        <f aca="false">LN(B936/B935)</f>
        <v>0.0109867269764161</v>
      </c>
      <c r="E936" s="22" t="n">
        <f aca="false">LN(C936/C935)</f>
        <v>0.00405588470494719</v>
      </c>
      <c r="F936" s="22" t="n">
        <f aca="false">LN(Summary!$B$13*EXP(D936)+Summary!$B$14*EXP(E936))</f>
        <v>0.00822015178316722</v>
      </c>
      <c r="G936" s="22" t="n">
        <f aca="false">EXP(F936)-1</f>
        <v>0.00825402999522829</v>
      </c>
      <c r="H936" s="21" t="n">
        <f aca="false">EXP(SUM(F685:F936))-1</f>
        <v>0.101026941012185</v>
      </c>
    </row>
    <row r="937" customFormat="false" ht="15" hidden="false" customHeight="false" outlineLevel="0" collapsed="false">
      <c r="A937" s="20" t="n">
        <v>45833</v>
      </c>
      <c r="B937" s="21" t="n">
        <v>598.979309</v>
      </c>
      <c r="C937" s="21" t="n">
        <v>94.019867</v>
      </c>
      <c r="D937" s="22" t="n">
        <f aca="false">LN(B937/B936)</f>
        <v>0.000560191247890513</v>
      </c>
      <c r="E937" s="22" t="n">
        <f aca="false">LN(C937/C936)</f>
        <v>-0.000101260704363123</v>
      </c>
      <c r="F937" s="22" t="n">
        <f aca="false">LN(Summary!$B$13*EXP(D937)+Summary!$B$14*EXP(E937))</f>
        <v>0.000295662966915208</v>
      </c>
      <c r="G937" s="22" t="n">
        <f aca="false">EXP(F937)-1</f>
        <v>0.000295706679518171</v>
      </c>
      <c r="H937" s="21" t="n">
        <f aca="false">EXP(SUM(F686:F937))-1</f>
        <v>0.10219385473432</v>
      </c>
    </row>
    <row r="938" customFormat="false" ht="15" hidden="false" customHeight="false" outlineLevel="0" collapsed="false">
      <c r="A938" s="20" t="n">
        <v>45834</v>
      </c>
      <c r="B938" s="21" t="n">
        <v>603.665588</v>
      </c>
      <c r="C938" s="21" t="n">
        <v>94.276787</v>
      </c>
      <c r="D938" s="22" t="n">
        <f aca="false">LN(B938/B937)</f>
        <v>0.0077933274077285</v>
      </c>
      <c r="E938" s="22" t="n">
        <f aca="false">LN(C938/C937)</f>
        <v>0.00272888714673078</v>
      </c>
      <c r="F938" s="22" t="n">
        <f aca="false">LN(Summary!$B$13*EXP(D938)+Summary!$B$14*EXP(E938))</f>
        <v>0.00577062808789169</v>
      </c>
      <c r="G938" s="22" t="n">
        <f aca="false">EXP(F938)-1</f>
        <v>0.00578731023554235</v>
      </c>
      <c r="H938" s="21" t="n">
        <f aca="false">EXP(SUM(F687:F938))-1</f>
        <v>0.110374665315531</v>
      </c>
    </row>
    <row r="939" customFormat="false" ht="15" hidden="false" customHeight="false" outlineLevel="0" collapsed="false">
      <c r="A939" s="20" t="n">
        <v>45835</v>
      </c>
      <c r="B939" s="21" t="n">
        <v>606.664856</v>
      </c>
      <c r="C939" s="21" t="n">
        <v>94.010391</v>
      </c>
      <c r="D939" s="22" t="n">
        <f aca="false">LN(B939/B938)</f>
        <v>0.0049561244272751</v>
      </c>
      <c r="E939" s="22" t="n">
        <f aca="false">LN(C939/C938)</f>
        <v>-0.00282967943525721</v>
      </c>
      <c r="F939" s="22" t="n">
        <f aca="false">LN(Summary!$B$13*EXP(D939)+Summary!$B$14*EXP(E939))</f>
        <v>0.00184907333940446</v>
      </c>
      <c r="G939" s="22" t="n">
        <f aca="false">EXP(F939)-1</f>
        <v>0.00185078392968485</v>
      </c>
      <c r="H939" s="21" t="n">
        <f aca="false">EXP(SUM(F688:F939))-1</f>
        <v>0.109910811310847</v>
      </c>
    </row>
    <row r="940" customFormat="false" ht="15" hidden="false" customHeight="false" outlineLevel="0" collapsed="false">
      <c r="A940" s="20" t="n">
        <v>45838</v>
      </c>
      <c r="B940" s="21" t="n">
        <v>609.565369</v>
      </c>
      <c r="C940" s="21" t="n">
        <v>94.390976</v>
      </c>
      <c r="D940" s="22" t="n">
        <f aca="false">LN(B940/B939)</f>
        <v>0.00476968659262757</v>
      </c>
      <c r="E940" s="22" t="n">
        <f aca="false">LN(C940/C939)</f>
        <v>0.00404015664797538</v>
      </c>
      <c r="F940" s="22" t="n">
        <f aca="false">LN(Summary!$B$13*EXP(D940)+Summary!$B$14*EXP(E940))</f>
        <v>0.004477938477332</v>
      </c>
      <c r="G940" s="22" t="n">
        <f aca="false">EXP(F940)-1</f>
        <v>0.00448797942582413</v>
      </c>
      <c r="H940" s="21" t="n">
        <f aca="false">EXP(SUM(F689:F940))-1</f>
        <v>0.116064008655793</v>
      </c>
    </row>
    <row r="941" customFormat="false" ht="15" hidden="false" customHeight="false" outlineLevel="0" collapsed="false">
      <c r="A941" s="20" t="n">
        <v>45839</v>
      </c>
      <c r="B941" s="21" t="n">
        <v>609.368103</v>
      </c>
      <c r="C941" s="21" t="n">
        <v>94.304115</v>
      </c>
      <c r="D941" s="22" t="n">
        <f aca="false">LN(B941/B940)</f>
        <v>-0.000323669841305655</v>
      </c>
      <c r="E941" s="22" t="n">
        <f aca="false">LN(C941/C940)</f>
        <v>-0.000920649346783935</v>
      </c>
      <c r="F941" s="22" t="n">
        <f aca="false">LN(Summary!$B$13*EXP(D941)+Summary!$B$14*EXP(E941))</f>
        <v>-0.00056241887905592</v>
      </c>
      <c r="G941" s="22" t="n">
        <f aca="false">EXP(F941)-1</f>
        <v>-0.000562260751204247</v>
      </c>
      <c r="H941" s="21" t="n">
        <f aca="false">EXP(SUM(F690:F941))-1</f>
        <v>0.113651277542203</v>
      </c>
    </row>
    <row r="942" customFormat="false" ht="15" hidden="false" customHeight="false" outlineLevel="0" collapsed="false">
      <c r="A942" s="20" t="n">
        <v>45840</v>
      </c>
      <c r="B942" s="21" t="n">
        <v>612.130554</v>
      </c>
      <c r="C942" s="21" t="n">
        <v>94.189552</v>
      </c>
      <c r="D942" s="22" t="n">
        <f aca="false">LN(B942/B941)</f>
        <v>0.0045230597572943</v>
      </c>
      <c r="E942" s="22" t="n">
        <f aca="false">LN(C942/C941)</f>
        <v>-0.0012155635351554</v>
      </c>
      <c r="F942" s="22" t="n">
        <f aca="false">LN(Summary!$B$13*EXP(D942)+Summary!$B$14*EXP(E942))</f>
        <v>0.00223156073935689</v>
      </c>
      <c r="G942" s="22" t="n">
        <f aca="false">EXP(F942)-1</f>
        <v>0.00223405252420195</v>
      </c>
      <c r="H942" s="21" t="n">
        <f aca="false">EXP(SUM(F691:F942))-1</f>
        <v>0.120992481323194</v>
      </c>
    </row>
    <row r="943" customFormat="false" ht="15" hidden="false" customHeight="false" outlineLevel="0" collapsed="false">
      <c r="A943" s="20" t="n">
        <v>45841</v>
      </c>
      <c r="B943" s="21" t="n">
        <v>616.954956</v>
      </c>
      <c r="C943" s="21" t="n">
        <v>93.998642</v>
      </c>
      <c r="D943" s="22" t="n">
        <f aca="false">LN(B943/B942)</f>
        <v>0.00785043308665755</v>
      </c>
      <c r="E943" s="22" t="n">
        <f aca="false">LN(C943/C942)</f>
        <v>-0.00202892712271629</v>
      </c>
      <c r="F943" s="22" t="n">
        <f aca="false">LN(Summary!$B$13*EXP(D943)+Summary!$B$14*EXP(E943))</f>
        <v>0.00391039345809846</v>
      </c>
      <c r="G943" s="22" t="n">
        <f aca="false">EXP(F943)-1</f>
        <v>0.00391804902210025</v>
      </c>
      <c r="H943" s="21" t="n">
        <f aca="false">EXP(SUM(F692:F943))-1</f>
        <v>0.126410231206731</v>
      </c>
    </row>
    <row r="944" customFormat="false" ht="15" hidden="false" customHeight="false" outlineLevel="0" collapsed="false">
      <c r="A944" s="20" t="n">
        <v>45845</v>
      </c>
      <c r="B944" s="21" t="n">
        <v>612.357422</v>
      </c>
      <c r="C944" s="21" t="n">
        <v>93.664543</v>
      </c>
      <c r="D944" s="22" t="n">
        <f aca="false">LN(B944/B943)</f>
        <v>-0.00747988146501221</v>
      </c>
      <c r="E944" s="22" t="n">
        <f aca="false">LN(C944/C943)</f>
        <v>-0.00356062754639316</v>
      </c>
      <c r="F944" s="22" t="n">
        <f aca="false">LN(Summary!$B$13*EXP(D944)+Summary!$B$14*EXP(E944))</f>
        <v>-0.00591033615083488</v>
      </c>
      <c r="G944" s="22" t="n">
        <f aca="false">EXP(F944)-1</f>
        <v>-0.00589290447339264</v>
      </c>
      <c r="H944" s="21" t="n">
        <f aca="false">EXP(SUM(F693:F944))-1</f>
        <v>0.113793625110834</v>
      </c>
    </row>
    <row r="945" customFormat="false" ht="15" hidden="false" customHeight="false" outlineLevel="0" collapsed="false">
      <c r="A945" s="20" t="n">
        <v>45846</v>
      </c>
      <c r="B945" s="21" t="n">
        <v>612.022034</v>
      </c>
      <c r="C945" s="21" t="n">
        <v>93.626358</v>
      </c>
      <c r="D945" s="22" t="n">
        <f aca="false">LN(B945/B944)</f>
        <v>-0.000547849780956647</v>
      </c>
      <c r="E945" s="22" t="n">
        <f aca="false">LN(C945/C944)</f>
        <v>-0.000407761405655035</v>
      </c>
      <c r="F945" s="22" t="n">
        <f aca="false">LN(Summary!$B$13*EXP(D945)+Summary!$B$14*EXP(E945))</f>
        <v>-0.000491812075843707</v>
      </c>
      <c r="G945" s="22" t="n">
        <f aca="false">EXP(F945)-1</f>
        <v>-0.000491691156108809</v>
      </c>
      <c r="H945" s="21" t="n">
        <f aca="false">EXP(SUM(F694:F945))-1</f>
        <v>0.107893240046765</v>
      </c>
    </row>
    <row r="946" customFormat="false" ht="15" hidden="false" customHeight="false" outlineLevel="0" collapsed="false">
      <c r="A946" s="20" t="n">
        <v>45847</v>
      </c>
      <c r="B946" s="21" t="n">
        <v>615.692078</v>
      </c>
      <c r="C946" s="21" t="n">
        <v>94.017715</v>
      </c>
      <c r="D946" s="22" t="n">
        <f aca="false">LN(B946/B945)</f>
        <v>0.00597868004635174</v>
      </c>
      <c r="E946" s="22" t="n">
        <f aca="false">LN(C946/C945)</f>
        <v>0.0041712755558496</v>
      </c>
      <c r="F946" s="22" t="n">
        <f aca="false">LN(Summary!$B$13*EXP(D946)+Summary!$B$14*EXP(E946))</f>
        <v>0.00525611020818905</v>
      </c>
      <c r="G946" s="22" t="n">
        <f aca="false">EXP(F946)-1</f>
        <v>0.0052699477887761</v>
      </c>
      <c r="H946" s="21" t="n">
        <f aca="false">EXP(SUM(F695:F946))-1</f>
        <v>0.107663380420588</v>
      </c>
    </row>
    <row r="947" customFormat="false" ht="15" hidden="false" customHeight="false" outlineLevel="0" collapsed="false">
      <c r="A947" s="20" t="n">
        <v>45848</v>
      </c>
      <c r="B947" s="21" t="n">
        <v>617.428467</v>
      </c>
      <c r="C947" s="21" t="n">
        <v>93.98909</v>
      </c>
      <c r="D947" s="22" t="n">
        <f aca="false">LN(B947/B946)</f>
        <v>0.00281625369829411</v>
      </c>
      <c r="E947" s="22" t="n">
        <f aca="false">LN(C947/C946)</f>
        <v>-0.000304510256649321</v>
      </c>
      <c r="F947" s="22" t="n">
        <f aca="false">LN(Summary!$B$13*EXP(D947)+Summary!$B$14*EXP(E947))</f>
        <v>0.00156911657287006</v>
      </c>
      <c r="G947" s="22" t="n">
        <f aca="false">EXP(F947)-1</f>
        <v>0.00157034828042635</v>
      </c>
      <c r="H947" s="21" t="n">
        <f aca="false">EXP(SUM(F696:F947))-1</f>
        <v>0.108499122104325</v>
      </c>
    </row>
    <row r="948" customFormat="false" ht="15" hidden="false" customHeight="false" outlineLevel="0" collapsed="false">
      <c r="A948" s="20" t="n">
        <v>45849</v>
      </c>
      <c r="B948" s="21" t="n">
        <v>615.257996</v>
      </c>
      <c r="C948" s="21" t="n">
        <v>93.59771</v>
      </c>
      <c r="D948" s="22" t="n">
        <f aca="false">LN(B948/B947)</f>
        <v>-0.00352153334718011</v>
      </c>
      <c r="E948" s="22" t="n">
        <f aca="false">LN(C948/C947)</f>
        <v>-0.00417279433200145</v>
      </c>
      <c r="F948" s="22" t="n">
        <f aca="false">LN(Summary!$B$13*EXP(D948)+Summary!$B$14*EXP(E948))</f>
        <v>-0.0037819868464149</v>
      </c>
      <c r="G948" s="22" t="n">
        <f aca="false">EXP(F948)-1</f>
        <v>-0.0037748441415375</v>
      </c>
      <c r="H948" s="21" t="n">
        <f aca="false">EXP(SUM(F697:F948))-1</f>
        <v>0.104077577406439</v>
      </c>
    </row>
    <row r="949" customFormat="false" ht="15" hidden="false" customHeight="false" outlineLevel="0" collapsed="false">
      <c r="A949" s="20" t="n">
        <v>45852</v>
      </c>
      <c r="B949" s="21" t="n">
        <v>616.432068</v>
      </c>
      <c r="C949" s="21" t="n">
        <v>93.588181</v>
      </c>
      <c r="D949" s="22" t="n">
        <f aca="false">LN(B949/B948)</f>
        <v>0.00190644122237351</v>
      </c>
      <c r="E949" s="22" t="n">
        <f aca="false">LN(C949/C948)</f>
        <v>-0.000101813229162976</v>
      </c>
      <c r="F949" s="22" t="n">
        <f aca="false">LN(Summary!$B$13*EXP(D949)+Summary!$B$14*EXP(E949))</f>
        <v>0.00110362334720477</v>
      </c>
      <c r="G949" s="22" t="n">
        <f aca="false">EXP(F949)-1</f>
        <v>0.00110423256354553</v>
      </c>
      <c r="H949" s="21" t="n">
        <f aca="false">EXP(SUM(F698:F949))-1</f>
        <v>0.0983253651150144</v>
      </c>
    </row>
    <row r="950" customFormat="false" ht="15" hidden="false" customHeight="false" outlineLevel="0" collapsed="false">
      <c r="A950" s="20" t="n">
        <v>45853</v>
      </c>
      <c r="B950" s="21" t="n">
        <v>613.797913</v>
      </c>
      <c r="C950" s="21" t="n">
        <v>93.311333</v>
      </c>
      <c r="D950" s="22" t="n">
        <f aca="false">LN(B950/B949)</f>
        <v>-0.00428238470251733</v>
      </c>
      <c r="E950" s="22" t="n">
        <f aca="false">LN(C950/C949)</f>
        <v>-0.00296253528494819</v>
      </c>
      <c r="F950" s="22" t="n">
        <f aca="false">LN(Summary!$B$13*EXP(D950)+Summary!$B$14*EXP(E950))</f>
        <v>-0.00375423587681126</v>
      </c>
      <c r="G950" s="22" t="n">
        <f aca="false">EXP(F950)-1</f>
        <v>-0.00374719754391073</v>
      </c>
      <c r="H950" s="21" t="n">
        <f aca="false">EXP(SUM(F699:F950))-1</f>
        <v>0.0976395476408516</v>
      </c>
    </row>
    <row r="951" customFormat="false" ht="15" hidden="false" customHeight="false" outlineLevel="0" collapsed="false">
      <c r="A951" s="20" t="n">
        <v>45854</v>
      </c>
      <c r="B951" s="21" t="n">
        <v>615.849976</v>
      </c>
      <c r="C951" s="21" t="n">
        <v>93.444977</v>
      </c>
      <c r="D951" s="22" t="n">
        <f aca="false">LN(B951/B950)</f>
        <v>0.00333764636744416</v>
      </c>
      <c r="E951" s="22" t="n">
        <f aca="false">LN(C951/C950)</f>
        <v>0.00143121292996944</v>
      </c>
      <c r="F951" s="22" t="n">
        <f aca="false">LN(Summary!$B$13*EXP(D951)+Summary!$B$14*EXP(E951))</f>
        <v>0.0025755090755792</v>
      </c>
      <c r="G951" s="22" t="n">
        <f aca="false">EXP(F951)-1</f>
        <v>0.00257882854824398</v>
      </c>
      <c r="H951" s="21" t="n">
        <f aca="false">EXP(SUM(F700:F951))-1</f>
        <v>0.0951203689046791</v>
      </c>
    </row>
    <row r="952" customFormat="false" ht="15" hidden="false" customHeight="false" outlineLevel="0" collapsed="false">
      <c r="A952" s="20" t="n">
        <v>45855</v>
      </c>
      <c r="B952" s="21" t="n">
        <v>619.618713</v>
      </c>
      <c r="C952" s="21" t="n">
        <v>93.483147</v>
      </c>
      <c r="D952" s="22" t="n">
        <f aca="false">LN(B952/B951)</f>
        <v>0.00610092141274618</v>
      </c>
      <c r="E952" s="22" t="n">
        <f aca="false">LN(C952/C951)</f>
        <v>0.000408392270930069</v>
      </c>
      <c r="F952" s="22" t="n">
        <f aca="false">LN(Summary!$B$13*EXP(D952)+Summary!$B$14*EXP(E952))</f>
        <v>0.0038277968622414</v>
      </c>
      <c r="G952" s="22" t="n">
        <f aca="false">EXP(F952)-1</f>
        <v>0.00383513223310095</v>
      </c>
      <c r="H952" s="21" t="n">
        <f aca="false">EXP(SUM(F701:F952))-1</f>
        <v>0.0990258556467016</v>
      </c>
    </row>
    <row r="953" customFormat="false" ht="15" hidden="false" customHeight="false" outlineLevel="0" collapsed="false">
      <c r="A953" s="20" t="n">
        <v>45856</v>
      </c>
      <c r="B953" s="21" t="n">
        <v>619.165039</v>
      </c>
      <c r="C953" s="21" t="n">
        <v>93.654984</v>
      </c>
      <c r="D953" s="22" t="n">
        <f aca="false">LN(B953/B952)</f>
        <v>-0.000732450711514351</v>
      </c>
      <c r="E953" s="22" t="n">
        <f aca="false">LN(C953/C952)</f>
        <v>0.00183647284898066</v>
      </c>
      <c r="F953" s="22" t="n">
        <f aca="false">LN(Summary!$B$13*EXP(D953)+Summary!$B$14*EXP(E953))</f>
        <v>0.000295910772309238</v>
      </c>
      <c r="G953" s="22" t="n">
        <f aca="false">EXP(F953)-1</f>
        <v>0.000295954558220624</v>
      </c>
      <c r="H953" s="21" t="n">
        <f aca="false">EXP(SUM(F702:F953))-1</f>
        <v>0.0936751572308912</v>
      </c>
    </row>
    <row r="954" customFormat="false" ht="15" hidden="false" customHeight="false" outlineLevel="0" collapsed="false">
      <c r="A954" s="20" t="n">
        <v>45859</v>
      </c>
      <c r="B954" s="21" t="n">
        <v>620.33905</v>
      </c>
      <c r="C954" s="21" t="n">
        <v>93.91272</v>
      </c>
      <c r="D954" s="22" t="n">
        <f aca="false">LN(B954/B953)</f>
        <v>0.00189432428903397</v>
      </c>
      <c r="E954" s="22" t="n">
        <f aca="false">LN(C954/C953)</f>
        <v>0.00274819339062777</v>
      </c>
      <c r="F954" s="22" t="n">
        <f aca="false">LN(Summary!$B$13*EXP(D954)+Summary!$B$14*EXP(E954))</f>
        <v>0.00223595942574262</v>
      </c>
      <c r="G954" s="22" t="n">
        <f aca="false">EXP(F954)-1</f>
        <v>0.00223846104717995</v>
      </c>
      <c r="H954" s="21" t="n">
        <f aca="false">EXP(SUM(F703:F954))-1</f>
        <v>0.105105722896643</v>
      </c>
    </row>
    <row r="955" customFormat="false" ht="15" hidden="false" customHeight="false" outlineLevel="0" collapsed="false">
      <c r="A955" s="20" t="n">
        <v>45860</v>
      </c>
      <c r="B955" s="21" t="n">
        <v>620.427734</v>
      </c>
      <c r="C955" s="21" t="n">
        <v>94.094101</v>
      </c>
      <c r="D955" s="22" t="n">
        <f aca="false">LN(B955/B954)</f>
        <v>0.000142950313136364</v>
      </c>
      <c r="E955" s="22" t="n">
        <f aca="false">LN(C955/C954)</f>
        <v>0.00192951569851734</v>
      </c>
      <c r="F955" s="22" t="n">
        <f aca="false">LN(Summary!$B$13*EXP(D955)+Summary!$B$14*EXP(E955))</f>
        <v>0.000857959530768033</v>
      </c>
      <c r="G955" s="22" t="n">
        <f aca="false">EXP(F955)-1</f>
        <v>0.000858327683325388</v>
      </c>
      <c r="H955" s="21" t="n">
        <f aca="false">EXP(SUM(F704:F955))-1</f>
        <v>0.112402944279608</v>
      </c>
    </row>
    <row r="956" customFormat="false" ht="15" hidden="false" customHeight="false" outlineLevel="0" collapsed="false">
      <c r="A956" s="20" t="n">
        <v>45861</v>
      </c>
      <c r="B956" s="21" t="n">
        <v>625.706055</v>
      </c>
      <c r="C956" s="21" t="n">
        <v>93.884094</v>
      </c>
      <c r="D956" s="22" t="n">
        <f aca="false">LN(B956/B955)</f>
        <v>0.00847156639870747</v>
      </c>
      <c r="E956" s="22" t="n">
        <f aca="false">LN(C956/C955)</f>
        <v>-0.00223437710284019</v>
      </c>
      <c r="F956" s="22" t="n">
        <f aca="false">LN(Summary!$B$13*EXP(D956)+Summary!$B$14*EXP(E956))</f>
        <v>0.00420293319085795</v>
      </c>
      <c r="G956" s="22" t="n">
        <f aca="false">EXP(F956)-1</f>
        <v>0.00421177790146277</v>
      </c>
      <c r="H956" s="21" t="n">
        <f aca="false">EXP(SUM(F705:F956))-1</f>
        <v>0.122474547396227</v>
      </c>
    </row>
    <row r="957" customFormat="false" ht="15" hidden="false" customHeight="false" outlineLevel="0" collapsed="false">
      <c r="A957" s="20" t="n">
        <v>45862</v>
      </c>
      <c r="B957" s="21" t="n">
        <v>625.913147</v>
      </c>
      <c r="C957" s="21" t="n">
        <v>93.826805</v>
      </c>
      <c r="D957" s="22" t="n">
        <f aca="false">LN(B957/B956)</f>
        <v>0.000330918543849196</v>
      </c>
      <c r="E957" s="22" t="n">
        <f aca="false">LN(C957/C956)</f>
        <v>-0.000610396115344947</v>
      </c>
      <c r="F957" s="22" t="n">
        <f aca="false">LN(Summary!$B$13*EXP(D957)+Summary!$B$14*EXP(E957))</f>
        <v>-4.55009977100137E-005</v>
      </c>
      <c r="G957" s="22" t="n">
        <f aca="false">EXP(F957)-1</f>
        <v>-4.54999625553176E-005</v>
      </c>
      <c r="H957" s="21" t="n">
        <f aca="false">EXP(SUM(F706:F957))-1</f>
        <v>0.115703776422692</v>
      </c>
    </row>
    <row r="958" customFormat="false" ht="15" hidden="false" customHeight="false" outlineLevel="0" collapsed="false">
      <c r="A958" s="20" t="n">
        <v>45863</v>
      </c>
      <c r="B958" s="21" t="n">
        <v>628.557251</v>
      </c>
      <c r="C958" s="21" t="n">
        <v>93.979538</v>
      </c>
      <c r="D958" s="22" t="n">
        <f aca="false">LN(B958/B957)</f>
        <v>0.00421549670647077</v>
      </c>
      <c r="E958" s="22" t="n">
        <f aca="false">LN(C958/C957)</f>
        <v>0.00162649494400831</v>
      </c>
      <c r="F958" s="22" t="n">
        <f aca="false">LN(Summary!$B$13*EXP(D958)+Summary!$B$14*EXP(E958))</f>
        <v>0.00318070021407213</v>
      </c>
      <c r="G958" s="22" t="n">
        <f aca="false">EXP(F958)-1</f>
        <v>0.00318576400837856</v>
      </c>
      <c r="H958" s="21" t="n">
        <f aca="false">EXP(SUM(F707:F958))-1</f>
        <v>0.120358385152797</v>
      </c>
    </row>
    <row r="959" customFormat="false" ht="15" hidden="false" customHeight="false" outlineLevel="0" collapsed="false">
      <c r="A959" s="20" t="n">
        <v>45866</v>
      </c>
      <c r="B959" s="21" t="n">
        <v>628.399414</v>
      </c>
      <c r="C959" s="21" t="n">
        <v>93.855438</v>
      </c>
      <c r="D959" s="22" t="n">
        <f aca="false">LN(B959/B958)</f>
        <v>-0.000251141515415035</v>
      </c>
      <c r="E959" s="22" t="n">
        <f aca="false">LN(C959/C958)</f>
        <v>-0.00132137284226364</v>
      </c>
      <c r="F959" s="22" t="n">
        <f aca="false">LN(Summary!$B$13*EXP(D959)+Summary!$B$14*EXP(E959))</f>
        <v>-0.000679096608555727</v>
      </c>
      <c r="G959" s="22" t="n">
        <f aca="false">EXP(F959)-1</f>
        <v>-0.000678866074641737</v>
      </c>
      <c r="H959" s="21" t="n">
        <f aca="false">EXP(SUM(F708:F959))-1</f>
        <v>0.136442391123394</v>
      </c>
    </row>
    <row r="960" customFormat="false" ht="15" hidden="false" customHeight="false" outlineLevel="0" collapsed="false">
      <c r="A960" s="20" t="n">
        <v>45867</v>
      </c>
      <c r="B960" s="21" t="n">
        <v>626.741943</v>
      </c>
      <c r="C960" s="21" t="n">
        <v>94.361382</v>
      </c>
      <c r="D960" s="22" t="n">
        <f aca="false">LN(B960/B959)</f>
        <v>-0.0026410921036293</v>
      </c>
      <c r="E960" s="22" t="n">
        <f aca="false">LN(C960/C959)</f>
        <v>0.00537619558791711</v>
      </c>
      <c r="F960" s="22" t="n">
        <f aca="false">LN(Summary!$B$13*EXP(D960)+Summary!$B$14*EXP(E960))</f>
        <v>0.000573540305628553</v>
      </c>
      <c r="G960" s="22" t="n">
        <f aca="false">EXP(F960)-1</f>
        <v>0.000573704811318354</v>
      </c>
      <c r="H960" s="21" t="n">
        <f aca="false">EXP(SUM(F709:F960))-1</f>
        <v>0.139396709605198</v>
      </c>
    </row>
    <row r="961" customFormat="false" ht="15" hidden="false" customHeight="false" outlineLevel="0" collapsed="false">
      <c r="A961" s="20" t="n">
        <v>45868</v>
      </c>
      <c r="B961" s="21" t="n">
        <v>625.952698</v>
      </c>
      <c r="C961" s="21" t="n">
        <v>94.094101</v>
      </c>
      <c r="D961" s="22" t="n">
        <f aca="false">LN(B961/B960)</f>
        <v>-0.00126007580554438</v>
      </c>
      <c r="E961" s="22" t="n">
        <f aca="false">LN(C961/C960)</f>
        <v>-0.00283654447147658</v>
      </c>
      <c r="F961" s="22" t="n">
        <f aca="false">LN(Summary!$B$13*EXP(D961)+Summary!$B$14*EXP(E961))</f>
        <v>-0.00189036507287326</v>
      </c>
      <c r="G961" s="22" t="n">
        <f aca="false">EXP(F961)-1</f>
        <v>-0.00188857945815069</v>
      </c>
      <c r="H961" s="21" t="n">
        <f aca="false">EXP(SUM(F710:F961))-1</f>
        <v>0.128052612955056</v>
      </c>
    </row>
    <row r="962" customFormat="false" ht="15" hidden="false" customHeight="false" outlineLevel="0" collapsed="false">
      <c r="A962" s="20" t="n">
        <v>45869</v>
      </c>
      <c r="B962" s="21" t="n">
        <v>623.604675</v>
      </c>
      <c r="C962" s="21" t="n">
        <v>94.141838</v>
      </c>
      <c r="D962" s="22" t="n">
        <f aca="false">LN(B962/B961)</f>
        <v>-0.00375817199646802</v>
      </c>
      <c r="E962" s="22" t="n">
        <f aca="false">LN(C962/C961)</f>
        <v>0.000507203898224696</v>
      </c>
      <c r="F962" s="22" t="n">
        <f aca="false">LN(Summary!$B$13*EXP(D962)+Summary!$B$14*EXP(E962))</f>
        <v>-0.002049837807451</v>
      </c>
      <c r="G962" s="22" t="n">
        <f aca="false">EXP(F962)-1</f>
        <v>-0.00204773832471061</v>
      </c>
      <c r="H962" s="21" t="n">
        <f aca="false">EXP(SUM(F711:F962))-1</f>
        <v>0.124613843003233</v>
      </c>
    </row>
    <row r="963" customFormat="false" ht="15" hidden="false" customHeight="false" outlineLevel="0" collapsed="false">
      <c r="A963" s="20" t="n">
        <v>45870</v>
      </c>
      <c r="B963" s="21" t="n">
        <v>613.383423</v>
      </c>
      <c r="C963" s="21" t="n">
        <v>94.955963</v>
      </c>
      <c r="D963" s="22" t="n">
        <f aca="false">LN(B963/B962)</f>
        <v>-0.0165264074132766</v>
      </c>
      <c r="E963" s="22" t="n">
        <f aca="false">LN(C963/C962)</f>
        <v>0.00861067686539857</v>
      </c>
      <c r="F963" s="22" t="n">
        <f aca="false">LN(Summary!$B$13*EXP(D963)+Summary!$B$14*EXP(E963))</f>
        <v>-0.00639562363776895</v>
      </c>
      <c r="G963" s="22" t="n">
        <f aca="false">EXP(F963)-1</f>
        <v>-0.00637521516838602</v>
      </c>
      <c r="H963" s="21" t="n">
        <f aca="false">EXP(SUM(F712:F963))-1</f>
        <v>0.120395037742657</v>
      </c>
    </row>
    <row r="964" customFormat="false" ht="15" hidden="false" customHeight="false" outlineLevel="0" collapsed="false">
      <c r="A964" s="20" t="n">
        <v>45873</v>
      </c>
      <c r="B964" s="21" t="n">
        <v>622.706726</v>
      </c>
      <c r="C964" s="21" t="n">
        <v>95.03257</v>
      </c>
      <c r="D964" s="22" t="n">
        <f aca="false">LN(B964/B963)</f>
        <v>0.0150854366339764</v>
      </c>
      <c r="E964" s="22" t="n">
        <f aca="false">LN(C964/C963)</f>
        <v>0.000806438188053629</v>
      </c>
      <c r="F964" s="22" t="n">
        <f aca="false">LN(Summary!$B$13*EXP(D964)+Summary!$B$14*EXP(E964))</f>
        <v>0.00939828055800049</v>
      </c>
      <c r="G964" s="22" t="n">
        <f aca="false">EXP(F964)-1</f>
        <v>0.00944258307712564</v>
      </c>
      <c r="H964" s="21" t="n">
        <f aca="false">EXP(SUM(F713:F964))-1</f>
        <v>0.117670485692583</v>
      </c>
    </row>
    <row r="965" customFormat="false" ht="15" hidden="false" customHeight="false" outlineLevel="0" collapsed="false">
      <c r="A965" s="20" t="n">
        <v>45874</v>
      </c>
      <c r="B965" s="21" t="n">
        <v>619.549622</v>
      </c>
      <c r="C965" s="21" t="n">
        <v>95.061325</v>
      </c>
      <c r="D965" s="22" t="n">
        <f aca="false">LN(B965/B964)</f>
        <v>-0.00508286522696916</v>
      </c>
      <c r="E965" s="22" t="n">
        <f aca="false">LN(C965/C964)</f>
        <v>0.000302534704960524</v>
      </c>
      <c r="F965" s="22" t="n">
        <f aca="false">LN(Summary!$B$13*EXP(D965)+Summary!$B$14*EXP(E965))</f>
        <v>-0.0029252237044886</v>
      </c>
      <c r="G965" s="22" t="n">
        <f aca="false">EXP(F965)-1</f>
        <v>-0.00292094940640308</v>
      </c>
      <c r="H965" s="21" t="n">
        <f aca="false">EXP(SUM(F714:F965))-1</f>
        <v>0.122058743295376</v>
      </c>
    </row>
    <row r="966" customFormat="false" ht="15" hidden="false" customHeight="false" outlineLevel="0" collapsed="false">
      <c r="A966" s="20" t="n">
        <v>45875</v>
      </c>
      <c r="B966" s="21" t="n">
        <v>624.295166</v>
      </c>
      <c r="C966" s="21" t="n">
        <v>95.022995</v>
      </c>
      <c r="D966" s="22" t="n">
        <f aca="false">LN(B966/B965)</f>
        <v>0.00763048102341266</v>
      </c>
      <c r="E966" s="22" t="n">
        <f aca="false">LN(C966/C965)</f>
        <v>-0.000403294711731281</v>
      </c>
      <c r="F966" s="22" t="n">
        <f aca="false">LN(Summary!$B$13*EXP(D966)+Summary!$B$14*EXP(E966))</f>
        <v>0.0044247115492603</v>
      </c>
      <c r="G966" s="22" t="n">
        <f aca="false">EXP(F966)-1</f>
        <v>0.0044345150392795</v>
      </c>
      <c r="H966" s="21" t="n">
        <f aca="false">EXP(SUM(F715:F966))-1</f>
        <v>0.134632191810549</v>
      </c>
    </row>
    <row r="967" customFormat="false" ht="15" hidden="false" customHeight="false" outlineLevel="0" collapsed="false">
      <c r="A967" s="20" t="n">
        <v>45876</v>
      </c>
      <c r="B967" s="21" t="n">
        <v>623.772278</v>
      </c>
      <c r="C967" s="21" t="n">
        <v>94.946373</v>
      </c>
      <c r="D967" s="22" t="n">
        <f aca="false">LN(B967/B966)</f>
        <v>-0.000837916305095799</v>
      </c>
      <c r="E967" s="22" t="n">
        <f aca="false">LN(C967/C966)</f>
        <v>-0.000806677465548147</v>
      </c>
      <c r="F967" s="22" t="n">
        <f aca="false">LN(Summary!$B$13*EXP(D967)+Summary!$B$14*EXP(E967))</f>
        <v>-0.000825420652172616</v>
      </c>
      <c r="G967" s="22" t="n">
        <f aca="false">EXP(F967)-1</f>
        <v>-0.000825080086255925</v>
      </c>
      <c r="H967" s="21" t="n">
        <f aca="false">EXP(SUM(F716:F967))-1</f>
        <v>0.154233632229777</v>
      </c>
    </row>
    <row r="968" customFormat="false" ht="15" hidden="false" customHeight="false" outlineLevel="0" collapsed="false">
      <c r="A968" s="20" t="n">
        <v>45877</v>
      </c>
      <c r="B968" s="21" t="n">
        <v>628.63623</v>
      </c>
      <c r="C968" s="21" t="n">
        <v>94.764404</v>
      </c>
      <c r="D968" s="22" t="n">
        <f aca="false">LN(B968/B967)</f>
        <v>0.0077673960587366</v>
      </c>
      <c r="E968" s="22" t="n">
        <f aca="false">LN(C968/C967)</f>
        <v>-0.00191838395988234</v>
      </c>
      <c r="F968" s="22" t="n">
        <f aca="false">LN(Summary!$B$13*EXP(D968)+Summary!$B$14*EXP(E968))</f>
        <v>0.00390433446345663</v>
      </c>
      <c r="G968" s="22" t="n">
        <f aca="false">EXP(F968)-1</f>
        <v>0.00391196630644797</v>
      </c>
      <c r="H968" s="21" t="n">
        <f aca="false">EXP(SUM(F717:F968))-1</f>
        <v>0.155124406949861</v>
      </c>
    </row>
    <row r="969" customFormat="false" ht="15" hidden="false" customHeight="false" outlineLevel="0" collapsed="false">
      <c r="A969" s="20" t="n">
        <v>45880</v>
      </c>
      <c r="B969" s="21" t="n">
        <v>627.393005</v>
      </c>
      <c r="C969" s="21" t="n">
        <v>94.831444</v>
      </c>
      <c r="D969" s="22" t="n">
        <f aca="false">LN(B969/B968)</f>
        <v>-0.00197961221181676</v>
      </c>
      <c r="E969" s="22" t="n">
        <f aca="false">LN(C969/C968)</f>
        <v>0.000707188511786146</v>
      </c>
      <c r="F969" s="22" t="n">
        <f aca="false">LN(Summary!$B$13*EXP(D969)+Summary!$B$14*EXP(E969))</f>
        <v>-0.000904025499663583</v>
      </c>
      <c r="G969" s="22" t="n">
        <f aca="false">EXP(F969)-1</f>
        <v>-0.000903616991721368</v>
      </c>
      <c r="H969" s="21" t="n">
        <f aca="false">EXP(SUM(F718:F969))-1</f>
        <v>0.16013017025161</v>
      </c>
    </row>
    <row r="970" customFormat="false" ht="15" hidden="false" customHeight="false" outlineLevel="0" collapsed="false">
      <c r="A970" s="20" t="n">
        <v>45881</v>
      </c>
      <c r="B970" s="21" t="n">
        <v>634.072266</v>
      </c>
      <c r="C970" s="21" t="n">
        <v>94.831444</v>
      </c>
      <c r="D970" s="22" t="n">
        <f aca="false">LN(B970/B969)</f>
        <v>0.0105897856613432</v>
      </c>
      <c r="E970" s="22" t="n">
        <f aca="false">LN(C970/C969)</f>
        <v>0</v>
      </c>
      <c r="F970" s="22" t="n">
        <f aca="false">LN(Summary!$B$13*EXP(D970)+Summary!$B$14*EXP(E970))</f>
        <v>0.00636731906820339</v>
      </c>
      <c r="G970" s="22" t="n">
        <f aca="false">EXP(F970)-1</f>
        <v>0.00638763353761007</v>
      </c>
      <c r="H970" s="21" t="n">
        <f aca="false">EXP(SUM(F719:F970))-1</f>
        <v>0.152254322731326</v>
      </c>
    </row>
    <row r="971" customFormat="false" ht="15" hidden="false" customHeight="false" outlineLevel="0" collapsed="false">
      <c r="A971" s="20" t="n">
        <v>45882</v>
      </c>
      <c r="B971" s="21" t="n">
        <v>636.242859</v>
      </c>
      <c r="C971" s="21" t="n">
        <v>95.176254</v>
      </c>
      <c r="D971" s="22" t="n">
        <f aca="false">LN(B971/B970)</f>
        <v>0.00341741205746227</v>
      </c>
      <c r="E971" s="22" t="n">
        <f aca="false">LN(C971/C970)</f>
        <v>0.00362943588221854</v>
      </c>
      <c r="F971" s="22" t="n">
        <f aca="false">LN(Summary!$B$13*EXP(D971)+Summary!$B$14*EXP(E971))</f>
        <v>0.00350222698193329</v>
      </c>
      <c r="G971" s="22" t="n">
        <f aca="false">EXP(F971)-1</f>
        <v>0.00350836694460499</v>
      </c>
      <c r="H971" s="21" t="n">
        <f aca="false">EXP(SUM(F720:F971))-1</f>
        <v>0.151624557942844</v>
      </c>
    </row>
    <row r="972" customFormat="false" ht="15" hidden="false" customHeight="false" outlineLevel="0" collapsed="false">
      <c r="A972" s="20" t="n">
        <v>45883</v>
      </c>
      <c r="B972" s="21" t="n">
        <v>636.302063</v>
      </c>
      <c r="C972" s="21" t="n">
        <v>94.908051</v>
      </c>
      <c r="D972" s="22" t="n">
        <f aca="false">LN(B972/B971)</f>
        <v>9.30481887425301E-005</v>
      </c>
      <c r="E972" s="22" t="n">
        <f aca="false">LN(C972/C971)</f>
        <v>-0.00282193922304772</v>
      </c>
      <c r="F972" s="22" t="n">
        <f aca="false">LN(Summary!$B$13*EXP(D972)+Summary!$B$14*EXP(E972))</f>
        <v>-0.00107192731625047</v>
      </c>
      <c r="G972" s="22" t="n">
        <f aca="false">EXP(F972)-1</f>
        <v>-0.00107135300738892</v>
      </c>
      <c r="H972" s="21" t="n">
        <f aca="false">EXP(SUM(F721:F972))-1</f>
        <v>0.149243735691665</v>
      </c>
    </row>
    <row r="973" customFormat="false" ht="15" hidden="false" customHeight="false" outlineLevel="0" collapsed="false">
      <c r="A973" s="20" t="n">
        <v>45884</v>
      </c>
      <c r="B973" s="21" t="n">
        <v>634.812256</v>
      </c>
      <c r="C973" s="21" t="n">
        <v>94.764404</v>
      </c>
      <c r="D973" s="22" t="n">
        <f aca="false">LN(B973/B972)</f>
        <v>-0.00234409708066765</v>
      </c>
      <c r="E973" s="22" t="n">
        <f aca="false">LN(C973/C972)</f>
        <v>-0.00151468517095707</v>
      </c>
      <c r="F973" s="22" t="n">
        <f aca="false">LN(Summary!$B$13*EXP(D973)+Summary!$B$14*EXP(E973))</f>
        <v>-0.00201224976132709</v>
      </c>
      <c r="G973" s="22" t="n">
        <f aca="false">EXP(F973)-1</f>
        <v>-0.00201022654407645</v>
      </c>
      <c r="H973" s="21" t="n">
        <f aca="false">EXP(SUM(F722:F973))-1</f>
        <v>0.133925046077481</v>
      </c>
    </row>
    <row r="974" customFormat="false" ht="15" hidden="false" customHeight="false" outlineLevel="0" collapsed="false">
      <c r="A974" s="20" t="n">
        <v>45887</v>
      </c>
      <c r="B974" s="21" t="n">
        <v>634.674194</v>
      </c>
      <c r="C974" s="21" t="n">
        <v>94.659035</v>
      </c>
      <c r="D974" s="22" t="n">
        <f aca="false">LN(B974/B973)</f>
        <v>-0.000217508427197995</v>
      </c>
      <c r="E974" s="22" t="n">
        <f aca="false">LN(C974/C973)</f>
        <v>-0.00111252347042439</v>
      </c>
      <c r="F974" s="22" t="n">
        <f aca="false">LN(Summary!$B$13*EXP(D974)+Summary!$B$14*EXP(E974))</f>
        <v>-0.000575418323995758</v>
      </c>
      <c r="G974" s="22" t="n">
        <f aca="false">EXP(F974)-1</f>
        <v>-0.000575252802621495</v>
      </c>
      <c r="H974" s="21" t="n">
        <f aca="false">EXP(SUM(F723:F974))-1</f>
        <v>0.130320381223217</v>
      </c>
    </row>
    <row r="975" customFormat="false" ht="15" hidden="false" customHeight="false" outlineLevel="0" collapsed="false">
      <c r="A975" s="20" t="n">
        <v>45888</v>
      </c>
      <c r="B975" s="21" t="n">
        <v>631.230957</v>
      </c>
      <c r="C975" s="21" t="n">
        <v>94.841034</v>
      </c>
      <c r="D975" s="22" t="n">
        <f aca="false">LN(B975/B974)</f>
        <v>-0.00543997390116624</v>
      </c>
      <c r="E975" s="22" t="n">
        <f aca="false">LN(C975/C974)</f>
        <v>0.00192083366427326</v>
      </c>
      <c r="F975" s="22" t="n">
        <f aca="false">LN(Summary!$B$13*EXP(D975)+Summary!$B$14*EXP(E975))</f>
        <v>-0.00248914591880562</v>
      </c>
      <c r="G975" s="22" t="n">
        <f aca="false">EXP(F975)-1</f>
        <v>-0.00248605056389906</v>
      </c>
      <c r="H975" s="21" t="n">
        <f aca="false">EXP(SUM(F724:F975))-1</f>
        <v>0.117886439837416</v>
      </c>
    </row>
    <row r="976" customFormat="false" ht="15" hidden="false" customHeight="false" outlineLevel="0" collapsed="false">
      <c r="A976" s="20" t="n">
        <v>45889</v>
      </c>
      <c r="B976" s="21" t="n">
        <v>629.553711</v>
      </c>
      <c r="C976" s="21" t="n">
        <v>94.898483</v>
      </c>
      <c r="D976" s="22" t="n">
        <f aca="false">LN(B976/B975)</f>
        <v>-0.00266063988880272</v>
      </c>
      <c r="E976" s="22" t="n">
        <f aca="false">LN(C976/C975)</f>
        <v>0.000605556529961389</v>
      </c>
      <c r="F976" s="22" t="n">
        <f aca="false">LN(Summary!$B$13*EXP(D976)+Summary!$B$14*EXP(E976))</f>
        <v>-0.00135288087836124</v>
      </c>
      <c r="G976" s="22" t="n">
        <f aca="false">EXP(F976)-1</f>
        <v>-0.00135196614757949</v>
      </c>
      <c r="H976" s="21" t="n">
        <f aca="false">EXP(SUM(F725:F976))-1</f>
        <v>0.113806163869505</v>
      </c>
    </row>
    <row r="977" customFormat="false" ht="15" hidden="false" customHeight="false" outlineLevel="0" collapsed="false">
      <c r="A977" s="20" t="n">
        <v>45890</v>
      </c>
      <c r="B977" s="21" t="n">
        <v>627.028076</v>
      </c>
      <c r="C977" s="21" t="n">
        <v>94.6782</v>
      </c>
      <c r="D977" s="22" t="n">
        <f aca="false">LN(B977/B976)</f>
        <v>-0.00401985517720489</v>
      </c>
      <c r="E977" s="22" t="n">
        <f aca="false">LN(C977/C976)</f>
        <v>-0.00232394718226764</v>
      </c>
      <c r="F977" s="22" t="n">
        <f aca="false">LN(Summary!$B$13*EXP(D977)+Summary!$B$14*EXP(E977))</f>
        <v>-0.00334114680777426</v>
      </c>
      <c r="G977" s="22" t="n">
        <f aca="false">EXP(F977)-1</f>
        <v>-0.00333557138793927</v>
      </c>
      <c r="H977" s="21" t="n">
        <f aca="false">EXP(SUM(F726:F977))-1</f>
        <v>0.103276815439602</v>
      </c>
    </row>
    <row r="978" customFormat="false" ht="15" hidden="false" customHeight="false" outlineLevel="0" collapsed="false">
      <c r="A978" s="20" t="n">
        <v>45891</v>
      </c>
      <c r="B978" s="21" t="n">
        <v>636.657227</v>
      </c>
      <c r="C978" s="21" t="n">
        <v>95.204987</v>
      </c>
      <c r="D978" s="22" t="n">
        <f aca="false">LN(B978/B977)</f>
        <v>0.0152400876212666</v>
      </c>
      <c r="E978" s="22" t="n">
        <f aca="false">LN(C978/C977)</f>
        <v>0.00554855182086358</v>
      </c>
      <c r="F978" s="22" t="n">
        <f aca="false">LN(Summary!$B$13*EXP(D978)+Summary!$B$14*EXP(E978))</f>
        <v>0.0113747370840061</v>
      </c>
      <c r="G978" s="22" t="n">
        <f aca="false">EXP(F978)-1</f>
        <v>0.011439675391028</v>
      </c>
      <c r="H978" s="21" t="n">
        <f aca="false">EXP(SUM(F727:F978))-1</f>
        <v>0.115650727851037</v>
      </c>
    </row>
    <row r="979" customFormat="false" ht="15" hidden="false" customHeight="false" outlineLevel="0" collapsed="false">
      <c r="A979" s="20" t="n">
        <v>45894</v>
      </c>
      <c r="B979" s="21" t="n">
        <v>633.855164</v>
      </c>
      <c r="C979" s="21" t="n">
        <v>95.061325</v>
      </c>
      <c r="D979" s="22" t="n">
        <f aca="false">LN(B979/B978)</f>
        <v>-0.00441092517158721</v>
      </c>
      <c r="E979" s="22" t="n">
        <f aca="false">LN(C979/C978)</f>
        <v>-0.00151011522524436</v>
      </c>
      <c r="F979" s="22" t="n">
        <f aca="false">LN(Summary!$B$13*EXP(D979)+Summary!$B$14*EXP(E979))</f>
        <v>-0.00324959123428483</v>
      </c>
      <c r="G979" s="22" t="n">
        <f aca="false">EXP(F979)-1</f>
        <v>-0.00324431702724226</v>
      </c>
      <c r="H979" s="21" t="n">
        <f aca="false">EXP(SUM(F728:F979))-1</f>
        <v>0.108906458011615</v>
      </c>
    </row>
    <row r="980" customFormat="false" ht="15" hidden="false" customHeight="false" outlineLevel="0" collapsed="false">
      <c r="A980" s="20" t="n">
        <v>45895</v>
      </c>
      <c r="B980" s="21" t="n">
        <v>636.509155</v>
      </c>
      <c r="C980" s="21" t="n">
        <v>95.176254</v>
      </c>
      <c r="D980" s="22" t="n">
        <f aca="false">LN(B980/B979)</f>
        <v>0.00417832085095622</v>
      </c>
      <c r="E980" s="22" t="n">
        <f aca="false">LN(C980/C979)</f>
        <v>0.00120826825684317</v>
      </c>
      <c r="F980" s="22" t="n">
        <f aca="false">LN(Summary!$B$13*EXP(D980)+Summary!$B$14*EXP(E980))</f>
        <v>0.0029913581488624</v>
      </c>
      <c r="G980" s="22" t="n">
        <f aca="false">EXP(F980)-1</f>
        <v>0.00299583672521164</v>
      </c>
      <c r="H980" s="21" t="n">
        <f aca="false">EXP(SUM(F729:F980))-1</f>
        <v>0.119322101561054</v>
      </c>
    </row>
    <row r="981" customFormat="false" ht="15" hidden="false" customHeight="false" outlineLevel="0" collapsed="false">
      <c r="A981" s="20" t="n">
        <v>45896</v>
      </c>
      <c r="B981" s="21" t="n">
        <v>637.959534</v>
      </c>
      <c r="C981" s="21" t="n">
        <v>95.272041</v>
      </c>
      <c r="D981" s="22" t="n">
        <f aca="false">LN(B981/B980)</f>
        <v>0.00227605376051889</v>
      </c>
      <c r="E981" s="22" t="n">
        <f aca="false">LN(C981/C980)</f>
        <v>0.00100591090171628</v>
      </c>
      <c r="F981" s="22" t="n">
        <f aca="false">LN(Summary!$B$13*EXP(D981)+Summary!$B$14*EXP(E981))</f>
        <v>0.00176819019213952</v>
      </c>
      <c r="G981" s="22" t="n">
        <f aca="false">EXP(F981)-1</f>
        <v>0.00176975436219817</v>
      </c>
      <c r="H981" s="21" t="n">
        <f aca="false">EXP(SUM(F730:F981))-1</f>
        <v>0.112172381153522</v>
      </c>
    </row>
    <row r="982" customFormat="false" ht="15" hidden="false" customHeight="false" outlineLevel="0" collapsed="false">
      <c r="A982" s="20" t="n">
        <v>45897</v>
      </c>
      <c r="B982" s="21" t="n">
        <v>640.21875</v>
      </c>
      <c r="C982" s="21" t="n">
        <v>95.386971</v>
      </c>
      <c r="D982" s="22" t="n">
        <f aca="false">LN(B982/B981)</f>
        <v>0.00353505982850594</v>
      </c>
      <c r="E982" s="22" t="n">
        <f aca="false">LN(C982/C981)</f>
        <v>0.00120560798794868</v>
      </c>
      <c r="F982" s="22" t="n">
        <f aca="false">LN(Summary!$B$13*EXP(D982)+Summary!$B$14*EXP(E982))</f>
        <v>0.00260393015253554</v>
      </c>
      <c r="G982" s="22" t="n">
        <f aca="false">EXP(F982)-1</f>
        <v>0.00260732332320912</v>
      </c>
      <c r="H982" s="21" t="n">
        <f aca="false">EXP(SUM(F731:F982))-1</f>
        <v>0.117069014077625</v>
      </c>
    </row>
    <row r="983" customFormat="false" ht="15" hidden="false" customHeight="false" outlineLevel="0" collapsed="false">
      <c r="A983" s="20" t="n">
        <v>45898</v>
      </c>
      <c r="B983" s="21" t="n">
        <v>636.400635</v>
      </c>
      <c r="C983" s="21" t="n">
        <v>95.262451</v>
      </c>
      <c r="D983" s="22" t="n">
        <f aca="false">LN(B983/B982)</f>
        <v>-0.00598162056621276</v>
      </c>
      <c r="E983" s="22" t="n">
        <f aca="false">LN(C983/C982)</f>
        <v>-0.00130627217643699</v>
      </c>
      <c r="F983" s="22" t="n">
        <f aca="false">LN(Summary!$B$13*EXP(D983)+Summary!$B$14*EXP(E983))</f>
        <v>-0.00410885732891558</v>
      </c>
      <c r="G983" s="22" t="n">
        <f aca="false">EXP(F983)-1</f>
        <v>-0.00410042752421469</v>
      </c>
      <c r="H983" s="21" t="n">
        <f aca="false">EXP(SUM(F732:F983))-1</f>
        <v>0.111440503928014</v>
      </c>
    </row>
    <row r="984" customFormat="false" ht="15" hidden="false" customHeight="false" outlineLevel="0" collapsed="false">
      <c r="A984" s="20" t="n">
        <v>45902</v>
      </c>
      <c r="B984" s="21" t="n">
        <v>631.684753</v>
      </c>
      <c r="C984" s="21" t="n">
        <v>95.00972</v>
      </c>
      <c r="D984" s="22" t="n">
        <f aca="false">LN(B984/B983)</f>
        <v>-0.00743783310707297</v>
      </c>
      <c r="E984" s="22" t="n">
        <f aca="false">LN(C984/C983)</f>
        <v>-0.00265652246779924</v>
      </c>
      <c r="F984" s="22" t="n">
        <f aca="false">LN(Summary!$B$13*EXP(D984)+Summary!$B$14*EXP(E984))</f>
        <v>-0.00552256466745164</v>
      </c>
      <c r="G984" s="22" t="n">
        <f aca="false">EXP(F984)-1</f>
        <v>-0.00550734334034353</v>
      </c>
      <c r="H984" s="21" t="n">
        <f aca="false">EXP(SUM(F733:F984))-1</f>
        <v>0.109580967415413</v>
      </c>
    </row>
    <row r="985" customFormat="false" ht="15" hidden="false" customHeight="false" outlineLevel="0" collapsed="false">
      <c r="A985" s="20" t="n">
        <v>45903</v>
      </c>
      <c r="B985" s="21" t="n">
        <v>635.108215</v>
      </c>
      <c r="C985" s="21" t="n">
        <v>95.355659</v>
      </c>
      <c r="D985" s="22" t="n">
        <f aca="false">LN(B985/B984)</f>
        <v>0.00540494053995706</v>
      </c>
      <c r="E985" s="22" t="n">
        <f aca="false">LN(C985/C984)</f>
        <v>0.00363447789321673</v>
      </c>
      <c r="F985" s="22" t="n">
        <f aca="false">LN(Summary!$B$13*EXP(D985)+Summary!$B$14*EXP(E985))</f>
        <v>0.00469713158137912</v>
      </c>
      <c r="G985" s="22" t="n">
        <f aca="false">EXP(F985)-1</f>
        <v>0.00470818039639798</v>
      </c>
      <c r="H985" s="21" t="n">
        <f aca="false">EXP(SUM(F734:F985))-1</f>
        <v>0.115321550462276</v>
      </c>
    </row>
    <row r="986" customFormat="false" ht="15" hidden="false" customHeight="false" outlineLevel="0" collapsed="false">
      <c r="A986" s="20" t="n">
        <v>45904</v>
      </c>
      <c r="B986" s="21" t="n">
        <v>640.416138</v>
      </c>
      <c r="C986" s="21" t="n">
        <v>95.740036</v>
      </c>
      <c r="D986" s="22" t="n">
        <f aca="false">LN(B986/B985)</f>
        <v>0.00832277898398242</v>
      </c>
      <c r="E986" s="22" t="n">
        <f aca="false">LN(C986/C985)</f>
        <v>0.00402287993334769</v>
      </c>
      <c r="F986" s="22" t="n">
        <f aca="false">LN(Summary!$B$13*EXP(D986)+Summary!$B$14*EXP(E986))</f>
        <v>0.00660503742203582</v>
      </c>
      <c r="G986" s="22" t="n">
        <f aca="false">EXP(F986)-1</f>
        <v>0.0066268987869158</v>
      </c>
      <c r="H986" s="21" t="n">
        <f aca="false">EXP(SUM(F735:F986))-1</f>
        <v>0.117380130498206</v>
      </c>
    </row>
    <row r="987" customFormat="false" ht="15" hidden="false" customHeight="false" outlineLevel="0" collapsed="false">
      <c r="A987" s="20" t="n">
        <v>45905</v>
      </c>
      <c r="B987" s="21" t="n">
        <v>638.561279</v>
      </c>
      <c r="C987" s="21" t="n">
        <v>96.191704</v>
      </c>
      <c r="D987" s="22" t="n">
        <f aca="false">LN(B987/B986)</f>
        <v>-0.00290053643758404</v>
      </c>
      <c r="E987" s="22" t="n">
        <f aca="false">LN(C987/C986)</f>
        <v>0.00470655696412402</v>
      </c>
      <c r="F987" s="22" t="n">
        <f aca="false">LN(Summary!$B$13*EXP(D987)+Summary!$B$14*EXP(E987))</f>
        <v>0.000149248574398854</v>
      </c>
      <c r="G987" s="22" t="n">
        <f aca="false">EXP(F987)-1</f>
        <v>0.000149259712521443</v>
      </c>
      <c r="H987" s="21" t="n">
        <f aca="false">EXP(SUM(F736:F987))-1</f>
        <v>0.129586433097175</v>
      </c>
    </row>
    <row r="988" customFormat="false" ht="15" hidden="false" customHeight="false" outlineLevel="0" collapsed="false">
      <c r="A988" s="20" t="n">
        <v>45908</v>
      </c>
      <c r="B988" s="21" t="n">
        <v>640.129883</v>
      </c>
      <c r="C988" s="21" t="n">
        <v>96.518417</v>
      </c>
      <c r="D988" s="22" t="n">
        <f aca="false">LN(B988/B987)</f>
        <v>0.00245345370869532</v>
      </c>
      <c r="E988" s="22" t="n">
        <f aca="false">LN(C988/C987)</f>
        <v>0.00339072292957856</v>
      </c>
      <c r="F988" s="22" t="n">
        <f aca="false">LN(Summary!$B$13*EXP(D988)+Summary!$B$14*EXP(E988))</f>
        <v>0.00282846682046319</v>
      </c>
      <c r="G988" s="22" t="n">
        <f aca="false">EXP(F988)-1</f>
        <v>0.0028324707068037</v>
      </c>
      <c r="H988" s="21" t="n">
        <f aca="false">EXP(SUM(F737:F988))-1</f>
        <v>0.13219101767891</v>
      </c>
    </row>
    <row r="989" customFormat="false" ht="15" hidden="false" customHeight="false" outlineLevel="0" collapsed="false">
      <c r="A989" s="20" t="n">
        <v>45909</v>
      </c>
      <c r="B989" s="21" t="n">
        <v>641.609802</v>
      </c>
      <c r="C989" s="21" t="n">
        <v>96.326233</v>
      </c>
      <c r="D989" s="22" t="n">
        <f aca="false">LN(B989/B988)</f>
        <v>0.00230923591579004</v>
      </c>
      <c r="E989" s="22" t="n">
        <f aca="false">LN(C989/C988)</f>
        <v>-0.00199314903082036</v>
      </c>
      <c r="F989" s="22" t="n">
        <f aca="false">LN(Summary!$B$13*EXP(D989)+Summary!$B$14*EXP(E989))</f>
        <v>0.000590502560471816</v>
      </c>
      <c r="G989" s="22" t="n">
        <f aca="false">EXP(F989)-1</f>
        <v>0.000590676941431223</v>
      </c>
      <c r="H989" s="21" t="n">
        <f aca="false">EXP(SUM(F738:F989))-1</f>
        <v>0.133344380317685</v>
      </c>
    </row>
    <row r="990" customFormat="false" ht="15" hidden="false" customHeight="false" outlineLevel="0" collapsed="false">
      <c r="A990" s="20" t="n">
        <v>45910</v>
      </c>
      <c r="B990" s="21" t="n">
        <v>643.4646</v>
      </c>
      <c r="C990" s="21" t="n">
        <v>96.518417</v>
      </c>
      <c r="D990" s="22" t="n">
        <f aca="false">LN(B990/B989)</f>
        <v>0.0028866800009458</v>
      </c>
      <c r="E990" s="22" t="n">
        <f aca="false">LN(C990/C989)</f>
        <v>0.00199314903082038</v>
      </c>
      <c r="F990" s="22" t="n">
        <f aca="false">LN(Summary!$B$13*EXP(D990)+Summary!$B$14*EXP(E990))</f>
        <v>0.00252936341489712</v>
      </c>
      <c r="G990" s="22" t="n">
        <f aca="false">EXP(F990)-1</f>
        <v>0.00253256495325505</v>
      </c>
      <c r="H990" s="21" t="n">
        <f aca="false">EXP(SUM(F739:F990))-1</f>
        <v>0.147208694923904</v>
      </c>
    </row>
    <row r="991" customFormat="false" ht="15" hidden="false" customHeight="false" outlineLevel="0" collapsed="false">
      <c r="A991" s="20" t="n">
        <v>45911</v>
      </c>
      <c r="B991" s="21" t="n">
        <v>648.812012</v>
      </c>
      <c r="C991" s="21" t="n">
        <v>96.700996</v>
      </c>
      <c r="D991" s="22" t="n">
        <f aca="false">LN(B991/B990)</f>
        <v>0.00827600294186936</v>
      </c>
      <c r="E991" s="22" t="n">
        <f aca="false">LN(C991/C990)</f>
        <v>0.00188986242641454</v>
      </c>
      <c r="F991" s="22" t="n">
        <f aca="false">LN(Summary!$B$13*EXP(D991)+Summary!$B$14*EXP(E991))</f>
        <v>0.00572643857970203</v>
      </c>
      <c r="G991" s="22" t="n">
        <f aca="false">EXP(F991)-1</f>
        <v>0.00574286597095197</v>
      </c>
      <c r="H991" s="21" t="n">
        <f aca="false">EXP(SUM(F740:F991))-1</f>
        <v>0.145423320294218</v>
      </c>
    </row>
    <row r="992" customFormat="false" ht="15" hidden="false" customHeight="false" outlineLevel="0" collapsed="false">
      <c r="A992" s="20" t="n">
        <v>45912</v>
      </c>
      <c r="B992" s="21" t="n">
        <v>648.594971</v>
      </c>
      <c r="C992" s="21" t="n">
        <v>96.614517</v>
      </c>
      <c r="D992" s="22" t="n">
        <f aca="false">LN(B992/B991)</f>
        <v>-0.000334576589872808</v>
      </c>
      <c r="E992" s="22" t="n">
        <f aca="false">LN(C992/C991)</f>
        <v>-0.000894692872047852</v>
      </c>
      <c r="F992" s="22" t="n">
        <f aca="false">LN(Summary!$B$13*EXP(D992)+Summary!$B$14*EXP(E992))</f>
        <v>-0.000558585456519115</v>
      </c>
      <c r="G992" s="22" t="n">
        <f aca="false">EXP(F992)-1</f>
        <v>-0.000558429476707034</v>
      </c>
      <c r="H992" s="21" t="n">
        <f aca="false">EXP(SUM(F741:F992))-1</f>
        <v>0.140407905482517</v>
      </c>
    </row>
    <row r="993" customFormat="false" ht="15" hidden="false" customHeight="false" outlineLevel="0" collapsed="false">
      <c r="A993" s="20" t="n">
        <v>45915</v>
      </c>
      <c r="B993" s="21" t="n">
        <v>652.047913</v>
      </c>
      <c r="C993" s="21" t="n">
        <v>96.777885</v>
      </c>
      <c r="D993" s="22" t="n">
        <f aca="false">LN(B993/B992)</f>
        <v>0.00530960520302403</v>
      </c>
      <c r="E993" s="22" t="n">
        <f aca="false">LN(C993/C992)</f>
        <v>0.0016894980068538</v>
      </c>
      <c r="F993" s="22" t="n">
        <f aca="false">LN(Summary!$B$13*EXP(D993)+Summary!$B$14*EXP(E993))</f>
        <v>0.003863134565397</v>
      </c>
      <c r="G993" s="22" t="n">
        <f aca="false">EXP(F993)-1</f>
        <v>0.00387060608779954</v>
      </c>
      <c r="H993" s="21" t="n">
        <f aca="false">EXP(SUM(F742:F993))-1</f>
        <v>0.137951804511174</v>
      </c>
    </row>
    <row r="994" customFormat="false" ht="15" hidden="false" customHeight="false" outlineLevel="0" collapsed="false">
      <c r="A994" s="20" t="n">
        <v>45916</v>
      </c>
      <c r="B994" s="21" t="n">
        <v>651.150146</v>
      </c>
      <c r="C994" s="21" t="n">
        <v>96.816315</v>
      </c>
      <c r="D994" s="22" t="n">
        <f aca="false">LN(B994/B993)</f>
        <v>-0.00137779079061669</v>
      </c>
      <c r="E994" s="22" t="n">
        <f aca="false">LN(C994/C993)</f>
        <v>0.000397016031521512</v>
      </c>
      <c r="F994" s="22" t="n">
        <f aca="false">LN(Summary!$B$13*EXP(D994)+Summary!$B$14*EXP(E994))</f>
        <v>-0.000667490024370148</v>
      </c>
      <c r="G994" s="22" t="n">
        <f aca="false">EXP(F994)-1</f>
        <v>-0.000667267302461472</v>
      </c>
      <c r="H994" s="21" t="n">
        <f aca="false">EXP(SUM(F743:F994))-1</f>
        <v>0.13187302448637</v>
      </c>
    </row>
    <row r="995" customFormat="false" ht="15" hidden="false" customHeight="false" outlineLevel="0" collapsed="false">
      <c r="A995" s="20" t="n">
        <v>45917</v>
      </c>
      <c r="B995" s="21" t="n">
        <v>650.341309</v>
      </c>
      <c r="C995" s="21" t="n">
        <v>96.643349</v>
      </c>
      <c r="D995" s="22" t="n">
        <f aca="false">LN(B995/B994)</f>
        <v>-0.00124293878538096</v>
      </c>
      <c r="E995" s="22" t="n">
        <f aca="false">LN(C995/C994)</f>
        <v>-0.00178813549564727</v>
      </c>
      <c r="F995" s="22" t="n">
        <f aca="false">LN(Summary!$B$13*EXP(D995)+Summary!$B$14*EXP(E995))</f>
        <v>-0.00146098180204991</v>
      </c>
      <c r="G995" s="22" t="n">
        <f aca="false">EXP(F995)-1</f>
        <v>-0.00145991508768362</v>
      </c>
      <c r="H995" s="21" t="n">
        <f aca="false">EXP(SUM(F744:F995))-1</f>
        <v>0.125761510456762</v>
      </c>
    </row>
    <row r="996" customFormat="false" ht="15" hidden="false" customHeight="false" outlineLevel="0" collapsed="false">
      <c r="A996" s="20" t="n">
        <v>45918</v>
      </c>
      <c r="B996" s="21" t="n">
        <v>653.380005</v>
      </c>
      <c r="C996" s="21" t="n">
        <v>96.374298</v>
      </c>
      <c r="D996" s="22" t="n">
        <f aca="false">LN(B996/B995)</f>
        <v>0.00466158138250141</v>
      </c>
      <c r="E996" s="22" t="n">
        <f aca="false">LN(C996/C995)</f>
        <v>-0.00278784016320053</v>
      </c>
      <c r="F996" s="22" t="n">
        <f aca="false">LN(Summary!$B$13*EXP(D996)+Summary!$B$14*EXP(E996))</f>
        <v>0.0016884687092732</v>
      </c>
      <c r="G996" s="22" t="n">
        <f aca="false">EXP(F996)-1</f>
        <v>0.00168989497518646</v>
      </c>
      <c r="H996" s="21" t="n">
        <f aca="false">EXP(SUM(F745:F996))-1</f>
        <v>0.125604337306756</v>
      </c>
    </row>
    <row r="997" customFormat="false" ht="15" hidden="false" customHeight="false" outlineLevel="0" collapsed="false">
      <c r="A997" s="20" t="n">
        <v>45919</v>
      </c>
      <c r="B997" s="21" t="n">
        <v>656.616028</v>
      </c>
      <c r="C997" s="21" t="n">
        <v>96.374298</v>
      </c>
      <c r="D997" s="22" t="n">
        <f aca="false">LN(B997/B996)</f>
        <v>0.00494051814012193</v>
      </c>
      <c r="E997" s="22" t="n">
        <f aca="false">LN(C997/C996)</f>
        <v>0</v>
      </c>
      <c r="F997" s="22" t="n">
        <f aca="false">LN(Summary!$B$13*EXP(D997)+Summary!$B$14*EXP(E997))</f>
        <v>0.00296723896305929</v>
      </c>
      <c r="G997" s="22" t="n">
        <f aca="false">EXP(F997)-1</f>
        <v>0.00297164557400254</v>
      </c>
      <c r="H997" s="21" t="n">
        <f aca="false">EXP(SUM(F746:F997))-1</f>
        <v>0.12911539086134</v>
      </c>
    </row>
    <row r="998" customFormat="false" ht="15" hidden="false" customHeight="false" outlineLevel="0" collapsed="false">
      <c r="A998" s="20" t="n">
        <v>45922</v>
      </c>
      <c r="B998" s="21" t="n">
        <v>659.722534</v>
      </c>
      <c r="C998" s="21" t="n">
        <v>96.258949</v>
      </c>
      <c r="D998" s="22" t="n">
        <f aca="false">LN(B998/B997)</f>
        <v>0.00471992822641988</v>
      </c>
      <c r="E998" s="22" t="n">
        <f aca="false">LN(C998/C997)</f>
        <v>-0.00119760234106026</v>
      </c>
      <c r="F998" s="22" t="n">
        <f aca="false">LN(Summary!$B$13*EXP(D998)+Summary!$B$14*EXP(E998))</f>
        <v>0.00235711639647871</v>
      </c>
      <c r="G998" s="22" t="n">
        <f aca="false">EXP(F998)-1</f>
        <v>0.00235989657930769</v>
      </c>
      <c r="H998" s="21" t="n">
        <f aca="false">EXP(SUM(F747:F998))-1</f>
        <v>0.135226245026129</v>
      </c>
    </row>
    <row r="999" customFormat="false" ht="15" hidden="false" customHeight="false" outlineLevel="0" collapsed="false">
      <c r="A999" s="20" t="n">
        <v>45923</v>
      </c>
      <c r="B999" s="21" t="n">
        <v>656.131226</v>
      </c>
      <c r="C999" s="21" t="n">
        <v>96.41272</v>
      </c>
      <c r="D999" s="22" t="n">
        <f aca="false">LN(B999/B998)</f>
        <v>-0.00545853502306365</v>
      </c>
      <c r="E999" s="22" t="n">
        <f aca="false">LN(C999/C998)</f>
        <v>0.00159619765009388</v>
      </c>
      <c r="F999" s="22" t="n">
        <f aca="false">LN(Summary!$B$13*EXP(D999)+Summary!$B$14*EXP(E999))</f>
        <v>-0.00263066684547141</v>
      </c>
      <c r="G999" s="22" t="n">
        <f aca="false">EXP(F999)-1</f>
        <v>-0.0026272096736657</v>
      </c>
      <c r="H999" s="21" t="n">
        <f aca="false">EXP(SUM(F748:F999))-1</f>
        <v>0.120725093785964</v>
      </c>
    </row>
    <row r="1000" customFormat="false" ht="15" hidden="false" customHeight="false" outlineLevel="0" collapsed="false">
      <c r="A1000" s="20" t="n">
        <v>45924</v>
      </c>
      <c r="B1000" s="21" t="n">
        <v>654.043701</v>
      </c>
      <c r="C1000" s="21" t="n">
        <v>96.230148</v>
      </c>
      <c r="D1000" s="22" t="n">
        <f aca="false">LN(B1000/B999)</f>
        <v>-0.00318663824728963</v>
      </c>
      <c r="E1000" s="22" t="n">
        <f aca="false">LN(C1000/C999)</f>
        <v>-0.00189544577026077</v>
      </c>
      <c r="F1000" s="22" t="n">
        <f aca="false">LN(Summary!$B$13*EXP(D1000)+Summary!$B$14*EXP(E1000))</f>
        <v>-0.00266996117790768</v>
      </c>
      <c r="G1000" s="22" t="n">
        <f aca="false">EXP(F1000)-1</f>
        <v>-0.00266640000166773</v>
      </c>
      <c r="H1000" s="21" t="n">
        <f aca="false">EXP(SUM(F749:F1000))-1</f>
        <v>0.119294222580278</v>
      </c>
    </row>
    <row r="1001" customFormat="false" ht="15" hidden="false" customHeight="false" outlineLevel="0" collapsed="false">
      <c r="A1001" s="20" t="n">
        <v>45925</v>
      </c>
      <c r="B1001" s="21" t="n">
        <v>651.026306</v>
      </c>
      <c r="C1001" s="21" t="n">
        <v>96.095589</v>
      </c>
      <c r="D1001" s="22" t="n">
        <f aca="false">LN(B1001/B1000)</f>
        <v>-0.00462412033137174</v>
      </c>
      <c r="E1001" s="22" t="n">
        <f aca="false">LN(C1001/C1000)</f>
        <v>-0.00139928253029855</v>
      </c>
      <c r="F1001" s="22" t="n">
        <f aca="false">LN(Summary!$B$13*EXP(D1001)+Summary!$B$14*EXP(E1001))</f>
        <v>-0.0033329369936617</v>
      </c>
      <c r="G1001" s="22" t="n">
        <f aca="false">EXP(F1001)-1</f>
        <v>-0.00332738892465956</v>
      </c>
      <c r="H1001" s="21" t="n">
        <f aca="false">EXP(SUM(F750:F1001))-1</f>
        <v>0.114075311353219</v>
      </c>
    </row>
    <row r="1002" customFormat="false" ht="15" hidden="false" customHeight="false" outlineLevel="0" collapsed="false">
      <c r="A1002" s="20" t="n">
        <v>45926</v>
      </c>
      <c r="B1002" s="21" t="n">
        <v>654.756104</v>
      </c>
      <c r="C1002" s="21" t="n">
        <v>96.162865</v>
      </c>
      <c r="D1002" s="22" t="n">
        <f aca="false">LN(B1002/B1001)</f>
        <v>0.00571275599228158</v>
      </c>
      <c r="E1002" s="22" t="n">
        <f aca="false">LN(C1002/C1001)</f>
        <v>0.00069984961749376</v>
      </c>
      <c r="F1002" s="22" t="n">
        <f aca="false">LN(Summary!$B$13*EXP(D1002)+Summary!$B$14*EXP(E1002))</f>
        <v>0.00371060793946519</v>
      </c>
      <c r="G1002" s="22" t="n">
        <f aca="false">EXP(F1002)-1</f>
        <v>0.0037175007679966</v>
      </c>
      <c r="H1002" s="21" t="n">
        <f aca="false">EXP(SUM(F751:F1002))-1</f>
        <v>0.115685546999071</v>
      </c>
    </row>
    <row r="1003" customFormat="false" ht="15" hidden="false" customHeight="false" outlineLevel="0" collapsed="false">
      <c r="A1003" s="20" t="n">
        <v>45929</v>
      </c>
      <c r="B1003" s="21" t="n">
        <v>656.596252</v>
      </c>
      <c r="C1003" s="21" t="n">
        <v>96.345451</v>
      </c>
      <c r="D1003" s="22" t="n">
        <f aca="false">LN(B1003/B1002)</f>
        <v>0.00280649087087977</v>
      </c>
      <c r="E1003" s="22" t="n">
        <f aca="false">LN(C1003/C1002)</f>
        <v>0.00189691602465398</v>
      </c>
      <c r="F1003" s="22" t="n">
        <f aca="false">LN(Summary!$B$13*EXP(D1003)+Summary!$B$14*EXP(E1003))</f>
        <v>0.00244276020553425</v>
      </c>
      <c r="G1003" s="22" t="n">
        <f aca="false">EXP(F1003)-1</f>
        <v>0.00244574617508597</v>
      </c>
      <c r="H1003" s="21" t="n">
        <f aca="false">EXP(SUM(F752:F1003))-1</f>
        <v>0.121620937746952</v>
      </c>
    </row>
    <row r="1004" customFormat="false" ht="15" hidden="false" customHeight="false" outlineLevel="0" collapsed="false">
      <c r="A1004" s="20" t="n">
        <v>45930</v>
      </c>
      <c r="B1004" s="21" t="n">
        <v>659.069519</v>
      </c>
      <c r="C1004" s="21" t="n">
        <v>96.335838</v>
      </c>
      <c r="D1004" s="22" t="n">
        <f aca="false">LN(B1004/B1003)</f>
        <v>0.0037597237352</v>
      </c>
      <c r="E1004" s="22" t="n">
        <f aca="false">LN(C1004/C1003)</f>
        <v>-9.97813545661126E-005</v>
      </c>
      <c r="F1004" s="22" t="n">
        <f aca="false">LN(Summary!$B$13*EXP(D1004)+Summary!$B$14*EXP(E1004))</f>
        <v>0.00221770873193994</v>
      </c>
      <c r="G1004" s="22" t="n">
        <f aca="false">EXP(F1004)-1</f>
        <v>0.00222016966682581</v>
      </c>
      <c r="H1004" s="21" t="n">
        <f aca="false">EXP(SUM(F753:F1004))-1</f>
        <v>0.121355300258191</v>
      </c>
    </row>
    <row r="1005" customFormat="false" ht="15" hidden="false" customHeight="false" outlineLevel="0" collapsed="false">
      <c r="A1005" s="20" t="n">
        <v>45931</v>
      </c>
      <c r="B1005" s="21" t="n">
        <v>661.315308</v>
      </c>
      <c r="C1005" s="21" t="n">
        <v>96.58168</v>
      </c>
      <c r="D1005" s="22" t="n">
        <f aca="false">LN(B1005/B1004)</f>
        <v>0.00340172216419327</v>
      </c>
      <c r="E1005" s="22" t="n">
        <f aca="false">LN(C1005/C1004)</f>
        <v>0.00254867609355568</v>
      </c>
      <c r="F1005" s="22" t="n">
        <f aca="false">LN(Summary!$B$13*EXP(D1005)+Summary!$B$14*EXP(E1005))</f>
        <v>0.00306059105348182</v>
      </c>
      <c r="G1005" s="22" t="n">
        <f aca="false">EXP(F1005)-1</f>
        <v>0.00306527944414214</v>
      </c>
      <c r="H1005" s="21" t="n">
        <f aca="false">EXP(SUM(F754:F1005))-1</f>
        <v>0.124481923908908</v>
      </c>
    </row>
    <row r="1006" customFormat="false" ht="15" hidden="false" customHeight="false" outlineLevel="0" collapsed="false">
      <c r="A1006" s="20" t="n">
        <v>45932</v>
      </c>
      <c r="B1006" s="21" t="n">
        <v>662.076965</v>
      </c>
      <c r="C1006" s="21" t="n">
        <v>96.687737</v>
      </c>
      <c r="D1006" s="22" t="n">
        <f aca="false">LN(B1006/B1005)</f>
        <v>0.00115106775162034</v>
      </c>
      <c r="E1006" s="22" t="n">
        <f aca="false">LN(C1006/C1005)</f>
        <v>0.00109750432625974</v>
      </c>
      <c r="F1006" s="22" t="n">
        <f aca="false">LN(Summary!$B$13*EXP(D1006)+Summary!$B$14*EXP(E1006))</f>
        <v>0.00112964272575969</v>
      </c>
      <c r="G1006" s="22" t="n">
        <f aca="false">EXP(F1006)-1</f>
        <v>0.00113028101242629</v>
      </c>
      <c r="H1006" s="21" t="n">
        <f aca="false">EXP(SUM(F755:F1006))-1</f>
        <v>0.124069244188093</v>
      </c>
    </row>
    <row r="1007" customFormat="false" ht="15" hidden="false" customHeight="false" outlineLevel="0" collapsed="false">
      <c r="A1007" s="20" t="n">
        <v>45933</v>
      </c>
      <c r="B1007" s="21" t="n">
        <v>662.0672</v>
      </c>
      <c r="C1007" s="21" t="n">
        <v>96.58168</v>
      </c>
      <c r="D1007" s="22" t="n">
        <f aca="false">LN(B1007/B1006)</f>
        <v>-1.47491493121611E-005</v>
      </c>
      <c r="E1007" s="22" t="n">
        <f aca="false">LN(C1007/C1006)</f>
        <v>-0.00109750432625976</v>
      </c>
      <c r="F1007" s="22" t="n">
        <f aca="false">LN(Summary!$B$13*EXP(D1007)+Summary!$B$14*EXP(E1007))</f>
        <v>-0.000447710547199526</v>
      </c>
      <c r="G1007" s="22" t="n">
        <f aca="false">EXP(F1007)-1</f>
        <v>-0.000447610339787685</v>
      </c>
      <c r="H1007" s="21" t="n">
        <f aca="false">EXP(SUM(F756:F1007))-1</f>
        <v>0.128437887471403</v>
      </c>
    </row>
    <row r="1008" customFormat="false" ht="15" hidden="false" customHeight="false" outlineLevel="0" collapsed="false">
      <c r="A1008" s="20" t="n">
        <v>45936</v>
      </c>
      <c r="B1008" s="21" t="n">
        <v>664.441589</v>
      </c>
      <c r="C1008" s="21" t="n">
        <v>96.369598</v>
      </c>
      <c r="D1008" s="22" t="n">
        <f aca="false">LN(B1008/B1007)</f>
        <v>0.00357991074840842</v>
      </c>
      <c r="E1008" s="22" t="n">
        <f aca="false">LN(C1008/C1007)</f>
        <v>-0.00219829676803014</v>
      </c>
      <c r="F1008" s="22" t="n">
        <f aca="false">LN(Summary!$B$13*EXP(D1008)+Summary!$B$14*EXP(E1008))</f>
        <v>0.00127263271541768</v>
      </c>
      <c r="G1008" s="22" t="n">
        <f aca="false">EXP(F1008)-1</f>
        <v>0.0012734428560659</v>
      </c>
      <c r="H1008" s="21" t="n">
        <f aca="false">EXP(SUM(F757:F1008))-1</f>
        <v>0.130526616290981</v>
      </c>
    </row>
    <row r="1009" customFormat="false" ht="15" hidden="false" customHeight="false" outlineLevel="0" collapsed="false">
      <c r="A1009" s="20" t="n">
        <v>45937</v>
      </c>
      <c r="B1009" s="21" t="n">
        <v>661.978149</v>
      </c>
      <c r="C1009" s="21" t="n">
        <v>96.533463</v>
      </c>
      <c r="D1009" s="22" t="n">
        <f aca="false">LN(B1009/B1008)</f>
        <v>-0.00371442426820816</v>
      </c>
      <c r="E1009" s="22" t="n">
        <f aca="false">LN(C1009/C1008)</f>
        <v>0.00169893664273994</v>
      </c>
      <c r="F1009" s="22" t="n">
        <f aca="false">LN(Summary!$B$13*EXP(D1009)+Summary!$B$14*EXP(E1009))</f>
        <v>-0.00154556210136309</v>
      </c>
      <c r="G1009" s="22" t="n">
        <f aca="false">EXP(F1009)-1</f>
        <v>-0.00154436833535088</v>
      </c>
      <c r="H1009" s="21" t="n">
        <f aca="false">EXP(SUM(F758:F1009))-1</f>
        <v>0.131859651567856</v>
      </c>
    </row>
    <row r="1010" customFormat="false" ht="15" hidden="false" customHeight="false" outlineLevel="0" collapsed="false">
      <c r="A1010" s="20" t="n">
        <v>45938</v>
      </c>
      <c r="B1010" s="21" t="n">
        <v>665.925537</v>
      </c>
      <c r="C1010" s="21" t="n">
        <v>96.543114</v>
      </c>
      <c r="D1010" s="22" t="n">
        <f aca="false">LN(B1010/B1009)</f>
        <v>0.00594531014391479</v>
      </c>
      <c r="E1010" s="22" t="n">
        <f aca="false">LN(C1010/C1009)</f>
        <v>9.99706972021958E-005</v>
      </c>
      <c r="F1010" s="22" t="n">
        <f aca="false">LN(Summary!$B$13*EXP(D1010)+Summary!$B$14*EXP(E1010))</f>
        <v>0.00361127292149977</v>
      </c>
      <c r="G1010" s="22" t="n">
        <f aca="false">EXP(F1010)-1</f>
        <v>0.00361780142392565</v>
      </c>
      <c r="H1010" s="21" t="n">
        <f aca="false">EXP(SUM(F759:F1010))-1</f>
        <v>0.132705790120393</v>
      </c>
    </row>
    <row r="1011" customFormat="false" ht="15" hidden="false" customHeight="false" outlineLevel="0" collapsed="false">
      <c r="A1011" s="20" t="n">
        <v>45939</v>
      </c>
      <c r="B1011" s="21" t="n">
        <v>663.996399</v>
      </c>
      <c r="C1011" s="21" t="n">
        <v>96.427414</v>
      </c>
      <c r="D1011" s="22" t="n">
        <f aca="false">LN(B1011/B1010)</f>
        <v>-0.00290113171433459</v>
      </c>
      <c r="E1011" s="22" t="n">
        <f aca="false">LN(C1011/C1010)</f>
        <v>-0.00119914698957835</v>
      </c>
      <c r="F1011" s="22" t="n">
        <f aca="false">LN(Summary!$B$13*EXP(D1011)+Summary!$B$14*EXP(E1011))</f>
        <v>-0.0022199901747869</v>
      </c>
      <c r="G1011" s="22" t="n">
        <f aca="false">EXP(F1011)-1</f>
        <v>-0.00221752781907103</v>
      </c>
      <c r="H1011" s="21" t="n">
        <f aca="false">EXP(SUM(F760:F1011))-1</f>
        <v>0.137914577026703</v>
      </c>
    </row>
    <row r="1012" customFormat="false" ht="15" hidden="false" customHeight="false" outlineLevel="0" collapsed="false">
      <c r="A1012" s="20" t="n">
        <v>45940</v>
      </c>
      <c r="B1012" s="21" t="n">
        <v>646.049988</v>
      </c>
      <c r="C1012" s="21" t="n">
        <v>96.822693</v>
      </c>
      <c r="D1012" s="22" t="n">
        <f aca="false">LN(B1012/B1011)</f>
        <v>-0.0273998446751418</v>
      </c>
      <c r="E1012" s="22" t="n">
        <f aca="false">LN(C1012/C1011)</f>
        <v>0.00409085984365095</v>
      </c>
      <c r="F1012" s="22" t="n">
        <f aca="false">LN(Summary!$B$13*EXP(D1012)+Summary!$B$14*EXP(E1012))</f>
        <v>-0.0146843176553984</v>
      </c>
      <c r="G1012" s="22" t="n">
        <f aca="false">EXP(F1012)-1</f>
        <v>-0.0145770288591489</v>
      </c>
      <c r="H1012" s="21" t="n">
        <f aca="false">EXP(SUM(F761:F1012))-1</f>
        <v>0.1142437397844</v>
      </c>
    </row>
    <row r="1013" customFormat="false" ht="15" hidden="false" customHeight="false" outlineLevel="0" collapsed="false">
      <c r="A1013" s="20" t="n">
        <v>45943</v>
      </c>
      <c r="B1013" s="21" t="n">
        <v>655.963013</v>
      </c>
      <c r="C1013" s="21" t="n">
        <v>97.005875</v>
      </c>
      <c r="D1013" s="22" t="n">
        <f aca="false">LN(B1013/B1012)</f>
        <v>0.0152275231387628</v>
      </c>
      <c r="E1013" s="22" t="n">
        <f aca="false">LN(C1013/C1012)</f>
        <v>0.00189014505371642</v>
      </c>
      <c r="F1013" s="22" t="n">
        <f aca="false">LN(Summary!$B$13*EXP(D1013)+Summary!$B$14*EXP(E1013))</f>
        <v>0.0099138990641086</v>
      </c>
      <c r="G1013" s="22" t="n">
        <f aca="false">EXP(F1013)-1</f>
        <v>0.00996320456331579</v>
      </c>
      <c r="H1013" s="21" t="n">
        <f aca="false">EXP(SUM(F762:F1013))-1</f>
        <v>0.121852022717414</v>
      </c>
    </row>
    <row r="1014" customFormat="false" ht="15" hidden="false" customHeight="false" outlineLevel="0" collapsed="false">
      <c r="A1014" s="20" t="n">
        <v>45944</v>
      </c>
      <c r="B1014" s="21" t="n">
        <v>655.161682</v>
      </c>
      <c r="C1014" s="21" t="n">
        <v>97.160126</v>
      </c>
      <c r="D1014" s="22" t="n">
        <f aca="false">LN(B1014/B1013)</f>
        <v>-0.00122235680989311</v>
      </c>
      <c r="E1014" s="22" t="n">
        <f aca="false">LN(C1014/C1013)</f>
        <v>0.00158885728351738</v>
      </c>
      <c r="F1014" s="22" t="n">
        <f aca="false">LN(Summary!$B$13*EXP(D1014)+Summary!$B$14*EXP(E1014))</f>
        <v>-9.69226441078034E-005</v>
      </c>
      <c r="G1014" s="22" t="n">
        <f aca="false">EXP(F1014)-1</f>
        <v>-9.69179472600779E-005</v>
      </c>
      <c r="H1014" s="21" t="n">
        <f aca="false">EXP(SUM(F763:F1014))-1</f>
        <v>0.12319349577037</v>
      </c>
    </row>
    <row r="1015" customFormat="false" ht="15" hidden="false" customHeight="false" outlineLevel="0" collapsed="false">
      <c r="A1015" s="20" t="n">
        <v>45945</v>
      </c>
      <c r="B1015" s="21" t="n">
        <v>658.070251</v>
      </c>
      <c r="C1015" s="21" t="n">
        <v>97.121544</v>
      </c>
      <c r="D1015" s="22" t="n">
        <f aca="false">LN(B1015/B1014)</f>
        <v>0.00442964214140522</v>
      </c>
      <c r="E1015" s="22" t="n">
        <f aca="false">LN(C1015/C1014)</f>
        <v>-0.000397175919964027</v>
      </c>
      <c r="F1015" s="22" t="n">
        <f aca="false">LN(Summary!$B$13*EXP(D1015)+Summary!$B$14*EXP(E1015))</f>
        <v>0.00250170979553458</v>
      </c>
      <c r="G1015" s="22" t="n">
        <f aca="false">EXP(F1015)-1</f>
        <v>0.00250484168263143</v>
      </c>
      <c r="H1015" s="21" t="n">
        <f aca="false">EXP(SUM(F764:F1015))-1</f>
        <v>0.121840910624786</v>
      </c>
    </row>
    <row r="1016" customFormat="false" ht="15" hidden="false" customHeight="false" outlineLevel="0" collapsed="false">
      <c r="A1016" s="20" t="n">
        <v>45946</v>
      </c>
      <c r="B1016" s="21" t="n">
        <v>653.588684</v>
      </c>
      <c r="C1016" s="21" t="n">
        <v>97.468643</v>
      </c>
      <c r="D1016" s="22" t="n">
        <f aca="false">LN(B1016/B1015)</f>
        <v>-0.00683346000966808</v>
      </c>
      <c r="E1016" s="22" t="n">
        <f aca="false">LN(C1016/C1015)</f>
        <v>0.00356749097658361</v>
      </c>
      <c r="F1016" s="22" t="n">
        <f aca="false">LN(Summary!$B$13*EXP(D1016)+Summary!$B$14*EXP(E1016))</f>
        <v>-0.00266008909160017</v>
      </c>
      <c r="G1016" s="22" t="n">
        <f aca="false">EXP(F1016)-1</f>
        <v>-0.00265655418969191</v>
      </c>
      <c r="H1016" s="21" t="n">
        <f aca="false">EXP(SUM(F765:F1016))-1</f>
        <v>0.113798161283676</v>
      </c>
    </row>
    <row r="1017" customFormat="false" ht="15" hidden="false" customHeight="false" outlineLevel="0" collapsed="false">
      <c r="A1017" s="20" t="n">
        <v>45947</v>
      </c>
      <c r="B1017" s="21" t="n">
        <v>657.298645</v>
      </c>
      <c r="C1017" s="21" t="n">
        <v>97.333649</v>
      </c>
      <c r="D1017" s="22" t="n">
        <f aca="false">LN(B1017/B1016)</f>
        <v>0.0056602437494205</v>
      </c>
      <c r="E1017" s="22" t="n">
        <f aca="false">LN(C1017/C1016)</f>
        <v>-0.00138595927412373</v>
      </c>
      <c r="F1017" s="22" t="n">
        <f aca="false">LN(Summary!$B$13*EXP(D1017)+Summary!$B$14*EXP(E1017))</f>
        <v>0.00284771760772142</v>
      </c>
      <c r="G1017" s="22" t="n">
        <f aca="false">EXP(F1017)-1</f>
        <v>0.00285177620717536</v>
      </c>
      <c r="H1017" s="21" t="n">
        <f aca="false">EXP(SUM(F766:F1017))-1</f>
        <v>0.120394280729188</v>
      </c>
    </row>
    <row r="1018" customFormat="false" ht="15" hidden="false" customHeight="false" outlineLevel="0" collapsed="false">
      <c r="A1018" s="20" t="n">
        <v>45950</v>
      </c>
      <c r="B1018" s="21" t="n">
        <v>664.134827</v>
      </c>
      <c r="C1018" s="21" t="n">
        <v>97.497551</v>
      </c>
      <c r="D1018" s="22" t="n">
        <f aca="false">LN(B1018/B1017)</f>
        <v>0.0103467077710232</v>
      </c>
      <c r="E1018" s="22" t="n">
        <f aca="false">LN(C1018/C1017)</f>
        <v>0.00168250299402476</v>
      </c>
      <c r="F1018" s="22" t="n">
        <f aca="false">LN(Summary!$B$13*EXP(D1018)+Summary!$B$14*EXP(E1018))</f>
        <v>0.00689002884552862</v>
      </c>
      <c r="G1018" s="22" t="n">
        <f aca="false">EXP(F1018)-1</f>
        <v>0.00691381970278537</v>
      </c>
      <c r="H1018" s="21" t="n">
        <f aca="false">EXP(SUM(F767:F1018))-1</f>
        <v>0.124621789160715</v>
      </c>
    </row>
    <row r="1019" customFormat="false" ht="15" hidden="false" customHeight="false" outlineLevel="0" collapsed="false">
      <c r="A1019" s="20" t="n">
        <v>45951</v>
      </c>
      <c r="B1019" s="21" t="n">
        <v>664.124939</v>
      </c>
      <c r="C1019" s="21" t="n">
        <v>97.593971</v>
      </c>
      <c r="D1019" s="22" t="n">
        <f aca="false">LN(B1019/B1018)</f>
        <v>-1.48886539413978E-005</v>
      </c>
      <c r="E1019" s="22" t="n">
        <f aca="false">LN(C1019/C1018)</f>
        <v>0.000988459230438479</v>
      </c>
      <c r="F1019" s="22" t="n">
        <f aca="false">LN(Summary!$B$13*EXP(D1019)+Summary!$B$14*EXP(E1019))</f>
        <v>0.000386571312724007</v>
      </c>
      <c r="G1019" s="22" t="n">
        <f aca="false">EXP(F1019)-1</f>
        <v>0.000386646041042882</v>
      </c>
      <c r="H1019" s="21" t="n">
        <f aca="false">EXP(SUM(F768:F1019))-1</f>
        <v>0.127209175173833</v>
      </c>
    </row>
    <row r="1020" customFormat="false" ht="15" hidden="false" customHeight="false" outlineLevel="0" collapsed="false">
      <c r="A1020" s="20" t="n">
        <v>45952</v>
      </c>
      <c r="B1020" s="21" t="n">
        <v>660.67218</v>
      </c>
      <c r="C1020" s="21" t="n">
        <v>97.584328</v>
      </c>
      <c r="D1020" s="22" t="n">
        <f aca="false">LN(B1020/B1019)</f>
        <v>-0.00521252162796731</v>
      </c>
      <c r="E1020" s="22" t="n">
        <f aca="false">LN(C1020/C1019)</f>
        <v>-9.88122148543104E-005</v>
      </c>
      <c r="F1020" s="22" t="n">
        <f aca="false">LN(Summary!$B$13*EXP(D1020)+Summary!$B$14*EXP(E1020))</f>
        <v>-0.00316389879306918</v>
      </c>
      <c r="G1020" s="22" t="n">
        <f aca="false">EXP(F1020)-1</f>
        <v>-0.0031588989396828</v>
      </c>
      <c r="H1020" s="21" t="n">
        <f aca="false">EXP(SUM(F769:F1020))-1</f>
        <v>0.120746182712421</v>
      </c>
    </row>
    <row r="1021" customFormat="false" ht="15" hidden="false" customHeight="false" outlineLevel="0" collapsed="false">
      <c r="A1021" s="20" t="n">
        <v>45953</v>
      </c>
      <c r="B1021" s="21" t="n">
        <v>664.589966</v>
      </c>
      <c r="C1021" s="21" t="n">
        <v>97.410789</v>
      </c>
      <c r="D1021" s="22" t="n">
        <f aca="false">LN(B1021/B1020)</f>
        <v>0.00591248671037391</v>
      </c>
      <c r="E1021" s="22" t="n">
        <f aca="false">LN(C1021/C1020)</f>
        <v>-0.0017799322207294</v>
      </c>
      <c r="F1021" s="22" t="n">
        <f aca="false">LN(Summary!$B$13*EXP(D1021)+Summary!$B$14*EXP(E1021))</f>
        <v>0.00284261627814075</v>
      </c>
      <c r="G1021" s="22" t="n">
        <f aca="false">EXP(F1021)-1</f>
        <v>0.00284666034279324</v>
      </c>
      <c r="H1021" s="21" t="n">
        <f aca="false">EXP(SUM(F770:F1021))-1</f>
        <v>0.128177082102839</v>
      </c>
    </row>
    <row r="1022" customFormat="false" ht="15" hidden="false" customHeight="false" outlineLevel="0" collapsed="false">
      <c r="A1022" s="20" t="n">
        <v>45954</v>
      </c>
      <c r="B1022" s="21" t="n">
        <v>670.021362</v>
      </c>
      <c r="C1022" s="21" t="n">
        <v>97.507202</v>
      </c>
      <c r="D1022" s="22" t="n">
        <f aca="false">LN(B1022/B1021)</f>
        <v>0.00813933745549962</v>
      </c>
      <c r="E1022" s="22" t="n">
        <f aca="false">LN(C1022/C1021)</f>
        <v>0.00098926740798271</v>
      </c>
      <c r="F1022" s="22" t="n">
        <f aca="false">LN(Summary!$B$13*EXP(D1022)+Summary!$B$14*EXP(E1022))</f>
        <v>0.00528544132091628</v>
      </c>
      <c r="G1022" s="22" t="n">
        <f aca="false">EXP(F1022)-1</f>
        <v>0.0052994339073642</v>
      </c>
      <c r="H1022" s="21" t="n">
        <f aca="false">EXP(SUM(F771:F1022))-1</f>
        <v>0.13442545384545</v>
      </c>
    </row>
    <row r="1023" customFormat="false" ht="15" hidden="false" customHeight="false" outlineLevel="0" collapsed="false">
      <c r="A1023" s="20" t="n">
        <v>45957</v>
      </c>
      <c r="B1023" s="21" t="n">
        <v>677.926025</v>
      </c>
      <c r="C1023" s="21" t="n">
        <v>97.574684</v>
      </c>
      <c r="D1023" s="22" t="n">
        <f aca="false">LN(B1023/B1022)</f>
        <v>0.0117285788592736</v>
      </c>
      <c r="E1023" s="22" t="n">
        <f aca="false">LN(C1023/C1022)</f>
        <v>0.000691832584513557</v>
      </c>
      <c r="F1023" s="22" t="n">
        <f aca="false">LN(Summary!$B$13*EXP(D1023)+Summary!$B$14*EXP(E1023))</f>
        <v>0.00732848670133968</v>
      </c>
      <c r="G1023" s="22" t="n">
        <f aca="false">EXP(F1023)-1</f>
        <v>0.00735540577852634</v>
      </c>
      <c r="H1023" s="21" t="n">
        <f aca="false">EXP(SUM(F772:F1023))-1</f>
        <v>0.150239360825397</v>
      </c>
    </row>
    <row r="1024" customFormat="false" ht="15" hidden="false" customHeight="false" outlineLevel="0" collapsed="false">
      <c r="A1024" s="20" t="n">
        <v>45958</v>
      </c>
      <c r="B1024" s="21" t="n">
        <v>679.726624</v>
      </c>
      <c r="C1024" s="21" t="n">
        <v>97.632523</v>
      </c>
      <c r="D1024" s="22" t="n">
        <f aca="false">LN(B1024/B1023)</f>
        <v>0.00265251948951209</v>
      </c>
      <c r="E1024" s="22" t="n">
        <f aca="false">LN(C1024/C1023)</f>
        <v>0.00059259084315042</v>
      </c>
      <c r="F1024" s="22" t="n">
        <f aca="false">LN(Summary!$B$13*EXP(D1024)+Summary!$B$14*EXP(E1024))</f>
        <v>0.00182905715768443</v>
      </c>
      <c r="G1024" s="22" t="n">
        <f aca="false">EXP(F1024)-1</f>
        <v>0.00183073090303054</v>
      </c>
      <c r="H1024" s="21" t="n">
        <f aca="false">EXP(SUM(F773:F1024))-1</f>
        <v>0.149966564492497</v>
      </c>
    </row>
    <row r="1025" customFormat="false" ht="15" hidden="false" customHeight="false" outlineLevel="0" collapsed="false">
      <c r="A1025" s="20" t="n">
        <v>45959</v>
      </c>
      <c r="B1025" s="21" t="n">
        <v>680.053162</v>
      </c>
      <c r="C1025" s="21" t="n">
        <v>97.169777</v>
      </c>
      <c r="D1025" s="22" t="n">
        <f aca="false">LN(B1025/B1024)</f>
        <v>0.000480280718449974</v>
      </c>
      <c r="E1025" s="22" t="n">
        <f aca="false">LN(C1025/C1024)</f>
        <v>-0.0047509384684103</v>
      </c>
      <c r="F1025" s="22" t="n">
        <f aca="false">LN(Summary!$B$13*EXP(D1025)+Summary!$B$14*EXP(E1025))</f>
        <v>-0.00160892422633048</v>
      </c>
      <c r="G1025" s="22" t="n">
        <f aca="false">EXP(F1025)-1</f>
        <v>-0.00160763060162183</v>
      </c>
      <c r="H1025" s="21" t="n">
        <f aca="false">EXP(SUM(F774:F1025))-1</f>
        <v>0.149286693287436</v>
      </c>
    </row>
    <row r="1026" customFormat="false" ht="15" hidden="false" customHeight="false" outlineLevel="0" collapsed="false">
      <c r="A1026" s="20" t="n">
        <v>45960</v>
      </c>
      <c r="B1026" s="21" t="n">
        <v>672.573914</v>
      </c>
      <c r="C1026" s="21" t="n">
        <v>96.98658</v>
      </c>
      <c r="D1026" s="22" t="n">
        <f aca="false">LN(B1026/B1025)</f>
        <v>-0.0110589597959757</v>
      </c>
      <c r="E1026" s="22" t="n">
        <f aca="false">LN(C1026/C1025)</f>
        <v>-0.00188710848511054</v>
      </c>
      <c r="F1026" s="22" t="n">
        <f aca="false">LN(Summary!$B$13*EXP(D1026)+Summary!$B$14*EXP(E1026))</f>
        <v>-0.00738011838754066</v>
      </c>
      <c r="G1026" s="22" t="n">
        <f aca="false">EXP(F1026)-1</f>
        <v>-0.00735295218484511</v>
      </c>
      <c r="H1026" s="21" t="n">
        <f aca="false">EXP(SUM(F775:F1026))-1</f>
        <v>0.139462266764734</v>
      </c>
    </row>
    <row r="1027" customFormat="false" ht="15" hidden="false" customHeight="false" outlineLevel="0" collapsed="false">
      <c r="A1027" s="20" t="n">
        <v>45961</v>
      </c>
      <c r="B1027" s="21" t="n">
        <v>674.780029</v>
      </c>
      <c r="C1027" s="21" t="n">
        <v>96.928757</v>
      </c>
      <c r="D1027" s="22" t="n">
        <f aca="false">LN(B1027/B1026)</f>
        <v>0.00327474006808459</v>
      </c>
      <c r="E1027" s="22" t="n">
        <f aca="false">LN(C1027/C1026)</f>
        <v>-0.000596373681508029</v>
      </c>
      <c r="F1027" s="22" t="n">
        <f aca="false">LN(Summary!$B$13*EXP(D1027)+Summary!$B$14*EXP(E1027))</f>
        <v>0.00172809236577436</v>
      </c>
      <c r="G1027" s="22" t="n">
        <f aca="false">EXP(F1027)-1</f>
        <v>0.00172958637785969</v>
      </c>
      <c r="H1027" s="21" t="n">
        <f aca="false">EXP(SUM(F776:F1027))-1</f>
        <v>0.139816692146606</v>
      </c>
    </row>
    <row r="1028" customFormat="false" ht="15" hidden="false" customHeight="false" outlineLevel="0" collapsed="false">
      <c r="A1028" s="20" t="n">
        <v>45964</v>
      </c>
      <c r="B1028" s="21" t="n">
        <v>676.046387</v>
      </c>
      <c r="C1028" s="21" t="n">
        <v>96.809784</v>
      </c>
      <c r="D1028" s="22" t="n">
        <f aca="false">LN(B1028/B1027)</f>
        <v>0.00187493871304187</v>
      </c>
      <c r="E1028" s="22" t="n">
        <f aca="false">LN(C1028/C1027)</f>
        <v>-0.00122818118006994</v>
      </c>
      <c r="F1028" s="22" t="n">
        <f aca="false">LN(Summary!$B$13*EXP(D1028)+Summary!$B$14*EXP(E1028))</f>
        <v>0.000634846038709516</v>
      </c>
      <c r="G1028" s="22" t="n">
        <f aca="false">EXP(F1028)-1</f>
        <v>0.000635047596106331</v>
      </c>
      <c r="H1028" s="21" t="n">
        <f aca="false">EXP(SUM(F777:F1028))-1</f>
        <v>0.143079416285141</v>
      </c>
    </row>
    <row r="1029" customFormat="false" ht="15" hidden="false" customHeight="false" outlineLevel="0" collapsed="false">
      <c r="A1029" s="20" t="n">
        <v>45965</v>
      </c>
      <c r="B1029" s="21" t="n">
        <v>668.032837</v>
      </c>
      <c r="C1029" s="21" t="n">
        <v>96.858147</v>
      </c>
      <c r="D1029" s="22" t="n">
        <f aca="false">LN(B1029/B1028)</f>
        <v>-0.0119243639971174</v>
      </c>
      <c r="E1029" s="22" t="n">
        <f aca="false">LN(C1029/C1028)</f>
        <v>0.000499442532954261</v>
      </c>
      <c r="F1029" s="22" t="n">
        <f aca="false">LN(Summary!$B$13*EXP(D1029)+Summary!$B$14*EXP(E1029))</f>
        <v>-0.00693630403288081</v>
      </c>
      <c r="G1029" s="22" t="n">
        <f aca="false">EXP(F1029)-1</f>
        <v>-0.00691230340001892</v>
      </c>
      <c r="H1029" s="21" t="n">
        <f aca="false">EXP(SUM(F778:F1029))-1</f>
        <v>0.148783411396221</v>
      </c>
    </row>
    <row r="1030" customFormat="false" ht="15" hidden="false" customHeight="false" outlineLevel="0" collapsed="false">
      <c r="A1030" s="20" t="n">
        <v>45966</v>
      </c>
      <c r="B1030" s="21" t="n">
        <v>670.347839</v>
      </c>
      <c r="C1030" s="21" t="n">
        <v>96.597</v>
      </c>
      <c r="D1030" s="22" t="n">
        <f aca="false">LN(B1030/B1029)</f>
        <v>0.00345941083915704</v>
      </c>
      <c r="E1030" s="22" t="n">
        <f aca="false">LN(C1030/C1029)</f>
        <v>-0.00269982125237317</v>
      </c>
      <c r="F1030" s="22" t="n">
        <f aca="false">LN(Summary!$B$13*EXP(D1030)+Summary!$B$14*EXP(E1030))</f>
        <v>0.00100026846375428</v>
      </c>
      <c r="G1030" s="22" t="n">
        <f aca="false">EXP(F1030)-1</f>
        <v>0.00100076889909673</v>
      </c>
      <c r="H1030" s="21" t="n">
        <f aca="false">EXP(SUM(F779:F1030))-1</f>
        <v>0.148850506566894</v>
      </c>
    </row>
    <row r="1031" customFormat="false" ht="15" hidden="false" customHeight="false" outlineLevel="0" collapsed="false">
      <c r="A1031" s="20" t="n">
        <v>45967</v>
      </c>
      <c r="B1031" s="21" t="n">
        <v>663.155457</v>
      </c>
      <c r="C1031" s="21" t="n">
        <v>96.954857</v>
      </c>
      <c r="D1031" s="22" t="n">
        <f aca="false">LN(B1031/B1030)</f>
        <v>-0.010787302539265</v>
      </c>
      <c r="E1031" s="22" t="n">
        <f aca="false">LN(C1031/C1030)</f>
        <v>0.00369779358684588</v>
      </c>
      <c r="F1031" s="22" t="n">
        <f aca="false">LN(Summary!$B$13*EXP(D1031)+Summary!$B$14*EXP(E1031))</f>
        <v>-0.00496806180795549</v>
      </c>
      <c r="G1031" s="22" t="n">
        <f aca="false">EXP(F1031)-1</f>
        <v>-0.00495574140018484</v>
      </c>
      <c r="H1031" s="21" t="n">
        <f aca="false">EXP(SUM(F780:F1031))-1</f>
        <v>0.142716123538841</v>
      </c>
    </row>
    <row r="1032" customFormat="false" ht="15" hidden="false" customHeight="false" outlineLevel="0" collapsed="false">
      <c r="A1032" s="20" t="n">
        <v>45968</v>
      </c>
      <c r="B1032" s="21" t="n">
        <v>663.80835</v>
      </c>
      <c r="C1032" s="21" t="n">
        <v>96.916168</v>
      </c>
      <c r="D1032" s="22" t="n">
        <f aca="false">LN(B1032/B1031)</f>
        <v>0.000984040482853977</v>
      </c>
      <c r="E1032" s="22" t="n">
        <f aca="false">LN(C1032/C1031)</f>
        <v>-0.000399121018869001</v>
      </c>
      <c r="F1032" s="22" t="n">
        <f aca="false">LN(Summary!$B$13*EXP(D1032)+Summary!$B$14*EXP(E1032))</f>
        <v>0.000431005437267973</v>
      </c>
      <c r="G1032" s="22" t="n">
        <f aca="false">EXP(F1032)-1</f>
        <v>0.000431098333457225</v>
      </c>
      <c r="H1032" s="21" t="n">
        <f aca="false">EXP(SUM(F781:F1032))-1</f>
        <v>0.133918948153332</v>
      </c>
    </row>
    <row r="1033" customFormat="false" ht="15" hidden="false" customHeight="false" outlineLevel="0" collapsed="false">
      <c r="A1033" s="20" t="n">
        <v>45971</v>
      </c>
      <c r="B1033" s="21" t="n">
        <v>674.166626</v>
      </c>
      <c r="C1033" s="21" t="n">
        <v>96.877487</v>
      </c>
      <c r="D1033" s="22" t="n">
        <f aca="false">LN(B1033/B1032)</f>
        <v>0.0154838216463051</v>
      </c>
      <c r="E1033" s="22" t="n">
        <f aca="false">LN(C1033/C1032)</f>
        <v>-0.00039919780153459</v>
      </c>
      <c r="F1033" s="22" t="n">
        <f aca="false">LN(Summary!$B$13*EXP(D1033)+Summary!$B$14*EXP(E1033))</f>
        <v>0.00916085397021606</v>
      </c>
      <c r="G1033" s="22" t="n">
        <f aca="false">EXP(F1033)-1</f>
        <v>0.00920294301864777</v>
      </c>
      <c r="H1033" s="21" t="n">
        <f aca="false">EXP(SUM(F782:F1033))-1</f>
        <v>0.131022045069752</v>
      </c>
    </row>
    <row r="1034" customFormat="false" ht="15" hidden="false" customHeight="false" outlineLevel="0" collapsed="false">
      <c r="A1034" s="20" t="n">
        <v>45972</v>
      </c>
      <c r="B1034" s="21" t="n">
        <v>675.709961</v>
      </c>
      <c r="C1034" s="21" t="n">
        <v>97.167648</v>
      </c>
      <c r="D1034" s="22" t="n">
        <f aca="false">LN(B1034/B1033)</f>
        <v>0.00228663225561668</v>
      </c>
      <c r="E1034" s="22" t="n">
        <f aca="false">LN(C1034/C1033)</f>
        <v>0.00299065695480939</v>
      </c>
      <c r="F1034" s="22" t="n">
        <f aca="false">LN(Summary!$B$13*EXP(D1034)+Summary!$B$14*EXP(E1034))</f>
        <v>0.00256830161617749</v>
      </c>
      <c r="G1034" s="22" t="n">
        <f aca="false">EXP(F1034)-1</f>
        <v>0.00257160252808086</v>
      </c>
      <c r="H1034" s="21" t="n">
        <f aca="false">EXP(SUM(F783:F1034))-1</f>
        <v>0.125296706315893</v>
      </c>
    </row>
    <row r="1035" customFormat="false" ht="15" hidden="false" customHeight="false" outlineLevel="0" collapsed="false">
      <c r="A1035" s="20" t="n">
        <v>45973</v>
      </c>
      <c r="B1035" s="21" t="n">
        <v>676.085938</v>
      </c>
      <c r="C1035" s="21" t="n">
        <v>97.12896</v>
      </c>
      <c r="D1035" s="22" t="n">
        <f aca="false">LN(B1035/B1034)</f>
        <v>0.000556262983151464</v>
      </c>
      <c r="E1035" s="22" t="n">
        <f aca="false">LN(C1035/C1034)</f>
        <v>-0.000398236499438008</v>
      </c>
      <c r="F1035" s="22" t="n">
        <f aca="false">LN(Summary!$B$13*EXP(D1035)+Summary!$B$14*EXP(E1035))</f>
        <v>0.000174572511466619</v>
      </c>
      <c r="G1035" s="22" t="n">
        <f aca="false">EXP(F1035)-1</f>
        <v>0.000174587750134236</v>
      </c>
      <c r="H1035" s="21" t="n">
        <f aca="false">EXP(SUM(F784:F1035))-1</f>
        <v>0.12180172584227</v>
      </c>
    </row>
    <row r="1036" customFormat="false" ht="15" hidden="false" customHeight="false" outlineLevel="0" collapsed="false">
      <c r="A1036" s="20" t="n">
        <v>45974</v>
      </c>
      <c r="B1036" s="21" t="n">
        <v>664.867004</v>
      </c>
      <c r="C1036" s="21" t="n">
        <v>96.838799</v>
      </c>
      <c r="D1036" s="22" t="n">
        <f aca="false">LN(B1036/B1035)</f>
        <v>-0.0167331685124911</v>
      </c>
      <c r="E1036" s="22" t="n">
        <f aca="false">LN(C1036/C1035)</f>
        <v>-0.00299184996450796</v>
      </c>
      <c r="F1036" s="22" t="n">
        <f aca="false">LN(Summary!$B$13*EXP(D1036)+Summary!$B$14*EXP(E1036))</f>
        <v>-0.0112139616327839</v>
      </c>
      <c r="G1036" s="22" t="n">
        <f aca="false">EXP(F1036)-1</f>
        <v>-0.0111513195390321</v>
      </c>
      <c r="H1036" s="21" t="n">
        <f aca="false">EXP(SUM(F785:F1036))-1</f>
        <v>0.109649154971868</v>
      </c>
    </row>
    <row r="1037" customFormat="false" ht="15" hidden="false" customHeight="false" outlineLevel="0" collapsed="false">
      <c r="A1037" s="20" t="n">
        <v>45975</v>
      </c>
      <c r="B1037" s="21" t="n">
        <v>664.758118</v>
      </c>
      <c r="C1037" s="21" t="n">
        <v>96.722725</v>
      </c>
      <c r="D1037" s="22" t="n">
        <f aca="false">LN(B1037/B1036)</f>
        <v>-0.000163784511050171</v>
      </c>
      <c r="E1037" s="22" t="n">
        <f aca="false">LN(C1037/C1036)</f>
        <v>-0.00119935007242241</v>
      </c>
      <c r="F1037" s="22" t="n">
        <f aca="false">LN(Summary!$B$13*EXP(D1037)+Summary!$B$14*EXP(E1037))</f>
        <v>-0.000577882056964613</v>
      </c>
      <c r="G1037" s="22" t="n">
        <f aca="false">EXP(F1037)-1</f>
        <v>-0.000577715115287814</v>
      </c>
      <c r="H1037" s="21" t="n">
        <f aca="false">EXP(SUM(F786:F1037))-1</f>
        <v>0.113667461017642</v>
      </c>
    </row>
    <row r="1038" customFormat="false" ht="15" hidden="false" customHeight="false" outlineLevel="0" collapsed="false">
      <c r="A1038" s="20" t="n">
        <v>45978</v>
      </c>
      <c r="B1038" s="21" t="n">
        <v>658.564941</v>
      </c>
      <c r="C1038" s="21" t="n">
        <v>96.742065</v>
      </c>
      <c r="D1038" s="22" t="n">
        <f aca="false">LN(B1038/B1037)</f>
        <v>-0.00936010624765682</v>
      </c>
      <c r="E1038" s="22" t="n">
        <f aca="false">LN(C1038/C1037)</f>
        <v>0.000199933022070029</v>
      </c>
      <c r="F1038" s="22" t="n">
        <f aca="false">LN(Summary!$B$13*EXP(D1038)+Summary!$B$14*EXP(E1038))</f>
        <v>-0.00552511626460954</v>
      </c>
      <c r="G1038" s="22" t="n">
        <f aca="false">EXP(F1038)-1</f>
        <v>-0.00550988088174242</v>
      </c>
      <c r="H1038" s="21" t="n">
        <f aca="false">EXP(SUM(F787:F1038))-1</f>
        <v>0.107299118491123</v>
      </c>
    </row>
    <row r="1039" customFormat="false" ht="15" hidden="false" customHeight="false" outlineLevel="0" collapsed="false">
      <c r="A1039" s="20" t="n">
        <v>45979</v>
      </c>
      <c r="B1039" s="21" t="n">
        <v>653.034607</v>
      </c>
      <c r="C1039" s="21" t="n">
        <v>96.80011</v>
      </c>
      <c r="D1039" s="22" t="n">
        <f aca="false">LN(B1039/B1038)</f>
        <v>-0.00843301110136487</v>
      </c>
      <c r="E1039" s="22" t="n">
        <f aca="false">LN(C1039/C1038)</f>
        <v>0.000599817602962246</v>
      </c>
      <c r="F1039" s="22" t="n">
        <f aca="false">LN(Summary!$B$13*EXP(D1039)+Summary!$B$14*EXP(E1039))</f>
        <v>-0.00481008271359077</v>
      </c>
      <c r="G1039" s="22" t="n">
        <f aca="false">EXP(F1039)-1</f>
        <v>-0.00479853279184861</v>
      </c>
      <c r="H1039" s="21" t="n">
        <f aca="false">EXP(SUM(F788:F1039))-1</f>
        <v>0.106435761169178</v>
      </c>
    </row>
    <row r="1040" customFormat="false" ht="15" hidden="false" customHeight="false" outlineLevel="0" collapsed="false">
      <c r="A1040" s="20" t="n">
        <v>45980</v>
      </c>
      <c r="B1040" s="21" t="n">
        <v>655.557434</v>
      </c>
      <c r="C1040" s="21" t="n">
        <v>96.80011</v>
      </c>
      <c r="D1040" s="22" t="n">
        <f aca="false">LN(B1040/B1039)</f>
        <v>0.00385579316785891</v>
      </c>
      <c r="E1040" s="22" t="n">
        <f aca="false">LN(C1040/C1039)</f>
        <v>0</v>
      </c>
      <c r="F1040" s="22" t="n">
        <f aca="false">LN(Summary!$B$13*EXP(D1040)+Summary!$B$14*EXP(E1040))</f>
        <v>0.00231525949806075</v>
      </c>
      <c r="G1040" s="22" t="n">
        <f aca="false">EXP(F1040)-1</f>
        <v>0.00231794178099332</v>
      </c>
      <c r="H1040" s="21" t="n">
        <f aca="false">EXP(SUM(F789:F1040))-1</f>
        <v>0.117542970793818</v>
      </c>
    </row>
    <row r="1041" customFormat="false" ht="15" hidden="false" customHeight="false" outlineLevel="0" collapsed="false">
      <c r="A1041" s="20" t="n">
        <v>45981</v>
      </c>
      <c r="B1041" s="21" t="n">
        <v>645.565247</v>
      </c>
      <c r="C1041" s="21" t="n">
        <v>96.916168</v>
      </c>
      <c r="D1041" s="22" t="n">
        <f aca="false">LN(B1041/B1040)</f>
        <v>-0.0153596330156208</v>
      </c>
      <c r="E1041" s="22" t="n">
        <f aca="false">LN(C1041/C1040)</f>
        <v>0.00119822675806139</v>
      </c>
      <c r="F1041" s="22" t="n">
        <f aca="false">LN(Summary!$B$13*EXP(D1041)+Summary!$B$14*EXP(E1041))</f>
        <v>-0.00870355359498867</v>
      </c>
      <c r="G1041" s="22" t="n">
        <f aca="false">EXP(F1041)-1</f>
        <v>-0.008665787318757</v>
      </c>
      <c r="H1041" s="21" t="n">
        <f aca="false">EXP(SUM(F790:F1041))-1</f>
        <v>0.104735416628496</v>
      </c>
    </row>
    <row r="1042" customFormat="false" ht="15" hidden="false" customHeight="false" outlineLevel="0" collapsed="false">
      <c r="A1042" s="20" t="n">
        <v>45982</v>
      </c>
      <c r="B1042" s="21" t="n">
        <v>651.99585</v>
      </c>
      <c r="C1042" s="21" t="n">
        <v>97.148293</v>
      </c>
      <c r="D1042" s="22" t="n">
        <f aca="false">LN(B1042/B1041)</f>
        <v>0.00991191191412722</v>
      </c>
      <c r="E1042" s="22" t="n">
        <f aca="false">LN(C1042/C1041)</f>
        <v>0.00239224749864255</v>
      </c>
      <c r="F1042" s="22" t="n">
        <f aca="false">LN(Summary!$B$13*EXP(D1042)+Summary!$B$14*EXP(E1042))</f>
        <v>0.00691082817461701</v>
      </c>
      <c r="G1042" s="22" t="n">
        <f aca="false">EXP(F1042)-1</f>
        <v>0.00693476305248808</v>
      </c>
      <c r="H1042" s="21" t="n">
        <f aca="false">EXP(SUM(F791:F1042))-1</f>
        <v>0.109327919090907</v>
      </c>
    </row>
    <row r="1043" customFormat="false" ht="15" hidden="false" customHeight="false" outlineLevel="0" collapsed="false">
      <c r="A1043" s="20" t="n">
        <v>45985</v>
      </c>
      <c r="B1043" s="21" t="n">
        <v>661.592285</v>
      </c>
      <c r="C1043" s="21" t="n">
        <v>97.341759</v>
      </c>
      <c r="D1043" s="22" t="n">
        <f aca="false">LN(B1043/B1042)</f>
        <v>0.0146112856412222</v>
      </c>
      <c r="E1043" s="22" t="n">
        <f aca="false">LN(C1043/C1042)</f>
        <v>0.00198947001989998</v>
      </c>
      <c r="F1043" s="22" t="n">
        <f aca="false">LN(Summary!$B$13*EXP(D1043)+Summary!$B$14*EXP(E1043))</f>
        <v>0.00958166042253879</v>
      </c>
      <c r="G1043" s="22" t="n">
        <f aca="false">EXP(F1043)-1</f>
        <v>0.00962771149516284</v>
      </c>
      <c r="H1043" s="21" t="n">
        <f aca="false">EXP(SUM(F792:F1043))-1</f>
        <v>0.120238359701349</v>
      </c>
    </row>
    <row r="1044" customFormat="false" ht="15" hidden="false" customHeight="false" outlineLevel="0" collapsed="false">
      <c r="A1044" s="20" t="n">
        <v>45986</v>
      </c>
      <c r="B1044" s="21" t="n">
        <v>667.815186</v>
      </c>
      <c r="C1044" s="21" t="n">
        <v>97.496506</v>
      </c>
      <c r="D1044" s="22" t="n">
        <f aca="false">LN(B1044/B1043)</f>
        <v>0.00936198507547261</v>
      </c>
      <c r="E1044" s="22" t="n">
        <f aca="false">LN(C1044/C1043)</f>
        <v>0.00158846654211864</v>
      </c>
      <c r="F1044" s="22" t="n">
        <f aca="false">LN(Summary!$B$13*EXP(D1044)+Summary!$B$14*EXP(E1044))</f>
        <v>0.00625982519905246</v>
      </c>
      <c r="G1044" s="22" t="n">
        <f aca="false">EXP(F1044)-1</f>
        <v>0.00627945885117742</v>
      </c>
      <c r="H1044" s="21" t="n">
        <f aca="false">EXP(SUM(F793:F1044))-1</f>
        <v>0.123882602609887</v>
      </c>
    </row>
    <row r="1045" customFormat="false" ht="15" hidden="false" customHeight="false" outlineLevel="0" collapsed="false">
      <c r="A1045" s="20" t="n">
        <v>45987</v>
      </c>
      <c r="B1045" s="21" t="n">
        <v>672.425415</v>
      </c>
      <c r="C1045" s="21" t="n">
        <v>97.651268</v>
      </c>
      <c r="D1045" s="22" t="n">
        <f aca="false">LN(B1045/B1044)</f>
        <v>0.00687973066973794</v>
      </c>
      <c r="E1045" s="22" t="n">
        <f aca="false">LN(C1045/C1044)</f>
        <v>0.00158610092518675</v>
      </c>
      <c r="F1045" s="22" t="n">
        <f aca="false">LN(Summary!$B$13*EXP(D1045)+Summary!$B$14*EXP(E1045))</f>
        <v>0.00476564028364355</v>
      </c>
      <c r="G1045" s="22" t="n">
        <f aca="false">EXP(F1045)-1</f>
        <v>0.00477701400781516</v>
      </c>
      <c r="H1045" s="21" t="n">
        <f aca="false">EXP(SUM(F794:F1045))-1</f>
        <v>0.126833058325721</v>
      </c>
    </row>
    <row r="1046" customFormat="false" ht="15" hidden="false" customHeight="false" outlineLevel="0" collapsed="false">
      <c r="A1046" s="20" t="n">
        <v>45989</v>
      </c>
      <c r="B1046" s="21" t="n">
        <v>676.095825</v>
      </c>
      <c r="C1046" s="21" t="n">
        <v>97.515854</v>
      </c>
      <c r="D1046" s="22" t="n">
        <f aca="false">LN(B1046/B1045)</f>
        <v>0.00544362069338868</v>
      </c>
      <c r="E1046" s="22" t="n">
        <f aca="false">LN(C1046/C1045)</f>
        <v>-0.0013876724762055</v>
      </c>
      <c r="F1046" s="22" t="n">
        <f aca="false">LN(Summary!$B$13*EXP(D1046)+Summary!$B$14*EXP(E1046))</f>
        <v>0.00271670085360021</v>
      </c>
      <c r="G1046" s="22" t="n">
        <f aca="false">EXP(F1046)-1</f>
        <v>0.00272039442938699</v>
      </c>
      <c r="H1046" s="21" t="n">
        <f aca="false">EXP(SUM(F795:F1046))-1</f>
        <v>0.123568294361892</v>
      </c>
    </row>
    <row r="1047" customFormat="false" ht="15" hidden="false" customHeight="false" outlineLevel="0" collapsed="false">
      <c r="A1047" s="20" t="n">
        <v>45992</v>
      </c>
      <c r="B1047" s="21" t="n">
        <v>673.009094</v>
      </c>
      <c r="C1047" s="21" t="n">
        <v>97.094719</v>
      </c>
      <c r="D1047" s="22" t="n">
        <f aca="false">LN(B1047/B1046)</f>
        <v>-0.00457597677209475</v>
      </c>
      <c r="E1047" s="22" t="n">
        <f aca="false">LN(C1047/C1046)</f>
        <v>-0.00432798332464571</v>
      </c>
      <c r="F1047" s="22" t="n">
        <f aca="false">LN(Summary!$B$13*EXP(D1047)+Summary!$B$14*EXP(E1047))</f>
        <v>-0.00447677201290321</v>
      </c>
      <c r="G1047" s="22" t="n">
        <f aca="false">EXP(F1047)-1</f>
        <v>-0.00446676620588304</v>
      </c>
      <c r="H1047" s="21" t="n">
        <f aca="false">EXP(SUM(F796:F1047))-1</f>
        <v>0.115732299848031</v>
      </c>
    </row>
    <row r="1048" customFormat="false" ht="15" hidden="false" customHeight="false" outlineLevel="0" collapsed="false">
      <c r="A1048" s="20" t="n">
        <v>45993</v>
      </c>
      <c r="B1048" s="21" t="n">
        <v>674.255676</v>
      </c>
      <c r="C1048" s="21" t="n">
        <v>97.220871</v>
      </c>
      <c r="D1048" s="22" t="n">
        <f aca="false">LN(B1048/B1047)</f>
        <v>0.00185053804344982</v>
      </c>
      <c r="E1048" s="22" t="n">
        <f aca="false">LN(C1048/C1047)</f>
        <v>0.0012984240505187</v>
      </c>
      <c r="F1048" s="22" t="n">
        <f aca="false">LN(Summary!$B$13*EXP(D1048)+Summary!$B$14*EXP(E1048))</f>
        <v>0.00162972902451377</v>
      </c>
      <c r="G1048" s="22" t="n">
        <f aca="false">EXP(F1048)-1</f>
        <v>0.00163105775458572</v>
      </c>
      <c r="H1048" s="21" t="n">
        <f aca="false">EXP(SUM(F797:F1048))-1</f>
        <v>0.118359716859331</v>
      </c>
    </row>
    <row r="1049" customFormat="false" ht="15" hidden="false" customHeight="false" outlineLevel="0" collapsed="false">
      <c r="A1049" s="20" t="n">
        <v>45994</v>
      </c>
      <c r="B1049" s="21" t="n">
        <v>676.590515</v>
      </c>
      <c r="C1049" s="21" t="n">
        <v>97.405235</v>
      </c>
      <c r="D1049" s="22" t="n">
        <f aca="false">LN(B1049/B1048)</f>
        <v>0.00345685739892414</v>
      </c>
      <c r="E1049" s="22" t="n">
        <f aca="false">LN(C1049/C1048)</f>
        <v>0.001894545998314</v>
      </c>
      <c r="F1049" s="22" t="n">
        <f aca="false">LN(Summary!$B$13*EXP(D1049)+Summary!$B$14*EXP(E1049))</f>
        <v>0.0028322257061768</v>
      </c>
      <c r="G1049" s="22" t="n">
        <f aca="false">EXP(F1049)-1</f>
        <v>0.00283624024653562</v>
      </c>
      <c r="H1049" s="21" t="n">
        <f aca="false">EXP(SUM(F798:F1049))-1</f>
        <v>0.115612279862343</v>
      </c>
    </row>
    <row r="1050" customFormat="false" ht="15" hidden="false" customHeight="false" outlineLevel="0" collapsed="false">
      <c r="A1050" s="20" t="n">
        <v>45995</v>
      </c>
      <c r="B1050" s="21" t="n">
        <v>677.085205</v>
      </c>
      <c r="C1050" s="21" t="n">
        <v>97.172356</v>
      </c>
      <c r="D1050" s="22" t="n">
        <f aca="false">LN(B1050/B1049)</f>
        <v>0.00073088408798765</v>
      </c>
      <c r="E1050" s="22" t="n">
        <f aca="false">LN(C1050/C1049)</f>
        <v>-0.0023936889134865</v>
      </c>
      <c r="F1050" s="22" t="n">
        <f aca="false">LN(Summary!$B$13*EXP(D1050)+Summary!$B$14*EXP(E1050))</f>
        <v>-0.000517773802288818</v>
      </c>
      <c r="G1050" s="22" t="n">
        <f aca="false">EXP(F1050)-1</f>
        <v>-0.000517639780565626</v>
      </c>
      <c r="H1050" s="21" t="n">
        <f aca="false">EXP(SUM(F799:F1050))-1</f>
        <v>0.11378286654718</v>
      </c>
    </row>
    <row r="1051" customFormat="false" ht="15" hidden="false" customHeight="false" outlineLevel="0" collapsed="false">
      <c r="A1051" s="20" t="n">
        <v>45996</v>
      </c>
      <c r="B1051" s="21" t="n">
        <v>678.371216</v>
      </c>
      <c r="C1051" s="21" t="n">
        <v>97.065613</v>
      </c>
      <c r="D1051" s="22" t="n">
        <f aca="false">LN(B1051/B1050)</f>
        <v>0.00189753261845486</v>
      </c>
      <c r="E1051" s="22" t="n">
        <f aca="false">LN(C1051/C1050)</f>
        <v>-0.00109909521083951</v>
      </c>
      <c r="F1051" s="22" t="n">
        <f aca="false">LN(Summary!$B$13*EXP(D1051)+Summary!$B$14*EXP(E1051))</f>
        <v>0.000699958844511694</v>
      </c>
      <c r="G1051" s="22" t="n">
        <f aca="false">EXP(F1051)-1</f>
        <v>0.000700203872870286</v>
      </c>
      <c r="H1051" s="21" t="n">
        <f aca="false">EXP(SUM(F800:F1051))-1</f>
        <v>0.115109334940287</v>
      </c>
    </row>
    <row r="1052" customFormat="false" ht="15" hidden="false" customHeight="false" outlineLevel="0" collapsed="false">
      <c r="A1052" s="20" t="n">
        <v>45999</v>
      </c>
      <c r="B1052" s="21" t="n">
        <v>676.333313</v>
      </c>
      <c r="C1052" s="21" t="n">
        <v>96.910347</v>
      </c>
      <c r="D1052" s="22" t="n">
        <f aca="false">LN(B1052/B1051)</f>
        <v>-0.00300863323863085</v>
      </c>
      <c r="E1052" s="22" t="n">
        <f aca="false">LN(C1052/C1051)</f>
        <v>-0.00160087913120598</v>
      </c>
      <c r="F1052" s="22" t="n">
        <f aca="false">LN(Summary!$B$13*EXP(D1052)+Summary!$B$14*EXP(E1052))</f>
        <v>-0.0024452937607641</v>
      </c>
      <c r="G1052" s="22" t="n">
        <f aca="false">EXP(F1052)-1</f>
        <v>-0.00244230646541022</v>
      </c>
      <c r="H1052" s="21" t="n">
        <f aca="false">EXP(SUM(F801:F1052))-1</f>
        <v>0.106826960652938</v>
      </c>
    </row>
    <row r="1053" customFormat="false" ht="15" hidden="false" customHeight="false" outlineLevel="0" collapsed="false">
      <c r="A1053" s="20" t="n">
        <v>46000</v>
      </c>
      <c r="B1053" s="21" t="n">
        <v>675.749573</v>
      </c>
      <c r="C1053" s="21" t="n">
        <v>96.823013</v>
      </c>
      <c r="D1053" s="22" t="n">
        <f aca="false">LN(B1053/B1052)</f>
        <v>-0.000863467827768174</v>
      </c>
      <c r="E1053" s="22" t="n">
        <f aca="false">LN(C1053/C1052)</f>
        <v>-0.000901589751149588</v>
      </c>
      <c r="F1053" s="22" t="n">
        <f aca="false">LN(Summary!$B$13*EXP(D1053)+Summary!$B$14*EXP(E1053))</f>
        <v>-0.00087871642272748</v>
      </c>
      <c r="G1053" s="22" t="n">
        <f aca="false">EXP(F1053)-1</f>
        <v>-0.000878330464509247</v>
      </c>
      <c r="H1053" s="21" t="n">
        <f aca="false">EXP(SUM(F802:F1053))-1</f>
        <v>0.106858270640652</v>
      </c>
    </row>
    <row r="1054" customFormat="false" ht="15" hidden="false" customHeight="false" outlineLevel="0" collapsed="false">
      <c r="A1054" s="20" t="n">
        <v>46001</v>
      </c>
      <c r="B1054" s="21" t="n">
        <v>680.231201</v>
      </c>
      <c r="C1054" s="21" t="n">
        <v>97.133537</v>
      </c>
      <c r="D1054" s="22" t="n">
        <f aca="false">LN(B1054/B1053)</f>
        <v>0.00661018858747353</v>
      </c>
      <c r="E1054" s="22" t="n">
        <f aca="false">LN(C1054/C1053)</f>
        <v>0.0032019982342588</v>
      </c>
      <c r="F1054" s="22" t="n">
        <f aca="false">LN(Summary!$B$13*EXP(D1054)+Summary!$B$14*EXP(E1054))</f>
        <v>0.00524830602026255</v>
      </c>
      <c r="G1054" s="22" t="n">
        <f aca="false">EXP(F1054)-1</f>
        <v>0.00526210250379977</v>
      </c>
      <c r="H1054" s="21" t="n">
        <f aca="false">EXP(SUM(F803:F1054))-1</f>
        <v>0.110164611933071</v>
      </c>
    </row>
    <row r="1055" customFormat="false" ht="15" hidden="false" customHeight="false" outlineLevel="0" collapsed="false">
      <c r="A1055" s="20" t="n">
        <v>46002</v>
      </c>
      <c r="B1055" s="21" t="n">
        <v>681.814148</v>
      </c>
      <c r="C1055" s="21" t="n">
        <v>97.152931</v>
      </c>
      <c r="D1055" s="22" t="n">
        <f aca="false">LN(B1055/B1054)</f>
        <v>0.00232436858852469</v>
      </c>
      <c r="E1055" s="22" t="n">
        <f aca="false">LN(C1055/C1054)</f>
        <v>0.000199643343811245</v>
      </c>
      <c r="F1055" s="22" t="n">
        <f aca="false">LN(Summary!$B$13*EXP(D1055)+Summary!$B$14*EXP(E1055))</f>
        <v>0.00147502014869768</v>
      </c>
      <c r="G1055" s="22" t="n">
        <f aca="false">EXP(F1055)-1</f>
        <v>0.00147610852597757</v>
      </c>
      <c r="H1055" s="21" t="n">
        <f aca="false">EXP(SUM(F804:F1055))-1</f>
        <v>0.116557195380852</v>
      </c>
    </row>
    <row r="1056" customFormat="false" ht="15" hidden="false" customHeight="false" outlineLevel="0" collapsed="false">
      <c r="A1056" s="20" t="n">
        <v>46003</v>
      </c>
      <c r="B1056" s="21" t="n">
        <v>674.483276</v>
      </c>
      <c r="C1056" s="21" t="n">
        <v>96.852127</v>
      </c>
      <c r="D1056" s="22" t="n">
        <f aca="false">LN(B1056/B1055)</f>
        <v>-0.0108102297641587</v>
      </c>
      <c r="E1056" s="22" t="n">
        <f aca="false">LN(C1056/C1055)</f>
        <v>-0.00310099380036072</v>
      </c>
      <c r="F1056" s="22" t="n">
        <f aca="false">LN(Summary!$B$13*EXP(D1056)+Summary!$B$14*EXP(E1056))</f>
        <v>-0.00771939985048203</v>
      </c>
      <c r="G1056" s="22" t="n">
        <f aca="false">EXP(F1056)-1</f>
        <v>-0.00768968180112373</v>
      </c>
      <c r="H1056" s="21" t="n">
        <f aca="false">EXP(SUM(F805:F1056))-1</f>
        <v>0.110581268737366</v>
      </c>
    </row>
    <row r="1057" customFormat="false" ht="15" hidden="false" customHeight="false" outlineLevel="0" collapsed="false">
      <c r="A1057" s="20" t="n">
        <v>46006</v>
      </c>
      <c r="B1057" s="21" t="n">
        <v>673.464172</v>
      </c>
      <c r="C1057" s="21" t="n">
        <v>96.949158</v>
      </c>
      <c r="D1057" s="22" t="n">
        <f aca="false">LN(B1057/B1056)</f>
        <v>-0.00151208297576441</v>
      </c>
      <c r="E1057" s="22" t="n">
        <f aca="false">LN(C1057/C1056)</f>
        <v>0.00100134535338801</v>
      </c>
      <c r="F1057" s="22" t="n">
        <f aca="false">LN(Summary!$B$13*EXP(D1057)+Summary!$B$14*EXP(E1057))</f>
        <v>-0.00050595343861818</v>
      </c>
      <c r="G1057" s="22" t="n">
        <f aca="false">EXP(F1057)-1</f>
        <v>-0.000505825465760834</v>
      </c>
      <c r="H1057" s="21" t="n">
        <f aca="false">EXP(SUM(F806:F1057))-1</f>
        <v>0.105918270017766</v>
      </c>
    </row>
    <row r="1058" customFormat="false" ht="15" hidden="false" customHeight="false" outlineLevel="0" collapsed="false">
      <c r="A1058" s="20" t="n">
        <v>46007</v>
      </c>
      <c r="B1058" s="21" t="n">
        <v>671.624084</v>
      </c>
      <c r="C1058" s="21" t="n">
        <v>97.133537</v>
      </c>
      <c r="D1058" s="22" t="n">
        <f aca="false">LN(B1058/B1057)</f>
        <v>-0.0027360125102035</v>
      </c>
      <c r="E1058" s="22" t="n">
        <f aca="false">LN(C1058/C1057)</f>
        <v>0.0019000051031614</v>
      </c>
      <c r="F1058" s="22" t="n">
        <f aca="false">LN(Summary!$B$13*EXP(D1058)+Summary!$B$14*EXP(E1058))</f>
        <v>-0.000879025550651512</v>
      </c>
      <c r="G1058" s="22" t="n">
        <f aca="false">EXP(F1058)-1</f>
        <v>-0.000878639320869068</v>
      </c>
      <c r="H1058" s="21" t="n">
        <f aca="false">EXP(SUM(F807:F1058))-1</f>
        <v>0.110178767226583</v>
      </c>
    </row>
    <row r="1059" customFormat="false" ht="15" hidden="false" customHeight="false" outlineLevel="0" collapsed="false">
      <c r="A1059" s="20" t="n">
        <v>46008</v>
      </c>
      <c r="B1059" s="21" t="n">
        <v>664.233826</v>
      </c>
      <c r="C1059" s="21" t="n">
        <v>97.104416</v>
      </c>
      <c r="D1059" s="22" t="n">
        <f aca="false">LN(B1059/B1058)</f>
        <v>-0.0110645501143517</v>
      </c>
      <c r="E1059" s="22" t="n">
        <f aca="false">LN(C1059/C1058)</f>
        <v>-0.000299848714099581</v>
      </c>
      <c r="F1059" s="22" t="n">
        <f aca="false">LN(Summary!$B$13*EXP(D1059)+Summary!$B$14*EXP(E1059))</f>
        <v>-0.00674475417868844</v>
      </c>
      <c r="G1059" s="22" t="n">
        <f aca="false">EXP(F1059)-1</f>
        <v>-0.00672205937650916</v>
      </c>
      <c r="H1059" s="21" t="n">
        <f aca="false">EXP(SUM(F808:F1059))-1</f>
        <v>0.104510664454192</v>
      </c>
    </row>
    <row r="1060" customFormat="false" ht="15" hidden="false" customHeight="false" outlineLevel="0" collapsed="false">
      <c r="A1060" s="20" t="n">
        <v>46009</v>
      </c>
      <c r="B1060" s="21" t="n">
        <v>669.249573</v>
      </c>
      <c r="C1060" s="21" t="n">
        <v>97.347015</v>
      </c>
      <c r="D1060" s="22" t="n">
        <f aca="false">LN(B1060/B1059)</f>
        <v>0.00752280929523029</v>
      </c>
      <c r="E1060" s="22" t="n">
        <f aca="false">LN(C1060/C1059)</f>
        <v>0.00249521563943112</v>
      </c>
      <c r="F1060" s="22" t="n">
        <f aca="false">LN(Summary!$B$13*EXP(D1060)+Summary!$B$14*EXP(E1060))</f>
        <v>0.00551480401721033</v>
      </c>
      <c r="G1060" s="22" t="n">
        <f aca="false">EXP(F1060)-1</f>
        <v>0.00553003854114742</v>
      </c>
      <c r="H1060" s="21" t="n">
        <f aca="false">EXP(SUM(F809:F1060))-1</f>
        <v>0.107374435806984</v>
      </c>
    </row>
    <row r="1061" customFormat="false" ht="15" hidden="false" customHeight="false" outlineLevel="0" collapsed="false">
      <c r="A1061" s="20" t="n">
        <v>46010</v>
      </c>
      <c r="B1061" s="21" t="n">
        <v>675.315369</v>
      </c>
      <c r="C1061" s="21" t="n">
        <v>97.204857</v>
      </c>
      <c r="D1061" s="22" t="n">
        <f aca="false">LN(B1061/B1060)</f>
        <v>0.00902275072308216</v>
      </c>
      <c r="E1061" s="22" t="n">
        <f aca="false">LN(C1061/C1060)</f>
        <v>-0.00146138943654144</v>
      </c>
      <c r="F1061" s="22" t="n">
        <f aca="false">LN(Summary!$B$13*EXP(D1061)+Summary!$B$14*EXP(E1061))</f>
        <v>0.00484227545045668</v>
      </c>
      <c r="G1061" s="22" t="n">
        <f aca="false">EXP(F1061)-1</f>
        <v>0.004854018212471</v>
      </c>
      <c r="H1061" s="21" t="n">
        <f aca="false">EXP(SUM(F810:F1061))-1</f>
        <v>0.115507276354582</v>
      </c>
    </row>
    <row r="1062" customFormat="false" ht="15" hidden="false" customHeight="false" outlineLevel="0" collapsed="false">
      <c r="A1062" s="20" t="n">
        <v>46013</v>
      </c>
      <c r="B1062" s="21" t="n">
        <v>679.522461</v>
      </c>
      <c r="C1062" s="21" t="n">
        <v>97.165932</v>
      </c>
      <c r="D1062" s="22" t="n">
        <f aca="false">LN(B1062/B1061)</f>
        <v>0.00621049313682809</v>
      </c>
      <c r="E1062" s="22" t="n">
        <f aca="false">LN(C1062/C1061)</f>
        <v>-0.000400523151864851</v>
      </c>
      <c r="F1062" s="22" t="n">
        <f aca="false">LN(Summary!$B$13*EXP(D1062)+Summary!$B$14*EXP(E1062))</f>
        <v>0.00357132896581576</v>
      </c>
      <c r="G1062" s="22" t="n">
        <f aca="false">EXP(F1062)-1</f>
        <v>0.00357771375957716</v>
      </c>
      <c r="H1062" s="21" t="n">
        <f aca="false">EXP(SUM(F811:F1062))-1</f>
        <v>0.143428310213249</v>
      </c>
    </row>
    <row r="1063" customFormat="false" ht="15" hidden="false" customHeight="false" outlineLevel="0" collapsed="false">
      <c r="A1063" s="20" t="n">
        <v>46014</v>
      </c>
      <c r="B1063" s="21" t="n">
        <v>682.628235</v>
      </c>
      <c r="C1063" s="21" t="n">
        <v>97.165932</v>
      </c>
      <c r="D1063" s="22" t="n">
        <f aca="false">LN(B1063/B1062)</f>
        <v>0.00456011128734324</v>
      </c>
      <c r="E1063" s="22" t="n">
        <f aca="false">LN(C1063/C1062)</f>
        <v>0</v>
      </c>
      <c r="F1063" s="22" t="n">
        <f aca="false">LN(Summary!$B$13*EXP(D1063)+Summary!$B$14*EXP(E1063))</f>
        <v>0.00273856136569322</v>
      </c>
      <c r="G1063" s="22" t="n">
        <f aca="false">EXP(F1063)-1</f>
        <v>0.00274231465028807</v>
      </c>
      <c r="H1063" s="21" t="n">
        <f aca="false">EXP(SUM(F812:F1063))-1</f>
        <v>0.147959527397088</v>
      </c>
    </row>
    <row r="1064" customFormat="false" ht="15" hidden="false" customHeight="false" outlineLevel="0" collapsed="false">
      <c r="A1064" s="20" t="n">
        <v>46015</v>
      </c>
      <c r="B1064" s="21" t="n">
        <v>685.02948</v>
      </c>
      <c r="C1064" s="21" t="n">
        <v>97.380112</v>
      </c>
      <c r="D1064" s="22" t="n">
        <f aca="false">LN(B1064/B1063)</f>
        <v>0.00351147431266334</v>
      </c>
      <c r="E1064" s="22" t="n">
        <f aca="false">LN(C1064/C1063)</f>
        <v>0.00220184468547555</v>
      </c>
      <c r="F1064" s="22" t="n">
        <f aca="false">LN(Summary!$B$13*EXP(D1064)+Summary!$B$14*EXP(E1064))</f>
        <v>0.00298782825937697</v>
      </c>
      <c r="G1064" s="22" t="n">
        <f aca="false">EXP(F1064)-1</f>
        <v>0.00299229626700237</v>
      </c>
      <c r="H1064" s="21" t="n">
        <f aca="false">EXP(SUM(F813:F1064))-1</f>
        <v>0.14193696762963</v>
      </c>
    </row>
    <row r="1065" customFormat="false" ht="15" hidden="false" customHeight="false" outlineLevel="0" collapsed="false">
      <c r="A1065" s="20" t="n">
        <v>46017</v>
      </c>
      <c r="B1065" s="21" t="n">
        <v>684.960022</v>
      </c>
      <c r="C1065" s="21" t="n">
        <v>97.399574</v>
      </c>
      <c r="D1065" s="22" t="n">
        <f aca="false">LN(B1065/B1064)</f>
        <v>-0.000101399317232916</v>
      </c>
      <c r="E1065" s="22" t="n">
        <f aca="false">LN(C1065/C1064)</f>
        <v>0.000199836034901191</v>
      </c>
      <c r="F1065" s="22" t="n">
        <f aca="false">LN(Summary!$B$13*EXP(D1065)+Summary!$B$14*EXP(E1065))</f>
        <v>1.9105712967966E-005</v>
      </c>
      <c r="G1065" s="22" t="n">
        <f aca="false">EXP(F1065)-1</f>
        <v>1.91058954832624E-005</v>
      </c>
      <c r="H1065" s="21" t="n">
        <f aca="false">EXP(SUM(F814:F1065))-1</f>
        <v>0.139275556117169</v>
      </c>
    </row>
    <row r="1066" customFormat="false" ht="15" hidden="false" customHeight="false" outlineLevel="0" collapsed="false">
      <c r="A1066" s="20" t="n">
        <v>46020</v>
      </c>
      <c r="B1066" s="21" t="n">
        <v>682.519043</v>
      </c>
      <c r="C1066" s="21" t="n">
        <v>97.516434</v>
      </c>
      <c r="D1066" s="22" t="n">
        <f aca="false">LN(B1066/B1065)</f>
        <v>-0.00357004601393152</v>
      </c>
      <c r="E1066" s="22" t="n">
        <f aca="false">LN(C1066/C1065)</f>
        <v>0.00119908072405964</v>
      </c>
      <c r="F1066" s="22" t="n">
        <f aca="false">LN(Summary!$B$13*EXP(D1066)+Summary!$B$14*EXP(E1066))</f>
        <v>-0.00165966510485813</v>
      </c>
      <c r="G1066" s="22" t="n">
        <f aca="false">EXP(F1066)-1</f>
        <v>-0.0016582886223333</v>
      </c>
      <c r="H1066" s="21" t="n">
        <f aca="false">EXP(SUM(F815:F1066))-1</f>
        <v>0.129340510881761</v>
      </c>
    </row>
    <row r="1067" customFormat="false" ht="15" hidden="false" customHeight="false" outlineLevel="0" collapsed="false">
      <c r="A1067" s="20" t="n">
        <v>46021</v>
      </c>
      <c r="B1067" s="21" t="n">
        <v>681.685547</v>
      </c>
      <c r="C1067" s="21" t="n">
        <v>97.47747</v>
      </c>
      <c r="D1067" s="22" t="n">
        <f aca="false">LN(B1067/B1066)</f>
        <v>-0.00122195176562526</v>
      </c>
      <c r="E1067" s="22" t="n">
        <f aca="false">LN(C1067/C1066)</f>
        <v>-0.000399643268013191</v>
      </c>
      <c r="F1067" s="22" t="n">
        <f aca="false">LN(Summary!$B$13*EXP(D1067)+Summary!$B$14*EXP(E1067))</f>
        <v>-0.000892947219182289</v>
      </c>
      <c r="G1067" s="22" t="n">
        <f aca="false">EXP(F1067)-1</f>
        <v>-0.000892548660453629</v>
      </c>
      <c r="H1067" s="21" t="n">
        <f aca="false">EXP(SUM(F816:F1067))-1</f>
        <v>0.127960926013498</v>
      </c>
    </row>
    <row r="1068" customFormat="false" ht="15" hidden="false" customHeight="false" outlineLevel="0" collapsed="false">
      <c r="A1068" s="20" t="n">
        <v>46022</v>
      </c>
      <c r="B1068" s="21" t="n">
        <v>676.63501</v>
      </c>
      <c r="C1068" s="21" t="n">
        <v>97.243805</v>
      </c>
      <c r="D1068" s="22" t="n">
        <f aca="false">LN(B1068/B1067)</f>
        <v>-0.00743647771362124</v>
      </c>
      <c r="E1068" s="22" t="n">
        <f aca="false">LN(C1068/C1067)</f>
        <v>-0.00239999570831472</v>
      </c>
      <c r="F1068" s="22" t="n">
        <f aca="false">LN(Summary!$B$13*EXP(D1068)+Summary!$B$14*EXP(E1068))</f>
        <v>-0.00541883995416411</v>
      </c>
      <c r="G1068" s="22" t="n">
        <f aca="false">EXP(F1068)-1</f>
        <v>-0.00540418452469815</v>
      </c>
      <c r="H1068" s="21" t="n">
        <f aca="false">EXP(SUM(F817:F1068))-1</f>
        <v>0.129935264091614</v>
      </c>
    </row>
    <row r="1069" customFormat="false" ht="15" hidden="false" customHeight="false" outlineLevel="0" collapsed="false">
      <c r="A1069" s="20" t="n">
        <v>46024</v>
      </c>
      <c r="B1069" s="21" t="n">
        <v>677.875305</v>
      </c>
      <c r="C1069" s="21" t="n">
        <v>97.2146</v>
      </c>
      <c r="D1069" s="22" t="n">
        <f aca="false">LN(B1069/B1068)</f>
        <v>0.00183135607446219</v>
      </c>
      <c r="E1069" s="22" t="n">
        <f aca="false">LN(C1069/C1068)</f>
        <v>-0.000300372722069519</v>
      </c>
      <c r="F1069" s="22" t="n">
        <f aca="false">LN(Summary!$B$13*EXP(D1069)+Summary!$B$14*EXP(E1069))</f>
        <v>0.000979209790380946</v>
      </c>
      <c r="G1069" s="22" t="n">
        <f aca="false">EXP(F1069)-1</f>
        <v>0.000979689372812231</v>
      </c>
      <c r="H1069" s="21" t="n">
        <f aca="false">EXP(SUM(F818:F1069))-1</f>
        <v>0.137039195302823</v>
      </c>
    </row>
    <row r="1070" customFormat="false" ht="15" hidden="false" customHeight="false" outlineLevel="0" collapsed="false">
      <c r="A1070" s="20" t="n">
        <v>46027</v>
      </c>
      <c r="B1070" s="21" t="n">
        <v>682.390076</v>
      </c>
      <c r="C1070" s="21" t="n">
        <v>97.399574</v>
      </c>
      <c r="D1070" s="22" t="n">
        <f aca="false">LN(B1070/B1069)</f>
        <v>0.00663809818498608</v>
      </c>
      <c r="E1070" s="22" t="n">
        <f aca="false">LN(C1070/C1069)</f>
        <v>0.00190093097433771</v>
      </c>
      <c r="F1070" s="22" t="n">
        <f aca="false">LN(Summary!$B$13*EXP(D1070)+Summary!$B$14*EXP(E1070))</f>
        <v>0.00474592333844974</v>
      </c>
      <c r="G1070" s="22" t="n">
        <f aca="false">EXP(F1070)-1</f>
        <v>0.00475720306980421</v>
      </c>
      <c r="H1070" s="21" t="n">
        <f aca="false">EXP(SUM(F819:F1070))-1</f>
        <v>0.145515562962041</v>
      </c>
    </row>
    <row r="1071" customFormat="false" ht="15" hidden="false" customHeight="false" outlineLevel="0" collapsed="false">
      <c r="A1071" s="20" t="n">
        <v>46028</v>
      </c>
      <c r="B1071" s="21" t="n">
        <v>686.448364</v>
      </c>
      <c r="C1071" s="21" t="n">
        <v>97.380112</v>
      </c>
      <c r="D1071" s="22" t="n">
        <f aca="false">LN(B1071/B1070)</f>
        <v>0.00592955278292768</v>
      </c>
      <c r="E1071" s="22" t="n">
        <f aca="false">LN(C1071/C1070)</f>
        <v>-0.000199836034901193</v>
      </c>
      <c r="F1071" s="22" t="n">
        <f aca="false">LN(Summary!$B$13*EXP(D1071)+Summary!$B$14*EXP(E1071))</f>
        <v>0.00348230373624584</v>
      </c>
      <c r="G1071" s="22" t="n">
        <f aca="false">EXP(F1071)-1</f>
        <v>0.00348837400002378</v>
      </c>
      <c r="H1071" s="21" t="n">
        <f aca="false">EXP(SUM(F820:F1071))-1</f>
        <v>0.151161083974326</v>
      </c>
    </row>
    <row r="1072" customFormat="false" ht="15" hidden="false" customHeight="false" outlineLevel="0" collapsed="false">
      <c r="A1072" s="20" t="n">
        <v>46029</v>
      </c>
      <c r="B1072" s="21" t="n">
        <v>684.235657</v>
      </c>
      <c r="C1072" s="21" t="n">
        <v>97.47747</v>
      </c>
      <c r="D1072" s="22" t="n">
        <f aca="false">LN(B1072/B1071)</f>
        <v>-0.0032286200002358</v>
      </c>
      <c r="E1072" s="22" t="n">
        <f aca="false">LN(C1072/C1071)</f>
        <v>0.000999273490947719</v>
      </c>
      <c r="F1072" s="22" t="n">
        <f aca="false">LN(Summary!$B$13*EXP(D1072)+Summary!$B$14*EXP(E1072))</f>
        <v>-0.00153531699057305</v>
      </c>
      <c r="G1072" s="22" t="n">
        <f aca="false">EXP(F1072)-1</f>
        <v>-0.00153413899438526</v>
      </c>
      <c r="H1072" s="21" t="n">
        <f aca="false">EXP(SUM(F821:F1072))-1</f>
        <v>0.141303950759507</v>
      </c>
    </row>
    <row r="1073" customFormat="false" ht="15" hidden="false" customHeight="false" outlineLevel="0" collapsed="false">
      <c r="A1073" s="20" t="n">
        <v>46030</v>
      </c>
      <c r="B1073" s="21" t="n">
        <v>684.166199</v>
      </c>
      <c r="C1073" s="21" t="n">
        <v>97.302231</v>
      </c>
      <c r="D1073" s="22" t="n">
        <f aca="false">LN(B1073/B1072)</f>
        <v>-0.000101516962659789</v>
      </c>
      <c r="E1073" s="22" t="n">
        <f aca="false">LN(C1073/C1072)</f>
        <v>-0.00179935636394357</v>
      </c>
      <c r="F1073" s="22" t="n">
        <f aca="false">LN(Summary!$B$13*EXP(D1073)+Summary!$B$14*EXP(E1073))</f>
        <v>-0.000780306843328212</v>
      </c>
      <c r="G1073" s="22" t="n">
        <f aca="false">EXP(F1073)-1</f>
        <v>-0.000780002483113274</v>
      </c>
      <c r="H1073" s="21" t="n">
        <f aca="false">EXP(SUM(F822:F1073))-1</f>
        <v>0.136953864718672</v>
      </c>
    </row>
    <row r="1074" customFormat="false" ht="15" hidden="false" customHeight="false" outlineLevel="0" collapsed="false">
      <c r="A1074" s="20" t="n">
        <v>46031</v>
      </c>
      <c r="B1074" s="21" t="n">
        <v>688.690857</v>
      </c>
      <c r="C1074" s="21" t="n">
        <v>97.516434</v>
      </c>
      <c r="D1074" s="22" t="n">
        <f aca="false">LN(B1074/B1073)</f>
        <v>0.00659161762403195</v>
      </c>
      <c r="E1074" s="22" t="n">
        <f aca="false">LN(C1074/C1073)</f>
        <v>0.00219899963195667</v>
      </c>
      <c r="F1074" s="22" t="n">
        <f aca="false">LN(Summary!$B$13*EXP(D1074)+Summary!$B$14*EXP(E1074))</f>
        <v>0.00483688515865604</v>
      </c>
      <c r="G1074" s="22" t="n">
        <f aca="false">EXP(F1074)-1</f>
        <v>0.00484860177069391</v>
      </c>
      <c r="H1074" s="21" t="n">
        <f aca="false">EXP(SUM(F823:F1074))-1</f>
        <v>0.151898898462341</v>
      </c>
    </row>
    <row r="1075" customFormat="false" ht="15" hidden="false" customHeight="false" outlineLevel="0" collapsed="false">
      <c r="A1075" s="20" t="n">
        <v>46034</v>
      </c>
      <c r="B1075" s="21" t="n">
        <v>689.772339</v>
      </c>
      <c r="C1075" s="21" t="n">
        <v>97.467743</v>
      </c>
      <c r="D1075" s="22" t="n">
        <f aca="false">LN(B1075/B1074)</f>
        <v>0.00156911294408535</v>
      </c>
      <c r="E1075" s="22" t="n">
        <f aca="false">LN(C1075/C1074)</f>
        <v>-0.000499435408157349</v>
      </c>
      <c r="F1075" s="22" t="n">
        <f aca="false">LN(Summary!$B$13*EXP(D1075)+Summary!$B$14*EXP(E1075))</f>
        <v>0.000742206999373329</v>
      </c>
      <c r="G1075" s="22" t="n">
        <f aca="false">EXP(F1075)-1</f>
        <v>0.000742482503144348</v>
      </c>
      <c r="H1075" s="21" t="n">
        <f aca="false">EXP(SUM(F824:F1075))-1</f>
        <v>0.151219451833571</v>
      </c>
    </row>
    <row r="1076" customFormat="false" ht="15" hidden="false" customHeight="false" outlineLevel="0" collapsed="false">
      <c r="A1076" s="20" t="n">
        <v>46035</v>
      </c>
      <c r="B1076" s="21" t="n">
        <v>688.393188</v>
      </c>
      <c r="C1076" s="21" t="n">
        <v>97.555367</v>
      </c>
      <c r="D1076" s="22" t="n">
        <f aca="false">LN(B1076/B1075)</f>
        <v>-0.00200143079094001</v>
      </c>
      <c r="E1076" s="22" t="n">
        <f aca="false">LN(C1076/C1075)</f>
        <v>0.000898601257012559</v>
      </c>
      <c r="F1076" s="22" t="n">
        <f aca="false">LN(Summary!$B$13*EXP(D1076)+Summary!$B$14*EXP(E1076))</f>
        <v>-0.000840408554646478</v>
      </c>
      <c r="G1076" s="22" t="n">
        <f aca="false">EXP(F1076)-1</f>
        <v>-0.000840055510284543</v>
      </c>
      <c r="H1076" s="21" t="n">
        <f aca="false">EXP(SUM(F825:F1076))-1</f>
        <v>0.163515605330712</v>
      </c>
    </row>
    <row r="1077" customFormat="false" ht="15" hidden="false" customHeight="false" outlineLevel="0" collapsed="false">
      <c r="A1077" s="20" t="n">
        <v>46036</v>
      </c>
      <c r="B1077" s="21" t="n">
        <v>685.009521</v>
      </c>
      <c r="C1077" s="21" t="n">
        <v>97.701408</v>
      </c>
      <c r="D1077" s="22" t="n">
        <f aca="false">LN(B1077/B1076)</f>
        <v>-0.00492743144307471</v>
      </c>
      <c r="E1077" s="22" t="n">
        <f aca="false">LN(C1077/C1076)</f>
        <v>0.00149588691335014</v>
      </c>
      <c r="F1077" s="22" t="n">
        <f aca="false">LN(Summary!$B$13*EXP(D1077)+Summary!$B$14*EXP(E1077))</f>
        <v>-0.00235315090559962</v>
      </c>
      <c r="G1077" s="22" t="n">
        <f aca="false">EXP(F1077)-1</f>
        <v>-0.00235038441642166</v>
      </c>
      <c r="H1077" s="21" t="n">
        <f aca="false">EXP(SUM(F826:F1077))-1</f>
        <v>0.160136970847554</v>
      </c>
    </row>
    <row r="1078" customFormat="false" ht="15" hidden="false" customHeight="false" outlineLevel="0" collapsed="false">
      <c r="A1078" s="20" t="n">
        <v>46037</v>
      </c>
      <c r="B1078" s="21" t="n">
        <v>686.875</v>
      </c>
      <c r="C1078" s="21" t="n">
        <v>97.574844</v>
      </c>
      <c r="D1078" s="22" t="n">
        <f aca="false">LN(B1078/B1077)</f>
        <v>0.00271958772218164</v>
      </c>
      <c r="E1078" s="22" t="n">
        <f aca="false">LN(C1078/C1077)</f>
        <v>-0.00129625611333338</v>
      </c>
      <c r="F1078" s="22" t="n">
        <f aca="false">LN(Summary!$B$13*EXP(D1078)+Summary!$B$14*EXP(E1078))</f>
        <v>0.00111518490892934</v>
      </c>
      <c r="G1078" s="22" t="n">
        <f aca="false">EXP(F1078)-1</f>
        <v>0.00111580695883196</v>
      </c>
      <c r="H1078" s="21" t="n">
        <f aca="false">EXP(SUM(F827:F1078))-1</f>
        <v>0.16032820205877</v>
      </c>
    </row>
    <row r="1079" customFormat="false" ht="15" hidden="false" customHeight="false" outlineLevel="0" collapsed="false">
      <c r="A1079" s="20" t="n">
        <v>46038</v>
      </c>
      <c r="B1079" s="21" t="n">
        <v>686.299561</v>
      </c>
      <c r="C1079" s="21" t="n">
        <v>97.409332</v>
      </c>
      <c r="D1079" s="22" t="n">
        <f aca="false">LN(B1079/B1078)</f>
        <v>-0.000838114905456738</v>
      </c>
      <c r="E1079" s="22" t="n">
        <f aca="false">LN(C1079/C1078)</f>
        <v>-0.00169769714802788</v>
      </c>
      <c r="F1079" s="22" t="n">
        <f aca="false">LN(Summary!$B$13*EXP(D1079)+Summary!$B$14*EXP(E1079))</f>
        <v>-0.00118185914177289</v>
      </c>
      <c r="G1079" s="22" t="n">
        <f aca="false">EXP(F1079)-1</f>
        <v>-0.00118116102131116</v>
      </c>
      <c r="H1079" s="21" t="n">
        <f aca="false">EXP(SUM(F828:F1079))-1</f>
        <v>0.142531878897256</v>
      </c>
    </row>
    <row r="1080" customFormat="false" ht="15" hidden="false" customHeight="false" outlineLevel="0" collapsed="false">
      <c r="A1080" s="20" t="n">
        <v>46042</v>
      </c>
      <c r="B1080" s="21" t="n">
        <v>672.328674</v>
      </c>
      <c r="C1080" s="21" t="n">
        <v>97.039345</v>
      </c>
      <c r="D1080" s="22" t="n">
        <f aca="false">LN(B1080/B1079)</f>
        <v>-0.0205668910845395</v>
      </c>
      <c r="E1080" s="22" t="n">
        <f aca="false">LN(C1080/C1079)</f>
        <v>-0.00380550232808077</v>
      </c>
      <c r="F1080" s="22" t="n">
        <f aca="false">LN(Summary!$B$13*EXP(D1080)+Summary!$B$14*EXP(E1080))</f>
        <v>-0.0138285849597571</v>
      </c>
      <c r="G1080" s="22" t="n">
        <f aca="false">EXP(F1080)-1</f>
        <v>-0.0137334092987678</v>
      </c>
      <c r="H1080" s="21" t="n">
        <f aca="false">EXP(SUM(F829:F1080))-1</f>
        <v>0.127162857754559</v>
      </c>
    </row>
    <row r="1081" customFormat="false" ht="15" hidden="false" customHeight="false" outlineLevel="0" collapsed="false">
      <c r="A1081" s="20" t="n">
        <v>46043</v>
      </c>
      <c r="B1081" s="21" t="n">
        <v>680.088074</v>
      </c>
      <c r="C1081" s="21" t="n">
        <v>97.360634</v>
      </c>
      <c r="D1081" s="22" t="n">
        <f aca="false">LN(B1081/B1080)</f>
        <v>0.0114749912034309</v>
      </c>
      <c r="E1081" s="22" t="n">
        <f aca="false">LN(C1081/C1080)</f>
        <v>0.00330544575349803</v>
      </c>
      <c r="F1081" s="22" t="n">
        <f aca="false">LN(Summary!$B$13*EXP(D1081)+Summary!$B$14*EXP(E1081))</f>
        <v>0.00821517761864876</v>
      </c>
      <c r="G1081" s="22" t="n">
        <f aca="false">EXP(F1081)-1</f>
        <v>0.00824901478627993</v>
      </c>
      <c r="H1081" s="21" t="n">
        <f aca="false">EXP(SUM(F830:F1081))-1</f>
        <v>0.12965578907134</v>
      </c>
    </row>
    <row r="1082" customFormat="false" ht="15" hidden="false" customHeight="false" outlineLevel="0" collapsed="false">
      <c r="A1082" s="20" t="n">
        <v>46044</v>
      </c>
      <c r="B1082" s="21" t="n">
        <v>683.64032</v>
      </c>
      <c r="C1082" s="21" t="n">
        <v>97.380112</v>
      </c>
      <c r="D1082" s="22" t="n">
        <f aca="false">LN(B1082/B1081)</f>
        <v>0.00520962099149104</v>
      </c>
      <c r="E1082" s="22" t="n">
        <f aca="false">LN(C1082/C1081)</f>
        <v>0.000200040314777658</v>
      </c>
      <c r="F1082" s="22" t="n">
        <f aca="false">LN(Summary!$B$13*EXP(D1082)+Summary!$B$14*EXP(E1082))</f>
        <v>0.00320879922010428</v>
      </c>
      <c r="G1082" s="22" t="n">
        <f aca="false">EXP(F1082)-1</f>
        <v>0.00321395292725124</v>
      </c>
      <c r="H1082" s="21" t="n">
        <f aca="false">EXP(SUM(F831:F1082))-1</f>
        <v>0.12561781475828</v>
      </c>
    </row>
    <row r="1083" customFormat="false" ht="15" hidden="false" customHeight="false" outlineLevel="0" collapsed="false">
      <c r="A1083" s="20" t="n">
        <v>46045</v>
      </c>
      <c r="B1083" s="21" t="n">
        <v>683.888306</v>
      </c>
      <c r="C1083" s="21" t="n">
        <v>97.467743</v>
      </c>
      <c r="D1083" s="22" t="n">
        <f aca="false">LN(B1083/B1082)</f>
        <v>0.000362677603968687</v>
      </c>
      <c r="E1083" s="22" t="n">
        <f aca="false">LN(C1083/C1082)</f>
        <v>0.000899481350803404</v>
      </c>
      <c r="F1083" s="22" t="n">
        <f aca="false">LN(Summary!$B$13*EXP(D1083)+Summary!$B$14*EXP(E1083))</f>
        <v>0.000577433682931242</v>
      </c>
      <c r="G1083" s="22" t="n">
        <f aca="false">EXP(F1083)-1</f>
        <v>0.000577600429853886</v>
      </c>
      <c r="H1083" s="21" t="n">
        <f aca="false">EXP(SUM(F832:F1083))-1</f>
        <v>0.123541228688537</v>
      </c>
    </row>
    <row r="1084" customFormat="false" ht="15" hidden="false" customHeight="false" outlineLevel="0" collapsed="false">
      <c r="A1084" s="20" t="n">
        <v>46048</v>
      </c>
      <c r="B1084" s="21" t="n">
        <v>687.361206</v>
      </c>
      <c r="C1084" s="21" t="n">
        <v>97.613792</v>
      </c>
      <c r="D1084" s="22" t="n">
        <f aca="false">LN(B1084/B1083)</f>
        <v>0.00506531801117721</v>
      </c>
      <c r="E1084" s="22" t="n">
        <f aca="false">LN(C1084/C1083)</f>
        <v>0.00149731267273606</v>
      </c>
      <c r="F1084" s="22" t="n">
        <f aca="false">LN(Summary!$B$13*EXP(D1084)+Summary!$B$14*EXP(E1084))</f>
        <v>0.00363964319115494</v>
      </c>
      <c r="G1084" s="22" t="n">
        <f aca="false">EXP(F1084)-1</f>
        <v>0.00364627473547863</v>
      </c>
      <c r="H1084" s="21" t="n">
        <f aca="false">EXP(SUM(F833:F1084))-1</f>
        <v>0.124696868254876</v>
      </c>
    </row>
    <row r="1085" customFormat="false" ht="15" hidden="false" customHeight="false" outlineLevel="0" collapsed="false">
      <c r="A1085" s="20" t="n">
        <v>46049</v>
      </c>
      <c r="B1085" s="21" t="n">
        <v>690.099854</v>
      </c>
      <c r="C1085" s="21" t="n">
        <v>97.545631</v>
      </c>
      <c r="D1085" s="22" t="n">
        <f aca="false">LN(B1085/B1084)</f>
        <v>0.00397637608503475</v>
      </c>
      <c r="E1085" s="22" t="n">
        <f aca="false">LN(C1085/C1084)</f>
        <v>-0.000698516133360955</v>
      </c>
      <c r="F1085" s="22" t="n">
        <f aca="false">LN(Summary!$B$13*EXP(D1085)+Summary!$B$14*EXP(E1085))</f>
        <v>0.00210904093230315</v>
      </c>
      <c r="G1085" s="22" t="n">
        <f aca="false">EXP(F1085)-1</f>
        <v>0.00211126652347615</v>
      </c>
      <c r="H1085" s="21" t="n">
        <f aca="false">EXP(SUM(F834:F1085))-1</f>
        <v>0.128302051303629</v>
      </c>
    </row>
    <row r="1086" customFormat="false" ht="15" hidden="false" customHeight="false" outlineLevel="0" collapsed="false">
      <c r="A1086" s="20" t="n">
        <v>46050</v>
      </c>
      <c r="B1086" s="21" t="n">
        <v>690.030396</v>
      </c>
      <c r="C1086" s="21" t="n">
        <v>97.506683</v>
      </c>
      <c r="D1086" s="22" t="n">
        <f aca="false">LN(B1086/B1085)</f>
        <v>-0.000100654268042683</v>
      </c>
      <c r="E1086" s="22" t="n">
        <f aca="false">LN(C1086/C1085)</f>
        <v>-0.000399359533029144</v>
      </c>
      <c r="F1086" s="22" t="n">
        <f aca="false">LN(Summary!$B$13*EXP(D1086)+Summary!$B$14*EXP(E1086))</f>
        <v>-0.000220125667270256</v>
      </c>
      <c r="G1086" s="22" t="n">
        <f aca="false">EXP(F1086)-1</f>
        <v>-0.000220101441393172</v>
      </c>
      <c r="H1086" s="21" t="n">
        <f aca="false">EXP(SUM(F835:F1086))-1</f>
        <v>0.135160570064768</v>
      </c>
    </row>
    <row r="1087" customFormat="false" ht="15" hidden="false" customHeight="false" outlineLevel="0" collapsed="false">
      <c r="A1087" s="20" t="n">
        <v>46051</v>
      </c>
      <c r="B1087" s="21" t="n">
        <v>688.661072</v>
      </c>
      <c r="C1087" s="21" t="n">
        <v>97.506683</v>
      </c>
      <c r="D1087" s="22" t="n">
        <f aca="false">LN(B1087/B1086)</f>
        <v>-0.00198641172741354</v>
      </c>
      <c r="E1087" s="22" t="n">
        <f aca="false">LN(C1087/C1086)</f>
        <v>0</v>
      </c>
      <c r="F1087" s="22" t="n">
        <f aca="false">LN(Summary!$B$13*EXP(D1087)+Summary!$B$14*EXP(E1087))</f>
        <v>-0.00119137347402615</v>
      </c>
      <c r="G1087" s="22" t="n">
        <f aca="false">EXP(F1087)-1</f>
        <v>-0.00119066407039836</v>
      </c>
      <c r="H1087" s="21" t="n">
        <f aca="false">EXP(SUM(F836:F1087))-1</f>
        <v>0.128131752431533</v>
      </c>
    </row>
    <row r="1088" customFormat="false" ht="15" hidden="false" customHeight="false" outlineLevel="0" collapsed="false">
      <c r="A1088" s="20" t="n">
        <v>46052</v>
      </c>
      <c r="B1088" s="21" t="n">
        <v>686.607117</v>
      </c>
      <c r="C1088" s="21" t="n">
        <v>97.487213</v>
      </c>
      <c r="D1088" s="22" t="n">
        <f aca="false">LN(B1088/B1087)</f>
        <v>-0.00298699052819368</v>
      </c>
      <c r="E1088" s="22" t="n">
        <f aca="false">LN(C1088/C1087)</f>
        <v>-0.000199698559432858</v>
      </c>
      <c r="F1088" s="22" t="n">
        <f aca="false">LN(Summary!$B$13*EXP(D1088)+Summary!$B$14*EXP(E1088))</f>
        <v>-0.00187114128813698</v>
      </c>
      <c r="G1088" s="22" t="n">
        <f aca="false">EXP(F1088)-1</f>
        <v>-0.00186939179463019</v>
      </c>
      <c r="H1088" s="21" t="n">
        <f aca="false">EXP(SUM(F837:F1088))-1</f>
        <v>0.129338522445507</v>
      </c>
    </row>
    <row r="1089" customFormat="false" ht="15" hidden="false" customHeight="false" outlineLevel="0" collapsed="false">
      <c r="A1089" s="20" t="n">
        <v>46055</v>
      </c>
      <c r="B1089" s="21" t="n">
        <v>690.020447</v>
      </c>
      <c r="C1089" s="21" t="n">
        <v>97.374886</v>
      </c>
      <c r="D1089" s="22" t="n">
        <f aca="false">LN(B1089/B1088)</f>
        <v>0.00495898394623761</v>
      </c>
      <c r="E1089" s="22" t="n">
        <f aca="false">LN(C1089/C1088)</f>
        <v>-0.00115288722658784</v>
      </c>
      <c r="F1089" s="22" t="n">
        <f aca="false">LN(Summary!$B$13*EXP(D1089)+Summary!$B$14*EXP(E1089))</f>
        <v>0.00251871624081221</v>
      </c>
      <c r="G1089" s="22" t="n">
        <f aca="false">EXP(F1089)-1</f>
        <v>0.0025218908713347</v>
      </c>
      <c r="H1089" s="21" t="n">
        <f aca="false">EXP(SUM(F838:F1089))-1</f>
        <v>0.12790624915556</v>
      </c>
    </row>
    <row r="1090" customFormat="false" ht="15" hidden="false" customHeight="false" outlineLevel="0" collapsed="false">
      <c r="A1090" s="20" t="n">
        <v>46056</v>
      </c>
      <c r="B1090" s="21" t="n">
        <v>684.186035</v>
      </c>
      <c r="C1090" s="21" t="n">
        <v>97.384644</v>
      </c>
      <c r="D1090" s="22" t="n">
        <f aca="false">LN(B1090/B1089)</f>
        <v>-0.00849136884900287</v>
      </c>
      <c r="E1090" s="22" t="n">
        <f aca="false">LN(C1090/C1089)</f>
        <v>0.000100205622884282</v>
      </c>
      <c r="F1090" s="22" t="n">
        <f aca="false">LN(Summary!$B$13*EXP(D1090)+Summary!$B$14*EXP(E1090))</f>
        <v>-0.0050458761925216</v>
      </c>
      <c r="G1090" s="22" t="n">
        <f aca="false">EXP(F1090)-1</f>
        <v>-0.00503316714432645</v>
      </c>
      <c r="H1090" s="21" t="n">
        <f aca="false">EXP(SUM(F839:F1090))-1</f>
        <v>0.126750850648711</v>
      </c>
    </row>
    <row r="1091" customFormat="false" ht="15" hidden="false" customHeight="false" outlineLevel="0" collapsed="false">
      <c r="A1091" s="20" t="n">
        <v>46057</v>
      </c>
      <c r="B1091" s="21" t="n">
        <v>680.871887</v>
      </c>
      <c r="C1091" s="21" t="n">
        <v>97.326042</v>
      </c>
      <c r="D1091" s="22" t="n">
        <f aca="false">LN(B1091/B1090)</f>
        <v>-0.00485569800120391</v>
      </c>
      <c r="E1091" s="22" t="n">
        <f aca="false">LN(C1091/C1090)</f>
        <v>-0.000601939246102177</v>
      </c>
      <c r="F1091" s="22" t="n">
        <f aca="false">LN(Summary!$B$13*EXP(D1091)+Summary!$B$14*EXP(E1091))</f>
        <v>-0.00315202254922348</v>
      </c>
      <c r="G1091" s="22" t="n">
        <f aca="false">EXP(F1091)-1</f>
        <v>-0.0031470601413911</v>
      </c>
      <c r="H1091" s="21" t="n">
        <f aca="false">EXP(SUM(F840:F1091))-1</f>
        <v>0.127329412424438</v>
      </c>
    </row>
    <row r="1092" customFormat="false" ht="15" hidden="false" customHeight="false" outlineLevel="0" collapsed="false">
      <c r="A1092" s="20" t="n">
        <v>46058</v>
      </c>
      <c r="B1092" s="21" t="n">
        <v>672.368347</v>
      </c>
      <c r="C1092" s="21" t="n">
        <v>97.746056</v>
      </c>
      <c r="D1092" s="22" t="n">
        <f aca="false">LN(B1092/B1091)</f>
        <v>-0.0125678378669007</v>
      </c>
      <c r="E1092" s="22" t="n">
        <f aca="false">LN(C1092/C1091)</f>
        <v>0.00430625039009079</v>
      </c>
      <c r="F1092" s="22" t="n">
        <f aca="false">LN(Summary!$B$13*EXP(D1092)+Summary!$B$14*EXP(E1092))</f>
        <v>-0.00578399630218363</v>
      </c>
      <c r="G1092" s="22" t="n">
        <f aca="false">EXP(F1092)-1</f>
        <v>-0.00576730119921842</v>
      </c>
      <c r="H1092" s="21" t="n">
        <f aca="false">EXP(SUM(F841:F1092))-1</f>
        <v>0.115511153869714</v>
      </c>
    </row>
    <row r="1093" customFormat="false" ht="15" hidden="false" customHeight="false" outlineLevel="0" collapsed="false">
      <c r="A1093" s="20" t="n">
        <v>46059</v>
      </c>
      <c r="B1093" s="21" t="n">
        <v>685.267578</v>
      </c>
      <c r="C1093" s="21" t="n">
        <v>97.804665</v>
      </c>
      <c r="D1093" s="22" t="n">
        <f aca="false">LN(B1093/B1092)</f>
        <v>0.0190030610372596</v>
      </c>
      <c r="E1093" s="22" t="n">
        <f aca="false">LN(C1093/C1092)</f>
        <v>0.000599425064302364</v>
      </c>
      <c r="F1093" s="22" t="n">
        <f aca="false">LN(Summary!$B$13*EXP(D1093)+Summary!$B$14*EXP(E1093))</f>
        <v>0.0116821995373953</v>
      </c>
      <c r="G1093" s="22" t="n">
        <f aca="false">EXP(F1093)-1</f>
        <v>0.0117507029272734</v>
      </c>
      <c r="H1093" s="21" t="n">
        <f aca="false">EXP(SUM(F842:F1093))-1</f>
        <v>0.123485680517895</v>
      </c>
    </row>
    <row r="1094" customFormat="false" ht="15" hidden="false" customHeight="false" outlineLevel="0" collapsed="false">
      <c r="A1094" s="20" t="n">
        <v>46062</v>
      </c>
      <c r="B1094" s="21" t="n">
        <v>688.571777</v>
      </c>
      <c r="C1094" s="21" t="n">
        <v>97.833969</v>
      </c>
      <c r="D1094" s="22" t="n">
        <f aca="false">LN(B1094/B1093)</f>
        <v>0.00481017720007036</v>
      </c>
      <c r="E1094" s="22" t="n">
        <f aca="false">LN(C1094/C1093)</f>
        <v>0.000299572733871738</v>
      </c>
      <c r="F1094" s="22" t="n">
        <f aca="false">LN(Summary!$B$13*EXP(D1094)+Summary!$B$14*EXP(E1094))</f>
        <v>0.00300837614392311</v>
      </c>
      <c r="G1094" s="22" t="n">
        <f aca="false">EXP(F1094)-1</f>
        <v>0.00301290584864766</v>
      </c>
      <c r="H1094" s="21" t="n">
        <f aca="false">EXP(SUM(F843:F1094))-1</f>
        <v>0.124984394742656</v>
      </c>
    </row>
    <row r="1095" customFormat="false" ht="15" hidden="false" customHeight="false" outlineLevel="0" collapsed="false">
      <c r="A1095" s="20" t="n">
        <v>46063</v>
      </c>
      <c r="B1095" s="21" t="n">
        <v>686.75592</v>
      </c>
      <c r="C1095" s="21" t="n">
        <v>98.117233</v>
      </c>
      <c r="D1095" s="22" t="n">
        <f aca="false">LN(B1095/B1094)</f>
        <v>-0.00264061875450488</v>
      </c>
      <c r="E1095" s="22" t="n">
        <f aca="false">LN(C1095/C1094)</f>
        <v>0.00289117080602398</v>
      </c>
      <c r="F1095" s="22" t="n">
        <f aca="false">LN(Summary!$B$13*EXP(D1095)+Summary!$B$14*EXP(E1095))</f>
        <v>-0.000424229496715507</v>
      </c>
      <c r="G1095" s="22" t="n">
        <f aca="false">EXP(F1095)-1</f>
        <v>-0.000424139524106026</v>
      </c>
      <c r="H1095" s="21" t="n">
        <f aca="false">EXP(SUM(F844:F1095))-1</f>
        <v>0.132161171257512</v>
      </c>
    </row>
    <row r="1096" customFormat="false" ht="15" hidden="false" customHeight="false" outlineLevel="0" collapsed="false">
      <c r="A1096" s="20" t="n">
        <v>46064</v>
      </c>
      <c r="B1096" s="21" t="n">
        <v>686.597229</v>
      </c>
      <c r="C1096" s="21" t="n">
        <v>97.892563</v>
      </c>
      <c r="D1096" s="22" t="n">
        <f aca="false">LN(B1096/B1095)</f>
        <v>-0.000231100064570844</v>
      </c>
      <c r="E1096" s="22" t="n">
        <f aca="false">LN(C1096/C1095)</f>
        <v>-0.0022924374493179</v>
      </c>
      <c r="F1096" s="22" t="n">
        <f aca="false">LN(Summary!$B$13*EXP(D1096)+Summary!$B$14*EXP(E1096))</f>
        <v>-0.00105512519520219</v>
      </c>
      <c r="G1096" s="22" t="n">
        <f aca="false">EXP(F1096)-1</f>
        <v>-0.00105456874633836</v>
      </c>
      <c r="H1096" s="21" t="n">
        <f aca="false">EXP(SUM(F845:F1096))-1</f>
        <v>0.126239429224033</v>
      </c>
    </row>
    <row r="1097" customFormat="false" ht="15" hidden="false" customHeight="false" outlineLevel="0" collapsed="false">
      <c r="A1097" s="20" t="n">
        <v>46065</v>
      </c>
      <c r="B1097" s="21" t="n">
        <v>675.990051</v>
      </c>
      <c r="C1097" s="21" t="n">
        <v>98.332123</v>
      </c>
      <c r="D1097" s="22" t="n">
        <f aca="false">LN(B1097/B1096)</f>
        <v>-0.0155694867076864</v>
      </c>
      <c r="E1097" s="22" t="n">
        <f aca="false">LN(C1097/C1096)</f>
        <v>0.00448017774111101</v>
      </c>
      <c r="F1097" s="22" t="n">
        <f aca="false">LN(Summary!$B$13*EXP(D1097)+Summary!$B$14*EXP(E1097))</f>
        <v>-0.00750131847830244</v>
      </c>
      <c r="G1097" s="22" t="n">
        <f aca="false">EXP(F1097)-1</f>
        <v>-0.00747325380670372</v>
      </c>
      <c r="H1097" s="21" t="n">
        <f aca="false">EXP(SUM(F846:F1097))-1</f>
        <v>0.1183218302492</v>
      </c>
    </row>
    <row r="1098" customFormat="false" ht="15" hidden="false" customHeight="false" outlineLevel="0" collapsed="false">
      <c r="A1098" s="20" t="n">
        <v>46066</v>
      </c>
      <c r="B1098" s="21" t="n">
        <v>676.46637</v>
      </c>
      <c r="C1098" s="21" t="n">
        <v>98.644691</v>
      </c>
      <c r="D1098" s="22" t="n">
        <f aca="false">LN(B1098/B1097)</f>
        <v>0.000704376144469671</v>
      </c>
      <c r="E1098" s="22" t="n">
        <f aca="false">LN(C1098/C1097)</f>
        <v>0.00317365537601809</v>
      </c>
      <c r="F1098" s="22" t="n">
        <f aca="false">LN(Summary!$B$13*EXP(D1098)+Summary!$B$14*EXP(E1098))</f>
        <v>0.00169281963816447</v>
      </c>
      <c r="G1098" s="22" t="n">
        <f aca="false">EXP(F1098)-1</f>
        <v>0.0016942532661719</v>
      </c>
      <c r="H1098" s="21" t="n">
        <f aca="false">EXP(SUM(F847:F1098))-1</f>
        <v>0.124749523440266</v>
      </c>
    </row>
    <row r="1099" customFormat="false" ht="15" hidden="false" customHeight="false" outlineLevel="0" collapsed="false">
      <c r="A1099" s="20" t="n">
        <v>46070</v>
      </c>
      <c r="B1099" s="21" t="n">
        <v>677.5578</v>
      </c>
      <c r="C1099" s="21" t="n">
        <v>98.654457</v>
      </c>
      <c r="D1099" s="22" t="n">
        <f aca="false">LN(B1099/B1098)</f>
        <v>0.00161212814448026</v>
      </c>
      <c r="E1099" s="22" t="n">
        <f aca="false">LN(C1099/C1098)</f>
        <v>9.89968796820589E-005</v>
      </c>
      <c r="F1099" s="22" t="n">
        <f aca="false">LN(Summary!$B$13*EXP(D1099)+Summary!$B$14*EXP(E1099))</f>
        <v>0.00100715035876951</v>
      </c>
      <c r="G1099" s="22" t="n">
        <f aca="false">EXP(F1099)-1</f>
        <v>0.00100765770500244</v>
      </c>
      <c r="H1099" s="21" t="n">
        <f aca="false">EXP(SUM(F848:F1099))-1</f>
        <v>0.116136528420076</v>
      </c>
    </row>
    <row r="1100" customFormat="false" ht="15" hidden="false" customHeight="false" outlineLevel="0" collapsed="false">
      <c r="A1100" s="20" t="n">
        <v>46071</v>
      </c>
      <c r="B1100" s="21" t="n">
        <v>680.97113</v>
      </c>
      <c r="C1100" s="21" t="n">
        <v>98.517715</v>
      </c>
      <c r="D1100" s="22" t="n">
        <f aca="false">LN(B1100/B1099)</f>
        <v>0.00502504894397781</v>
      </c>
      <c r="E1100" s="22" t="n">
        <f aca="false">LN(C1100/C1099)</f>
        <v>-0.00138703165396648</v>
      </c>
      <c r="F1100" s="22" t="n">
        <f aca="false">LN(Summary!$B$13*EXP(D1100)+Summary!$B$14*EXP(E1100))</f>
        <v>0.00246514836163151</v>
      </c>
      <c r="G1100" s="22" t="n">
        <f aca="false">EXP(F1100)-1</f>
        <v>0.00246818933815995</v>
      </c>
      <c r="H1100" s="21" t="n">
        <f aca="false">EXP(SUM(F849:F1100))-1</f>
        <v>0.117271538434291</v>
      </c>
    </row>
    <row r="1101" customFormat="false" ht="15" hidden="false" customHeight="false" outlineLevel="0" collapsed="false">
      <c r="A1101" s="20" t="n">
        <v>46072</v>
      </c>
      <c r="B1101" s="21" t="n">
        <v>679.17511</v>
      </c>
      <c r="C1101" s="21" t="n">
        <v>98.537239</v>
      </c>
      <c r="D1101" s="22" t="n">
        <f aca="false">LN(B1101/B1100)</f>
        <v>-0.00264092344049436</v>
      </c>
      <c r="E1101" s="22" t="n">
        <f aca="false">LN(C1101/C1100)</f>
        <v>0.00019815792161094</v>
      </c>
      <c r="F1101" s="22" t="n">
        <f aca="false">LN(Summary!$B$13*EXP(D1101)+Summary!$B$14*EXP(E1101))</f>
        <v>-0.00150432346690795</v>
      </c>
      <c r="G1101" s="22" t="n">
        <f aca="false">EXP(F1101)-1</f>
        <v>-0.00150319253952602</v>
      </c>
      <c r="H1101" s="21" t="n">
        <f aca="false">EXP(SUM(F850:F1101))-1</f>
        <v>0.115408332968238</v>
      </c>
    </row>
    <row r="1102" customFormat="false" ht="15" hidden="false" customHeight="false" outlineLevel="0" collapsed="false">
      <c r="A1102" s="20" t="n">
        <v>46073</v>
      </c>
      <c r="B1102" s="21" t="n">
        <v>684.086853</v>
      </c>
      <c r="C1102" s="21" t="n">
        <v>98.55677</v>
      </c>
      <c r="D1102" s="22" t="n">
        <f aca="false">LN(B1102/B1101)</f>
        <v>0.00720589936022002</v>
      </c>
      <c r="E1102" s="22" t="n">
        <f aca="false">LN(C1102/C1101)</f>
        <v>0.000198189687885648</v>
      </c>
      <c r="F1102" s="22" t="n">
        <f aca="false">LN(Summary!$B$13*EXP(D1102)+Summary!$B$14*EXP(E1102))</f>
        <v>0.00440870568699363</v>
      </c>
      <c r="G1102" s="22" t="n">
        <f aca="false">EXP(F1102)-1</f>
        <v>0.00441843832743705</v>
      </c>
      <c r="H1102" s="21" t="n">
        <f aca="false">EXP(SUM(F851:F1102))-1</f>
        <v>0.118113319028538</v>
      </c>
    </row>
    <row r="1103" customFormat="false" ht="15" hidden="false" customHeight="false" outlineLevel="0" collapsed="false">
      <c r="A1103" s="20" t="n">
        <v>46076</v>
      </c>
      <c r="B1103" s="21" t="n">
        <v>677.101379</v>
      </c>
      <c r="C1103" s="21" t="n">
        <v>98.752144</v>
      </c>
      <c r="D1103" s="22" t="n">
        <f aca="false">LN(B1103/B1102)</f>
        <v>-0.0102638785153767</v>
      </c>
      <c r="E1103" s="22" t="n">
        <f aca="false">LN(C1103/C1102)</f>
        <v>0.00198038760533329</v>
      </c>
      <c r="F1103" s="22" t="n">
        <f aca="false">LN(Summary!$B$13*EXP(D1103)+Summary!$B$14*EXP(E1103))</f>
        <v>-0.00534816683437175</v>
      </c>
      <c r="G1103" s="22" t="n">
        <f aca="false">EXP(F1103)-1</f>
        <v>-0.00533389085157876</v>
      </c>
      <c r="H1103" s="21" t="n">
        <f aca="false">EXP(SUM(F852:F1103))-1</f>
        <v>0.114244643396836</v>
      </c>
    </row>
    <row r="1104" customFormat="false" ht="15" hidden="false" customHeight="false" outlineLevel="0" collapsed="false">
      <c r="A1104" s="20" t="n">
        <v>46077</v>
      </c>
      <c r="B1104" s="21" t="n">
        <v>682.022888</v>
      </c>
      <c r="C1104" s="21" t="n">
        <v>98.742363</v>
      </c>
      <c r="D1104" s="22" t="n">
        <f aca="false">LN(B1104/B1103)</f>
        <v>0.00724220828131952</v>
      </c>
      <c r="E1104" s="22" t="n">
        <f aca="false">LN(C1104/C1103)</f>
        <v>-9.90508562144118E-005</v>
      </c>
      <c r="F1104" s="22" t="n">
        <f aca="false">LN(Summary!$B$13*EXP(D1104)+Summary!$B$14*EXP(E1104))</f>
        <v>0.00431216873862519</v>
      </c>
      <c r="G1104" s="22" t="n">
        <f aca="false">EXP(F1104)-1</f>
        <v>0.00432147951664508</v>
      </c>
      <c r="H1104" s="21" t="n">
        <f aca="false">EXP(SUM(F853:F1104))-1</f>
        <v>0.128700226315302</v>
      </c>
    </row>
    <row r="1105" customFormat="false" ht="15" hidden="false" customHeight="false" outlineLevel="0" collapsed="false">
      <c r="A1105" s="20" t="n">
        <v>46078</v>
      </c>
      <c r="B1105" s="21" t="n">
        <v>687.777954</v>
      </c>
      <c r="C1105" s="21" t="n">
        <v>98.693527</v>
      </c>
      <c r="D1105" s="22" t="n">
        <f aca="false">LN(B1105/B1104)</f>
        <v>0.00840282716446294</v>
      </c>
      <c r="E1105" s="22" t="n">
        <f aca="false">LN(C1105/C1104)</f>
        <v>-0.000494702366382977</v>
      </c>
      <c r="F1105" s="22" t="n">
        <f aca="false">LN(Summary!$B$13*EXP(D1105)+Summary!$B$14*EXP(E1105))</f>
        <v>0.00485330961334406</v>
      </c>
      <c r="G1105" s="22" t="n">
        <f aca="false">EXP(F1105)-1</f>
        <v>0.00486510599655809</v>
      </c>
      <c r="H1105" s="21" t="n">
        <f aca="false">EXP(SUM(F854:F1105))-1</f>
        <v>0.136505940341242</v>
      </c>
    </row>
    <row r="1106" customFormat="false" ht="15" hidden="false" customHeight="false" outlineLevel="0" collapsed="false">
      <c r="A1106" s="20" t="n">
        <v>46079</v>
      </c>
      <c r="B1106" s="21" t="n">
        <v>683.957764</v>
      </c>
      <c r="C1106" s="21" t="n">
        <v>98.849815</v>
      </c>
      <c r="D1106" s="22" t="n">
        <f aca="false">LN(B1106/B1105)</f>
        <v>-0.0055698773840795</v>
      </c>
      <c r="E1106" s="22" t="n">
        <f aca="false">LN(C1106/C1105)</f>
        <v>0.00158231637701582</v>
      </c>
      <c r="F1106" s="22" t="n">
        <f aca="false">LN(Summary!$B$13*EXP(D1106)+Summary!$B$14*EXP(E1106))</f>
        <v>-0.00270285849919801</v>
      </c>
      <c r="G1106" s="22" t="n">
        <f aca="false">EXP(F1106)-1</f>
        <v>-0.0026992090658724</v>
      </c>
      <c r="H1106" s="21" t="n">
        <f aca="false">EXP(SUM(F855:F1106))-1</f>
        <v>0.134004010835812</v>
      </c>
    </row>
    <row r="1107" customFormat="false" ht="15" hidden="false" customHeight="false" outlineLevel="0" collapsed="false">
      <c r="A1107" s="20" t="n">
        <v>46080</v>
      </c>
      <c r="B1107" s="21" t="n">
        <v>680.673401</v>
      </c>
      <c r="C1107" s="21" t="n">
        <v>99.045174</v>
      </c>
      <c r="D1107" s="22" t="n">
        <f aca="false">LN(B1107/B1106)</f>
        <v>-0.00481356343882509</v>
      </c>
      <c r="E1107" s="22" t="n">
        <f aca="false">LN(C1107/C1106)</f>
        <v>0.00197437099795787</v>
      </c>
      <c r="F1107" s="22" t="n">
        <f aca="false">LN(Summary!$B$13*EXP(D1107)+Summary!$B$14*EXP(E1107))</f>
        <v>-0.00209285804490381</v>
      </c>
      <c r="G1107" s="22" t="n">
        <f aca="false">EXP(F1107)-1</f>
        <v>-0.0020906695445122</v>
      </c>
      <c r="H1107" s="21" t="n">
        <f aca="false">EXP(SUM(F856:F1107))-1</f>
        <v>0.130558527843665</v>
      </c>
    </row>
    <row r="1108" customFormat="false" ht="15" hidden="false" customHeight="false" outlineLevel="0" collapsed="false">
      <c r="A1108" s="20" t="n">
        <v>46083</v>
      </c>
      <c r="B1108" s="21" t="n">
        <v>681.060486</v>
      </c>
      <c r="C1108" s="21" t="n">
        <v>98.649323</v>
      </c>
      <c r="D1108" s="22" t="n">
        <f aca="false">LN(B1108/B1107)</f>
        <v>0.000568517849370253</v>
      </c>
      <c r="E1108" s="22" t="n">
        <f aca="false">LN(C1108/C1107)</f>
        <v>-0.00400467929096469</v>
      </c>
      <c r="F1108" s="22" t="n">
        <f aca="false">LN(Summary!$B$13*EXP(D1108)+Summary!$B$14*EXP(E1108))</f>
        <v>-0.00125825207799227</v>
      </c>
      <c r="G1108" s="22" t="n">
        <f aca="false">EXP(F1108)-1</f>
        <v>-0.0012574608107524</v>
      </c>
      <c r="H1108" s="21" t="n">
        <f aca="false">EXP(SUM(F857:F1108))-1</f>
        <v>0.140753946936709</v>
      </c>
    </row>
    <row r="1109" customFormat="false" ht="15" hidden="false" customHeight="false" outlineLevel="0" collapsed="false">
      <c r="A1109" s="20" t="n">
        <v>46084</v>
      </c>
      <c r="B1109" s="21" t="n">
        <v>675.057373</v>
      </c>
      <c r="C1109" s="21" t="n">
        <v>98.541534</v>
      </c>
      <c r="D1109" s="22" t="n">
        <f aca="false">LN(B1109/B1108)</f>
        <v>-0.00885343729104104</v>
      </c>
      <c r="E1109" s="22" t="n">
        <f aca="false">LN(C1109/C1108)</f>
        <v>-0.00109324552238903</v>
      </c>
      <c r="F1109" s="22" t="n">
        <f aca="false">LN(Summary!$B$13*EXP(D1109)+Summary!$B$14*EXP(E1109))</f>
        <v>-0.00574213039181793</v>
      </c>
      <c r="G1109" s="22" t="n">
        <f aca="false">EXP(F1109)-1</f>
        <v>-0.00572567587083273</v>
      </c>
      <c r="H1109" s="21" t="n">
        <f aca="false">EXP(SUM(F858:F1109))-1</f>
        <v>0.121721120248095</v>
      </c>
    </row>
    <row r="1110" customFormat="false" ht="15" hidden="false" customHeight="false" outlineLevel="0" collapsed="false">
      <c r="A1110" s="20" t="n">
        <v>46085</v>
      </c>
      <c r="B1110" s="21" t="n">
        <v>679.82019</v>
      </c>
      <c r="C1110" s="21" t="n">
        <v>98.502342</v>
      </c>
      <c r="D1110" s="22" t="n">
        <f aca="false">LN(B1110/B1109)</f>
        <v>0.00703065243519738</v>
      </c>
      <c r="E1110" s="22" t="n">
        <f aca="false">LN(C1110/C1109)</f>
        <v>-0.00039779973184073</v>
      </c>
      <c r="F1110" s="22" t="n">
        <f aca="false">LN(Summary!$B$13*EXP(D1110)+Summary!$B$14*EXP(E1110))</f>
        <v>0.00406589010386373</v>
      </c>
      <c r="G1110" s="22" t="n">
        <f aca="false">EXP(F1110)-1</f>
        <v>0.00407416704894659</v>
      </c>
      <c r="H1110" s="21" t="n">
        <f aca="false">EXP(SUM(F859:F1110))-1</f>
        <v>0.137262223538029</v>
      </c>
    </row>
    <row r="1111" customFormat="false" ht="15" hidden="false" customHeight="false" outlineLevel="0" collapsed="false">
      <c r="A1111" s="20" t="n">
        <v>46086</v>
      </c>
      <c r="B1111" s="21" t="n">
        <v>676.029724</v>
      </c>
      <c r="C1111" s="21" t="n">
        <v>98.218193</v>
      </c>
      <c r="D1111" s="22" t="n">
        <f aca="false">LN(B1111/B1110)</f>
        <v>-0.00559129124222589</v>
      </c>
      <c r="E1111" s="22" t="n">
        <f aca="false">LN(C1111/C1110)</f>
        <v>-0.00288886157832238</v>
      </c>
      <c r="F1111" s="22" t="n">
        <f aca="false">LN(Summary!$B$13*EXP(D1111)+Summary!$B$14*EXP(E1111))</f>
        <v>-0.00450944284387917</v>
      </c>
      <c r="G1111" s="22" t="n">
        <f aca="false">EXP(F1111)-1</f>
        <v>-0.00449929057259335</v>
      </c>
      <c r="H1111" s="21" t="n">
        <f aca="false">EXP(SUM(F860:F1111))-1</f>
        <v>0.141402879740776</v>
      </c>
    </row>
    <row r="1112" customFormat="false" ht="15" hidden="false" customHeight="false" outlineLevel="0" collapsed="false">
      <c r="A1112" s="20" t="n">
        <v>46087</v>
      </c>
      <c r="B1112" s="21" t="n">
        <v>667.168945</v>
      </c>
      <c r="C1112" s="21" t="n">
        <v>98.100616</v>
      </c>
      <c r="D1112" s="22" t="n">
        <f aca="false">LN(B1112/B1111)</f>
        <v>-0.0131937407930113</v>
      </c>
      <c r="E1112" s="22" t="n">
        <f aca="false">LN(C1112/C1111)</f>
        <v>-0.00119781710837453</v>
      </c>
      <c r="F1112" s="22" t="n">
        <f aca="false">LN(Summary!$B$13*EXP(D1112)+Summary!$B$14*EXP(E1112))</f>
        <v>-0.0083780893383344</v>
      </c>
      <c r="G1112" s="22" t="n">
        <f aca="false">EXP(F1112)-1</f>
        <v>-0.00834309095591335</v>
      </c>
      <c r="H1112" s="21" t="n">
        <f aca="false">EXP(SUM(F861:F1112))-1</f>
        <v>0.126166029702981</v>
      </c>
    </row>
    <row r="1113" customFormat="false" ht="15" hidden="false" customHeight="false" outlineLevel="0" collapsed="false">
      <c r="A1113" s="20" t="n">
        <v>46090</v>
      </c>
      <c r="B1113" s="21" t="n">
        <v>673.013306</v>
      </c>
      <c r="C1113" s="21" t="n">
        <v>98.414154</v>
      </c>
      <c r="D1113" s="22" t="n">
        <f aca="false">LN(B1113/B1112)</f>
        <v>0.00872179592564535</v>
      </c>
      <c r="E1113" s="22" t="n">
        <f aca="false">LN(C1113/C1112)</f>
        <v>0.00319098931899858</v>
      </c>
      <c r="F1113" s="22" t="n">
        <f aca="false">LN(Summary!$B$13*EXP(D1113)+Summary!$B$14*EXP(E1113))</f>
        <v>0.00651314270398852</v>
      </c>
      <c r="G1113" s="22" t="n">
        <f aca="false">EXP(F1113)-1</f>
        <v>0.00653439934204325</v>
      </c>
      <c r="H1113" s="21" t="n">
        <f aca="false">EXP(SUM(F862:F1113))-1</f>
        <v>0.146197970107405</v>
      </c>
    </row>
    <row r="1114" customFormat="false" ht="15" hidden="false" customHeight="false" outlineLevel="0" collapsed="false">
      <c r="A1114" s="20" t="n">
        <v>46091</v>
      </c>
      <c r="B1114" s="21" t="n">
        <v>671.931702</v>
      </c>
      <c r="C1114" s="21" t="n">
        <v>98.09082</v>
      </c>
      <c r="D1114" s="22" t="n">
        <f aca="false">LN(B1114/B1113)</f>
        <v>-0.00160839919362874</v>
      </c>
      <c r="E1114" s="22" t="n">
        <f aca="false">LN(C1114/C1113)</f>
        <v>-0.0032908509664575</v>
      </c>
      <c r="F1114" s="22" t="n">
        <f aca="false">LN(Summary!$B$13*EXP(D1114)+Summary!$B$14*EXP(E1114))</f>
        <v>-0.00228104026361867</v>
      </c>
      <c r="G1114" s="22" t="n">
        <f aca="false">EXP(F1114)-1</f>
        <v>-0.00227844066824612</v>
      </c>
      <c r="H1114" s="21" t="n">
        <f aca="false">EXP(SUM(F863:F1114))-1</f>
        <v>0.14030750987913</v>
      </c>
    </row>
    <row r="1115" customFormat="false" ht="15" hidden="false" customHeight="false" outlineLevel="0" collapsed="false">
      <c r="A1115" s="20" t="n">
        <v>46092</v>
      </c>
      <c r="B1115" s="21" t="n">
        <v>671.088318</v>
      </c>
      <c r="C1115" s="21" t="n">
        <v>97.649895</v>
      </c>
      <c r="D1115" s="22" t="n">
        <f aca="false">LN(B1115/B1114)</f>
        <v>-0.00125595165865638</v>
      </c>
      <c r="E1115" s="22" t="n">
        <f aca="false">LN(C1115/C1114)</f>
        <v>-0.00450520215768082</v>
      </c>
      <c r="F1115" s="22" t="n">
        <f aca="false">LN(Summary!$B$13*EXP(D1115)+Summary!$B$14*EXP(E1115))</f>
        <v>-0.00255438521773469</v>
      </c>
      <c r="G1115" s="22" t="n">
        <f aca="false">EXP(F1115)-1</f>
        <v>-0.00255112555188586</v>
      </c>
      <c r="H1115" s="21" t="n">
        <f aca="false">EXP(SUM(F864:F1115))-1</f>
        <v>0.153629658408177</v>
      </c>
    </row>
    <row r="1116" customFormat="false" ht="15" hidden="false" customHeight="false" outlineLevel="0" collapsed="false">
      <c r="A1116" s="20" t="n">
        <v>46093</v>
      </c>
      <c r="B1116" s="21" t="n">
        <v>660.897888</v>
      </c>
      <c r="C1116" s="21" t="n">
        <v>97.287346</v>
      </c>
      <c r="D1116" s="22" t="n">
        <f aca="false">LN(B1116/B1115)</f>
        <v>-0.015301402941849</v>
      </c>
      <c r="E1116" s="22" t="n">
        <f aca="false">LN(C1116/C1115)</f>
        <v>-0.00371965270620975</v>
      </c>
      <c r="F1116" s="22" t="n">
        <f aca="false">LN(Summary!$B$13*EXP(D1116)+Summary!$B$14*EXP(E1116))</f>
        <v>-0.0106525940659708</v>
      </c>
      <c r="G1116" s="22" t="n">
        <f aca="false">EXP(F1116)-1</f>
        <v>-0.0105960561224807</v>
      </c>
      <c r="H1116" s="21" t="n">
        <f aca="false">EXP(SUM(F865:F1116))-1</f>
        <v>0.148762926109618</v>
      </c>
    </row>
    <row r="1117" customFormat="false" ht="15" hidden="false" customHeight="false" outlineLevel="0" collapsed="false">
      <c r="A1117" s="20" t="n">
        <v>46094</v>
      </c>
      <c r="B1117" s="21" t="n">
        <v>657.157166</v>
      </c>
      <c r="C1117" s="21" t="n">
        <v>97.208969</v>
      </c>
      <c r="D1117" s="22" t="n">
        <f aca="false">LN(B1117/B1116)</f>
        <v>-0.00567613929635361</v>
      </c>
      <c r="E1117" s="22" t="n">
        <f aca="false">LN(C1117/C1116)</f>
        <v>-0.00080594847509071</v>
      </c>
      <c r="F1117" s="22" t="n">
        <f aca="false">LN(Summary!$B$13*EXP(D1117)+Summary!$B$14*EXP(E1117))</f>
        <v>-0.00372521579517057</v>
      </c>
      <c r="G1117" s="22" t="n">
        <f aca="false">EXP(F1117)-1</f>
        <v>-0.00371828578673994</v>
      </c>
      <c r="H1117" s="21" t="n">
        <f aca="false">EXP(SUM(F866:F1117))-1</f>
        <v>0.142200406917187</v>
      </c>
    </row>
    <row r="1118" customFormat="false" ht="15" hidden="false" customHeight="false" outlineLevel="0" collapsed="false">
      <c r="A1118" s="20" t="n">
        <v>46097</v>
      </c>
      <c r="B1118" s="21" t="n">
        <v>663.84491</v>
      </c>
      <c r="C1118" s="21" t="n">
        <v>97.591095</v>
      </c>
      <c r="D1118" s="22" t="n">
        <f aca="false">LN(B1118/B1117)</f>
        <v>0.0101253453851323</v>
      </c>
      <c r="E1118" s="22" t="n">
        <f aca="false">LN(C1118/C1117)</f>
        <v>0.00392326863035666</v>
      </c>
      <c r="F1118" s="22" t="n">
        <f aca="false">LN(Summary!$B$13*EXP(D1118)+Summary!$B$14*EXP(E1118))</f>
        <v>0.00764912865890682</v>
      </c>
      <c r="G1118" s="22" t="n">
        <f aca="false">EXP(F1118)-1</f>
        <v>0.00767845797707789</v>
      </c>
      <c r="H1118" s="21" t="n">
        <f aca="false">EXP(SUM(F867:F1118))-1</f>
        <v>0.158823054153397</v>
      </c>
    </row>
    <row r="1119" customFormat="false" ht="15" hidden="false" customHeight="false" outlineLevel="0" collapsed="false">
      <c r="A1119" s="20" t="n">
        <v>46098</v>
      </c>
      <c r="B1119" s="21" t="n">
        <v>665.591248</v>
      </c>
      <c r="C1119" s="21" t="n">
        <v>97.787079</v>
      </c>
      <c r="D1119" s="22" t="n">
        <f aca="false">LN(B1119/B1118)</f>
        <v>0.00262718746431421</v>
      </c>
      <c r="E1119" s="22" t="n">
        <f aca="false">LN(C1119/C1118)</f>
        <v>0.00200620224584367</v>
      </c>
      <c r="F1119" s="22" t="n">
        <f aca="false">LN(Summary!$B$13*EXP(D1119)+Summary!$B$14*EXP(E1119))</f>
        <v>0.00237883964972664</v>
      </c>
      <c r="G1119" s="22" t="n">
        <f aca="false">EXP(F1119)-1</f>
        <v>0.00238167133369505</v>
      </c>
      <c r="H1119" s="21" t="n">
        <f aca="false">EXP(SUM(F868:F1119))-1</f>
        <v>0.148284503646553</v>
      </c>
    </row>
    <row r="1120" customFormat="false" ht="15" hidden="false" customHeight="false" outlineLevel="0" collapsed="false">
      <c r="A1120" s="20" t="n">
        <v>46099</v>
      </c>
      <c r="B1120" s="21" t="n">
        <v>656.303833</v>
      </c>
      <c r="C1120" s="21" t="n">
        <v>97.375542</v>
      </c>
      <c r="D1120" s="22" t="n">
        <f aca="false">LN(B1120/B1119)</f>
        <v>-0.014051898602537</v>
      </c>
      <c r="E1120" s="22" t="n">
        <f aca="false">LN(C1120/C1119)</f>
        <v>-0.00421738146237301</v>
      </c>
      <c r="F1120" s="22" t="n">
        <f aca="false">LN(Summary!$B$13*EXP(D1120)+Summary!$B$14*EXP(E1120))</f>
        <v>-0.0101064780510366</v>
      </c>
      <c r="G1120" s="22" t="n">
        <f aca="false">EXP(F1120)-1</f>
        <v>-0.0100555792153756</v>
      </c>
      <c r="H1120" s="21" t="n">
        <f aca="false">EXP(SUM(F869:F1120))-1</f>
        <v>0.130906931459242</v>
      </c>
    </row>
    <row r="1121" customFormat="false" ht="15" hidden="false" customHeight="false" outlineLevel="0" collapsed="false">
      <c r="A1121" s="20" t="n">
        <v>46100</v>
      </c>
      <c r="B1121" s="21" t="n">
        <v>654.686401</v>
      </c>
      <c r="C1121" s="21" t="n">
        <v>97.483322</v>
      </c>
      <c r="D1121" s="22" t="n">
        <f aca="false">LN(B1121/B1120)</f>
        <v>-0.0024674978938869</v>
      </c>
      <c r="E1121" s="22" t="n">
        <f aca="false">LN(C1121/C1120)</f>
        <v>0.00110623667590929</v>
      </c>
      <c r="F1121" s="22" t="n">
        <f aca="false">LN(Summary!$B$13*EXP(D1121)+Summary!$B$14*EXP(E1121))</f>
        <v>-0.00103647111209568</v>
      </c>
      <c r="G1121" s="22" t="n">
        <f aca="false">EXP(F1121)-1</f>
        <v>-0.00103593416143988</v>
      </c>
      <c r="H1121" s="21" t="n">
        <f aca="false">EXP(SUM(F870:F1121))-1</f>
        <v>0.136644586489284</v>
      </c>
    </row>
    <row r="1122" customFormat="false" ht="15" hidden="false" customHeight="false" outlineLevel="0" collapsed="false">
      <c r="A1122" s="20" t="n">
        <v>46101</v>
      </c>
      <c r="B1122" s="21" t="n">
        <v>645.301025</v>
      </c>
      <c r="C1122" s="21" t="n">
        <v>96.670067</v>
      </c>
      <c r="D1122" s="22" t="n">
        <f aca="false">LN(B1122/B1121)</f>
        <v>-0.0144394305366391</v>
      </c>
      <c r="E1122" s="22" t="n">
        <f aca="false">LN(C1122/C1121)</f>
        <v>-0.0083774974059059</v>
      </c>
      <c r="F1122" s="22" t="n">
        <f aca="false">LN(Summary!$B$13*EXP(D1122)+Summary!$B$14*EXP(E1122))</f>
        <v>-0.0120102458642352</v>
      </c>
      <c r="G1122" s="22" t="n">
        <f aca="false">EXP(F1122)-1</f>
        <v>-0.0119384107348315</v>
      </c>
      <c r="H1122" s="21" t="n">
        <f aca="false">EXP(SUM(F871:F1122))-1</f>
        <v>0.114479807993114</v>
      </c>
    </row>
    <row r="1123" customFormat="false" ht="15" hidden="false" customHeight="false" outlineLevel="0" collapsed="false">
      <c r="A1123" s="20" t="n">
        <v>46104</v>
      </c>
      <c r="B1123" s="21" t="n">
        <v>652.07666</v>
      </c>
      <c r="C1123" s="21" t="n">
        <v>97.032593</v>
      </c>
      <c r="D1123" s="22" t="n">
        <f aca="false">LN(B1123/B1122)</f>
        <v>0.0104452183531479</v>
      </c>
      <c r="E1123" s="22" t="n">
        <f aca="false">LN(C1123/C1122)</f>
        <v>0.00374312281801672</v>
      </c>
      <c r="F1123" s="22" t="n">
        <f aca="false">LN(Summary!$B$13*EXP(D1123)+Summary!$B$14*EXP(E1123))</f>
        <v>0.00776976789201296</v>
      </c>
      <c r="G1123" s="22" t="n">
        <f aca="false">EXP(F1123)-1</f>
        <v>0.00780003086654846</v>
      </c>
      <c r="H1123" s="21" t="n">
        <f aca="false">EXP(SUM(F872:F1123))-1</f>
        <v>0.124851312804751</v>
      </c>
    </row>
    <row r="1124" customFormat="false" ht="15" hidden="false" customHeight="false" outlineLevel="0" collapsed="false">
      <c r="A1124" s="20" t="n">
        <v>46105</v>
      </c>
      <c r="B1124" s="21" t="n">
        <v>649.887756</v>
      </c>
      <c r="C1124" s="21" t="n">
        <v>96.768051</v>
      </c>
      <c r="D1124" s="22" t="n">
        <f aca="false">LN(B1124/B1123)</f>
        <v>-0.00336246680085207</v>
      </c>
      <c r="E1124" s="22" t="n">
        <f aca="false">LN(C1124/C1123)</f>
        <v>-0.00273004422323519</v>
      </c>
      <c r="F1124" s="22" t="n">
        <f aca="false">LN(Summary!$B$13*EXP(D1124)+Summary!$B$14*EXP(E1124))</f>
        <v>-0.00310944977278448</v>
      </c>
      <c r="G1124" s="22" t="n">
        <f aca="false">EXP(F1124)-1</f>
        <v>-0.0031046204406584</v>
      </c>
      <c r="H1124" s="21" t="n">
        <f aca="false">EXP(SUM(F873:F1124))-1</f>
        <v>0.121681692307045</v>
      </c>
    </row>
    <row r="1125" customFormat="false" ht="15" hidden="false" customHeight="false" outlineLevel="0" collapsed="false">
      <c r="A1125" s="20" t="n">
        <v>46106</v>
      </c>
      <c r="B1125" s="21" t="n">
        <v>653.509399</v>
      </c>
      <c r="C1125" s="21" t="n">
        <v>97.110992</v>
      </c>
      <c r="D1125" s="22" t="n">
        <f aca="false">LN(B1125/B1124)</f>
        <v>0.00555725061499871</v>
      </c>
      <c r="E1125" s="22" t="n">
        <f aca="false">LN(C1125/C1124)</f>
        <v>0.00353768362333697</v>
      </c>
      <c r="F1125" s="22" t="n">
        <f aca="false">LN(Summary!$B$13*EXP(D1125)+Summary!$B$14*EXP(E1125))</f>
        <v>0.00474991319046412</v>
      </c>
      <c r="G1125" s="22" t="n">
        <f aca="false">EXP(F1125)-1</f>
        <v>0.00476121191035217</v>
      </c>
      <c r="H1125" s="21" t="n">
        <f aca="false">EXP(SUM(F874:F1125))-1</f>
        <v>0.116741925682387</v>
      </c>
    </row>
    <row r="1126" customFormat="false" ht="15" hidden="false" customHeight="false" outlineLevel="0" collapsed="false">
      <c r="A1126" s="20" t="n">
        <v>46107</v>
      </c>
      <c r="B1126" s="21" t="n">
        <v>641.838562</v>
      </c>
      <c r="C1126" s="21" t="n">
        <v>96.562279</v>
      </c>
      <c r="D1126" s="22" t="n">
        <f aca="false">LN(B1126/B1125)</f>
        <v>-0.0180201045071814</v>
      </c>
      <c r="E1126" s="22" t="n">
        <f aca="false">LN(C1126/C1125)</f>
        <v>-0.00566639335763494</v>
      </c>
      <c r="F1126" s="22" t="n">
        <f aca="false">LN(Summary!$B$13*EXP(D1126)+Summary!$B$14*EXP(E1126))</f>
        <v>-0.0130602913657473</v>
      </c>
      <c r="G1126" s="22" t="n">
        <f aca="false">EXP(F1126)-1</f>
        <v>-0.0129753758363068</v>
      </c>
      <c r="H1126" s="21" t="n">
        <f aca="false">EXP(SUM(F875:F1126))-1</f>
        <v>0.100262192588325</v>
      </c>
    </row>
    <row r="1127" customFormat="false" ht="15" hidden="false" customHeight="false" outlineLevel="0" collapsed="false">
      <c r="A1127" s="20" t="n">
        <v>46108</v>
      </c>
      <c r="B1127" s="21" t="n">
        <v>630.893982</v>
      </c>
      <c r="C1127" s="21" t="n">
        <v>96.552483</v>
      </c>
      <c r="D1127" s="22" t="n">
        <f aca="false">LN(B1127/B1126)</f>
        <v>-0.0171989784320289</v>
      </c>
      <c r="E1127" s="22" t="n">
        <f aca="false">LN(C1127/C1126)</f>
        <v>-0.000101452627514981</v>
      </c>
      <c r="F1127" s="22" t="n">
        <f aca="false">LN(Summary!$B$13*EXP(D1127)+Summary!$B$14*EXP(E1127))</f>
        <v>-0.0103248494563509</v>
      </c>
      <c r="G1127" s="22" t="n">
        <f aca="false">EXP(F1127)-1</f>
        <v>-0.0102717311681636</v>
      </c>
      <c r="H1127" s="21" t="n">
        <f aca="false">EXP(SUM(F876:F1127))-1</f>
        <v>0.0978952711634935</v>
      </c>
    </row>
    <row r="1128" customFormat="false" ht="15" hidden="false" customHeight="false" outlineLevel="0" collapsed="false">
      <c r="A1128" s="20" t="n">
        <v>46111</v>
      </c>
      <c r="B1128" s="21" t="n">
        <v>628.784668</v>
      </c>
      <c r="C1128" s="21" t="n">
        <v>97.042397</v>
      </c>
      <c r="D1128" s="22" t="n">
        <f aca="false">LN(B1128/B1127)</f>
        <v>-0.00334897471103511</v>
      </c>
      <c r="E1128" s="22" t="n">
        <f aca="false">LN(C1128/C1127)</f>
        <v>0.00506123969609777</v>
      </c>
      <c r="F1128" s="22" t="n">
        <f aca="false">LN(Summary!$B$13*EXP(D1128)+Summary!$B$14*EXP(E1128))</f>
        <v>2.36035934887951E-005</v>
      </c>
      <c r="G1128" s="22" t="n">
        <f aca="false">EXP(F1128)-1</f>
        <v>2.36038720557996E-005</v>
      </c>
      <c r="H1128" s="21" t="n">
        <f aca="false">EXP(SUM(F877:F1128))-1</f>
        <v>0.0998977979852984</v>
      </c>
    </row>
    <row r="1129" customFormat="false" ht="15" hidden="false" customHeight="false" outlineLevel="0" collapsed="false">
      <c r="A1129" s="20" t="n">
        <v>46112</v>
      </c>
      <c r="B1129" s="21" t="n">
        <v>647.062073</v>
      </c>
      <c r="C1129" s="21" t="n">
        <v>97.267754</v>
      </c>
      <c r="D1129" s="22" t="n">
        <f aca="false">LN(B1129/B1128)</f>
        <v>0.0286533717546989</v>
      </c>
      <c r="E1129" s="22" t="n">
        <f aca="false">LN(C1129/C1128)</f>
        <v>0.00231956076285338</v>
      </c>
      <c r="F1129" s="22" t="n">
        <f aca="false">LN(Summary!$B$13*EXP(D1129)+Summary!$B$14*EXP(E1129))</f>
        <v>0.0182029155101854</v>
      </c>
      <c r="G1129" s="22" t="n">
        <f aca="false">EXP(F1129)-1</f>
        <v>0.0183695984122974</v>
      </c>
      <c r="H1129" s="21" t="n">
        <f aca="false">EXP(SUM(F878:F1129))-1</f>
        <v>0.131142627783347</v>
      </c>
    </row>
    <row r="1130" customFormat="false" ht="15" hidden="false" customHeight="false" outlineLevel="0" collapsed="false">
      <c r="A1130" s="20" t="n">
        <v>46113</v>
      </c>
      <c r="B1130" s="21" t="n">
        <v>651.937378</v>
      </c>
      <c r="C1130" s="21" t="n">
        <v>97.333626</v>
      </c>
      <c r="D1130" s="22" t="n">
        <f aca="false">LN(B1130/B1129)</f>
        <v>0.00750628168089667</v>
      </c>
      <c r="E1130" s="22" t="n">
        <f aca="false">LN(C1130/C1129)</f>
        <v>0.000676994197223841</v>
      </c>
      <c r="F1130" s="22" t="n">
        <f aca="false">LN(Summary!$B$13*EXP(D1130)+Summary!$B$14*EXP(E1130))</f>
        <v>0.00478016082987365</v>
      </c>
      <c r="G1130" s="22" t="n">
        <f aca="false">EXP(F1130)-1</f>
        <v>0.00479160402482526</v>
      </c>
      <c r="H1130" s="21" t="n">
        <f aca="false">EXP(SUM(F879:F1130))-1</f>
        <v>0.131136143222929</v>
      </c>
    </row>
    <row r="1131" customFormat="false" ht="15" hidden="false" customHeight="false" outlineLevel="0" collapsed="false">
      <c r="A1131" s="20" t="n">
        <v>46114</v>
      </c>
      <c r="B1131" s="21" t="n">
        <v>652.524414</v>
      </c>
      <c r="C1131" s="21" t="n">
        <v>97.559761</v>
      </c>
      <c r="D1131" s="22" t="n">
        <f aca="false">LN(B1131/B1130)</f>
        <v>0.000900043287168628</v>
      </c>
      <c r="E1131" s="22" t="n">
        <f aca="false">LN(C1131/C1130)</f>
        <v>0.00232060312525461</v>
      </c>
      <c r="F1131" s="22" t="n">
        <f aca="false">LN(Summary!$B$13*EXP(D1131)+Summary!$B$14*EXP(E1131))</f>
        <v>0.00146850940414894</v>
      </c>
      <c r="G1131" s="22" t="n">
        <f aca="false">EXP(F1131)-1</f>
        <v>0.00146958819208942</v>
      </c>
      <c r="H1131" s="21" t="n">
        <f aca="false">EXP(SUM(F880:F1131))-1</f>
        <v>0.129212688452593</v>
      </c>
    </row>
    <row r="1132" customFormat="false" ht="15" hidden="false" customHeight="false" outlineLevel="0" collapsed="false">
      <c r="A1132" s="20" t="n">
        <v>46118</v>
      </c>
      <c r="B1132" s="21" t="n">
        <v>655.608826</v>
      </c>
      <c r="C1132" s="21" t="n">
        <v>97.38279</v>
      </c>
      <c r="D1132" s="22" t="n">
        <f aca="false">LN(B1132/B1131)</f>
        <v>0.00471575466733847</v>
      </c>
      <c r="E1132" s="22" t="n">
        <f aca="false">LN(C1132/C1131)</f>
        <v>-0.00181562257913802</v>
      </c>
      <c r="F1132" s="22" t="n">
        <f aca="false">LN(Summary!$B$13*EXP(D1132)+Summary!$B$14*EXP(E1132))</f>
        <v>0.00210832059842773</v>
      </c>
      <c r="G1132" s="22" t="n">
        <f aca="false">EXP(F1132)-1</f>
        <v>0.00211054466904392</v>
      </c>
      <c r="H1132" s="21" t="n">
        <f aca="false">EXP(SUM(F881:F1132))-1</f>
        <v>0.127814932979112</v>
      </c>
    </row>
    <row r="1133" customFormat="false" ht="15" hidden="false" customHeight="false" outlineLevel="0" collapsed="false">
      <c r="A1133" s="20" t="n">
        <v>46119</v>
      </c>
      <c r="B1133" s="21" t="n">
        <v>655.897278</v>
      </c>
      <c r="C1133" s="21" t="n">
        <v>97.500771</v>
      </c>
      <c r="D1133" s="22" t="n">
        <f aca="false">LN(B1133/B1132)</f>
        <v>0.000439879012032686</v>
      </c>
      <c r="E1133" s="22" t="n">
        <f aca="false">LN(C1133/C1132)</f>
        <v>0.00121078467376066</v>
      </c>
      <c r="F1133" s="22" t="n">
        <f aca="false">LN(Summary!$B$13*EXP(D1133)+Summary!$B$14*EXP(E1133))</f>
        <v>0.000748312595852068</v>
      </c>
      <c r="G1133" s="22" t="n">
        <f aca="false">EXP(F1133)-1</f>
        <v>0.000748592651574676</v>
      </c>
      <c r="H1133" s="21" t="n">
        <f aca="false">EXP(SUM(F882:F1133))-1</f>
        <v>0.160532475156909</v>
      </c>
    </row>
    <row r="1134" customFormat="false" ht="15" hidden="false" customHeight="false" outlineLevel="0" collapsed="false">
      <c r="A1134" s="20" t="n">
        <v>46120</v>
      </c>
      <c r="B1134" s="21" t="n">
        <v>672.602722</v>
      </c>
      <c r="C1134" s="21" t="n">
        <v>97.756386</v>
      </c>
      <c r="D1134" s="22" t="n">
        <f aca="false">LN(B1134/B1133)</f>
        <v>0.0251506580116324</v>
      </c>
      <c r="E1134" s="22" t="n">
        <f aca="false">LN(C1134/C1133)</f>
        <v>0.00261824098999893</v>
      </c>
      <c r="F1134" s="22" t="n">
        <f aca="false">LN(Summary!$B$13*EXP(D1134)+Summary!$B$14*EXP(E1134))</f>
        <v>0.0161985237317787</v>
      </c>
      <c r="G1134" s="22" t="n">
        <f aca="false">EXP(F1134)-1</f>
        <v>0.0163304310896795</v>
      </c>
      <c r="H1134" s="21" t="n">
        <f aca="false">EXP(SUM(F883:F1134))-1</f>
        <v>0.221964214823794</v>
      </c>
    </row>
    <row r="1135" customFormat="false" ht="15" hidden="false" customHeight="false" outlineLevel="0" collapsed="false">
      <c r="A1135" s="20" t="n">
        <v>46121</v>
      </c>
      <c r="B1135" s="21" t="n">
        <v>676.482971</v>
      </c>
      <c r="C1135" s="21" t="n">
        <v>97.815376</v>
      </c>
      <c r="D1135" s="22" t="n">
        <f aca="false">LN(B1135/B1134)</f>
        <v>0.00575242880427176</v>
      </c>
      <c r="E1135" s="22" t="n">
        <f aca="false">LN(C1135/C1134)</f>
        <v>0.000603256842252731</v>
      </c>
      <c r="F1135" s="22" t="n">
        <f aca="false">LN(Summary!$B$13*EXP(D1135)+Summary!$B$14*EXP(E1135))</f>
        <v>0.00369594060080113</v>
      </c>
      <c r="G1135" s="22" t="n">
        <f aca="false">EXP(F1135)-1</f>
        <v>0.00370277901145455</v>
      </c>
      <c r="H1135" s="21" t="n">
        <f aca="false">EXP(SUM(F884:F1135))-1</f>
        <v>0.234061069263196</v>
      </c>
    </row>
    <row r="1136" customFormat="false" ht="15" hidden="false" customHeight="false" outlineLevel="0" collapsed="false">
      <c r="A1136" s="20" t="n">
        <v>46122</v>
      </c>
      <c r="B1136" s="21" t="n">
        <v>676.035339</v>
      </c>
      <c r="C1136" s="21" t="n">
        <v>97.648247</v>
      </c>
      <c r="D1136" s="22" t="n">
        <f aca="false">LN(B1136/B1135)</f>
        <v>-0.00066192378030562</v>
      </c>
      <c r="E1136" s="22" t="n">
        <f aca="false">LN(C1136/C1135)</f>
        <v>-0.00171007820446354</v>
      </c>
      <c r="F1136" s="22" t="n">
        <f aca="false">LN(Summary!$B$13*EXP(D1136)+Summary!$B$14*EXP(E1136))</f>
        <v>-0.0010810537238627</v>
      </c>
      <c r="G1136" s="22" t="n">
        <f aca="false">EXP(F1136)-1</f>
        <v>-0.001080469595796</v>
      </c>
      <c r="H1136" s="21" t="n">
        <f aca="false">EXP(SUM(F885:F1136))-1</f>
        <v>0.247037647117878</v>
      </c>
    </row>
    <row r="1137" customFormat="false" ht="15" hidden="false" customHeight="false" outlineLevel="0" collapsed="false">
      <c r="A1137" s="20" t="n">
        <v>46125</v>
      </c>
      <c r="B1137" s="21" t="n">
        <v>682.641846</v>
      </c>
      <c r="C1137" s="21" t="n">
        <v>97.844872</v>
      </c>
      <c r="D1137" s="22" t="n">
        <f aca="false">LN(B1137/B1136)</f>
        <v>0.00972498712806084</v>
      </c>
      <c r="E1137" s="22" t="n">
        <f aca="false">LN(C1137/C1136)</f>
        <v>0.00201158043115424</v>
      </c>
      <c r="F1137" s="22" t="n">
        <f aca="false">LN(Summary!$B$13*EXP(D1137)+Summary!$B$14*EXP(E1137))</f>
        <v>0.00664676035951364</v>
      </c>
      <c r="G1137" s="22" t="n">
        <f aca="false">EXP(F1137)-1</f>
        <v>0.00666889909425938</v>
      </c>
      <c r="H1137" s="21" t="n">
        <f aca="false">EXP(SUM(F886:F1137))-1</f>
        <v>0.179940980988068</v>
      </c>
    </row>
    <row r="1138" customFormat="false" ht="15" hidden="false" customHeight="false" outlineLevel="0" collapsed="false">
      <c r="A1138" s="20" t="n">
        <v>46126</v>
      </c>
      <c r="B1138" s="21" t="n">
        <v>690.959717</v>
      </c>
      <c r="C1138" s="21" t="n">
        <v>98.100494</v>
      </c>
      <c r="D1138" s="22" t="n">
        <f aca="false">LN(B1138/B1137)</f>
        <v>0.0121111869649937</v>
      </c>
      <c r="E1138" s="22" t="n">
        <f aca="false">LN(C1138/C1137)</f>
        <v>0.00260911651273234</v>
      </c>
      <c r="F1138" s="22" t="n">
        <f aca="false">LN(Summary!$B$13*EXP(D1138)+Summary!$B$14*EXP(E1138))</f>
        <v>0.00832118660593809</v>
      </c>
      <c r="G1138" s="22" t="n">
        <f aca="false">EXP(F1138)-1</f>
        <v>0.00835590390877661</v>
      </c>
      <c r="H1138" s="21" t="n">
        <f aca="false">EXP(SUM(F887:F1138))-1</f>
        <v>0.225887321079576</v>
      </c>
    </row>
    <row r="1139" customFormat="false" ht="15" hidden="false" customHeight="false" outlineLevel="0" collapsed="false">
      <c r="A1139" s="20" t="n">
        <v>46127</v>
      </c>
      <c r="B1139" s="21" t="n">
        <v>696.412109</v>
      </c>
      <c r="C1139" s="21" t="n">
        <v>97.943199</v>
      </c>
      <c r="D1139" s="22" t="n">
        <f aca="false">LN(B1139/B1138)</f>
        <v>0.00786007034140716</v>
      </c>
      <c r="E1139" s="22" t="n">
        <f aca="false">LN(C1139/C1138)</f>
        <v>-0.00160469364095713</v>
      </c>
      <c r="F1139" s="22" t="n">
        <f aca="false">LN(Summary!$B$13*EXP(D1139)+Summary!$B$14*EXP(E1139))</f>
        <v>0.00408490774111663</v>
      </c>
      <c r="G1139" s="22" t="n">
        <f aca="false">EXP(F1139)-1</f>
        <v>0.00409326234880369</v>
      </c>
      <c r="H1139" s="21" t="n">
        <f aca="false">EXP(SUM(F888:F1139))-1</f>
        <v>0.218363305633305</v>
      </c>
    </row>
    <row r="1140" customFormat="false" ht="15" hidden="false" customHeight="false" outlineLevel="0" collapsed="false">
      <c r="A1140" s="20" t="n">
        <v>46128</v>
      </c>
      <c r="B1140" s="21" t="n">
        <v>698.123413</v>
      </c>
      <c r="C1140" s="21" t="n">
        <v>97.805565</v>
      </c>
      <c r="D1140" s="22" t="n">
        <f aca="false">LN(B1140/B1139)</f>
        <v>0.0024543008507408</v>
      </c>
      <c r="E1140" s="22" t="n">
        <f aca="false">LN(C1140/C1139)</f>
        <v>-0.00140623133314693</v>
      </c>
      <c r="F1140" s="22" t="n">
        <f aca="false">LN(Summary!$B$13*EXP(D1140)+Summary!$B$14*EXP(E1140))</f>
        <v>0.0009118759609681</v>
      </c>
      <c r="G1140" s="22" t="n">
        <f aca="false">EXP(F1140)-1</f>
        <v>0.00091229184625452</v>
      </c>
      <c r="H1140" s="21" t="n">
        <f aca="false">EXP(SUM(F889:F1140))-1</f>
        <v>0.209592062381148</v>
      </c>
    </row>
    <row r="1141" customFormat="false" ht="15" hidden="false" customHeight="false" outlineLevel="0" collapsed="false">
      <c r="A1141" s="20" t="n">
        <v>46129</v>
      </c>
      <c r="B1141" s="21" t="n">
        <v>706.56073</v>
      </c>
      <c r="C1141" s="21" t="n">
        <v>98.169327</v>
      </c>
      <c r="D1141" s="22" t="n">
        <f aca="false">LN(B1141/B1140)</f>
        <v>0.0120132607938959</v>
      </c>
      <c r="E1141" s="22" t="n">
        <f aca="false">LN(C1141/C1140)</f>
        <v>0.00371233696369386</v>
      </c>
      <c r="F1141" s="22" t="n">
        <f aca="false">LN(Summary!$B$13*EXP(D1141)+Summary!$B$14*EXP(E1141))</f>
        <v>0.00870115530550252</v>
      </c>
      <c r="G1141" s="22" t="n">
        <f aca="false">EXP(F1141)-1</f>
        <v>0.00873912039080649</v>
      </c>
      <c r="H1141" s="21" t="n">
        <f aca="false">EXP(SUM(F890:F1141))-1</f>
        <v>0.221214232953331</v>
      </c>
    </row>
    <row r="1142" customFormat="false" ht="15" hidden="false" customHeight="false" outlineLevel="0" collapsed="false">
      <c r="A1142" s="20" t="n">
        <v>46132</v>
      </c>
      <c r="B1142" s="21" t="n">
        <v>705.147766</v>
      </c>
      <c r="C1142" s="21" t="n">
        <v>98.159477</v>
      </c>
      <c r="D1142" s="22" t="n">
        <f aca="false">LN(B1142/B1141)</f>
        <v>-0.00200177936993358</v>
      </c>
      <c r="E1142" s="22" t="n">
        <f aca="false">LN(C1142/C1141)</f>
        <v>-0.000100341873505862</v>
      </c>
      <c r="F1142" s="22" t="n">
        <f aca="false">LN(Summary!$B$13*EXP(D1142)+Summary!$B$14*EXP(E1142))</f>
        <v>-0.001240770460677</v>
      </c>
      <c r="G1142" s="22" t="n">
        <f aca="false">EXP(F1142)-1</f>
        <v>-0.0012400010232736</v>
      </c>
      <c r="H1142" s="21" t="n">
        <f aca="false">EXP(SUM(F891:F1142))-1</f>
        <v>0.234600370571418</v>
      </c>
    </row>
    <row r="1143" customFormat="false" ht="15" hidden="false" customHeight="false" outlineLevel="0" collapsed="false">
      <c r="A1143" s="20" t="n">
        <v>46133</v>
      </c>
      <c r="B1143" s="21" t="n">
        <v>700.53125</v>
      </c>
      <c r="C1143" s="21" t="n">
        <v>97.795715</v>
      </c>
      <c r="D1143" s="22" t="n">
        <f aca="false">LN(B1143/B1142)</f>
        <v>-0.00656840223880322</v>
      </c>
      <c r="E1143" s="22" t="n">
        <f aca="false">LN(C1143/C1142)</f>
        <v>-0.00371271017761814</v>
      </c>
      <c r="F1143" s="22" t="n">
        <f aca="false">LN(Summary!$B$13*EXP(D1143)+Summary!$B$14*EXP(E1143))</f>
        <v>-0.00542514663105937</v>
      </c>
      <c r="G1143" s="22" t="n">
        <f aca="false">EXP(F1143)-1</f>
        <v>-0.00541045709936816</v>
      </c>
      <c r="H1143" s="21" t="n">
        <f aca="false">EXP(SUM(F892:F1143))-1</f>
        <v>0.228120877369777</v>
      </c>
    </row>
    <row r="1144" customFormat="false" ht="15" hidden="false" customHeight="false" outlineLevel="0" collapsed="false">
      <c r="A1144" s="20" t="n">
        <v>46134</v>
      </c>
      <c r="B1144" s="21" t="n">
        <v>707.625305</v>
      </c>
      <c r="C1144" s="21" t="n">
        <v>97.933357</v>
      </c>
      <c r="D1144" s="22" t="n">
        <f aca="false">LN(B1144/B1143)</f>
        <v>0.0100757476018163</v>
      </c>
      <c r="E1144" s="22" t="n">
        <f aca="false">LN(C1144/C1143)</f>
        <v>0.00140645455764795</v>
      </c>
      <c r="F1144" s="22" t="n">
        <f aca="false">LN(Summary!$B$13*EXP(D1144)+Summary!$B$14*EXP(E1144))</f>
        <v>0.00661704394391919</v>
      </c>
      <c r="G1144" s="22" t="n">
        <f aca="false">EXP(F1144)-1</f>
        <v>0.0066389849473607</v>
      </c>
      <c r="H1144" s="21" t="n">
        <f aca="false">EXP(SUM(F893:F1144))-1</f>
        <v>0.257261868061715</v>
      </c>
    </row>
    <row r="1145" customFormat="false" ht="15" hidden="false" customHeight="false" outlineLevel="0" collapsed="false">
      <c r="A1145" s="20" t="n">
        <v>46135</v>
      </c>
      <c r="B1145" s="21" t="n">
        <v>704.879211</v>
      </c>
      <c r="C1145" s="21" t="n">
        <v>97.776054</v>
      </c>
      <c r="D1145" s="22" t="n">
        <f aca="false">LN(B1145/B1144)</f>
        <v>-0.00388826715759973</v>
      </c>
      <c r="E1145" s="22" t="n">
        <f aca="false">LN(C1145/C1144)</f>
        <v>-0.00160751629745589</v>
      </c>
      <c r="F1145" s="22" t="n">
        <f aca="false">LN(Summary!$B$13*EXP(D1145)+Summary!$B$14*EXP(E1145))</f>
        <v>-0.00297534249981045</v>
      </c>
      <c r="G1145" s="22" t="n">
        <f aca="false">EXP(F1145)-1</f>
        <v>-0.00297092055500214</v>
      </c>
      <c r="H1145" s="21" t="n">
        <f aca="false">EXP(SUM(F894:F1145))-1</f>
        <v>0.233360209349376</v>
      </c>
    </row>
    <row r="1146" customFormat="false" ht="15" hidden="false" customHeight="false" outlineLevel="0" collapsed="false">
      <c r="A1146" s="20" t="n">
        <v>46136</v>
      </c>
      <c r="B1146" s="21" t="n">
        <v>710.341553</v>
      </c>
      <c r="C1146" s="21" t="n">
        <v>97.913696</v>
      </c>
      <c r="D1146" s="22" t="n">
        <f aca="false">LN(B1146/B1145)</f>
        <v>0.00771945870781813</v>
      </c>
      <c r="E1146" s="22" t="n">
        <f aca="false">LN(C1146/C1145)</f>
        <v>0.00140673717145032</v>
      </c>
      <c r="F1146" s="22" t="n">
        <f aca="false">LN(Summary!$B$13*EXP(D1146)+Summary!$B$14*EXP(E1146))</f>
        <v>0.00519915012815612</v>
      </c>
      <c r="G1146" s="22" t="n">
        <f aca="false">EXP(F1146)-1</f>
        <v>0.00521268916283879</v>
      </c>
      <c r="H1146" s="21" t="n">
        <f aca="false">EXP(SUM(F895:F1146))-1</f>
        <v>0.227171058418797</v>
      </c>
    </row>
    <row r="1147" customFormat="false" ht="15" hidden="false" customHeight="false" outlineLevel="0" collapsed="false">
      <c r="A1147" s="20" t="n">
        <v>46139</v>
      </c>
      <c r="B1147" s="21" t="n">
        <v>711.565308</v>
      </c>
      <c r="C1147" s="21" t="n">
        <v>97.766228</v>
      </c>
      <c r="D1147" s="22" t="n">
        <f aca="false">LN(B1147/B1146)</f>
        <v>0.00172128756912744</v>
      </c>
      <c r="E1147" s="22" t="n">
        <f aca="false">LN(C1147/C1146)</f>
        <v>-0.00150723717490522</v>
      </c>
      <c r="F1147" s="22" t="n">
        <f aca="false">LN(Summary!$B$13*EXP(D1147)+Summary!$B$14*EXP(E1147))</f>
        <v>0.000431128206462418</v>
      </c>
      <c r="G1147" s="22" t="n">
        <f aca="false">EXP(F1147)-1</f>
        <v>0.000431221155584804</v>
      </c>
      <c r="H1147" s="21" t="n">
        <f aca="false">EXP(SUM(F896:F1147))-1</f>
        <v>0.20974744291145</v>
      </c>
    </row>
    <row r="1148" customFormat="false" ht="15" hidden="false" customHeight="false" outlineLevel="0" collapsed="false">
      <c r="A1148" s="20" t="n">
        <v>46140</v>
      </c>
      <c r="B1148" s="21" t="n">
        <v>708.102844</v>
      </c>
      <c r="C1148" s="21" t="n">
        <v>97.726898</v>
      </c>
      <c r="D1148" s="22" t="n">
        <f aca="false">LN(B1148/B1147)</f>
        <v>-0.00487785946380196</v>
      </c>
      <c r="E1148" s="22" t="n">
        <f aca="false">LN(C1148/C1147)</f>
        <v>-0.000402367094284636</v>
      </c>
      <c r="F1148" s="22" t="n">
        <f aca="false">LN(Summary!$B$13*EXP(D1148)+Summary!$B$14*EXP(E1148))</f>
        <v>-0.00308525819677368</v>
      </c>
      <c r="G1148" s="22" t="n">
        <f aca="false">EXP(F1148)-1</f>
        <v>-0.00308050367859891</v>
      </c>
      <c r="H1148" s="21" t="n">
        <f aca="false">EXP(SUM(F897:F1148))-1</f>
        <v>0.199065031713365</v>
      </c>
    </row>
    <row r="1149" customFormat="false" ht="15" hidden="false" customHeight="false" outlineLevel="0" collapsed="false">
      <c r="A1149" s="20" t="n">
        <v>46141</v>
      </c>
      <c r="B1149" s="21" t="n">
        <v>707.993408</v>
      </c>
      <c r="C1149" s="21" t="n">
        <v>97.294304</v>
      </c>
      <c r="D1149" s="22" t="n">
        <f aca="false">LN(B1149/B1148)</f>
        <v>-0.000154560115618242</v>
      </c>
      <c r="E1149" s="22" t="n">
        <f aca="false">LN(C1149/C1148)</f>
        <v>-0.0044363864551394</v>
      </c>
      <c r="F1149" s="22" t="n">
        <f aca="false">LN(Summary!$B$13*EXP(D1149)+Summary!$B$14*EXP(E1149))</f>
        <v>-0.00186509119651372</v>
      </c>
      <c r="G1149" s="22" t="n">
        <f aca="false">EXP(F1149)-1</f>
        <v>-0.00186335299473095</v>
      </c>
      <c r="H1149" s="21" t="n">
        <f aca="false">EXP(SUM(F898:F1149))-1</f>
        <v>0.195248132360985</v>
      </c>
    </row>
    <row r="1150" customFormat="false" ht="15" hidden="false" customHeight="false" outlineLevel="0" collapsed="false">
      <c r="A1150" s="20" t="n">
        <v>46142</v>
      </c>
      <c r="B1150" s="21" t="n">
        <v>715.03772</v>
      </c>
      <c r="C1150" s="21" t="n">
        <v>97.431938</v>
      </c>
      <c r="D1150" s="22" t="n">
        <f aca="false">LN(B1150/B1149)</f>
        <v>0.00990051363134265</v>
      </c>
      <c r="E1150" s="22" t="n">
        <f aca="false">LN(C1150/C1149)</f>
        <v>0.00141361556106664</v>
      </c>
      <c r="F1150" s="22" t="n">
        <f aca="false">LN(Summary!$B$13*EXP(D1150)+Summary!$B$14*EXP(E1150))</f>
        <v>0.00651439278278483</v>
      </c>
      <c r="G1150" s="22" t="n">
        <f aca="false">EXP(F1150)-1</f>
        <v>0.00653565759014008</v>
      </c>
      <c r="H1150" s="21" t="n">
        <f aca="false">EXP(SUM(F899:F1150))-1</f>
        <v>0.197371757417962</v>
      </c>
    </row>
    <row r="1151" customFormat="false" ht="15" hidden="false" customHeight="false" outlineLevel="0" collapsed="false">
      <c r="A1151" s="20" t="n">
        <v>46143</v>
      </c>
      <c r="B1151" s="21" t="n">
        <v>717.0177</v>
      </c>
      <c r="C1151" s="21" t="n">
        <v>97.560188</v>
      </c>
      <c r="D1151" s="22" t="n">
        <f aca="false">LN(B1151/B1150)</f>
        <v>0.00276522994013607</v>
      </c>
      <c r="E1151" s="22" t="n">
        <f aca="false">LN(C1151/C1150)</f>
        <v>0.00131543792176907</v>
      </c>
      <c r="F1151" s="22" t="n">
        <f aca="false">LN(Summary!$B$13*EXP(D1151)+Summary!$B$14*EXP(E1151))</f>
        <v>0.00218556533601891</v>
      </c>
      <c r="G1151" s="22" t="n">
        <f aca="false">EXP(F1151)-1</f>
        <v>0.00218795542485251</v>
      </c>
      <c r="H1151" s="21" t="n">
        <f aca="false">EXP(SUM(F900:F1151))-1</f>
        <v>0.200141530488437</v>
      </c>
    </row>
    <row r="1152" customFormat="false" ht="15" hidden="false" customHeight="false" outlineLevel="0" collapsed="false">
      <c r="A1152" s="20" t="n">
        <v>46146</v>
      </c>
      <c r="B1152" s="21" t="n">
        <v>714.390991</v>
      </c>
      <c r="C1152" s="21" t="n">
        <v>97.254379</v>
      </c>
      <c r="D1152" s="22" t="n">
        <f aca="false">LN(B1152/B1151)</f>
        <v>-0.00367010758692153</v>
      </c>
      <c r="E1152" s="22" t="n">
        <f aca="false">LN(C1152/C1151)</f>
        <v>-0.00313949060268477</v>
      </c>
      <c r="F1152" s="22" t="n">
        <f aca="false">LN(Summary!$B$13*EXP(D1152)+Summary!$B$14*EXP(E1152))</f>
        <v>-0.00345782700550587</v>
      </c>
      <c r="G1152" s="22" t="n">
        <f aca="false">EXP(F1152)-1</f>
        <v>-0.00345185560637706</v>
      </c>
      <c r="H1152" s="21" t="n">
        <f aca="false">EXP(SUM(F901:F1152))-1</f>
        <v>0.192229015246064</v>
      </c>
    </row>
    <row r="1153" customFormat="false" ht="15" hidden="false" customHeight="false" outlineLevel="0" collapsed="false">
      <c r="A1153" s="20" t="n">
        <v>46147</v>
      </c>
      <c r="B1153" s="21" t="n">
        <v>720.122009</v>
      </c>
      <c r="C1153" s="21" t="n">
        <v>97.431946</v>
      </c>
      <c r="D1153" s="22" t="n">
        <f aca="false">LN(B1153/B1152)</f>
        <v>0.00799023569787094</v>
      </c>
      <c r="E1153" s="22" t="n">
        <f aca="false">LN(C1153/C1152)</f>
        <v>0.00182413478951198</v>
      </c>
      <c r="F1153" s="22" t="n">
        <f aca="false">LN(Summary!$B$13*EXP(D1153)+Summary!$B$14*EXP(E1153))</f>
        <v>0.00552835594870218</v>
      </c>
      <c r="G1153" s="22" t="n">
        <f aca="false">EXP(F1153)-1</f>
        <v>0.00554366550767838</v>
      </c>
      <c r="H1153" s="21" t="n">
        <f aca="false">EXP(SUM(F902:F1153))-1</f>
        <v>0.190556875293673</v>
      </c>
    </row>
    <row r="1154" customFormat="false" ht="15" hidden="false" customHeight="false" outlineLevel="0" collapsed="false">
      <c r="A1154" s="20" t="n">
        <v>46148</v>
      </c>
      <c r="B1154" s="21" t="n">
        <v>730.131287</v>
      </c>
      <c r="C1154" s="21" t="n">
        <v>97.84626</v>
      </c>
      <c r="D1154" s="22" t="n">
        <f aca="false">LN(B1154/B1153)</f>
        <v>0.0138037085793669</v>
      </c>
      <c r="E1154" s="22" t="n">
        <f aca="false">LN(C1154/C1153)</f>
        <v>0.00424332679164253</v>
      </c>
      <c r="F1154" s="22" t="n">
        <f aca="false">LN(Summary!$B$13*EXP(D1154)+Summary!$B$14*EXP(E1154))</f>
        <v>0.00999051694495039</v>
      </c>
      <c r="G1154" s="22" t="n">
        <f aca="false">EXP(F1154)-1</f>
        <v>0.0100405887682467</v>
      </c>
      <c r="H1154" s="21" t="n">
        <f aca="false">EXP(SUM(F903:F1154))-1</f>
        <v>0.207503779218291</v>
      </c>
    </row>
    <row r="1155" customFormat="false" ht="15" hidden="false" customHeight="false" outlineLevel="0" collapsed="false">
      <c r="A1155" s="20" t="n">
        <v>46149</v>
      </c>
      <c r="B1155" s="21" t="n">
        <v>727.892639</v>
      </c>
      <c r="C1155" s="21" t="n">
        <v>97.609505</v>
      </c>
      <c r="D1155" s="22" t="n">
        <f aca="false">LN(B1155/B1154)</f>
        <v>-0.00307079975746398</v>
      </c>
      <c r="E1155" s="22" t="n">
        <f aca="false">LN(C1155/C1154)</f>
        <v>-0.00242259537130857</v>
      </c>
      <c r="F1155" s="22" t="n">
        <f aca="false">LN(Summary!$B$13*EXP(D1155)+Summary!$B$14*EXP(E1155))</f>
        <v>-0.00281146758055258</v>
      </c>
      <c r="G1155" s="22" t="n">
        <f aca="false">EXP(F1155)-1</f>
        <v>-0.00280751910677646</v>
      </c>
      <c r="H1155" s="21" t="n">
        <f aca="false">EXP(SUM(F904:F1155))-1</f>
        <v>0.20898973762962</v>
      </c>
    </row>
    <row r="1156" customFormat="false" ht="15" hidden="false" customHeight="false" outlineLevel="0" collapsed="false">
      <c r="A1156" s="20" t="n">
        <v>46150</v>
      </c>
      <c r="B1156" s="21" t="n">
        <v>733.902161</v>
      </c>
      <c r="C1156" s="21" t="n">
        <v>97.836395</v>
      </c>
      <c r="D1156" s="22" t="n">
        <f aca="false">LN(B1156/B1155)</f>
        <v>0.00822216066929315</v>
      </c>
      <c r="E1156" s="22" t="n">
        <f aca="false">LN(C1156/C1155)</f>
        <v>0.00232176885698773</v>
      </c>
      <c r="F1156" s="22" t="n">
        <f aca="false">LN(Summary!$B$13*EXP(D1156)+Summary!$B$14*EXP(E1156))</f>
        <v>0.00586618005050847</v>
      </c>
      <c r="G1156" s="22" t="n">
        <f aca="false">EXP(F1156)-1</f>
        <v>0.00588341977866502</v>
      </c>
      <c r="H1156" s="21" t="n">
        <f aca="false">EXP(SUM(F905:F1156))-1</f>
        <v>0.212301716007486</v>
      </c>
    </row>
    <row r="1157" customFormat="false" ht="15" hidden="false" customHeight="false" outlineLevel="0" collapsed="false">
      <c r="A1157" s="20" t="n">
        <v>46153</v>
      </c>
      <c r="B1157" s="21" t="n">
        <v>735.573669</v>
      </c>
      <c r="C1157" s="21" t="n">
        <v>97.579918</v>
      </c>
      <c r="D1157" s="22" t="n">
        <f aca="false">LN(B1157/B1156)</f>
        <v>0.00227497273079678</v>
      </c>
      <c r="E1157" s="22" t="n">
        <f aca="false">LN(C1157/C1156)</f>
        <v>-0.00262493077807791</v>
      </c>
      <c r="F1157" s="22" t="n">
        <f aca="false">LN(Summary!$B$13*EXP(D1157)+Summary!$B$14*EXP(E1157))</f>
        <v>0.000317891470103871</v>
      </c>
      <c r="G1157" s="22" t="n">
        <f aca="false">EXP(F1157)-1</f>
        <v>0.000317942002951765</v>
      </c>
      <c r="H1157" s="21" t="n">
        <f aca="false">EXP(SUM(F906:F1157))-1</f>
        <v>0.210142567141928</v>
      </c>
    </row>
    <row r="1158" customFormat="false" ht="15" hidden="false" customHeight="false" outlineLevel="0" collapsed="false">
      <c r="A1158" s="20" t="n">
        <v>46154</v>
      </c>
      <c r="B1158" s="21" t="n">
        <v>734.459351</v>
      </c>
      <c r="C1158" s="21" t="n">
        <v>97.293831</v>
      </c>
      <c r="D1158" s="22" t="n">
        <f aca="false">LN(B1158/B1157)</f>
        <v>-0.00151604514765032</v>
      </c>
      <c r="E1158" s="22" t="n">
        <f aca="false">LN(C1158/C1157)</f>
        <v>-0.00293612871917522</v>
      </c>
      <c r="F1158" s="22" t="n">
        <f aca="false">LN(Summary!$B$13*EXP(D1158)+Summary!$B$14*EXP(E1158))</f>
        <v>-0.00208383660270659</v>
      </c>
      <c r="G1158" s="22" t="n">
        <f aca="false">EXP(F1158)-1</f>
        <v>-0.00208166692256118</v>
      </c>
      <c r="H1158" s="21" t="n">
        <f aca="false">EXP(SUM(F907:F1158))-1</f>
        <v>0.208052144613335</v>
      </c>
    </row>
    <row r="1159" customFormat="false" ht="15" hidden="false" customHeight="false" outlineLevel="0" collapsed="false">
      <c r="A1159" s="20" t="n">
        <v>46155</v>
      </c>
      <c r="B1159" s="21" t="n">
        <v>738.568542</v>
      </c>
      <c r="C1159" s="21" t="n">
        <v>97.333298</v>
      </c>
      <c r="D1159" s="22" t="n">
        <f aca="false">LN(B1159/B1158)</f>
        <v>0.0055792584496276</v>
      </c>
      <c r="E1159" s="22" t="n">
        <f aca="false">LN(C1159/C1158)</f>
        <v>0.000405565254379142</v>
      </c>
      <c r="F1159" s="22" t="n">
        <f aca="false">LN(Summary!$B$13*EXP(D1159)+Summary!$B$14*EXP(E1159))</f>
        <v>0.00351299211265382</v>
      </c>
      <c r="G1159" s="22" t="n">
        <f aca="false">EXP(F1159)-1</f>
        <v>0.00351916990150181</v>
      </c>
      <c r="H1159" s="21" t="n">
        <f aca="false">EXP(SUM(F908:F1159))-1</f>
        <v>0.190308860626204</v>
      </c>
    </row>
    <row r="1160" customFormat="false" ht="15" hidden="false" customHeight="false" outlineLevel="0" collapsed="false">
      <c r="A1160" s="20" t="n">
        <v>46156</v>
      </c>
      <c r="B1160" s="21" t="n">
        <v>744.398987</v>
      </c>
      <c r="C1160" s="21" t="n">
        <v>97.303711</v>
      </c>
      <c r="D1160" s="22" t="n">
        <f aca="false">LN(B1160/B1159)</f>
        <v>0.00786325381734833</v>
      </c>
      <c r="E1160" s="22" t="n">
        <f aca="false">LN(C1160/C1159)</f>
        <v>-0.000304022347855599</v>
      </c>
      <c r="F1160" s="22" t="n">
        <f aca="false">LN(Summary!$B$13*EXP(D1160)+Summary!$B$14*EXP(E1160))</f>
        <v>0.00460434350136546</v>
      </c>
      <c r="G1160" s="22" t="n">
        <f aca="false">EXP(F1160)-1</f>
        <v>0.00461495977831294</v>
      </c>
      <c r="H1160" s="21" t="n">
        <f aca="false">EXP(SUM(F909:F1160))-1</f>
        <v>0.191569951313288</v>
      </c>
    </row>
    <row r="1161" customFormat="false" ht="15" hidden="false" customHeight="false" outlineLevel="0" collapsed="false">
      <c r="A1161" s="20" t="n">
        <v>46157</v>
      </c>
      <c r="B1161" s="21" t="n">
        <v>735.444397</v>
      </c>
      <c r="C1161" s="21" t="n">
        <v>96.692108</v>
      </c>
      <c r="D1161" s="22" t="n">
        <f aca="false">LN(B1161/B1160)</f>
        <v>-0.0121022256682119</v>
      </c>
      <c r="E1161" s="22" t="n">
        <f aca="false">LN(C1161/C1160)</f>
        <v>-0.0063053423466596</v>
      </c>
      <c r="F1161" s="22" t="n">
        <f aca="false">LN(Summary!$B$13*EXP(D1161)+Summary!$B$14*EXP(E1161))</f>
        <v>-0.00977943832343415</v>
      </c>
      <c r="G1161" s="22" t="n">
        <f aca="false">EXP(F1161)-1</f>
        <v>-0.00973177511614443</v>
      </c>
      <c r="H1161" s="21" t="n">
        <f aca="false">EXP(SUM(F910:F1161))-1</f>
        <v>0.180426803173841</v>
      </c>
    </row>
    <row r="1162" customFormat="false" ht="15" hidden="false" customHeight="false" outlineLevel="0" collapsed="false">
      <c r="A1162" s="20" t="n">
        <v>46160</v>
      </c>
      <c r="B1162" s="21" t="n">
        <v>734.927002</v>
      </c>
      <c r="C1162" s="21" t="n">
        <v>96.682243</v>
      </c>
      <c r="D1162" s="22" t="n">
        <f aca="false">LN(B1162/B1161)</f>
        <v>-0.000703760997672363</v>
      </c>
      <c r="E1162" s="22" t="n">
        <f aca="false">LN(C1162/C1161)</f>
        <v>-0.000102030077490141</v>
      </c>
      <c r="F1162" s="22" t="n">
        <f aca="false">LN(Summary!$B$13*EXP(D1162)+Summary!$B$14*EXP(E1162))</f>
        <v>-0.000463025178244994</v>
      </c>
      <c r="G1162" s="22" t="n">
        <f aca="false">EXP(F1162)-1</f>
        <v>-0.000462917998630075</v>
      </c>
      <c r="H1162" s="21" t="n">
        <f aca="false">EXP(SUM(F911:F1162))-1</f>
        <v>0.17377979394669</v>
      </c>
    </row>
    <row r="1163" customFormat="false" ht="15" hidden="false" customHeight="false" outlineLevel="0" collapsed="false">
      <c r="A1163" s="20" t="n">
        <v>46161</v>
      </c>
      <c r="B1163" s="21" t="n">
        <v>730.031799</v>
      </c>
      <c r="C1163" s="21" t="n">
        <v>96.307396</v>
      </c>
      <c r="D1163" s="22" t="n">
        <f aca="false">LN(B1163/B1162)</f>
        <v>-0.00668308380608528</v>
      </c>
      <c r="E1163" s="22" t="n">
        <f aca="false">LN(C1163/C1162)</f>
        <v>-0.00388463829794453</v>
      </c>
      <c r="F1163" s="22" t="n">
        <f aca="false">LN(Summary!$B$13*EXP(D1163)+Summary!$B$14*EXP(E1163))</f>
        <v>-0.00556276567210383</v>
      </c>
      <c r="G1163" s="22" t="n">
        <f aca="false">EXP(F1163)-1</f>
        <v>-0.00554732214066112</v>
      </c>
      <c r="H1163" s="21" t="n">
        <f aca="false">EXP(SUM(F912:F1163))-1</f>
        <v>0.162564342817871</v>
      </c>
    </row>
    <row r="1164" customFormat="false" ht="15" hidden="false" customHeight="false" outlineLevel="0" collapsed="false">
      <c r="A1164" s="20" t="n">
        <v>46162</v>
      </c>
      <c r="B1164" s="21" t="n">
        <v>737.513855</v>
      </c>
      <c r="C1164" s="21" t="n">
        <v>96.889397</v>
      </c>
      <c r="D1164" s="22" t="n">
        <f aca="false">LN(B1164/B1163)</f>
        <v>0.0101967810105018</v>
      </c>
      <c r="E1164" s="22" t="n">
        <f aca="false">LN(C1164/C1163)</f>
        <v>0.0060249733086063</v>
      </c>
      <c r="F1164" s="22" t="n">
        <f aca="false">LN(Summary!$B$13*EXP(D1164)+Summary!$B$14*EXP(E1164))</f>
        <v>0.00853014582510345</v>
      </c>
      <c r="G1164" s="22" t="n">
        <f aca="false">EXP(F1164)-1</f>
        <v>0.00856663118703516</v>
      </c>
      <c r="H1164" s="21" t="n">
        <f aca="false">EXP(SUM(F913:F1164))-1</f>
        <v>0.171898377530151</v>
      </c>
    </row>
    <row r="1165" customFormat="false" ht="15" hidden="false" customHeight="false" outlineLevel="0" collapsed="false">
      <c r="A1165" s="20" t="n">
        <v>46163</v>
      </c>
      <c r="B1165" s="21" t="n">
        <v>738.97644</v>
      </c>
      <c r="C1165" s="21" t="n">
        <v>97.007774</v>
      </c>
      <c r="D1165" s="22" t="n">
        <f aca="false">LN(B1165/B1164)</f>
        <v>0.00198116504164224</v>
      </c>
      <c r="E1165" s="22" t="n">
        <f aca="false">LN(C1165/C1164)</f>
        <v>0.00122102879683033</v>
      </c>
      <c r="F1165" s="22" t="n">
        <f aca="false">LN(Summary!$B$13*EXP(D1165)+Summary!$B$14*EXP(E1165))</f>
        <v>0.00167717987705564</v>
      </c>
      <c r="G1165" s="22" t="n">
        <f aca="false">EXP(F1165)-1</f>
        <v>0.00167858712985436</v>
      </c>
      <c r="H1165" s="21" t="n">
        <f aca="false">EXP(SUM(F914:F1165))-1</f>
        <v>0.177059995336065</v>
      </c>
    </row>
    <row r="1166" customFormat="false" ht="15" hidden="false" customHeight="false" outlineLevel="0" collapsed="false">
      <c r="A1166" s="20" t="n">
        <v>46164</v>
      </c>
      <c r="B1166" s="21" t="n">
        <v>741.881775</v>
      </c>
      <c r="C1166" s="21" t="n">
        <v>97.106422</v>
      </c>
      <c r="D1166" s="22" t="n">
        <f aca="false">LN(B1166/B1165)</f>
        <v>0.00392385806861883</v>
      </c>
      <c r="E1166" s="22" t="n">
        <f aca="false">LN(C1166/C1165)</f>
        <v>0.00101639149042321</v>
      </c>
      <c r="F1166" s="22" t="n">
        <f aca="false">LN(Summary!$B$13*EXP(D1166)+Summary!$B$14*EXP(E1166))</f>
        <v>0.00276188564383187</v>
      </c>
      <c r="G1166" s="22" t="n">
        <f aca="false">EXP(F1166)-1</f>
        <v>0.0027657031636954</v>
      </c>
      <c r="H1166" s="21" t="n">
        <f aca="false">EXP(SUM(F915:F1166))-1</f>
        <v>0.195543015386803</v>
      </c>
    </row>
    <row r="1167" customFormat="false" ht="15" hidden="false" customHeight="false" outlineLevel="0" collapsed="false">
      <c r="A1167" s="20" t="n">
        <v>46168</v>
      </c>
      <c r="B1167" s="21" t="n">
        <v>746.806824</v>
      </c>
      <c r="C1167" s="21" t="n">
        <v>97.382622</v>
      </c>
      <c r="D1167" s="22" t="n">
        <f aca="false">LN(B1167/B1166)</f>
        <v>0.00661665169135898</v>
      </c>
      <c r="E1167" s="22" t="n">
        <f aca="false">LN(C1167/C1166)</f>
        <v>0.00284026472645735</v>
      </c>
      <c r="F1167" s="22" t="n">
        <f aca="false">LN(Summary!$B$13*EXP(D1167)+Summary!$B$14*EXP(E1167))</f>
        <v>0.00510780780548171</v>
      </c>
      <c r="G1167" s="22" t="n">
        <f aca="false">EXP(F1167)-1</f>
        <v>0.00512087489435698</v>
      </c>
      <c r="H1167" s="21" t="n">
        <f aca="false">EXP(SUM(F916:F1167))-1</f>
        <v>0.199993136465353</v>
      </c>
    </row>
    <row r="1168" customFormat="false" ht="15" hidden="false" customHeight="false" outlineLevel="0" collapsed="false">
      <c r="A1168" s="20" t="n">
        <v>46169</v>
      </c>
      <c r="B1168" s="21" t="n">
        <v>746.67749</v>
      </c>
      <c r="C1168" s="21" t="n">
        <v>97.461548</v>
      </c>
      <c r="D1168" s="22" t="n">
        <f aca="false">LN(B1168/B1167)</f>
        <v>-0.000173197668178874</v>
      </c>
      <c r="E1168" s="22" t="n">
        <f aca="false">LN(C1168/C1167)</f>
        <v>0.000810144889804276</v>
      </c>
      <c r="F1168" s="22" t="n">
        <f aca="false">LN(Summary!$B$13*EXP(D1168)+Summary!$B$14*EXP(E1168))</f>
        <v>0.000220255398127431</v>
      </c>
      <c r="G1168" s="22" t="n">
        <f aca="false">EXP(F1168)-1</f>
        <v>0.000220279656128586</v>
      </c>
      <c r="H1168" s="21" t="n">
        <f aca="false">EXP(SUM(F917:F1168))-1</f>
        <v>0.204495621688155</v>
      </c>
    </row>
    <row r="1169" customFormat="false" ht="15" hidden="false" customHeight="false" outlineLevel="0" collapsed="false">
      <c r="A1169" s="20" t="n">
        <v>46170</v>
      </c>
      <c r="B1169" s="21" t="n">
        <v>750.79657</v>
      </c>
      <c r="C1169" s="21" t="n">
        <v>97.658829</v>
      </c>
      <c r="D1169" s="22" t="n">
        <f aca="false">LN(B1169/B1168)</f>
        <v>0.00550138462997832</v>
      </c>
      <c r="E1169" s="22" t="n">
        <f aca="false">LN(C1169/C1168)</f>
        <v>0.00202214725348564</v>
      </c>
      <c r="F1169" s="22" t="n">
        <f aca="false">LN(Summary!$B$13*EXP(D1169)+Summary!$B$14*EXP(E1169))</f>
        <v>0.00411114195293146</v>
      </c>
      <c r="G1169" s="22" t="n">
        <f aca="false">EXP(F1169)-1</f>
        <v>0.00411960428965852</v>
      </c>
      <c r="H1169" s="21" t="n">
        <f aca="false">EXP(SUM(F918:F1169))-1</f>
        <v>0.192424849922271</v>
      </c>
    </row>
    <row r="1170" customFormat="false" ht="15" hidden="false" customHeight="false" outlineLevel="0" collapsed="false">
      <c r="A1170" s="20" t="n">
        <v>46171</v>
      </c>
      <c r="B1170" s="21" t="n">
        <v>752.667114</v>
      </c>
      <c r="C1170" s="21" t="n">
        <v>97.718018</v>
      </c>
      <c r="D1170" s="22" t="n">
        <f aca="false">LN(B1170/B1169)</f>
        <v>0.00248831413097838</v>
      </c>
      <c r="E1170" s="22" t="n">
        <f aca="false">LN(C1170/C1169)</f>
        <v>0.000605895762159912</v>
      </c>
      <c r="F1170" s="22" t="n">
        <f aca="false">LN(Summary!$B$13*EXP(D1170)+Summary!$B$14*EXP(E1170))</f>
        <v>0.00173577194990282</v>
      </c>
      <c r="G1170" s="22" t="n">
        <f aca="false">EXP(F1170)-1</f>
        <v>0.00173727927403133</v>
      </c>
      <c r="H1170" s="21" t="n">
        <f aca="false">EXP(SUM(F919:F1170))-1</f>
        <v>0.199544499411143</v>
      </c>
    </row>
    <row r="1171" customFormat="false" ht="15" hidden="false" customHeight="false" outlineLevel="0" collapsed="false">
      <c r="A1171" s="20" t="n">
        <v>46174</v>
      </c>
      <c r="B1171" s="21" t="n">
        <v>754.716736</v>
      </c>
      <c r="C1171" s="21" t="n">
        <v>97.669533</v>
      </c>
      <c r="D1171" s="22" t="n">
        <f aca="false">LN(B1171/B1170)</f>
        <v>0.00271944437131119</v>
      </c>
      <c r="E1171" s="22" t="n">
        <f aca="false">LN(C1171/C1170)</f>
        <v>-0.000496295703048062</v>
      </c>
      <c r="F1171" s="22" t="n">
        <f aca="false">LN(Summary!$B$13*EXP(D1171)+Summary!$B$14*EXP(E1171))</f>
        <v>0.00143438899317304</v>
      </c>
      <c r="G1171" s="22" t="n">
        <f aca="false">EXP(F1171)-1</f>
        <v>0.00143541822111049</v>
      </c>
      <c r="H1171" s="21" t="n">
        <f aca="false">EXP(SUM(F920:F1171))-1</f>
        <v>0.196664696470049</v>
      </c>
    </row>
    <row r="1172" customFormat="false" ht="15" hidden="false" customHeight="false" outlineLevel="0" collapsed="false">
      <c r="A1172" s="20" t="n">
        <v>46175</v>
      </c>
      <c r="B1172" s="21" t="n">
        <v>755.741577</v>
      </c>
      <c r="C1172" s="21" t="n">
        <v>97.699211</v>
      </c>
      <c r="D1172" s="22" t="n">
        <f aca="false">LN(B1172/B1171)</f>
        <v>0.00135699363358011</v>
      </c>
      <c r="E1172" s="22" t="n">
        <f aca="false">LN(C1172/C1171)</f>
        <v>0.000303815232883869</v>
      </c>
      <c r="F1172" s="22" t="n">
        <f aca="false">LN(Summary!$B$13*EXP(D1172)+Summary!$B$14*EXP(E1172))</f>
        <v>0.000935855366119953</v>
      </c>
      <c r="G1172" s="22" t="n">
        <f aca="false">EXP(F1172)-1</f>
        <v>0.000936293415392697</v>
      </c>
      <c r="H1172" s="21" t="n">
        <f aca="false">EXP(SUM(F921:F1172))-1</f>
        <v>0.197414048198065</v>
      </c>
    </row>
    <row r="1173" customFormat="false" ht="15" hidden="false" customHeight="false" outlineLevel="0" collapsed="false">
      <c r="A1173" s="20" t="n">
        <v>46176</v>
      </c>
      <c r="B1173" s="21" t="n">
        <v>750.438416</v>
      </c>
      <c r="C1173" s="21" t="n">
        <v>97.491364</v>
      </c>
      <c r="D1173" s="22" t="n">
        <f aca="false">LN(B1173/B1172)</f>
        <v>-0.00704189796598289</v>
      </c>
      <c r="E1173" s="22" t="n">
        <f aca="false">LN(C1173/C1172)</f>
        <v>-0.00212968355217362</v>
      </c>
      <c r="F1173" s="22" t="n">
        <f aca="false">LN(Summary!$B$13*EXP(D1173)+Summary!$B$14*EXP(E1173))</f>
        <v>-0.0050741156727215</v>
      </c>
      <c r="G1173" s="22" t="n">
        <f aca="false">EXP(F1173)-1</f>
        <v>-0.00506126409377894</v>
      </c>
      <c r="H1173" s="21" t="n">
        <f aca="false">EXP(SUM(F922:F1173))-1</f>
        <v>0.188586093050686</v>
      </c>
    </row>
    <row r="1174" customFormat="false" ht="15" hidden="false" customHeight="false" outlineLevel="0" collapsed="false">
      <c r="A1174" s="20" t="n">
        <v>46177</v>
      </c>
      <c r="B1174" s="21" t="n">
        <v>753.274048</v>
      </c>
      <c r="C1174" s="21" t="n">
        <v>97.649734</v>
      </c>
      <c r="D1174" s="22" t="n">
        <f aca="false">LN(B1174/B1173)</f>
        <v>0.0037715127447947</v>
      </c>
      <c r="E1174" s="22" t="n">
        <f aca="false">LN(C1174/C1173)</f>
        <v>0.00162313358275382</v>
      </c>
      <c r="F1174" s="22" t="n">
        <f aca="false">LN(Summary!$B$13*EXP(D1174)+Summary!$B$14*EXP(E1174))</f>
        <v>0.00291271486452006</v>
      </c>
      <c r="G1174" s="22" t="n">
        <f aca="false">EXP(F1174)-1</f>
        <v>0.00291696093999594</v>
      </c>
      <c r="H1174" s="21" t="n">
        <f aca="false">EXP(SUM(F923:F1174))-1</f>
        <v>0.188328481078779</v>
      </c>
    </row>
    <row r="1175" customFormat="false" ht="15" hidden="false" customHeight="false" outlineLevel="0" collapsed="false">
      <c r="A1175" s="20" t="n">
        <v>46178</v>
      </c>
      <c r="B1175" s="21" t="n">
        <v>733.83252</v>
      </c>
      <c r="C1175" s="21" t="n">
        <v>97.164749</v>
      </c>
      <c r="D1175" s="22" t="n">
        <f aca="false">LN(B1175/B1174)</f>
        <v>-0.0261482749644319</v>
      </c>
      <c r="E1175" s="22" t="n">
        <f aca="false">LN(C1175/C1174)</f>
        <v>-0.00497895222601447</v>
      </c>
      <c r="F1175" s="22" t="n">
        <f aca="false">LN(Summary!$B$13*EXP(D1175)+Summary!$B$14*EXP(E1175))</f>
        <v>-0.0176266940342662</v>
      </c>
      <c r="G1175" s="22" t="n">
        <f aca="false">EXP(F1175)-1</f>
        <v>-0.0174722526248156</v>
      </c>
      <c r="H1175" s="21" t="n">
        <f aca="false">EXP(SUM(F924:F1175))-1</f>
        <v>0.16497988532032</v>
      </c>
    </row>
    <row r="1176" customFormat="false" ht="15" hidden="false" customHeight="false" outlineLevel="0" collapsed="false">
      <c r="A1176" s="20" t="n">
        <v>46181</v>
      </c>
      <c r="B1176" s="21" t="n">
        <v>735.49408</v>
      </c>
      <c r="C1176" s="21" t="n">
        <v>97.164749</v>
      </c>
      <c r="D1176" s="22" t="n">
        <f aca="false">LN(B1176/B1175)</f>
        <v>0.00226166287094563</v>
      </c>
      <c r="E1176" s="22" t="n">
        <f aca="false">LN(C1176/C1175)</f>
        <v>0</v>
      </c>
      <c r="F1176" s="22" t="n">
        <f aca="false">LN(Summary!$B$13*EXP(D1176)+Summary!$B$14*EXP(E1176))</f>
        <v>0.00135761144417588</v>
      </c>
      <c r="G1176" s="22" t="n">
        <f aca="false">EXP(F1176)-1</f>
        <v>0.00135853341577175</v>
      </c>
      <c r="H1176" s="21" t="n">
        <f aca="false">EXP(SUM(F925:F1176))-1</f>
        <v>0.171153102541586</v>
      </c>
    </row>
    <row r="1177" customFormat="false" ht="15" hidden="false" customHeight="false" outlineLevel="0" collapsed="false">
      <c r="A1177" s="20" t="n">
        <v>46182</v>
      </c>
      <c r="B1177" s="21" t="n">
        <v>733.335022</v>
      </c>
      <c r="C1177" s="21" t="n">
        <v>97.362701</v>
      </c>
      <c r="D1177" s="22" t="n">
        <f aca="false">LN(B1177/B1176)</f>
        <v>-0.00293983765988533</v>
      </c>
      <c r="E1177" s="22" t="n">
        <f aca="false">LN(C1177/C1176)</f>
        <v>0.00203520961517477</v>
      </c>
      <c r="F1177" s="22" t="n">
        <f aca="false">LN(Summary!$B$13*EXP(D1177)+Summary!$B$14*EXP(E1177))</f>
        <v>-0.000946847636009537</v>
      </c>
      <c r="G1177" s="22" t="n">
        <f aca="false">EXP(F1177)-1</f>
        <v>-0.000946399517231189</v>
      </c>
      <c r="H1177" s="21" t="n">
        <f aca="false">EXP(SUM(F926:F1177))-1</f>
        <v>0.165248722449355</v>
      </c>
    </row>
    <row r="1178" customFormat="false" ht="15" hidden="false" customHeight="false" outlineLevel="0" collapsed="false">
      <c r="A1178" s="20" t="n">
        <v>46183</v>
      </c>
      <c r="B1178" s="21" t="n">
        <v>721.773621</v>
      </c>
      <c r="C1178" s="21" t="n">
        <v>97.303314</v>
      </c>
      <c r="D1178" s="22" t="n">
        <f aca="false">LN(B1178/B1177)</f>
        <v>-0.0158911079967203</v>
      </c>
      <c r="E1178" s="22" t="n">
        <f aca="false">LN(C1178/C1177)</f>
        <v>-0.000610142472401794</v>
      </c>
      <c r="F1178" s="22" t="n">
        <f aca="false">LN(Summary!$B$13*EXP(D1178)+Summary!$B$14*EXP(E1178))</f>
        <v>-0.00975067253283767</v>
      </c>
      <c r="G1178" s="22" t="n">
        <f aca="false">EXP(F1178)-1</f>
        <v>-0.00970328885804017</v>
      </c>
      <c r="H1178" s="21" t="n">
        <f aca="false">EXP(SUM(F927:F1178))-1</f>
        <v>0.152749661770166</v>
      </c>
    </row>
    <row r="1179" customFormat="false" ht="15" hidden="false" customHeight="false" outlineLevel="0" collapsed="false">
      <c r="A1179" s="20" t="n">
        <v>46184</v>
      </c>
      <c r="B1179" s="21" t="n">
        <v>734.041504</v>
      </c>
      <c r="C1179" s="21" t="n">
        <v>97.867477</v>
      </c>
      <c r="D1179" s="22" t="n">
        <f aca="false">LN(B1179/B1178)</f>
        <v>0.016854026568839</v>
      </c>
      <c r="E1179" s="22" t="n">
        <f aca="false">LN(C1179/C1178)</f>
        <v>0.00578123978932468</v>
      </c>
      <c r="F1179" s="22" t="n">
        <f aca="false">LN(Summary!$B$13*EXP(D1179)+Summary!$B$14*EXP(E1179))</f>
        <v>0.0124396137230896</v>
      </c>
      <c r="G1179" s="22" t="n">
        <f aca="false">EXP(F1179)-1</f>
        <v>0.0125173075440139</v>
      </c>
      <c r="H1179" s="21" t="n">
        <f aca="false">EXP(SUM(F928:F1179))-1</f>
        <v>0.162175442659031</v>
      </c>
    </row>
    <row r="1180" customFormat="false" ht="15" hidden="false" customHeight="false" outlineLevel="0" collapsed="false">
      <c r="A1180" s="20" t="n">
        <v>46185</v>
      </c>
      <c r="B1180" s="21" t="n">
        <v>738.011353</v>
      </c>
      <c r="C1180" s="21" t="n">
        <v>97.748703</v>
      </c>
      <c r="D1180" s="22" t="n">
        <f aca="false">LN(B1180/B1179)</f>
        <v>0.00539363597594497</v>
      </c>
      <c r="E1180" s="22" t="n">
        <f aca="false">LN(C1180/C1179)</f>
        <v>-0.00121435777547617</v>
      </c>
      <c r="F1180" s="22" t="n">
        <f aca="false">LN(Summary!$B$13*EXP(D1180)+Summary!$B$14*EXP(E1180))</f>
        <v>0.00275567602843184</v>
      </c>
      <c r="G1180" s="22" t="n">
        <f aca="false">EXP(F1180)-1</f>
        <v>0.00275947639367535</v>
      </c>
      <c r="H1180" s="21" t="n">
        <f aca="false">EXP(SUM(F929:F1180))-1</f>
        <v>0.165801052706017</v>
      </c>
    </row>
    <row r="1181" customFormat="false" ht="15" hidden="false" customHeight="false" outlineLevel="0" collapsed="false">
      <c r="A1181" s="20" t="n">
        <v>46188</v>
      </c>
      <c r="B1181" s="21" t="n">
        <v>751.025452</v>
      </c>
      <c r="C1181" s="21" t="n">
        <v>97.837776</v>
      </c>
      <c r="D1181" s="22" t="n">
        <f aca="false">LN(B1181/B1180)</f>
        <v>0.0174803340511215</v>
      </c>
      <c r="E1181" s="22" t="n">
        <f aca="false">LN(C1181/C1180)</f>
        <v>0.000910829895945842</v>
      </c>
      <c r="F1181" s="22" t="n">
        <f aca="false">LN(Summary!$B$13*EXP(D1181)+Summary!$B$14*EXP(E1181))</f>
        <v>0.0108854414814352</v>
      </c>
      <c r="G1181" s="22" t="n">
        <f aca="false">EXP(F1181)-1</f>
        <v>0.0109449034603295</v>
      </c>
      <c r="H1181" s="21" t="n">
        <f aca="false">EXP(SUM(F930:F1181))-1</f>
        <v>0.174035083022968</v>
      </c>
    </row>
    <row r="1182" customFormat="false" ht="15" hidden="false" customHeight="false" outlineLevel="0" collapsed="false">
      <c r="A1182" s="20" t="n">
        <v>46189</v>
      </c>
      <c r="B1182" s="21" t="n">
        <v>746.548157</v>
      </c>
      <c r="C1182" s="21" t="n">
        <v>97.956551</v>
      </c>
      <c r="D1182" s="22" t="n">
        <f aca="false">LN(B1182/B1181)</f>
        <v>-0.00597941672178301</v>
      </c>
      <c r="E1182" s="22" t="n">
        <f aca="false">LN(C1182/C1181)</f>
        <v>0.00121326308468381</v>
      </c>
      <c r="F1182" s="22" t="n">
        <f aca="false">LN(Summary!$B$13*EXP(D1182)+Summary!$B$14*EXP(E1182))</f>
        <v>-0.00309613367696564</v>
      </c>
      <c r="G1182" s="22" t="n">
        <f aca="false">EXP(F1182)-1</f>
        <v>-0.00309134559787849</v>
      </c>
      <c r="H1182" s="21" t="n">
        <f aca="false">EXP(SUM(F931:F1182))-1</f>
        <v>0.180001818228839</v>
      </c>
    </row>
    <row r="1183" customFormat="false" ht="15" hidden="false" customHeight="false" outlineLevel="0" collapsed="false">
      <c r="A1183" s="20" t="n">
        <v>46190</v>
      </c>
      <c r="B1183" s="21" t="n">
        <v>737.225342</v>
      </c>
      <c r="C1183" s="21" t="n">
        <v>97.600235</v>
      </c>
      <c r="D1183" s="22" t="n">
        <f aca="false">LN(B1183/B1182)</f>
        <v>-0.0125665240581321</v>
      </c>
      <c r="E1183" s="22" t="n">
        <f aca="false">LN(C1183/C1182)</f>
        <v>-0.00364412201284425</v>
      </c>
      <c r="F1183" s="22" t="n">
        <f aca="false">LN(Summary!$B$13*EXP(D1183)+Summary!$B$14*EXP(E1183))</f>
        <v>-0.00898800447450757</v>
      </c>
      <c r="G1183" s="22" t="n">
        <f aca="false">EXP(F1183)-1</f>
        <v>-0.00894773310568675</v>
      </c>
      <c r="H1183" s="21" t="n">
        <f aca="false">EXP(SUM(F932:F1183))-1</f>
        <v>0.163750386807144</v>
      </c>
    </row>
    <row r="1184" customFormat="false" ht="15" hidden="false" customHeight="false" outlineLevel="0" collapsed="false">
      <c r="A1184" s="20" t="n">
        <v>46191</v>
      </c>
      <c r="B1184" s="21" t="n">
        <v>744.890259</v>
      </c>
      <c r="C1184" s="21" t="n">
        <v>97.887276</v>
      </c>
      <c r="D1184" s="22" t="n">
        <f aca="false">LN(B1184/B1183)</f>
        <v>0.0103433029514606</v>
      </c>
      <c r="E1184" s="22" t="n">
        <f aca="false">LN(C1184/C1183)</f>
        <v>0.00293667053019641</v>
      </c>
      <c r="F1184" s="22" t="n">
        <f aca="false">LN(Summary!$B$13*EXP(D1184)+Summary!$B$14*EXP(E1184))</f>
        <v>0.00738722970367265</v>
      </c>
      <c r="G1184" s="22" t="n">
        <f aca="false">EXP(F1184)-1</f>
        <v>0.00741458259757311</v>
      </c>
      <c r="H1184" s="21" t="n">
        <f aca="false">EXP(SUM(F933:F1184))-1</f>
        <v>0.176968814858751</v>
      </c>
    </row>
    <row r="1185" customFormat="false" ht="15" hidden="false" customHeight="false" outlineLevel="0" collapsed="false">
      <c r="A1185" s="20" t="n">
        <v>46195</v>
      </c>
      <c r="B1185" s="21" t="n">
        <v>742.546143</v>
      </c>
      <c r="C1185" s="21" t="n">
        <v>97.620026</v>
      </c>
      <c r="D1185" s="22" t="n">
        <f aca="false">LN(B1185/B1184)</f>
        <v>-0.00315188997319862</v>
      </c>
      <c r="E1185" s="22" t="n">
        <f aca="false">LN(C1185/C1184)</f>
        <v>-0.00273391493539889</v>
      </c>
      <c r="F1185" s="22" t="n">
        <f aca="false">LN(Summary!$B$13*EXP(D1185)+Summary!$B$14*EXP(E1185))</f>
        <v>-0.00298467899311887</v>
      </c>
      <c r="G1185" s="22" t="n">
        <f aca="false">EXP(F1185)-1</f>
        <v>-0.00298022926687525</v>
      </c>
      <c r="H1185" s="21" t="n">
        <f aca="false">EXP(SUM(F934:F1185))-1</f>
        <v>0.173232170032013</v>
      </c>
    </row>
    <row r="1186" customFormat="false" ht="15" hidden="false" customHeight="false" outlineLevel="0" collapsed="false">
      <c r="A1186" s="20" t="n">
        <v>46196</v>
      </c>
      <c r="B1186" s="21" t="n">
        <v>731.762878</v>
      </c>
      <c r="C1186" s="21" t="n">
        <v>97.699211</v>
      </c>
      <c r="D1186" s="22" t="n">
        <f aca="false">LN(B1186/B1185)</f>
        <v>-0.0146284898765847</v>
      </c>
      <c r="E1186" s="22" t="n">
        <f aca="false">LN(C1186/C1185)</f>
        <v>0.000810826476229769</v>
      </c>
      <c r="F1186" s="22" t="n">
        <f aca="false">LN(Summary!$B$13*EXP(D1186)+Summary!$B$14*EXP(E1186))</f>
        <v>-0.00842412944493046</v>
      </c>
      <c r="G1186" s="22" t="n">
        <f aca="false">EXP(F1186)-1</f>
        <v>-0.00838874589472527</v>
      </c>
      <c r="H1186" s="21" t="n">
        <f aca="false">EXP(SUM(F935:F1186))-1</f>
        <v>0.164604072760704</v>
      </c>
    </row>
    <row r="1187" customFormat="false" ht="15" hidden="false" customHeight="false" outlineLevel="0" collapsed="false">
      <c r="A1187" s="20" t="n">
        <v>46197</v>
      </c>
      <c r="B1187" s="21" t="n">
        <v>731.423706</v>
      </c>
      <c r="C1187" s="21" t="n">
        <v>98.174301</v>
      </c>
      <c r="D1187" s="22" t="n">
        <f aca="false">LN(B1187/B1186)</f>
        <v>-0.000463607320875797</v>
      </c>
      <c r="E1187" s="22" t="n">
        <f aca="false">LN(C1187/C1186)</f>
        <v>0.00485099722578114</v>
      </c>
      <c r="F1187" s="22" t="n">
        <f aca="false">LN(Summary!$B$13*EXP(D1187)+Summary!$B$14*EXP(E1187))</f>
        <v>0.00166562509774089</v>
      </c>
      <c r="G1187" s="22" t="n">
        <f aca="false">EXP(F1187)-1</f>
        <v>0.00166701302170402</v>
      </c>
      <c r="H1187" s="21" t="n">
        <f aca="false">EXP(SUM(F936:F1187))-1</f>
        <v>0.158734552901181</v>
      </c>
    </row>
    <row r="1188" customFormat="false" ht="15" hidden="false" customHeight="false" outlineLevel="0" collapsed="false">
      <c r="A1188" s="20" t="n">
        <v>46198</v>
      </c>
      <c r="B1188" s="21" t="n">
        <v>732.481079</v>
      </c>
      <c r="C1188" s="21" t="n">
        <v>98.233688</v>
      </c>
      <c r="D1188" s="22" t="n">
        <f aca="false">LN(B1188/B1187)</f>
        <v>0.00144459283788931</v>
      </c>
      <c r="E1188" s="22" t="n">
        <f aca="false">LN(C1188/C1187)</f>
        <v>0.000604731020486323</v>
      </c>
      <c r="F1188" s="22" t="n">
        <f aca="false">LN(Summary!$B$13*EXP(D1188)+Summary!$B$14*EXP(E1188))</f>
        <v>0.00110873275033127</v>
      </c>
      <c r="G1188" s="22" t="n">
        <f aca="false">EXP(F1188)-1</f>
        <v>0.00110934762170878</v>
      </c>
      <c r="H1188" s="21" t="n">
        <f aca="false">EXP(SUM(F937:F1188))-1</f>
        <v>0.15052353654081</v>
      </c>
    </row>
    <row r="1189" customFormat="false" ht="15" hidden="false" customHeight="false" outlineLevel="0" collapsed="false">
      <c r="A1189" s="20" t="n">
        <v>46199</v>
      </c>
      <c r="B1189" s="21" t="n">
        <v>727.184265</v>
      </c>
      <c r="C1189" s="21" t="n">
        <v>98.322762</v>
      </c>
      <c r="D1189" s="22" t="n">
        <f aca="false">LN(B1189/B1188)</f>
        <v>-0.00725760500049028</v>
      </c>
      <c r="E1189" s="22" t="n">
        <f aca="false">LN(C1189/C1188)</f>
        <v>0.000906345287550385</v>
      </c>
      <c r="F1189" s="22" t="n">
        <f aca="false">LN(Summary!$B$13*EXP(D1189)+Summary!$B$14*EXP(E1189))</f>
        <v>-0.00398402254170655</v>
      </c>
      <c r="G1189" s="22" t="n">
        <f aca="false">EXP(F1189)-1</f>
        <v>-0.00397609685276812</v>
      </c>
      <c r="H1189" s="21" t="n">
        <f aca="false">EXP(SUM(F938:F1189))-1</f>
        <v>0.145610178946096</v>
      </c>
    </row>
    <row r="1190" customFormat="false" ht="15" hidden="false" customHeight="false" outlineLevel="0" collapsed="false">
      <c r="A1190" s="20" t="n">
        <v>46202</v>
      </c>
      <c r="B1190" s="21" t="n">
        <v>739.16449</v>
      </c>
      <c r="C1190" s="21" t="n">
        <v>98.352463</v>
      </c>
      <c r="D1190" s="22" t="n">
        <f aca="false">LN(B1190/B1189)</f>
        <v>0.0163405759132894</v>
      </c>
      <c r="E1190" s="22" t="n">
        <f aca="false">LN(C1190/C1189)</f>
        <v>0.000302030926628302</v>
      </c>
      <c r="F1190" s="22" t="n">
        <f aca="false">LN(Summary!$B$13*EXP(D1190)+Summary!$B$14*EXP(E1190))</f>
        <v>0.00995599281392317</v>
      </c>
      <c r="G1190" s="22" t="n">
        <f aca="false">EXP(F1190)-1</f>
        <v>0.0100057185965519</v>
      </c>
      <c r="H1190" s="21" t="n">
        <f aca="false">EXP(SUM(F939:F1190))-1</f>
        <v>0.150415023378059</v>
      </c>
    </row>
    <row r="1191" customFormat="false" ht="15" hidden="false" customHeight="false" outlineLevel="0" collapsed="false">
      <c r="A1191" s="20" t="n">
        <v>46203</v>
      </c>
      <c r="B1191" s="21" t="n">
        <v>744.920227</v>
      </c>
      <c r="C1191" s="21" t="n">
        <v>97.966454</v>
      </c>
      <c r="D1191" s="22" t="n">
        <f aca="false">LN(B1191/B1190)</f>
        <v>0.00775665404028875</v>
      </c>
      <c r="E1191" s="22" t="n">
        <f aca="false">LN(C1191/C1190)</f>
        <v>-0.00393247378649778</v>
      </c>
      <c r="F1191" s="22" t="n">
        <f aca="false">LN(Summary!$B$13*EXP(D1191)+Summary!$B$14*EXP(E1191))</f>
        <v>0.00309738633549788</v>
      </c>
      <c r="G1191" s="22" t="n">
        <f aca="false">EXP(F1191)-1</f>
        <v>0.00310218819300956</v>
      </c>
      <c r="H1191" s="21" t="n">
        <f aca="false">EXP(SUM(F940:F1191))-1</f>
        <v>0.15185199811316</v>
      </c>
    </row>
    <row r="1192" customFormat="false" ht="15" hidden="false" customHeight="false" outlineLevel="0" collapsed="false">
      <c r="A1192" s="20" t="n">
        <v>46204</v>
      </c>
      <c r="B1192" s="21" t="n">
        <v>743.91272</v>
      </c>
      <c r="C1192" s="21" t="n">
        <v>97.818481</v>
      </c>
      <c r="D1192" s="22" t="n">
        <f aca="false">LN(B1192/B1191)</f>
        <v>-0.00135341867040368</v>
      </c>
      <c r="E1192" s="22" t="n">
        <f aca="false">LN(C1192/C1191)</f>
        <v>-0.00151158747914131</v>
      </c>
      <c r="F1192" s="22" t="n">
        <f aca="false">LN(Summary!$B$13*EXP(D1192)+Summary!$B$14*EXP(E1192))</f>
        <v>-0.00141668319184579</v>
      </c>
      <c r="G1192" s="22" t="n">
        <f aca="false">EXP(F1192)-1</f>
        <v>-0.00141568016992344</v>
      </c>
      <c r="H1192" s="21" t="n">
        <f aca="false">EXP(SUM(F941:F1192))-1</f>
        <v>0.14508223855324</v>
      </c>
    </row>
    <row r="1193" customFormat="false" ht="15" hidden="false" customHeight="false" outlineLevel="0" collapsed="false">
      <c r="A1193" s="20" t="n">
        <v>46205</v>
      </c>
      <c r="B1193" s="21" t="n">
        <v>742.935181</v>
      </c>
      <c r="C1193" s="21" t="n">
        <v>97.927719</v>
      </c>
      <c r="D1193" s="22" t="n">
        <f aca="false">LN(B1193/B1192)</f>
        <v>-0.00131491478071131</v>
      </c>
      <c r="E1193" s="22" t="n">
        <f aca="false">LN(C1193/C1192)</f>
        <v>0.00111611884511669</v>
      </c>
      <c r="F1193" s="22" t="n">
        <f aca="false">LN(Summary!$B$13*EXP(D1193)+Summary!$B$14*EXP(E1193))</f>
        <v>-0.000341792024657286</v>
      </c>
      <c r="G1193" s="22" t="n">
        <f aca="false">EXP(F1193)-1</f>
        <v>-0.00034173362041745</v>
      </c>
      <c r="H1193" s="21" t="n">
        <f aca="false">EXP(SUM(F942:F1193))-1</f>
        <v>0.145334902316741</v>
      </c>
    </row>
    <row r="1194" customFormat="false" ht="15" hidden="false" customHeight="false" outlineLevel="0" collapsed="false">
      <c r="A1194" s="20" t="n">
        <v>46209</v>
      </c>
      <c r="B1194" s="21" t="n">
        <v>749.419067</v>
      </c>
      <c r="C1194" s="21" t="n">
        <v>97.977379</v>
      </c>
      <c r="D1194" s="22" t="n">
        <f aca="false">LN(B1194/B1193)</f>
        <v>0.00868952771414948</v>
      </c>
      <c r="E1194" s="22" t="n">
        <f aca="false">LN(C1194/C1193)</f>
        <v>0.000506980181431259</v>
      </c>
      <c r="F1194" s="22" t="n">
        <f aca="false">LN(Summary!$B$13*EXP(D1194)+Summary!$B$14*EXP(E1194))</f>
        <v>0.00542453878862066</v>
      </c>
      <c r="G1194" s="22" t="n">
        <f aca="false">EXP(F1194)-1</f>
        <v>0.00543927823867607</v>
      </c>
      <c r="H1194" s="21" t="n">
        <f aca="false">EXP(SUM(F943:F1194))-1</f>
        <v>0.14899777614481</v>
      </c>
    </row>
    <row r="1195" customFormat="false" ht="15" hidden="false" customHeight="false" outlineLevel="0" collapsed="false">
      <c r="A1195" s="20" t="n">
        <v>46210</v>
      </c>
      <c r="B1195" s="21" t="n">
        <v>745.85791</v>
      </c>
      <c r="C1195" s="21" t="n">
        <v>97.530487</v>
      </c>
      <c r="D1195" s="22" t="n">
        <f aca="false">LN(B1195/B1194)</f>
        <v>-0.00476321616369827</v>
      </c>
      <c r="E1195" s="22" t="n">
        <f aca="false">LN(C1195/C1194)</f>
        <v>-0.00457160918857484</v>
      </c>
      <c r="F1195" s="22" t="n">
        <f aca="false">LN(Summary!$B$13*EXP(D1195)+Summary!$B$14*EXP(E1195))</f>
        <v>-0.00468656896800468</v>
      </c>
      <c r="G1195" s="22" t="n">
        <f aca="false">EXP(F1195)-1</f>
        <v>-0.00467560413948809</v>
      </c>
      <c r="H1195" s="21" t="n">
        <f aca="false">EXP(SUM(F944:F1195))-1</f>
        <v>0.139162223948848</v>
      </c>
    </row>
    <row r="1196" customFormat="false" ht="15" hidden="false" customHeight="false" outlineLevel="0" collapsed="false">
      <c r="A1196" s="20" t="n">
        <v>46211</v>
      </c>
      <c r="B1196" s="21" t="n">
        <v>743.55365</v>
      </c>
      <c r="C1196" s="21" t="n">
        <v>97.361671</v>
      </c>
      <c r="D1196" s="22" t="n">
        <f aca="false">LN(B1196/B1195)</f>
        <v>-0.00309419088759918</v>
      </c>
      <c r="E1196" s="22" t="n">
        <f aca="false">LN(C1196/C1195)</f>
        <v>-0.00173240466885527</v>
      </c>
      <c r="F1196" s="22" t="n">
        <f aca="false">LN(Summary!$B$13*EXP(D1196)+Summary!$B$14*EXP(E1196))</f>
        <v>-0.00254925384450913</v>
      </c>
      <c r="G1196" s="22" t="n">
        <f aca="false">EXP(F1196)-1</f>
        <v>-0.00254600725630572</v>
      </c>
      <c r="H1196" s="21" t="n">
        <f aca="false">EXP(SUM(F945:F1196))-1</f>
        <v>0.142997483645013</v>
      </c>
    </row>
    <row r="1197" customFormat="false" ht="15" hidden="false" customHeight="false" outlineLevel="0" collapsed="false">
      <c r="A1197" s="20" t="n">
        <v>46212</v>
      </c>
      <c r="B1197" s="21" t="n">
        <v>749.848022</v>
      </c>
      <c r="C1197" s="21" t="n">
        <v>97.500702</v>
      </c>
      <c r="D1197" s="22" t="n">
        <f aca="false">LN(B1197/B1196)</f>
        <v>0.00842962665759935</v>
      </c>
      <c r="E1197" s="22" t="n">
        <f aca="false">LN(C1197/C1196)</f>
        <v>0.00142696633989593</v>
      </c>
      <c r="F1197" s="22" t="n">
        <f aca="false">LN(Summary!$B$13*EXP(D1197)+Summary!$B$14*EXP(E1197))</f>
        <v>0.00563444424300354</v>
      </c>
      <c r="G1197" s="22" t="n">
        <f aca="false">EXP(F1197)-1</f>
        <v>0.00565034757875704</v>
      </c>
      <c r="H1197" s="21" t="n">
        <f aca="false">EXP(SUM(F946:F1197))-1</f>
        <v>0.150021271998031</v>
      </c>
    </row>
    <row r="1198" customFormat="false" ht="15" hidden="false" customHeight="false" outlineLevel="0" collapsed="false">
      <c r="A1198" s="20" t="n">
        <v>46213</v>
      </c>
      <c r="B1198" s="21" t="n">
        <v>753.079956</v>
      </c>
      <c r="C1198" s="21" t="n">
        <v>97.40139</v>
      </c>
      <c r="D1198" s="22" t="n">
        <f aca="false">LN(B1198/B1197)</f>
        <v>0.00430085676647742</v>
      </c>
      <c r="E1198" s="22" t="n">
        <f aca="false">LN(C1198/C1197)</f>
        <v>-0.00101909638399464</v>
      </c>
      <c r="F1198" s="22" t="n">
        <f aca="false">LN(Summary!$B$13*EXP(D1198)+Summary!$B$14*EXP(E1198))</f>
        <v>0.00217627052643184</v>
      </c>
      <c r="G1198" s="22" t="n">
        <f aca="false">EXP(F1198)-1</f>
        <v>0.00217864032192749</v>
      </c>
      <c r="H1198" s="21" t="n">
        <f aca="false">EXP(SUM(F947:F1198))-1</f>
        <v>0.146484839467662</v>
      </c>
    </row>
    <row r="1199" customFormat="false" ht="15" hidden="false" customHeight="false" outlineLevel="0" collapsed="false">
      <c r="A1199" s="20" t="n">
        <v>46216</v>
      </c>
      <c r="B1199" s="21" t="n">
        <v>747.31427</v>
      </c>
      <c r="C1199" s="21" t="n">
        <v>97.033951</v>
      </c>
      <c r="D1199" s="22" t="n">
        <f aca="false">LN(B1199/B1198)</f>
        <v>-0.00768559926570932</v>
      </c>
      <c r="E1199" s="22" t="n">
        <f aca="false">LN(C1199/C1198)</f>
        <v>-0.00377955402054487</v>
      </c>
      <c r="F1199" s="22" t="n">
        <f aca="false">LN(Summary!$B$13*EXP(D1199)+Summary!$B$14*EXP(E1199))</f>
        <v>-0.00612134982917135</v>
      </c>
      <c r="G1199" s="22" t="n">
        <f aca="false">EXP(F1199)-1</f>
        <v>-0.00610265253764653</v>
      </c>
      <c r="H1199" s="21" t="n">
        <f aca="false">EXP(SUM(F948:F1199))-1</f>
        <v>0.137701653018256</v>
      </c>
    </row>
    <row r="1200" customFormat="false" ht="15" hidden="false" customHeight="false" outlineLevel="0" collapsed="false">
      <c r="A1200" s="20" t="n">
        <v>46217</v>
      </c>
      <c r="B1200" s="21" t="n">
        <v>749.967712</v>
      </c>
      <c r="C1200" s="21" t="n">
        <v>97.321945</v>
      </c>
      <c r="D1200" s="22" t="n">
        <f aca="false">LN(B1200/B1199)</f>
        <v>0.00354434877291036</v>
      </c>
      <c r="E1200" s="22" t="n">
        <f aca="false">LN(C1200/C1199)</f>
        <v>0.00296357575673782</v>
      </c>
      <c r="F1200" s="22" t="n">
        <f aca="false">LN(Summary!$B$13*EXP(D1200)+Summary!$B$14*EXP(E1200))</f>
        <v>0.00331208004054939</v>
      </c>
      <c r="G1200" s="22" t="n">
        <f aca="false">EXP(F1200)-1</f>
        <v>0.0033175710381812</v>
      </c>
      <c r="H1200" s="21" t="n">
        <f aca="false">EXP(SUM(F949:F1200))-1</f>
        <v>0.145801280322793</v>
      </c>
    </row>
    <row r="1201" customFormat="false" ht="15" hidden="false" customHeight="false" outlineLevel="0" collapsed="false">
      <c r="A1201" s="20" t="n">
        <v>46218</v>
      </c>
      <c r="B1201" s="21" t="n">
        <v>752.940308</v>
      </c>
      <c r="C1201" s="21" t="n">
        <v>97.460976</v>
      </c>
      <c r="D1201" s="22" t="n">
        <f aca="false">LN(B1201/B1200)</f>
        <v>0.00395579747634426</v>
      </c>
      <c r="E1201" s="22" t="n">
        <f aca="false">LN(C1201/C1200)</f>
        <v>0.00142754840000455</v>
      </c>
      <c r="F1201" s="22" t="n">
        <f aca="false">LN(Summary!$B$13*EXP(D1201)+Summary!$B$14*EXP(E1201))</f>
        <v>0.0029452647615503</v>
      </c>
      <c r="G1201" s="22" t="n">
        <f aca="false">EXP(F1201)-1</f>
        <v>0.00294960631510333</v>
      </c>
      <c r="H1201" s="21" t="n">
        <f aca="false">EXP(SUM(F950:F1201))-1</f>
        <v>0.147913379681113</v>
      </c>
    </row>
    <row r="1202" customFormat="false" ht="15" hidden="false" customHeight="false" outlineLevel="0" collapsed="false">
      <c r="A1202" s="20" t="n">
        <v>46219</v>
      </c>
      <c r="B1202" s="21" t="n">
        <v>748.860413</v>
      </c>
      <c r="C1202" s="21" t="n">
        <v>97.451042</v>
      </c>
      <c r="D1202" s="22" t="n">
        <f aca="false">LN(B1202/B1201)</f>
        <v>-0.00543335075010777</v>
      </c>
      <c r="E1202" s="22" t="n">
        <f aca="false">LN(C1202/C1201)</f>
        <v>-0.000101933170776605</v>
      </c>
      <c r="F1202" s="22" t="n">
        <f aca="false">LN(Summary!$B$13*EXP(D1202)+Summary!$B$14*EXP(E1202))</f>
        <v>-0.00329737162800248</v>
      </c>
      <c r="G1202" s="22" t="n">
        <f aca="false">EXP(F1202)-1</f>
        <v>-0.00329194126845345</v>
      </c>
      <c r="H1202" s="21" t="n">
        <f aca="false">EXP(SUM(F951:F1202))-1</f>
        <v>0.148437940082341</v>
      </c>
    </row>
    <row r="1203" customFormat="false" ht="15" hidden="false" customHeight="false" outlineLevel="0" collapsed="false">
      <c r="A1203" s="20" t="n">
        <v>46220</v>
      </c>
      <c r="B1203" s="21" t="n">
        <v>741.448792</v>
      </c>
      <c r="C1203" s="21" t="n">
        <v>97.520561</v>
      </c>
      <c r="D1203" s="22" t="n">
        <f aca="false">LN(B1203/B1202)</f>
        <v>-0.00994650248347137</v>
      </c>
      <c r="E1203" s="22" t="n">
        <f aca="false">LN(C1203/C1202)</f>
        <v>0.000713119263281501</v>
      </c>
      <c r="F1203" s="22" t="n">
        <f aca="false">LN(Summary!$B$13*EXP(D1203)+Summary!$B$14*EXP(E1203))</f>
        <v>-0.00566900884757618</v>
      </c>
      <c r="G1203" s="22" t="n">
        <f aca="false">EXP(F1203)-1</f>
        <v>-0.00565297033871448</v>
      </c>
      <c r="H1203" s="21" t="n">
        <f aca="false">EXP(SUM(F952:F1203))-1</f>
        <v>0.139008546714241</v>
      </c>
    </row>
    <row r="1204" customFormat="false" ht="15" hidden="false" customHeight="false" outlineLevel="0" collapsed="false">
      <c r="A1204" s="20" t="n">
        <v>46223</v>
      </c>
      <c r="B1204" s="21" t="n">
        <v>740.251831</v>
      </c>
      <c r="C1204" s="21" t="n">
        <v>97.272293</v>
      </c>
      <c r="D1204" s="22" t="n">
        <f aca="false">LN(B1204/B1203)</f>
        <v>-0.00161565871242025</v>
      </c>
      <c r="E1204" s="22" t="n">
        <f aca="false">LN(C1204/C1203)</f>
        <v>-0.00254904766095516</v>
      </c>
      <c r="F1204" s="22" t="n">
        <f aca="false">LN(Summary!$B$13*EXP(D1204)+Summary!$B$14*EXP(E1204))</f>
        <v>-0.0019889097525515</v>
      </c>
      <c r="G1204" s="22" t="n">
        <f aca="false">EXP(F1204)-1</f>
        <v>-0.00198693318217347</v>
      </c>
      <c r="H1204" s="21" t="n">
        <f aca="false">EXP(SUM(F953:F1204))-1</f>
        <v>0.132402499511276</v>
      </c>
    </row>
    <row r="1205" customFormat="false" ht="15" hidden="false" customHeight="false" outlineLevel="0" collapsed="false">
      <c r="A1205" s="20" t="n">
        <v>46224</v>
      </c>
      <c r="B1205" s="21" t="n">
        <v>746.426514</v>
      </c>
      <c r="C1205" s="21" t="n">
        <v>97.063744</v>
      </c>
      <c r="D1205" s="22" t="n">
        <f aca="false">LN(B1205/B1204)</f>
        <v>0.00830673094293532</v>
      </c>
      <c r="E1205" s="22" t="n">
        <f aca="false">LN(C1205/C1204)</f>
        <v>-0.00214627285063478</v>
      </c>
      <c r="F1205" s="22" t="n">
        <f aca="false">LN(Summary!$B$13*EXP(D1205)+Summary!$B$14*EXP(E1205))</f>
        <v>0.00413863207046348</v>
      </c>
      <c r="G1205" s="22" t="n">
        <f aca="false">EXP(F1205)-1</f>
        <v>0.00414720803501001</v>
      </c>
      <c r="H1205" s="21" t="n">
        <f aca="false">EXP(SUM(F954:F1205))-1</f>
        <v>0.136762378248658</v>
      </c>
    </row>
    <row r="1206" customFormat="false" ht="15" hidden="false" customHeight="false" outlineLevel="0" collapsed="false">
      <c r="A1206" s="20" t="n">
        <v>46225</v>
      </c>
      <c r="B1206" s="21" t="n">
        <v>745.558594</v>
      </c>
      <c r="C1206" s="21" t="n">
        <v>96.904854</v>
      </c>
      <c r="D1206" s="22" t="n">
        <f aca="false">LN(B1206/B1205)</f>
        <v>-0.00116344337922369</v>
      </c>
      <c r="E1206" s="22" t="n">
        <f aca="false">LN(C1206/C1205)</f>
        <v>-0.00163830678962836</v>
      </c>
      <c r="F1206" s="22" t="n">
        <f aca="false">LN(Summary!$B$13*EXP(D1206)+Summary!$B$14*EXP(E1206))</f>
        <v>-0.00135336168481144</v>
      </c>
      <c r="G1206" s="22" t="n">
        <f aca="false">EXP(F1206)-1</f>
        <v>-0.00135244630388021</v>
      </c>
      <c r="H1206" s="21" t="n">
        <f aca="false">EXP(SUM(F955:F1206))-1</f>
        <v>0.132689486876881</v>
      </c>
    </row>
    <row r="1207" customFormat="false" ht="15" hidden="false" customHeight="false" outlineLevel="0" collapsed="false">
      <c r="A1207" s="20" t="n">
        <v>46226</v>
      </c>
      <c r="B1207" s="21" t="n">
        <v>736.351501</v>
      </c>
      <c r="C1207" s="21" t="n">
        <v>96.666504</v>
      </c>
      <c r="D1207" s="22" t="n">
        <f aca="false">LN(B1207/B1206)</f>
        <v>-0.0124261404281356</v>
      </c>
      <c r="E1207" s="22" t="n">
        <f aca="false">LN(C1207/C1206)</f>
        <v>-0.00246265896899766</v>
      </c>
      <c r="F1207" s="22" t="n">
        <f aca="false">LN(Summary!$B$13*EXP(D1207)+Summary!$B$14*EXP(E1207))</f>
        <v>-0.0084288274597052</v>
      </c>
      <c r="G1207" s="22" t="n">
        <f aca="false">EXP(F1207)-1</f>
        <v>-0.00839340448810477</v>
      </c>
      <c r="H1207" s="21" t="n">
        <f aca="false">EXP(SUM(F956:F1207))-1</f>
        <v>0.12221913410454</v>
      </c>
    </row>
    <row r="1208" customFormat="false" ht="15" hidden="false" customHeight="false" outlineLevel="0" collapsed="false">
      <c r="A1208" s="20" t="n">
        <v>46227</v>
      </c>
      <c r="B1208" s="21" t="n">
        <v>737.099609</v>
      </c>
      <c r="C1208" s="21" t="n">
        <v>96.785675</v>
      </c>
      <c r="D1208" s="22" t="n">
        <f aca="false">LN(B1208/B1207)</f>
        <v>0.00101545013500127</v>
      </c>
      <c r="E1208" s="22" t="n">
        <f aca="false">LN(C1208/C1207)</f>
        <v>0.00123204624202769</v>
      </c>
      <c r="F1208" s="22" t="n">
        <f aca="false">LN(Summary!$B$13*EXP(D1208)+Summary!$B$14*EXP(E1208))</f>
        <v>0.00110209420755786</v>
      </c>
      <c r="G1208" s="22" t="n">
        <f aca="false">EXP(F1208)-1</f>
        <v>0.00110270173654325</v>
      </c>
      <c r="H1208" s="21" t="n">
        <f aca="false">EXP(SUM(F957:F1208))-1</f>
        <v>0.11874470287555</v>
      </c>
    </row>
    <row r="1209" customFormat="false" ht="15" hidden="false" customHeight="false" outlineLevel="0" collapsed="false">
      <c r="A1209" s="20" t="n">
        <v>46230</v>
      </c>
      <c r="B1209" s="21" t="n">
        <v>737.259277</v>
      </c>
      <c r="C1209" s="21" t="n">
        <v>97.014091</v>
      </c>
      <c r="D1209" s="22" t="n">
        <f aca="false">LN(B1209/B1208)</f>
        <v>0.000216593126870725</v>
      </c>
      <c r="E1209" s="22" t="n">
        <f aca="false">LN(C1209/C1208)</f>
        <v>0.00235723819983851</v>
      </c>
      <c r="F1209" s="22" t="n">
        <f aca="false">LN(Summary!$B$13*EXP(D1209)+Summary!$B$14*EXP(E1209))</f>
        <v>0.00107340111779859</v>
      </c>
      <c r="G1209" s="22" t="n">
        <f aca="false">EXP(F1209)-1</f>
        <v>0.00107397741896076</v>
      </c>
      <c r="H1209" s="21" t="n">
        <f aca="false">EXP(SUM(F958:F1209))-1</f>
        <v>0.119997169253283</v>
      </c>
    </row>
    <row r="1210" customFormat="false" ht="15" hidden="false" customHeight="false" outlineLevel="0" collapsed="false">
      <c r="A1210" s="20" t="n">
        <v>46231</v>
      </c>
      <c r="B1210" s="21" t="n">
        <v>739.024841</v>
      </c>
      <c r="C1210" s="21" t="n">
        <v>97.242493</v>
      </c>
      <c r="D1210" s="22" t="n">
        <f aca="false">LN(B1210/B1209)</f>
        <v>0.00239190386218415</v>
      </c>
      <c r="E1210" s="22" t="n">
        <f aca="false">LN(C1210/C1209)</f>
        <v>0.00235155072274171</v>
      </c>
      <c r="F1210" s="22" t="n">
        <f aca="false">LN(Summary!$B$13*EXP(D1210)+Summary!$B$14*EXP(E1210))</f>
        <v>0.00237576280181171</v>
      </c>
      <c r="G1210" s="22" t="n">
        <f aca="false">EXP(F1210)-1</f>
        <v>0.0023785871624844</v>
      </c>
      <c r="H1210" s="21" t="n">
        <f aca="false">EXP(SUM(F959:F1210))-1</f>
        <v>0.119096004369447</v>
      </c>
    </row>
    <row r="1211" customFormat="false" ht="15" hidden="false" customHeight="false" outlineLevel="0" collapsed="false">
      <c r="A1211" s="20" t="n">
        <v>46232</v>
      </c>
      <c r="B1211" s="21" t="n">
        <v>727.653137</v>
      </c>
      <c r="C1211" s="21" t="n">
        <v>96.875061</v>
      </c>
      <c r="D1211" s="22" t="n">
        <f aca="false">LN(B1211/B1210)</f>
        <v>-0.015507060238321</v>
      </c>
      <c r="E1211" s="22" t="n">
        <f aca="false">LN(C1211/C1210)</f>
        <v>-0.00378566936624915</v>
      </c>
      <c r="F1211" s="22" t="n">
        <f aca="false">LN(Summary!$B$13*EXP(D1211)+Summary!$B$14*EXP(E1211))</f>
        <v>-0.0108020041689273</v>
      </c>
      <c r="G1211" s="22" t="n">
        <f aca="false">EXP(F1211)-1</f>
        <v>-0.0107438720247315</v>
      </c>
      <c r="H1211" s="21" t="n">
        <f aca="false">EXP(SUM(F960:F1211))-1</f>
        <v>0.107824644683041</v>
      </c>
    </row>
    <row r="1212" customFormat="false" ht="15" hidden="false" customHeight="false" outlineLevel="0" collapsed="false">
      <c r="A1212" s="20" t="n">
        <v>46233</v>
      </c>
      <c r="B1212" s="21" t="n">
        <v>739.852783</v>
      </c>
      <c r="C1212" s="21" t="n">
        <v>96.94458</v>
      </c>
      <c r="D1212" s="22" t="n">
        <f aca="false">LN(B1212/B1211)</f>
        <v>0.0166267500261212</v>
      </c>
      <c r="E1212" s="22" t="n">
        <f aca="false">LN(C1212/C1211)</f>
        <v>0.000717357669455342</v>
      </c>
      <c r="F1212" s="22" t="n">
        <f aca="false">LN(Summary!$B$13*EXP(D1212)+Summary!$B$14*EXP(E1212))</f>
        <v>0.0102933336397091</v>
      </c>
      <c r="G1212" s="22" t="n">
        <f aca="false">EXP(F1212)-1</f>
        <v>0.0103464922349104</v>
      </c>
      <c r="H1212" s="21" t="n">
        <f aca="false">EXP(SUM(F961:F1212))-1</f>
        <v>0.118644971764438</v>
      </c>
    </row>
    <row r="1213" customFormat="false" ht="15" hidden="false" customHeight="false" outlineLevel="0" collapsed="false">
      <c r="A1213" s="20" t="n">
        <v>46234</v>
      </c>
      <c r="B1213" s="21" t="n">
        <v>745.179626</v>
      </c>
      <c r="C1213" s="21" t="n">
        <v>96.696304</v>
      </c>
      <c r="D1213" s="22" t="n">
        <f aca="false">LN(B1213/B1212)</f>
        <v>0.00717407352759392</v>
      </c>
      <c r="E1213" s="22" t="n">
        <f aca="false">LN(C1213/C1212)</f>
        <v>-0.00256429459439051</v>
      </c>
      <c r="F1213" s="22" t="n">
        <f aca="false">LN(Summary!$B$13*EXP(D1213)+Summary!$B$14*EXP(E1213))</f>
        <v>0.00329009914856635</v>
      </c>
      <c r="G1213" s="22" t="n">
        <f aca="false">EXP(F1213)-1</f>
        <v>0.00329551746540702</v>
      </c>
      <c r="H1213" s="21" t="n">
        <f aca="false">EXP(SUM(F962:F1213))-1</f>
        <v>0.124455108626242</v>
      </c>
    </row>
    <row r="1214" customFormat="false" ht="15" hidden="false" customHeight="false" outlineLevel="0" collapsed="false">
      <c r="A1214" s="20" t="n">
        <v>46237</v>
      </c>
      <c r="B1214" s="21" t="n">
        <v>755.793213</v>
      </c>
      <c r="C1214" s="21" t="n">
        <v>96.923515</v>
      </c>
      <c r="D1214" s="22" t="n">
        <f aca="false">LN(B1214/B1213)</f>
        <v>0.0141425129438554</v>
      </c>
      <c r="E1214" s="22" t="n">
        <f aca="false">LN(C1214/C1213)</f>
        <v>0.00234698188924529</v>
      </c>
      <c r="F1214" s="22" t="n">
        <f aca="false">LN(Summary!$B$13*EXP(D1214)+Summary!$B$14*EXP(E1214))</f>
        <v>0.0094409834540223</v>
      </c>
      <c r="G1214" s="22" t="n">
        <f aca="false">EXP(F1214)-1</f>
        <v>0.00948569011918199</v>
      </c>
      <c r="H1214" s="21" t="n">
        <f aca="false">EXP(SUM(F963:F1214))-1</f>
        <v>0.137450542407753</v>
      </c>
    </row>
    <row r="1215" customFormat="false" ht="15" hidden="false" customHeight="false" outlineLevel="0" collapsed="false">
      <c r="A1215" s="20" t="n">
        <v>46238</v>
      </c>
      <c r="B1215" s="21" t="n">
        <v>769.419373</v>
      </c>
      <c r="C1215" s="21" t="n">
        <v>97.322136</v>
      </c>
      <c r="D1215" s="22" t="n">
        <f aca="false">LN(B1215/B1214)</f>
        <v>0.0178683583755308</v>
      </c>
      <c r="E1215" s="22" t="n">
        <f aca="false">LN(C1215/C1214)</f>
        <v>0.00410430357150494</v>
      </c>
      <c r="F1215" s="22" t="n">
        <f aca="false">LN(Summary!$B$13*EXP(D1215)+Summary!$B$14*EXP(E1215))</f>
        <v>0.0123854493402172</v>
      </c>
      <c r="G1215" s="22" t="n">
        <f aca="false">EXP(F1215)-1</f>
        <v>0.012462466654128</v>
      </c>
      <c r="H1215" s="21" t="n">
        <f aca="false">EXP(SUM(F964:F1215))-1</f>
        <v>0.159014951562818</v>
      </c>
    </row>
    <row r="1216" customFormat="false" ht="15" hidden="false" customHeight="false" outlineLevel="0" collapsed="false">
      <c r="A1216" s="20" t="n">
        <v>46239</v>
      </c>
      <c r="B1216" s="21" t="n">
        <v>767.883179</v>
      </c>
      <c r="C1216" s="21" t="n">
        <v>97.371956</v>
      </c>
      <c r="D1216" s="22" t="n">
        <f aca="false">LN(B1216/B1215)</f>
        <v>-0.00199855846115401</v>
      </c>
      <c r="E1216" s="22" t="n">
        <f aca="false">LN(C1216/C1215)</f>
        <v>0.000511777225241929</v>
      </c>
      <c r="F1216" s="22" t="n">
        <f aca="false">LN(Summary!$B$13*EXP(D1216)+Summary!$B$14*EXP(E1216))</f>
        <v>-0.000993667845982623</v>
      </c>
      <c r="G1216" s="22" t="n">
        <f aca="false">EXP(F1216)-1</f>
        <v>-0.000993174321568535</v>
      </c>
      <c r="H1216" s="21" t="n">
        <f aca="false">EXP(SUM(F965:F1216))-1</f>
        <v>0.147032894278194</v>
      </c>
    </row>
    <row r="1217" customFormat="false" ht="15" hidden="false" customHeight="false" outlineLevel="0" collapsed="false">
      <c r="A1217" s="20" t="n">
        <v>46240</v>
      </c>
      <c r="B1217" s="21" t="n">
        <v>766.65625</v>
      </c>
      <c r="C1217" s="21" t="n">
        <v>97.092926</v>
      </c>
      <c r="D1217" s="22" t="n">
        <f aca="false">LN(B1217/B1216)</f>
        <v>-0.00159908470028048</v>
      </c>
      <c r="E1217" s="22" t="n">
        <f aca="false">LN(C1217/C1216)</f>
        <v>-0.0028697231975441</v>
      </c>
      <c r="F1217" s="22" t="n">
        <f aca="false">LN(Summary!$B$13*EXP(D1217)+Summary!$B$14*EXP(E1217))</f>
        <v>-0.00210714637294628</v>
      </c>
      <c r="G1217" s="22" t="n">
        <f aca="false">EXP(F1217)-1</f>
        <v>-0.00210492789851813</v>
      </c>
      <c r="H1217" s="21" t="n">
        <f aca="false">EXP(SUM(F966:F1217))-1</f>
        <v>0.147971639818405</v>
      </c>
    </row>
    <row r="1218" customFormat="false" ht="15" hidden="false" customHeight="false" outlineLevel="0" collapsed="false">
      <c r="A1218" s="20" t="n">
        <v>46241</v>
      </c>
      <c r="B1218" s="21" t="n">
        <v>771.344604</v>
      </c>
      <c r="C1218" s="21" t="n">
        <v>97.262337</v>
      </c>
      <c r="D1218" s="22" t="n">
        <f aca="false">LN(B1218/B1217)</f>
        <v>0.00609670470585128</v>
      </c>
      <c r="E1218" s="22" t="n">
        <f aca="false">LN(C1218/C1217)</f>
        <v>0.0017433131502625</v>
      </c>
      <c r="F1218" s="22" t="n">
        <f aca="false">LN(Summary!$B$13*EXP(D1218)+Summary!$B$14*EXP(E1218))</f>
        <v>0.00435762166415656</v>
      </c>
      <c r="G1218" s="22" t="n">
        <f aca="false">EXP(F1218)-1</f>
        <v>0.00436712990352706</v>
      </c>
      <c r="H1218" s="21" t="n">
        <f aca="false">EXP(SUM(F967:F1218))-1</f>
        <v>0.14789462511647</v>
      </c>
    </row>
    <row r="1219" customFormat="false" ht="15" hidden="false" customHeight="false" outlineLevel="0" collapsed="false">
      <c r="A1219" s="20" t="n">
        <v>46244</v>
      </c>
      <c r="B1219" s="21" t="n">
        <v>771.115173</v>
      </c>
      <c r="C1219" s="21" t="n">
        <v>96.90358</v>
      </c>
      <c r="D1219" s="22" t="n">
        <f aca="false">LN(B1219/B1218)</f>
        <v>-0.000297487176149578</v>
      </c>
      <c r="E1219" s="22" t="n">
        <f aca="false">LN(C1219/C1218)</f>
        <v>-0.00369536954581038</v>
      </c>
      <c r="F1219" s="22" t="n">
        <f aca="false">LN(Summary!$B$13*EXP(D1219)+Summary!$B$14*EXP(E1219))</f>
        <v>-0.00165525496589314</v>
      </c>
      <c r="G1219" s="22" t="n">
        <f aca="false">EXP(F1219)-1</f>
        <v>-0.00165388578694303</v>
      </c>
      <c r="H1219" s="21" t="n">
        <f aca="false">EXP(SUM(F968:F1219))-1</f>
        <v>0.146942457893171</v>
      </c>
    </row>
    <row r="1220" customFormat="false" ht="15" hidden="false" customHeight="false" outlineLevel="0" collapsed="false">
      <c r="A1220" s="20" t="n">
        <v>46245</v>
      </c>
      <c r="B1220" s="21" t="n">
        <v>768.651306</v>
      </c>
      <c r="C1220" s="21" t="n">
        <v>96.983307</v>
      </c>
      <c r="D1220" s="22" t="n">
        <f aca="false">LN(B1220/B1219)</f>
        <v>-0.00320031529003548</v>
      </c>
      <c r="E1220" s="22" t="n">
        <f aca="false">LN(C1220/C1219)</f>
        <v>0.000822407391518154</v>
      </c>
      <c r="F1220" s="22" t="n">
        <f aca="false">LN(Summary!$B$13*EXP(D1220)+Summary!$B$14*EXP(E1220))</f>
        <v>-0.00158928382205925</v>
      </c>
      <c r="G1220" s="22" t="n">
        <f aca="false">EXP(F1220)-1</f>
        <v>-0.0015880215793016</v>
      </c>
      <c r="H1220" s="21" t="n">
        <f aca="false">EXP(SUM(F969:F1220))-1</f>
        <v>0.140658869455359</v>
      </c>
    </row>
    <row r="1221" customFormat="false" ht="15" hidden="false" customHeight="false" outlineLevel="0" collapsed="false">
      <c r="A1221" s="20" t="n">
        <v>46246</v>
      </c>
      <c r="B1221" s="21" t="n">
        <v>770.576477</v>
      </c>
      <c r="C1221" s="21" t="n">
        <v>97.092926</v>
      </c>
      <c r="D1221" s="22" t="n">
        <f aca="false">LN(B1221/B1220)</f>
        <v>0.00250147772167493</v>
      </c>
      <c r="E1221" s="22" t="n">
        <f aca="false">LN(C1221/C1220)</f>
        <v>0.00112964900402969</v>
      </c>
      <c r="F1221" s="22" t="n">
        <f aca="false">LN(Summary!$B$13*EXP(D1221)+Summary!$B$14*EXP(E1221))</f>
        <v>0.00195297204363161</v>
      </c>
      <c r="G1221" s="22" t="n">
        <f aca="false">EXP(F1221)-1</f>
        <v>0.00195488033561131</v>
      </c>
      <c r="H1221" s="21" t="n">
        <f aca="false">EXP(SUM(F970:F1221))-1</f>
        <v>0.143922388756589</v>
      </c>
    </row>
    <row r="1222" customFormat="false" ht="15" hidden="false" customHeight="false" outlineLevel="0" collapsed="false">
      <c r="A1222" s="20" t="n">
        <v>46247</v>
      </c>
      <c r="B1222" s="21" t="n">
        <v>775.953186</v>
      </c>
      <c r="C1222" s="21" t="n">
        <v>97.352028</v>
      </c>
      <c r="D1222" s="22" t="n">
        <f aca="false">LN(B1222/B1221)</f>
        <v>0.00695328488221769</v>
      </c>
      <c r="E1222" s="22" t="n">
        <f aca="false">LN(C1222/C1221)</f>
        <v>0.00266504373628606</v>
      </c>
      <c r="F1222" s="22" t="n">
        <f aca="false">LN(Summary!$B$13*EXP(D1222)+Summary!$B$14*EXP(E1222))</f>
        <v>0.00524019447296126</v>
      </c>
      <c r="G1222" s="22" t="n">
        <f aca="false">EXP(F1222)-1</f>
        <v>0.00525394830577675</v>
      </c>
      <c r="H1222" s="21" t="n">
        <f aca="false">EXP(SUM(F971:F1222))-1</f>
        <v>0.142633772049388</v>
      </c>
    </row>
    <row r="1223" customFormat="false" ht="15" hidden="false" customHeight="false" outlineLevel="0" collapsed="false">
      <c r="A1223" s="20" t="n">
        <v>46248</v>
      </c>
      <c r="B1223" s="21" t="n">
        <v>774.416992</v>
      </c>
      <c r="C1223" s="21" t="n">
        <v>97.142761</v>
      </c>
      <c r="D1223" s="22" t="n">
        <f aca="false">LN(B1223/B1222)</f>
        <v>-0.00198171317346294</v>
      </c>
      <c r="E1223" s="22" t="n">
        <f aca="false">LN(C1223/C1222)</f>
        <v>-0.00215190424206438</v>
      </c>
      <c r="F1223" s="22" t="n">
        <f aca="false">LN(Summary!$B$13*EXP(D1223)+Summary!$B$14*EXP(E1223))</f>
        <v>-0.00204978612514295</v>
      </c>
      <c r="G1223" s="22" t="n">
        <f aca="false">EXP(F1223)-1</f>
        <v>-0.00204768674823308</v>
      </c>
      <c r="H1223" s="21" t="n">
        <f aca="false">EXP(SUM(F972:F1223))-1</f>
        <v>0.136307432580903</v>
      </c>
    </row>
    <row r="1224" customFormat="false" ht="15" hidden="false" customHeight="false" outlineLevel="0" collapsed="false">
      <c r="A1224" s="20" t="n">
        <v>46251</v>
      </c>
      <c r="B1224" s="21" t="n">
        <v>770.756042</v>
      </c>
      <c r="C1224" s="21" t="n">
        <v>96.913551</v>
      </c>
      <c r="D1224" s="22" t="n">
        <f aca="false">LN(B1224/B1223)</f>
        <v>-0.00473857201712577</v>
      </c>
      <c r="E1224" s="22" t="n">
        <f aca="false">LN(C1224/C1223)</f>
        <v>-0.00236230508793654</v>
      </c>
      <c r="F1224" s="22" t="n">
        <f aca="false">LN(Summary!$B$13*EXP(D1224)+Summary!$B$14*EXP(E1224))</f>
        <v>-0.00378738754090472</v>
      </c>
      <c r="G1224" s="22" t="n">
        <f aca="false">EXP(F1224)-1</f>
        <v>-0.0037802244347187</v>
      </c>
      <c r="H1224" s="21" t="n">
        <f aca="false">EXP(SUM(F973:F1224))-1</f>
        <v>0.133226020564091</v>
      </c>
    </row>
    <row r="1225" customFormat="false" ht="15" hidden="false" customHeight="false" outlineLevel="0" collapsed="false">
      <c r="A1225" s="20" t="n">
        <v>46252</v>
      </c>
      <c r="B1225" s="21" t="n">
        <v>765.549011</v>
      </c>
      <c r="C1225" s="21" t="n">
        <v>97.013206</v>
      </c>
      <c r="D1225" s="22" t="n">
        <f aca="false">LN(B1225/B1224)</f>
        <v>-0.00677866798466056</v>
      </c>
      <c r="E1225" s="22" t="n">
        <f aca="false">LN(C1225/C1224)</f>
        <v>0.00102775924595121</v>
      </c>
      <c r="F1225" s="22" t="n">
        <f aca="false">LN(Summary!$B$13*EXP(D1225)+Summary!$B$14*EXP(E1225))</f>
        <v>-0.00364878046623665</v>
      </c>
      <c r="G1225" s="22" t="n">
        <f aca="false">EXP(F1225)-1</f>
        <v>-0.00364213175581107</v>
      </c>
      <c r="H1225" s="21" t="n">
        <f aca="false">EXP(SUM(F974:F1225))-1</f>
        <v>0.13137297807987</v>
      </c>
    </row>
    <row r="1226" customFormat="false" ht="15" hidden="false" customHeight="false" outlineLevel="0" collapsed="false">
      <c r="A1226" s="20" t="n">
        <v>46253</v>
      </c>
      <c r="B1226" s="21" t="n">
        <v>767.154968</v>
      </c>
      <c r="C1226" s="21" t="n">
        <v>97.481575</v>
      </c>
      <c r="D1226" s="22" t="n">
        <f aca="false">LN(B1226/B1225)</f>
        <v>0.00209558741898671</v>
      </c>
      <c r="E1226" s="22" t="n">
        <f aca="false">LN(C1226/C1225)</f>
        <v>0.00481627222044179</v>
      </c>
      <c r="F1226" s="22" t="n">
        <f aca="false">LN(Summary!$B$13*EXP(D1226)+Summary!$B$14*EXP(E1226))</f>
        <v>0.00318474975553288</v>
      </c>
      <c r="G1226" s="22" t="n">
        <f aca="false">EXP(F1226)-1</f>
        <v>0.00318982645894828</v>
      </c>
      <c r="H1226" s="21" t="n">
        <f aca="false">EXP(SUM(F975:F1226))-1</f>
        <v>0.13563513883666</v>
      </c>
    </row>
    <row r="1227" customFormat="false" ht="15" hidden="false" customHeight="false" outlineLevel="0" collapsed="false">
      <c r="A1227" s="20" t="n">
        <v>46254</v>
      </c>
      <c r="B1227" s="21" t="n">
        <v>760.710999</v>
      </c>
      <c r="C1227" s="21" t="n">
        <v>97.152718</v>
      </c>
      <c r="D1227" s="22" t="n">
        <f aca="false">LN(B1227/B1226)</f>
        <v>-0.00843530433800395</v>
      </c>
      <c r="E1227" s="22" t="n">
        <f aca="false">LN(C1227/C1226)</f>
        <v>-0.00337923300022683</v>
      </c>
      <c r="F1227" s="22" t="n">
        <f aca="false">LN(Summary!$B$13*EXP(D1227)+Summary!$B$14*EXP(E1227))</f>
        <v>-0.00640980710886482</v>
      </c>
      <c r="G1227" s="22" t="n">
        <f aca="false">EXP(F1227)-1</f>
        <v>-0.00638930811685812</v>
      </c>
      <c r="H1227" s="21" t="n">
        <f aca="false">EXP(SUM(F976:F1227))-1</f>
        <v>0.131191415081643</v>
      </c>
    </row>
    <row r="1228" customFormat="false" ht="15" hidden="false" customHeight="false" outlineLevel="0" collapsed="false">
      <c r="A1228" s="20" t="n">
        <v>46255</v>
      </c>
      <c r="B1228" s="21" t="n">
        <v>763.823242</v>
      </c>
      <c r="C1228" s="21" t="n">
        <v>97.013206</v>
      </c>
      <c r="D1228" s="22" t="n">
        <f aca="false">LN(B1228/B1227)</f>
        <v>0.00408288281063987</v>
      </c>
      <c r="E1228" s="22" t="n">
        <f aca="false">LN(C1228/C1227)</f>
        <v>-0.00143703922021496</v>
      </c>
      <c r="F1228" s="22" t="n">
        <f aca="false">LN(Summary!$B$13*EXP(D1228)+Summary!$B$14*EXP(E1228))</f>
        <v>0.00187856899340827</v>
      </c>
      <c r="G1228" s="22" t="n">
        <f aca="false">EXP(F1228)-1</f>
        <v>0.00188033460957726</v>
      </c>
      <c r="H1228" s="21" t="n">
        <f aca="false">EXP(SUM(F977:F1228))-1</f>
        <v>0.134852715903868</v>
      </c>
    </row>
    <row r="1229" customFormat="false" ht="15" hidden="false" customHeight="false" outlineLevel="0" collapsed="false">
      <c r="A1229" s="20" t="n">
        <v>46258</v>
      </c>
      <c r="B1229" s="21" t="n">
        <v>761.578796</v>
      </c>
      <c r="C1229" s="21" t="n">
        <v>97.212517</v>
      </c>
      <c r="D1229" s="22" t="n">
        <f aca="false">LN(B1229/B1228)</f>
        <v>-0.00294276205721626</v>
      </c>
      <c r="E1229" s="22" t="n">
        <f aca="false">LN(C1229/C1228)</f>
        <v>0.00205236532919529</v>
      </c>
      <c r="F1229" s="22" t="n">
        <f aca="false">LN(Summary!$B$13*EXP(D1229)+Summary!$B$14*EXP(E1229))</f>
        <v>-0.000941715952601234</v>
      </c>
      <c r="G1229" s="22" t="n">
        <f aca="false">EXP(F1229)-1</f>
        <v>-0.000941272677290939</v>
      </c>
      <c r="H1229" s="21" t="n">
        <f aca="false">EXP(SUM(F978:F1229))-1</f>
        <v>0.13757898596675</v>
      </c>
    </row>
    <row r="1230" customFormat="false" ht="15" hidden="false" customHeight="false" outlineLevel="0" collapsed="false">
      <c r="A1230" s="20" t="n">
        <v>46259</v>
      </c>
      <c r="B1230" s="21" t="n">
        <v>764.012756</v>
      </c>
      <c r="C1230" s="21" t="n">
        <v>97.670921</v>
      </c>
      <c r="D1230" s="22" t="n">
        <f aca="false">LN(B1230/B1229)</f>
        <v>0.00319084365919447</v>
      </c>
      <c r="E1230" s="22" t="n">
        <f aca="false">LN(C1230/C1229)</f>
        <v>0.00470440023154593</v>
      </c>
      <c r="F1230" s="22" t="n">
        <f aca="false">LN(Summary!$B$13*EXP(D1230)+Summary!$B$14*EXP(E1230))</f>
        <v>0.00379654121827037</v>
      </c>
      <c r="G1230" s="22" t="n">
        <f aca="false">EXP(F1230)-1</f>
        <v>0.00380375720992809</v>
      </c>
      <c r="H1230" s="21" t="n">
        <f aca="false">EXP(SUM(F979:F1230))-1</f>
        <v>0.12899077228211</v>
      </c>
    </row>
    <row r="1231" customFormat="false" ht="15" hidden="false" customHeight="false" outlineLevel="0" collapsed="false">
      <c r="A1231" s="20" t="n">
        <v>46260</v>
      </c>
      <c r="B1231" s="21" t="n">
        <v>764.182373</v>
      </c>
      <c r="C1231" s="21" t="n">
        <v>97.521439</v>
      </c>
      <c r="D1231" s="22" t="n">
        <f aca="false">LN(B1231/B1230)</f>
        <v>0.000221983433237945</v>
      </c>
      <c r="E1231" s="22" t="n">
        <f aca="false">LN(C1231/C1230)</f>
        <v>-0.00153163811557671</v>
      </c>
      <c r="F1231" s="22" t="n">
        <f aca="false">LN(Summary!$B$13*EXP(D1231)+Summary!$B$14*EXP(E1231))</f>
        <v>-0.000479096206846872</v>
      </c>
      <c r="G1231" s="22" t="n">
        <f aca="false">EXP(F1231)-1</f>
        <v>-0.000478981458585048</v>
      </c>
      <c r="H1231" s="21" t="n">
        <f aca="false">EXP(SUM(F980:F1231))-1</f>
        <v>0.132122972471796</v>
      </c>
    </row>
    <row r="1232" customFormat="false" ht="15" hidden="false" customHeight="false" outlineLevel="0" collapsed="false">
      <c r="A1232" s="20" t="n">
        <v>46261</v>
      </c>
      <c r="B1232" s="21" t="n">
        <v>769.189941</v>
      </c>
      <c r="C1232" s="21" t="n">
        <v>97.491547</v>
      </c>
      <c r="D1232" s="22" t="n">
        <f aca="false">LN(B1232/B1231)</f>
        <v>0.00653146761057325</v>
      </c>
      <c r="E1232" s="22" t="n">
        <f aca="false">LN(C1232/C1231)</f>
        <v>-0.000306564202181968</v>
      </c>
      <c r="F1232" s="22" t="n">
        <f aca="false">LN(Summary!$B$13*EXP(D1232)+Summary!$B$14*EXP(E1232))</f>
        <v>0.00380186335945242</v>
      </c>
      <c r="G1232" s="22" t="n">
        <f aca="false">EXP(F1232)-1</f>
        <v>0.00380909960945952</v>
      </c>
      <c r="H1232" s="21" t="n">
        <f aca="false">EXP(SUM(F981:F1232))-1</f>
        <v>0.133040935996871</v>
      </c>
    </row>
    <row r="1233" customFormat="false" ht="15" hidden="false" customHeight="false" outlineLevel="0" collapsed="false">
      <c r="A1233" s="20" t="n">
        <v>46262</v>
      </c>
      <c r="B1233" s="21" t="n">
        <v>767.444275</v>
      </c>
      <c r="C1233" s="21" t="n">
        <v>97.152718</v>
      </c>
      <c r="D1233" s="22" t="n">
        <f aca="false">LN(B1233/B1232)</f>
        <v>-0.00227206544380135</v>
      </c>
      <c r="E1233" s="22" t="n">
        <f aca="false">LN(C1233/C1232)</f>
        <v>-0.00348152402276768</v>
      </c>
      <c r="F1233" s="22" t="n">
        <f aca="false">LN(Summary!$B$13*EXP(D1233)+Summary!$B$14*EXP(E1233))</f>
        <v>-0.00275567335474432</v>
      </c>
      <c r="G1233" s="22" t="n">
        <f aca="false">EXP(F1233)-1</f>
        <v>-0.00275187997216642</v>
      </c>
      <c r="H1233" s="21" t="n">
        <f aca="false">EXP(SUM(F982:F1233))-1</f>
        <v>0.127926789980648</v>
      </c>
    </row>
    <row r="1234" customFormat="false" ht="15" hidden="false" customHeight="false" outlineLevel="0" collapsed="false">
      <c r="A1234" s="20" t="n">
        <v>46265</v>
      </c>
      <c r="B1234" s="21" t="n">
        <v>765.149963</v>
      </c>
      <c r="C1234" s="21" t="n">
        <v>97.072998</v>
      </c>
      <c r="D1234" s="22" t="n">
        <f aca="false">LN(B1234/B1233)</f>
        <v>-0.00299402628171402</v>
      </c>
      <c r="E1234" s="22" t="n">
        <f aca="false">LN(C1234/C1233)</f>
        <v>-0.000820900611088903</v>
      </c>
      <c r="F1234" s="22" t="n">
        <f aca="false">LN(Summary!$B$13*EXP(D1234)+Summary!$B$14*EXP(E1234))</f>
        <v>-0.00212420923444022</v>
      </c>
      <c r="G1234" s="22" t="n">
        <f aca="false">EXP(F1234)-1</f>
        <v>-0.0021219546986555</v>
      </c>
      <c r="H1234" s="21" t="n">
        <f aca="false">EXP(SUM(F983:F1234))-1</f>
        <v>0.122606382624708</v>
      </c>
    </row>
    <row r="1235" customFormat="false" ht="15" hidden="false" customHeight="false" outlineLevel="0" collapsed="false">
      <c r="A1235" s="20" t="n">
        <v>46266</v>
      </c>
      <c r="B1235" s="21" t="n">
        <v>759.893066</v>
      </c>
      <c r="C1235" s="21" t="n">
        <v>96.769997</v>
      </c>
      <c r="D1235" s="22" t="n">
        <f aca="false">LN(B1235/B1234)</f>
        <v>-0.00689412393125871</v>
      </c>
      <c r="E1235" s="22" t="n">
        <f aca="false">LN(C1235/C1234)</f>
        <v>-0.00312625428410017</v>
      </c>
      <c r="F1235" s="22" t="n">
        <f aca="false">LN(Summary!$B$13*EXP(D1235)+Summary!$B$14*EXP(E1235))</f>
        <v>-0.00538527202434651</v>
      </c>
      <c r="G1235" s="22" t="n">
        <f aca="false">EXP(F1235)-1</f>
        <v>-0.00537079744180291</v>
      </c>
      <c r="H1235" s="21" t="n">
        <f aca="false">EXP(SUM(F984:F1235))-1</f>
        <v>0.121174385446284</v>
      </c>
    </row>
    <row r="1236" customFormat="false" ht="15" hidden="false" customHeight="false" outlineLevel="0" collapsed="false">
      <c r="A1236" s="20" t="n">
        <v>46267</v>
      </c>
      <c r="B1236" s="21" t="n">
        <v>763.264648</v>
      </c>
      <c r="C1236" s="21" t="n">
        <v>96.839996</v>
      </c>
      <c r="D1236" s="22" t="n">
        <f aca="false">LN(B1236/B1235)</f>
        <v>0.0044271022963818</v>
      </c>
      <c r="E1236" s="22" t="n">
        <f aca="false">LN(C1236/C1235)</f>
        <v>0.000723092873103735</v>
      </c>
      <c r="F1236" s="22" t="n">
        <f aca="false">LN(Summary!$B$13*EXP(D1236)+Summary!$B$14*EXP(E1236))</f>
        <v>0.00294714448199701</v>
      </c>
      <c r="G1236" s="22" t="n">
        <f aca="false">EXP(F1236)-1</f>
        <v>0.00295149158175723</v>
      </c>
      <c r="H1236" s="21" t="n">
        <f aca="false">EXP(SUM(F985:F1236))-1</f>
        <v>0.130710734439783</v>
      </c>
    </row>
    <row r="1237" customFormat="false" ht="15" hidden="false" customHeight="false" outlineLevel="0" collapsed="false">
      <c r="A1237" s="20" t="n">
        <v>46268</v>
      </c>
      <c r="B1237" s="21" t="n">
        <v>771.254822</v>
      </c>
      <c r="C1237" s="21" t="n">
        <v>96.949997</v>
      </c>
      <c r="D1237" s="22" t="n">
        <f aca="false">LN(B1237/B1236)</f>
        <v>0.0104140043424236</v>
      </c>
      <c r="E1237" s="22" t="n">
        <f aca="false">LN(C1237/C1236)</f>
        <v>0.00113525998026379</v>
      </c>
      <c r="F1237" s="22" t="n">
        <f aca="false">LN(Summary!$B$13*EXP(D1237)+Summary!$B$14*EXP(E1237))</f>
        <v>0.00671283158579461</v>
      </c>
      <c r="G1237" s="22" t="n">
        <f aca="false">EXP(F1237)-1</f>
        <v>0.00673541314018955</v>
      </c>
      <c r="H1237" s="21" t="n">
        <f aca="false">EXP(SUM(F986:F1237))-1</f>
        <v>0.132992206681512</v>
      </c>
    </row>
    <row r="1238" customFormat="false" ht="15" hidden="false" customHeight="false" outlineLevel="0" collapsed="false">
      <c r="A1238" s="20" t="n">
        <v>46269</v>
      </c>
      <c r="B1238" s="21" t="n">
        <v>768.282227</v>
      </c>
      <c r="C1238" s="21" t="n">
        <v>97</v>
      </c>
      <c r="D1238" s="22" t="n">
        <f aca="false">LN(B1238/B1237)</f>
        <v>-0.00386167867283724</v>
      </c>
      <c r="E1238" s="22" t="n">
        <f aca="false">LN(C1238/C1237)</f>
        <v>0.000515627758507929</v>
      </c>
      <c r="F1238" s="22" t="n">
        <f aca="false">LN(Summary!$B$13*EXP(D1238)+Summary!$B$14*EXP(E1238))</f>
        <v>-0.0021084561335426</v>
      </c>
      <c r="G1238" s="22" t="n">
        <f aca="false">EXP(F1238)-1</f>
        <v>-0.0021062349013069</v>
      </c>
      <c r="H1238" s="21" t="n">
        <f aca="false">EXP(SUM(F987:F1238))-1</f>
        <v>0.123162772935416</v>
      </c>
    </row>
    <row r="1239" customFormat="false" ht="15" hidden="false" customHeight="false" outlineLevel="0" collapsed="false">
      <c r="A1239" s="20" t="n">
        <v>46273</v>
      </c>
      <c r="B1239" s="21" t="n">
        <v>764.062683</v>
      </c>
      <c r="C1239" s="21" t="n">
        <v>96.900002</v>
      </c>
      <c r="D1239" s="22" t="n">
        <f aca="false">LN(B1239/B1238)</f>
        <v>-0.00550731710275666</v>
      </c>
      <c r="E1239" s="22" t="n">
        <f aca="false">LN(C1239/C1238)</f>
        <v>-0.00103143896682755</v>
      </c>
      <c r="F1239" s="22" t="n">
        <f aca="false">LN(Summary!$B$13*EXP(D1239)+Summary!$B$14*EXP(E1239))</f>
        <v>-0.00371456111460226</v>
      </c>
      <c r="G1239" s="22" t="n">
        <f aca="false">EXP(F1239)-1</f>
        <v>-0.00370767066676869</v>
      </c>
      <c r="H1239" s="21" t="n">
        <f aca="false">EXP(SUM(F988:F1239))-1</f>
        <v>0.118831458806296</v>
      </c>
    </row>
    <row r="1240" customFormat="false" ht="15" hidden="false" customHeight="false" outlineLevel="0" collapsed="false">
      <c r="A1240" s="20" t="n">
        <v>46274</v>
      </c>
      <c r="B1240" s="21" t="n">
        <v>760.511536</v>
      </c>
      <c r="C1240" s="21" t="n">
        <v>96.68</v>
      </c>
      <c r="D1240" s="22" t="n">
        <f aca="false">LN(B1240/B1239)</f>
        <v>-0.00465855106038106</v>
      </c>
      <c r="E1240" s="22" t="n">
        <f aca="false">LN(C1240/C1239)</f>
        <v>-0.00227298370127288</v>
      </c>
      <c r="F1240" s="22" t="n">
        <f aca="false">LN(Summary!$B$13*EXP(D1240)+Summary!$B$14*EXP(E1240))</f>
        <v>-0.00370364109647656</v>
      </c>
      <c r="G1240" s="22" t="n">
        <f aca="false">EXP(F1240)-1</f>
        <v>-0.00369679107707133</v>
      </c>
      <c r="H1240" s="21" t="n">
        <f aca="false">EXP(SUM(F989:F1240))-1</f>
        <v>0.111546948481822</v>
      </c>
    </row>
    <row r="1241" customFormat="false" ht="15" hidden="false" customHeight="false" outlineLevel="0" collapsed="false">
      <c r="A1241" s="20" t="n">
        <v>46275</v>
      </c>
      <c r="B1241" s="21" t="n">
        <v>755.95282</v>
      </c>
      <c r="C1241" s="21" t="n">
        <v>96.050003</v>
      </c>
      <c r="D1241" s="22" t="n">
        <f aca="false">LN(B1241/B1240)</f>
        <v>-0.00601231372738201</v>
      </c>
      <c r="E1241" s="22" t="n">
        <f aca="false">LN(C1241/C1240)</f>
        <v>-0.00653763538698465</v>
      </c>
      <c r="F1241" s="22" t="n">
        <f aca="false">LN(Summary!$B$13*EXP(D1241)+Summary!$B$14*EXP(E1241))</f>
        <v>-0.00622240927684158</v>
      </c>
      <c r="G1241" s="22" t="n">
        <f aca="false">EXP(F1241)-1</f>
        <v>-0.0062030901794502</v>
      </c>
      <c r="H1241" s="21" t="n">
        <f aca="false">EXP(SUM(F990:F1241))-1</f>
        <v>0.103999815287462</v>
      </c>
    </row>
    <row r="1242" customFormat="false" ht="15" hidden="false" customHeight="false" outlineLevel="0" collapsed="false">
      <c r="A1242" s="20" t="n">
        <v>46276</v>
      </c>
      <c r="B1242" s="21" t="n">
        <v>762.39679</v>
      </c>
      <c r="C1242" s="21" t="n">
        <v>95.980003</v>
      </c>
      <c r="D1242" s="22" t="n">
        <f aca="false">LN(B1242/B1241)</f>
        <v>0.00848817511817876</v>
      </c>
      <c r="E1242" s="22" t="n">
        <f aca="false">LN(C1242/C1241)</f>
        <v>-0.000729052761686952</v>
      </c>
      <c r="F1242" s="22" t="n">
        <f aca="false">LN(Summary!$B$13*EXP(D1242)+Summary!$B$14*EXP(E1242))</f>
        <v>0.0048114725447338</v>
      </c>
      <c r="G1242" s="22" t="n">
        <f aca="false">EXP(F1242)-1</f>
        <v>0.00482306626559015</v>
      </c>
      <c r="H1242" s="21" t="n">
        <f aca="false">EXP(SUM(F991:F1242))-1</f>
        <v>0.106522140361113</v>
      </c>
    </row>
    <row r="1243" customFormat="false" ht="15" hidden="false" customHeight="false" outlineLevel="0" collapsed="false">
      <c r="A1243" s="20" t="n">
        <v>46279</v>
      </c>
      <c r="B1243" s="21" t="n">
        <v>758.995239</v>
      </c>
      <c r="C1243" s="21" t="n">
        <v>95.889999</v>
      </c>
      <c r="D1243" s="22" t="n">
        <f aca="false">LN(B1243/B1242)</f>
        <v>-0.0044716372941975</v>
      </c>
      <c r="E1243" s="22" t="n">
        <f aca="false">LN(C1243/C1242)</f>
        <v>-0.000938176949637044</v>
      </c>
      <c r="F1243" s="22" t="n">
        <f aca="false">LN(Summary!$B$13*EXP(D1243)+Summary!$B$14*EXP(E1243))</f>
        <v>-0.00305675456308717</v>
      </c>
      <c r="G1243" s="22" t="n">
        <f aca="false">EXP(F1243)-1</f>
        <v>-0.0030520874454798</v>
      </c>
      <c r="H1243" s="21" t="n">
        <f aca="false">EXP(SUM(F992:F1243))-1</f>
        <v>0.0968458990394003</v>
      </c>
    </row>
    <row r="1244" customFormat="false" ht="15" hidden="false" customHeight="false" outlineLevel="0" collapsed="false">
      <c r="A1244" s="20" t="n">
        <v>46280</v>
      </c>
      <c r="B1244" s="21" t="n">
        <v>755.513916</v>
      </c>
      <c r="C1244" s="21" t="n">
        <v>95.849998</v>
      </c>
      <c r="D1244" s="22" t="n">
        <f aca="false">LN(B1244/B1243)</f>
        <v>-0.00459730351585208</v>
      </c>
      <c r="E1244" s="22" t="n">
        <f aca="false">LN(C1244/C1243)</f>
        <v>-0.000417242111256718</v>
      </c>
      <c r="F1244" s="22" t="n">
        <f aca="false">LN(Summary!$B$13*EXP(D1244)+Summary!$B$14*EXP(E1244))</f>
        <v>-0.00292318162145397</v>
      </c>
      <c r="G1244" s="22" t="n">
        <f aca="false">EXP(F1244)-1</f>
        <v>-0.00291891328611071</v>
      </c>
      <c r="H1244" s="21" t="n">
        <f aca="false">EXP(SUM(F993:F1244))-1</f>
        <v>0.0942553654229752</v>
      </c>
    </row>
    <row r="1245" customFormat="false" ht="15" hidden="false" customHeight="false" outlineLevel="0" collapsed="false">
      <c r="A1245" s="20" t="n">
        <v>46281</v>
      </c>
      <c r="B1245" s="21" t="n">
        <v>752.18219</v>
      </c>
      <c r="C1245" s="21" t="n">
        <v>95.809998</v>
      </c>
      <c r="D1245" s="22" t="n">
        <f aca="false">LN(B1245/B1244)</f>
        <v>-0.00441963259041207</v>
      </c>
      <c r="E1245" s="22" t="n">
        <f aca="false">LN(C1245/C1244)</f>
        <v>-0.000417405837582969</v>
      </c>
      <c r="F1245" s="22" t="n">
        <f aca="false">LN(Summary!$B$13*EXP(D1245)+Summary!$B$14*EXP(E1245))</f>
        <v>-0.00281681923927686</v>
      </c>
      <c r="G1245" s="22" t="n">
        <f aca="false">EXP(F1245)-1</f>
        <v>-0.00281285572633672</v>
      </c>
      <c r="H1245" s="21" t="n">
        <f aca="false">EXP(SUM(F994:F1245))-1</f>
        <v>0.086970149673687</v>
      </c>
    </row>
    <row r="1246" customFormat="false" ht="15" hidden="false" customHeight="false" outlineLevel="0" collapsed="false">
      <c r="A1246" s="20" t="n">
        <v>46282</v>
      </c>
      <c r="B1246" s="21" t="n">
        <v>760.710999</v>
      </c>
      <c r="C1246" s="21" t="n">
        <v>96.330002</v>
      </c>
      <c r="D1246" s="22" t="n">
        <f aca="false">LN(B1246/B1245)</f>
        <v>0.0112749524071794</v>
      </c>
      <c r="E1246" s="22" t="n">
        <f aca="false">LN(C1246/C1245)</f>
        <v>0.00541277474336211</v>
      </c>
      <c r="F1246" s="22" t="n">
        <f aca="false">LN(Summary!$B$13*EXP(D1246)+Summary!$B$14*EXP(E1246))</f>
        <v>0.00893420354006111</v>
      </c>
      <c r="G1246" s="22" t="n">
        <f aca="false">EXP(F1246)-1</f>
        <v>0.00897423265712893</v>
      </c>
      <c r="H1246" s="21" t="n">
        <f aca="false">EXP(SUM(F995:F1246))-1</f>
        <v>0.0974571699735882</v>
      </c>
    </row>
    <row r="1247" customFormat="false" ht="15" hidden="false" customHeight="false" outlineLevel="0" collapsed="false">
      <c r="A1247" s="20" t="n">
        <v>46283</v>
      </c>
      <c r="B1247" s="21" t="n">
        <v>761.690002</v>
      </c>
      <c r="C1247" s="21" t="n">
        <v>95.959999</v>
      </c>
      <c r="D1247" s="22" t="n">
        <f aca="false">LN(B1247/B1246)</f>
        <v>0.00128613044041214</v>
      </c>
      <c r="E1247" s="22" t="n">
        <f aca="false">LN(C1247/C1246)</f>
        <v>-0.00384838998101103</v>
      </c>
      <c r="F1247" s="22" t="n">
        <f aca="false">LN(Summary!$B$13*EXP(D1247)+Summary!$B$14*EXP(E1247))</f>
        <v>-0.000764515218120866</v>
      </c>
      <c r="G1247" s="22" t="n">
        <f aca="false">EXP(F1247)-1</f>
        <v>-0.000764223050821689</v>
      </c>
      <c r="H1247" s="21" t="n">
        <f aca="false">EXP(SUM(F996:F1247))-1</f>
        <v>0.0982217784509882</v>
      </c>
    </row>
    <row r="1248" customFormat="false" ht="15" hidden="false" customHeight="false" outlineLevel="0" collapsed="false">
      <c r="A1248" s="20" t="n">
        <v>46286</v>
      </c>
      <c r="B1248" s="21" t="n">
        <v>773.5</v>
      </c>
      <c r="C1248" s="21" t="n">
        <v>96.209999</v>
      </c>
      <c r="D1248" s="22" t="n">
        <f aca="false">LN(B1248/B1247)</f>
        <v>0.01538601862311</v>
      </c>
      <c r="E1248" s="22" t="n">
        <f aca="false">LN(C1248/C1247)</f>
        <v>0.00260186442875832</v>
      </c>
      <c r="F1248" s="22" t="n">
        <f aca="false">LN(Summary!$B$13*EXP(D1248)+Summary!$B$14*EXP(E1248))</f>
        <v>0.0102919522649304</v>
      </c>
      <c r="G1248" s="22" t="n">
        <f aca="false">EXP(F1248)-1</f>
        <v>0.0103450965687122</v>
      </c>
      <c r="H1248" s="21" t="n">
        <f aca="false">EXP(SUM(F997:F1248))-1</f>
        <v>0.107711073425986</v>
      </c>
    </row>
    <row r="1249" customFormat="false" ht="15" hidden="false" customHeight="false" outlineLevel="0" collapsed="false">
      <c r="A1249" s="20" t="n">
        <v>46287</v>
      </c>
      <c r="B1249" s="21" t="n">
        <v>773.380005</v>
      </c>
      <c r="C1249" s="21" t="n">
        <v>96.25</v>
      </c>
      <c r="D1249" s="22" t="n">
        <f aca="false">LN(B1249/B1248)</f>
        <v>-0.000155144548837511</v>
      </c>
      <c r="E1249" s="22" t="n">
        <f aca="false">LN(C1249/C1248)</f>
        <v>0.000415681188650362</v>
      </c>
      <c r="F1249" s="22" t="n">
        <f aca="false">LN(Summary!$B$13*EXP(D1249)+Summary!$B$14*EXP(E1249))</f>
        <v>7.32248486877391E-005</v>
      </c>
      <c r="G1249" s="22" t="n">
        <f aca="false">EXP(F1249)-1</f>
        <v>7.32275296924101E-005</v>
      </c>
      <c r="H1249" s="21" t="n">
        <f aca="false">EXP(SUM(F998:F1249))-1</f>
        <v>0.104509976189321</v>
      </c>
    </row>
    <row r="1250" customFormat="false" ht="15" hidden="false" customHeight="false" outlineLevel="0" collapsed="false">
      <c r="A1250" s="20" t="n">
        <v>46288</v>
      </c>
      <c r="B1250" s="21" t="n">
        <v>767.809998</v>
      </c>
      <c r="C1250" s="21" t="n">
        <v>95.410004</v>
      </c>
      <c r="D1250" s="22" t="n">
        <f aca="false">LN(B1250/B1249)</f>
        <v>-0.00722822136215303</v>
      </c>
      <c r="E1250" s="22" t="n">
        <f aca="false">LN(C1250/C1249)</f>
        <v>-0.00876553647981329</v>
      </c>
      <c r="F1250" s="22" t="n">
        <f aca="false">LN(Summary!$B$13*EXP(D1250)+Summary!$B$14*EXP(E1250))</f>
        <v>-0.00784286383777477</v>
      </c>
      <c r="G1250" s="22" t="n">
        <f aca="false">EXP(F1250)-1</f>
        <v>-0.00781218882688173</v>
      </c>
      <c r="H1250" s="21" t="n">
        <f aca="false">EXP(SUM(F999:F1250))-1</f>
        <v>0.0933012577957304</v>
      </c>
    </row>
    <row r="1251" customFormat="false" ht="15" hidden="false" customHeight="false" outlineLevel="0" collapsed="false">
      <c r="A1251" s="20" t="n">
        <v>46289</v>
      </c>
      <c r="B1251" s="21" t="n">
        <v>767.179993</v>
      </c>
      <c r="C1251" s="21" t="n">
        <v>94.949997</v>
      </c>
      <c r="D1251" s="22" t="n">
        <f aca="false">LN(B1251/B1250)</f>
        <v>-0.000820858818714253</v>
      </c>
      <c r="E1251" s="22" t="n">
        <f aca="false">LN(C1251/C1250)</f>
        <v>-0.00483303102536258</v>
      </c>
      <c r="F1251" s="22" t="n">
        <f aca="false">LN(Summary!$B$13*EXP(D1251)+Summary!$B$14*EXP(E1251))</f>
        <v>-0.0024237965161034</v>
      </c>
      <c r="G1251" s="22" t="n">
        <f aca="false">EXP(F1251)-1</f>
        <v>-0.00242086149310605</v>
      </c>
      <c r="H1251" s="21" t="n">
        <f aca="false">EXP(SUM(F1000:F1251))-1</f>
        <v>0.0935274527827381</v>
      </c>
    </row>
    <row r="1252" customFormat="false" ht="15" hidden="false" customHeight="false" outlineLevel="0" collapsed="false">
      <c r="A1252" s="20" t="n">
        <v>46290</v>
      </c>
      <c r="B1252" s="21" t="n">
        <v>771.349976</v>
      </c>
      <c r="C1252" s="21" t="n">
        <v>95.120003</v>
      </c>
      <c r="D1252" s="22" t="n">
        <f aca="false">LN(B1252/B1251)</f>
        <v>0.00542075006025179</v>
      </c>
      <c r="E1252" s="22" t="n">
        <f aca="false">LN(C1252/C1251)</f>
        <v>0.00178887825891673</v>
      </c>
      <c r="F1252" s="22" t="n">
        <f aca="false">LN(Summary!$B$13*EXP(D1252)+Summary!$B$14*EXP(E1252))</f>
        <v>0.00396958381483697</v>
      </c>
      <c r="G1252" s="22" t="n">
        <f aca="false">EXP(F1252)-1</f>
        <v>0.00397747304820539</v>
      </c>
      <c r="H1252" s="21" t="n">
        <f aca="false">EXP(SUM(F1001:F1252))-1</f>
        <v>0.100812134230201</v>
      </c>
    </row>
    <row r="1253" customFormat="false" ht="15" hidden="false" customHeight="false" outlineLevel="0" collapsed="false">
      <c r="A1253" s="20" t="n">
        <v>46293</v>
      </c>
      <c r="B1253" s="21" t="n">
        <v>765.609985</v>
      </c>
      <c r="C1253" s="21" t="n">
        <v>94.650002</v>
      </c>
      <c r="D1253" s="22" t="n">
        <f aca="false">LN(B1253/B1252)</f>
        <v>-0.00746931323145394</v>
      </c>
      <c r="E1253" s="22" t="n">
        <f aca="false">LN(C1253/C1252)</f>
        <v>-0.00495338513582201</v>
      </c>
      <c r="F1253" s="22" t="n">
        <f aca="false">LN(Summary!$B$13*EXP(D1253)+Summary!$B$14*EXP(E1253))</f>
        <v>-0.00646218227867125</v>
      </c>
      <c r="G1253" s="22" t="n">
        <f aca="false">EXP(F1253)-1</f>
        <v>-0.00644134728277501</v>
      </c>
      <c r="H1253" s="21" t="n">
        <f aca="false">EXP(SUM(F1002:F1253))-1</f>
        <v>0.0973728071051161</v>
      </c>
    </row>
    <row r="1254" customFormat="false" ht="15" hidden="false" customHeight="false" outlineLevel="0" collapsed="false">
      <c r="A1254" s="20" t="n">
        <v>46294</v>
      </c>
      <c r="B1254" s="21" t="n">
        <v>764.200012</v>
      </c>
      <c r="C1254" s="21" t="n">
        <v>94.599998</v>
      </c>
      <c r="D1254" s="22" t="n">
        <f aca="false">LN(B1254/B1253)</f>
        <v>-0.00184333139671871</v>
      </c>
      <c r="E1254" s="22" t="n">
        <f aca="false">LN(C1254/C1253)</f>
        <v>-0.000528443869629079</v>
      </c>
      <c r="F1254" s="22" t="n">
        <f aca="false">LN(Summary!$B$13*EXP(D1254)+Summary!$B$14*EXP(E1254))</f>
        <v>-0.00131716889620421</v>
      </c>
      <c r="G1254" s="22" t="n">
        <f aca="false">EXP(F1254)-1</f>
        <v>-0.00131630180999509</v>
      </c>
      <c r="H1254" s="21" t="n">
        <f aca="false">EXP(SUM(F1003:F1254))-1</f>
        <v>0.0918693083007243</v>
      </c>
    </row>
    <row r="1255" customFormat="false" ht="15" hidden="false" customHeight="false" outlineLevel="0" collapsed="false">
      <c r="A1255" s="20" t="n">
        <v>46295</v>
      </c>
      <c r="B1255" s="21" t="n">
        <v>762.630005</v>
      </c>
      <c r="C1255" s="21" t="n">
        <v>94.540001</v>
      </c>
      <c r="D1255" s="22" t="n">
        <f aca="false">LN(B1255/B1254)</f>
        <v>-0.00205655840646624</v>
      </c>
      <c r="E1255" s="22" t="n">
        <f aca="false">LN(C1255/C1254)</f>
        <v>-0.000634418973559731</v>
      </c>
      <c r="F1255" s="22" t="n">
        <f aca="false">LN(Summary!$B$13*EXP(D1255)+Summary!$B$14*EXP(E1255))</f>
        <v>-0.00148745991264367</v>
      </c>
      <c r="G1255" s="22" t="n">
        <f aca="false">EXP(F1255)-1</f>
        <v>-0.00148635419245391</v>
      </c>
      <c r="H1255" s="21" t="n">
        <f aca="false">EXP(SUM(F1004:F1255))-1</f>
        <v>0.0875864433927167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1"/>
  </cols>
  <sheetData>
    <row r="1" customFormat="false" ht="28.35" hidden="false" customHeight="false" outlineLevel="0" collapsed="false">
      <c r="A1" s="4" t="s">
        <v>86</v>
      </c>
      <c r="B1" s="4" t="s">
        <v>87</v>
      </c>
      <c r="C1" s="4" t="s">
        <v>88</v>
      </c>
      <c r="D1" s="4" t="s">
        <v>47</v>
      </c>
      <c r="E1" s="4" t="s">
        <v>89</v>
      </c>
    </row>
    <row r="2" customFormat="false" ht="15" hidden="false" customHeight="false" outlineLevel="0" collapsed="false">
      <c r="A2" s="0" t="n">
        <v>1</v>
      </c>
      <c r="B2" s="14" t="n">
        <v>89981.3837372871</v>
      </c>
      <c r="C2" s="15" t="n">
        <v>0.155635219527846</v>
      </c>
      <c r="D2" s="14" t="n">
        <f aca="false">Summary!$B$5-B2</f>
        <v>10018.6162627129</v>
      </c>
      <c r="E2" s="15" t="n">
        <f aca="false">B2/Summary!$B$5-1</f>
        <v>-0.100186162627129</v>
      </c>
    </row>
    <row r="3" customFormat="false" ht="15" hidden="false" customHeight="false" outlineLevel="0" collapsed="false">
      <c r="A3" s="0" t="n">
        <v>2</v>
      </c>
      <c r="B3" s="14" t="n">
        <v>111342.435816261</v>
      </c>
      <c r="C3" s="15" t="n">
        <v>0.0864619285375112</v>
      </c>
      <c r="D3" s="14" t="n">
        <f aca="false">Summary!$B$5-B3</f>
        <v>-11342.4358162608</v>
      </c>
      <c r="E3" s="15" t="n">
        <f aca="false">B3/Summary!$B$5-1</f>
        <v>0.113424358162608</v>
      </c>
    </row>
    <row r="4" customFormat="false" ht="15" hidden="false" customHeight="false" outlineLevel="0" collapsed="false">
      <c r="A4" s="0" t="n">
        <v>3</v>
      </c>
      <c r="B4" s="14" t="n">
        <v>106806.701577921</v>
      </c>
      <c r="C4" s="15" t="n">
        <v>0.0825762433568572</v>
      </c>
      <c r="D4" s="14" t="n">
        <f aca="false">Summary!$B$5-B4</f>
        <v>-6806.70157792111</v>
      </c>
      <c r="E4" s="15" t="n">
        <f aca="false">B4/Summary!$B$5-1</f>
        <v>0.0680670157792112</v>
      </c>
    </row>
    <row r="5" customFormat="false" ht="15" hidden="false" customHeight="false" outlineLevel="0" collapsed="false">
      <c r="A5" s="0" t="n">
        <v>4</v>
      </c>
      <c r="B5" s="14" t="n">
        <v>103938.354700352</v>
      </c>
      <c r="C5" s="15" t="n">
        <v>0.0751398178163221</v>
      </c>
      <c r="D5" s="14" t="n">
        <f aca="false">Summary!$B$5-B5</f>
        <v>-3938.3547003524</v>
      </c>
      <c r="E5" s="15" t="n">
        <f aca="false">B5/Summary!$B$5-1</f>
        <v>0.039383547003524</v>
      </c>
    </row>
    <row r="6" customFormat="false" ht="15" hidden="false" customHeight="false" outlineLevel="0" collapsed="false">
      <c r="A6" s="0" t="n">
        <v>5</v>
      </c>
      <c r="B6" s="14" t="n">
        <v>119560.911104874</v>
      </c>
      <c r="C6" s="15" t="n">
        <v>0.117985654631948</v>
      </c>
      <c r="D6" s="14" t="n">
        <f aca="false">Summary!$B$5-B6</f>
        <v>-19560.9111048738</v>
      </c>
      <c r="E6" s="15" t="n">
        <f aca="false">B6/Summary!$B$5-1</f>
        <v>0.195609111048738</v>
      </c>
    </row>
    <row r="7" customFormat="false" ht="15" hidden="false" customHeight="false" outlineLevel="0" collapsed="false">
      <c r="A7" s="0" t="n">
        <v>6</v>
      </c>
      <c r="B7" s="14" t="n">
        <v>103518.888914246</v>
      </c>
      <c r="C7" s="15" t="n">
        <v>0.0841066620886711</v>
      </c>
      <c r="D7" s="14" t="n">
        <f aca="false">Summary!$B$5-B7</f>
        <v>-3518.8889142461</v>
      </c>
      <c r="E7" s="15" t="n">
        <f aca="false">B7/Summary!$B$5-1</f>
        <v>0.035188889142461</v>
      </c>
    </row>
    <row r="8" customFormat="false" ht="15" hidden="false" customHeight="false" outlineLevel="0" collapsed="false">
      <c r="A8" s="0" t="n">
        <v>7</v>
      </c>
      <c r="B8" s="14" t="n">
        <v>93099.1983561936</v>
      </c>
      <c r="C8" s="15" t="n">
        <v>0.149131558974471</v>
      </c>
      <c r="D8" s="14" t="n">
        <f aca="false">Summary!$B$5-B8</f>
        <v>6900.80164380638</v>
      </c>
      <c r="E8" s="15" t="n">
        <f aca="false">B8/Summary!$B$5-1</f>
        <v>-0.0690080164380638</v>
      </c>
    </row>
    <row r="9" customFormat="false" ht="15" hidden="false" customHeight="false" outlineLevel="0" collapsed="false">
      <c r="A9" s="0" t="n">
        <v>8</v>
      </c>
      <c r="B9" s="14" t="n">
        <v>98225.9379743654</v>
      </c>
      <c r="C9" s="15" t="n">
        <v>0.105921860905922</v>
      </c>
      <c r="D9" s="14" t="n">
        <f aca="false">Summary!$B$5-B9</f>
        <v>1774.06202563456</v>
      </c>
      <c r="E9" s="15" t="n">
        <f aca="false">B9/Summary!$B$5-1</f>
        <v>-0.0177406202563456</v>
      </c>
    </row>
    <row r="10" customFormat="false" ht="15" hidden="false" customHeight="false" outlineLevel="0" collapsed="false">
      <c r="A10" s="0" t="n">
        <v>9</v>
      </c>
      <c r="B10" s="14" t="n">
        <v>111213.915976098</v>
      </c>
      <c r="C10" s="15" t="n">
        <v>0.0849945060385715</v>
      </c>
      <c r="D10" s="14" t="n">
        <f aca="false">Summary!$B$5-B10</f>
        <v>-11213.9159760979</v>
      </c>
      <c r="E10" s="15" t="n">
        <f aca="false">B10/Summary!$B$5-1</f>
        <v>0.112139159760979</v>
      </c>
    </row>
    <row r="11" customFormat="false" ht="15" hidden="false" customHeight="false" outlineLevel="0" collapsed="false">
      <c r="A11" s="0" t="n">
        <v>10</v>
      </c>
      <c r="B11" s="14" t="n">
        <v>140250.526448035</v>
      </c>
      <c r="C11" s="15" t="n">
        <v>0.0536186962158416</v>
      </c>
      <c r="D11" s="14" t="n">
        <f aca="false">Summary!$B$5-B11</f>
        <v>-40250.5264480351</v>
      </c>
      <c r="E11" s="15" t="n">
        <f aca="false">B11/Summary!$B$5-1</f>
        <v>0.402505264480351</v>
      </c>
    </row>
    <row r="12" customFormat="false" ht="15" hidden="false" customHeight="false" outlineLevel="0" collapsed="false">
      <c r="A12" s="0" t="n">
        <v>11</v>
      </c>
      <c r="B12" s="14" t="n">
        <v>112392.519182352</v>
      </c>
      <c r="C12" s="15" t="n">
        <v>0.0832865277355362</v>
      </c>
      <c r="D12" s="14" t="n">
        <f aca="false">Summary!$B$5-B12</f>
        <v>-12392.5191823521</v>
      </c>
      <c r="E12" s="15" t="n">
        <f aca="false">B12/Summary!$B$5-1</f>
        <v>0.123925191823521</v>
      </c>
    </row>
    <row r="13" customFormat="false" ht="15" hidden="false" customHeight="false" outlineLevel="0" collapsed="false">
      <c r="A13" s="0" t="n">
        <v>12</v>
      </c>
      <c r="B13" s="14" t="n">
        <v>130138.468879175</v>
      </c>
      <c r="C13" s="15" t="n">
        <v>0.0723478871611366</v>
      </c>
      <c r="D13" s="14" t="n">
        <f aca="false">Summary!$B$5-B13</f>
        <v>-30138.4688791752</v>
      </c>
      <c r="E13" s="15" t="n">
        <f aca="false">B13/Summary!$B$5-1</f>
        <v>0.301384688791752</v>
      </c>
    </row>
    <row r="14" customFormat="false" ht="15" hidden="false" customHeight="false" outlineLevel="0" collapsed="false">
      <c r="A14" s="0" t="n">
        <v>13</v>
      </c>
      <c r="B14" s="14" t="n">
        <v>134691.608391501</v>
      </c>
      <c r="C14" s="15" t="n">
        <v>0.0460333838251579</v>
      </c>
      <c r="D14" s="14" t="n">
        <f aca="false">Summary!$B$5-B14</f>
        <v>-34691.6083915009</v>
      </c>
      <c r="E14" s="15" t="n">
        <f aca="false">B14/Summary!$B$5-1</f>
        <v>0.346916083915009</v>
      </c>
    </row>
    <row r="15" customFormat="false" ht="15" hidden="false" customHeight="false" outlineLevel="0" collapsed="false">
      <c r="A15" s="0" t="n">
        <v>14</v>
      </c>
      <c r="B15" s="14" t="n">
        <v>110293.151944807</v>
      </c>
      <c r="C15" s="15" t="n">
        <v>0.11742950409839</v>
      </c>
      <c r="D15" s="14" t="n">
        <f aca="false">Summary!$B$5-B15</f>
        <v>-10293.1519448068</v>
      </c>
      <c r="E15" s="15" t="n">
        <f aca="false">B15/Summary!$B$5-1</f>
        <v>0.102931519448068</v>
      </c>
    </row>
    <row r="16" customFormat="false" ht="15" hidden="false" customHeight="false" outlineLevel="0" collapsed="false">
      <c r="A16" s="0" t="n">
        <v>15</v>
      </c>
      <c r="B16" s="14" t="n">
        <v>83657.8927981682</v>
      </c>
      <c r="C16" s="15" t="n">
        <v>0.197058241038777</v>
      </c>
      <c r="D16" s="14" t="n">
        <f aca="false">Summary!$B$5-B16</f>
        <v>16342.1072018318</v>
      </c>
      <c r="E16" s="15" t="n">
        <f aca="false">B16/Summary!$B$5-1</f>
        <v>-0.163421072018318</v>
      </c>
    </row>
    <row r="17" customFormat="false" ht="15" hidden="false" customHeight="false" outlineLevel="0" collapsed="false">
      <c r="A17" s="0" t="n">
        <v>16</v>
      </c>
      <c r="B17" s="14" t="n">
        <v>113133.034211185</v>
      </c>
      <c r="C17" s="15" t="n">
        <v>0.0614637109745623</v>
      </c>
      <c r="D17" s="14" t="n">
        <f aca="false">Summary!$B$5-B17</f>
        <v>-13133.0342111848</v>
      </c>
      <c r="E17" s="15" t="n">
        <f aca="false">B17/Summary!$B$5-1</f>
        <v>0.131330342111848</v>
      </c>
    </row>
    <row r="18" customFormat="false" ht="15" hidden="false" customHeight="false" outlineLevel="0" collapsed="false">
      <c r="A18" s="0" t="n">
        <v>17</v>
      </c>
      <c r="B18" s="14" t="n">
        <v>96802.9047939358</v>
      </c>
      <c r="C18" s="15" t="n">
        <v>0.0938768858399265</v>
      </c>
      <c r="D18" s="14" t="n">
        <f aca="false">Summary!$B$5-B18</f>
        <v>3197.09520606416</v>
      </c>
      <c r="E18" s="15" t="n">
        <f aca="false">B18/Summary!$B$5-1</f>
        <v>-0.0319709520606416</v>
      </c>
    </row>
    <row r="19" customFormat="false" ht="15" hidden="false" customHeight="false" outlineLevel="0" collapsed="false">
      <c r="A19" s="0" t="n">
        <v>18</v>
      </c>
      <c r="B19" s="14" t="n">
        <v>88486.7865696507</v>
      </c>
      <c r="C19" s="15" t="n">
        <v>0.193015183487353</v>
      </c>
      <c r="D19" s="14" t="n">
        <f aca="false">Summary!$B$5-B19</f>
        <v>11513.2134303493</v>
      </c>
      <c r="E19" s="15" t="n">
        <f aca="false">B19/Summary!$B$5-1</f>
        <v>-0.115132134303493</v>
      </c>
    </row>
    <row r="20" customFormat="false" ht="15" hidden="false" customHeight="false" outlineLevel="0" collapsed="false">
      <c r="A20" s="0" t="n">
        <v>19</v>
      </c>
      <c r="B20" s="14" t="n">
        <v>103514.15107994</v>
      </c>
      <c r="C20" s="15" t="n">
        <v>0.0769719974163438</v>
      </c>
      <c r="D20" s="14" t="n">
        <f aca="false">Summary!$B$5-B20</f>
        <v>-3514.1510799395</v>
      </c>
      <c r="E20" s="15" t="n">
        <f aca="false">B20/Summary!$B$5-1</f>
        <v>0.0351415107993951</v>
      </c>
    </row>
    <row r="21" customFormat="false" ht="15" hidden="false" customHeight="false" outlineLevel="0" collapsed="false">
      <c r="A21" s="0" t="n">
        <v>20</v>
      </c>
      <c r="B21" s="14" t="n">
        <v>103918.992957643</v>
      </c>
      <c r="C21" s="15" t="n">
        <v>0.10885553811137</v>
      </c>
      <c r="D21" s="14" t="n">
        <f aca="false">Summary!$B$5-B21</f>
        <v>-3918.9929576431</v>
      </c>
      <c r="E21" s="15" t="n">
        <f aca="false">B21/Summary!$B$5-1</f>
        <v>0.0391899295764311</v>
      </c>
    </row>
    <row r="22" customFormat="false" ht="15" hidden="false" customHeight="false" outlineLevel="0" collapsed="false">
      <c r="A22" s="0" t="n">
        <v>21</v>
      </c>
      <c r="B22" s="14" t="n">
        <v>108473.235646748</v>
      </c>
      <c r="C22" s="15" t="n">
        <v>0.058300708888486</v>
      </c>
      <c r="D22" s="14" t="n">
        <f aca="false">Summary!$B$5-B22</f>
        <v>-8473.235646748</v>
      </c>
      <c r="E22" s="15" t="n">
        <f aca="false">B22/Summary!$B$5-1</f>
        <v>0.08473235646748</v>
      </c>
    </row>
    <row r="23" customFormat="false" ht="15" hidden="false" customHeight="false" outlineLevel="0" collapsed="false">
      <c r="A23" s="0" t="n">
        <v>22</v>
      </c>
      <c r="B23" s="14" t="n">
        <v>102752.228652411</v>
      </c>
      <c r="C23" s="15" t="n">
        <v>0.0905385069283896</v>
      </c>
      <c r="D23" s="14" t="n">
        <f aca="false">Summary!$B$5-B23</f>
        <v>-2752.2286524105</v>
      </c>
      <c r="E23" s="15" t="n">
        <f aca="false">B23/Summary!$B$5-1</f>
        <v>0.0275222865241049</v>
      </c>
    </row>
    <row r="24" customFormat="false" ht="15" hidden="false" customHeight="false" outlineLevel="0" collapsed="false">
      <c r="A24" s="0" t="n">
        <v>23</v>
      </c>
      <c r="B24" s="14" t="n">
        <v>97720.2389456751</v>
      </c>
      <c r="C24" s="15" t="n">
        <v>0.104302054046645</v>
      </c>
      <c r="D24" s="14" t="n">
        <f aca="false">Summary!$B$5-B24</f>
        <v>2279.76105432495</v>
      </c>
      <c r="E24" s="15" t="n">
        <f aca="false">B24/Summary!$B$5-1</f>
        <v>-0.0227976105432495</v>
      </c>
    </row>
    <row r="25" customFormat="false" ht="15" hidden="false" customHeight="false" outlineLevel="0" collapsed="false">
      <c r="A25" s="0" t="n">
        <v>24</v>
      </c>
      <c r="B25" s="14" t="n">
        <v>100100.588062387</v>
      </c>
      <c r="C25" s="15" t="n">
        <v>0.0559067941695168</v>
      </c>
      <c r="D25" s="14" t="n">
        <f aca="false">Summary!$B$5-B25</f>
        <v>-100.588062387207</v>
      </c>
      <c r="E25" s="15" t="n">
        <f aca="false">B25/Summary!$B$5-1</f>
        <v>0.00100588062387197</v>
      </c>
    </row>
    <row r="26" customFormat="false" ht="15" hidden="false" customHeight="false" outlineLevel="0" collapsed="false">
      <c r="A26" s="0" t="n">
        <v>25</v>
      </c>
      <c r="B26" s="14" t="n">
        <v>107555.978001885</v>
      </c>
      <c r="C26" s="15" t="n">
        <v>0.122353719948459</v>
      </c>
      <c r="D26" s="14" t="n">
        <f aca="false">Summary!$B$5-B26</f>
        <v>-7555.97800188469</v>
      </c>
      <c r="E26" s="15" t="n">
        <f aca="false">B26/Summary!$B$5-1</f>
        <v>0.075559780018847</v>
      </c>
    </row>
    <row r="27" customFormat="false" ht="15" hidden="false" customHeight="false" outlineLevel="0" collapsed="false">
      <c r="A27" s="0" t="n">
        <v>26</v>
      </c>
      <c r="B27" s="14" t="n">
        <v>126022.66889417</v>
      </c>
      <c r="C27" s="15" t="n">
        <v>0.0476426753630955</v>
      </c>
      <c r="D27" s="14" t="n">
        <f aca="false">Summary!$B$5-B27</f>
        <v>-26022.6688941697</v>
      </c>
      <c r="E27" s="15" t="n">
        <f aca="false">B27/Summary!$B$5-1</f>
        <v>0.260226688941697</v>
      </c>
    </row>
    <row r="28" customFormat="false" ht="15" hidden="false" customHeight="false" outlineLevel="0" collapsed="false">
      <c r="A28" s="0" t="n">
        <v>27</v>
      </c>
      <c r="B28" s="14" t="n">
        <v>103635.608825791</v>
      </c>
      <c r="C28" s="15" t="n">
        <v>0.149518878361294</v>
      </c>
      <c r="D28" s="14" t="n">
        <f aca="false">Summary!$B$5-B28</f>
        <v>-3635.6088257908</v>
      </c>
      <c r="E28" s="15" t="n">
        <f aca="false">B28/Summary!$B$5-1</f>
        <v>0.0363560882579079</v>
      </c>
    </row>
    <row r="29" customFormat="false" ht="15" hidden="false" customHeight="false" outlineLevel="0" collapsed="false">
      <c r="A29" s="0" t="n">
        <v>28</v>
      </c>
      <c r="B29" s="14" t="n">
        <v>94154.8495008319</v>
      </c>
      <c r="C29" s="15" t="n">
        <v>0.0986510988933029</v>
      </c>
      <c r="D29" s="14" t="n">
        <f aca="false">Summary!$B$5-B29</f>
        <v>5845.15049916809</v>
      </c>
      <c r="E29" s="15" t="n">
        <f aca="false">B29/Summary!$B$5-1</f>
        <v>-0.0584515049916808</v>
      </c>
    </row>
    <row r="30" customFormat="false" ht="15" hidden="false" customHeight="false" outlineLevel="0" collapsed="false">
      <c r="A30" s="0" t="n">
        <v>29</v>
      </c>
      <c r="B30" s="14" t="n">
        <v>116963.386710687</v>
      </c>
      <c r="C30" s="15" t="n">
        <v>0.0826289562770158</v>
      </c>
      <c r="D30" s="14" t="n">
        <f aca="false">Summary!$B$5-B30</f>
        <v>-16963.3867106874</v>
      </c>
      <c r="E30" s="15" t="n">
        <f aca="false">B30/Summary!$B$5-1</f>
        <v>0.169633867106874</v>
      </c>
    </row>
    <row r="31" customFormat="false" ht="15" hidden="false" customHeight="false" outlineLevel="0" collapsed="false">
      <c r="A31" s="0" t="n">
        <v>30</v>
      </c>
      <c r="B31" s="14" t="n">
        <v>105513.520110316</v>
      </c>
      <c r="C31" s="15" t="n">
        <v>0.100718147298143</v>
      </c>
      <c r="D31" s="14" t="n">
        <f aca="false">Summary!$B$5-B31</f>
        <v>-5513.5201103162</v>
      </c>
      <c r="E31" s="15" t="n">
        <f aca="false">B31/Summary!$B$5-1</f>
        <v>0.0551352011031621</v>
      </c>
    </row>
    <row r="32" customFormat="false" ht="15" hidden="false" customHeight="false" outlineLevel="0" collapsed="false">
      <c r="A32" s="0" t="n">
        <v>31</v>
      </c>
      <c r="B32" s="14" t="n">
        <v>109439.278818182</v>
      </c>
      <c r="C32" s="15" t="n">
        <v>0.083861294917984</v>
      </c>
      <c r="D32" s="14" t="n">
        <f aca="false">Summary!$B$5-B32</f>
        <v>-9439.27881818191</v>
      </c>
      <c r="E32" s="15" t="n">
        <f aca="false">B32/Summary!$B$5-1</f>
        <v>0.094392788181819</v>
      </c>
    </row>
    <row r="33" customFormat="false" ht="15" hidden="false" customHeight="false" outlineLevel="0" collapsed="false">
      <c r="A33" s="0" t="n">
        <v>32</v>
      </c>
      <c r="B33" s="14" t="n">
        <v>93699.4394568883</v>
      </c>
      <c r="C33" s="15" t="n">
        <v>0.185432480146708</v>
      </c>
      <c r="D33" s="14" t="n">
        <f aca="false">Summary!$B$5-B33</f>
        <v>6300.56054311167</v>
      </c>
      <c r="E33" s="15" t="n">
        <f aca="false">B33/Summary!$B$5-1</f>
        <v>-0.0630056054311167</v>
      </c>
    </row>
    <row r="34" customFormat="false" ht="15" hidden="false" customHeight="false" outlineLevel="0" collapsed="false">
      <c r="A34" s="0" t="n">
        <v>33</v>
      </c>
      <c r="B34" s="14" t="n">
        <v>103014.072443613</v>
      </c>
      <c r="C34" s="15" t="n">
        <v>0.103498424521073</v>
      </c>
      <c r="D34" s="14" t="n">
        <f aca="false">Summary!$B$5-B34</f>
        <v>-3014.0724436132</v>
      </c>
      <c r="E34" s="15" t="n">
        <f aca="false">B34/Summary!$B$5-1</f>
        <v>0.030140724436132</v>
      </c>
    </row>
    <row r="35" customFormat="false" ht="15" hidden="false" customHeight="false" outlineLevel="0" collapsed="false">
      <c r="A35" s="0" t="n">
        <v>34</v>
      </c>
      <c r="B35" s="14" t="n">
        <v>104741.692861891</v>
      </c>
      <c r="C35" s="15" t="n">
        <v>0.110194969964849</v>
      </c>
      <c r="D35" s="14" t="n">
        <f aca="false">Summary!$B$5-B35</f>
        <v>-4741.692861891</v>
      </c>
      <c r="E35" s="15" t="n">
        <f aca="false">B35/Summary!$B$5-1</f>
        <v>0.0474169286189101</v>
      </c>
    </row>
    <row r="36" customFormat="false" ht="15" hidden="false" customHeight="false" outlineLevel="0" collapsed="false">
      <c r="A36" s="0" t="n">
        <v>35</v>
      </c>
      <c r="B36" s="14" t="n">
        <v>98347.1034808842</v>
      </c>
      <c r="C36" s="15" t="n">
        <v>0.124681630519273</v>
      </c>
      <c r="D36" s="14" t="n">
        <f aca="false">Summary!$B$5-B36</f>
        <v>1652.89651911581</v>
      </c>
      <c r="E36" s="15" t="n">
        <f aca="false">B36/Summary!$B$5-1</f>
        <v>-0.0165289651911581</v>
      </c>
    </row>
    <row r="37" customFormat="false" ht="15" hidden="false" customHeight="false" outlineLevel="0" collapsed="false">
      <c r="A37" s="0" t="n">
        <v>36</v>
      </c>
      <c r="B37" s="14" t="n">
        <v>96338.9734542048</v>
      </c>
      <c r="C37" s="15" t="n">
        <v>0.0845363712645538</v>
      </c>
      <c r="D37" s="14" t="n">
        <f aca="false">Summary!$B$5-B37</f>
        <v>3661.02654579518</v>
      </c>
      <c r="E37" s="15" t="n">
        <f aca="false">B37/Summary!$B$5-1</f>
        <v>-0.0366102654579518</v>
      </c>
    </row>
    <row r="38" customFormat="false" ht="15" hidden="false" customHeight="false" outlineLevel="0" collapsed="false">
      <c r="A38" s="0" t="n">
        <v>37</v>
      </c>
      <c r="B38" s="14" t="n">
        <v>124222.524782663</v>
      </c>
      <c r="C38" s="15" t="n">
        <v>0.0636908031983942</v>
      </c>
      <c r="D38" s="14" t="n">
        <f aca="false">Summary!$B$5-B38</f>
        <v>-24222.5247826631</v>
      </c>
      <c r="E38" s="15" t="n">
        <f aca="false">B38/Summary!$B$5-1</f>
        <v>0.242225247826631</v>
      </c>
    </row>
    <row r="39" customFormat="false" ht="15" hidden="false" customHeight="false" outlineLevel="0" collapsed="false">
      <c r="A39" s="0" t="n">
        <v>38</v>
      </c>
      <c r="B39" s="14" t="n">
        <v>113159.470892949</v>
      </c>
      <c r="C39" s="15" t="n">
        <v>0.101256694366812</v>
      </c>
      <c r="D39" s="14" t="n">
        <f aca="false">Summary!$B$5-B39</f>
        <v>-13159.4708929492</v>
      </c>
      <c r="E39" s="15" t="n">
        <f aca="false">B39/Summary!$B$5-1</f>
        <v>0.131594708929492</v>
      </c>
    </row>
    <row r="40" customFormat="false" ht="15" hidden="false" customHeight="false" outlineLevel="0" collapsed="false">
      <c r="A40" s="0" t="n">
        <v>39</v>
      </c>
      <c r="B40" s="14" t="n">
        <v>111952.184663967</v>
      </c>
      <c r="C40" s="15" t="n">
        <v>0.083013614103209</v>
      </c>
      <c r="D40" s="14" t="n">
        <f aca="false">Summary!$B$5-B40</f>
        <v>-11952.1846639672</v>
      </c>
      <c r="E40" s="15" t="n">
        <f aca="false">B40/Summary!$B$5-1</f>
        <v>0.119521846639672</v>
      </c>
    </row>
    <row r="41" customFormat="false" ht="15" hidden="false" customHeight="false" outlineLevel="0" collapsed="false">
      <c r="A41" s="0" t="n">
        <v>40</v>
      </c>
      <c r="B41" s="14" t="n">
        <v>122709.64206658</v>
      </c>
      <c r="C41" s="15" t="n">
        <v>0.0577896193930609</v>
      </c>
      <c r="D41" s="14" t="n">
        <f aca="false">Summary!$B$5-B41</f>
        <v>-22709.6420665802</v>
      </c>
      <c r="E41" s="15" t="n">
        <f aca="false">B41/Summary!$B$5-1</f>
        <v>0.227096420665802</v>
      </c>
    </row>
    <row r="42" customFormat="false" ht="15" hidden="false" customHeight="false" outlineLevel="0" collapsed="false">
      <c r="A42" s="0" t="n">
        <v>41</v>
      </c>
      <c r="B42" s="14" t="n">
        <v>116285.323123652</v>
      </c>
      <c r="C42" s="15" t="n">
        <v>0.0717405939672701</v>
      </c>
      <c r="D42" s="14" t="n">
        <f aca="false">Summary!$B$5-B42</f>
        <v>-16285.3231236518</v>
      </c>
      <c r="E42" s="15" t="n">
        <f aca="false">B42/Summary!$B$5-1</f>
        <v>0.162853231236518</v>
      </c>
    </row>
    <row r="43" customFormat="false" ht="15" hidden="false" customHeight="false" outlineLevel="0" collapsed="false">
      <c r="A43" s="0" t="n">
        <v>42</v>
      </c>
      <c r="B43" s="14" t="n">
        <v>125635.282406564</v>
      </c>
      <c r="C43" s="15" t="n">
        <v>0.0851157145157405</v>
      </c>
      <c r="D43" s="14" t="n">
        <f aca="false">Summary!$B$5-B43</f>
        <v>-25635.2824065638</v>
      </c>
      <c r="E43" s="15" t="n">
        <f aca="false">B43/Summary!$B$5-1</f>
        <v>0.256352824065638</v>
      </c>
    </row>
    <row r="44" customFormat="false" ht="15" hidden="false" customHeight="false" outlineLevel="0" collapsed="false">
      <c r="A44" s="0" t="n">
        <v>43</v>
      </c>
      <c r="B44" s="14" t="n">
        <v>96801.1376294729</v>
      </c>
      <c r="C44" s="15" t="n">
        <v>0.0830808977085491</v>
      </c>
      <c r="D44" s="14" t="n">
        <f aca="false">Summary!$B$5-B44</f>
        <v>3198.86237052712</v>
      </c>
      <c r="E44" s="15" t="n">
        <f aca="false">B44/Summary!$B$5-1</f>
        <v>-0.0319886237052711</v>
      </c>
    </row>
    <row r="45" customFormat="false" ht="15" hidden="false" customHeight="false" outlineLevel="0" collapsed="false">
      <c r="A45" s="0" t="n">
        <v>44</v>
      </c>
      <c r="B45" s="14" t="n">
        <v>107434.33499265</v>
      </c>
      <c r="C45" s="15" t="n">
        <v>0.0912428342210482</v>
      </c>
      <c r="D45" s="14" t="n">
        <f aca="false">Summary!$B$5-B45</f>
        <v>-7434.3349926497</v>
      </c>
      <c r="E45" s="15" t="n">
        <f aca="false">B45/Summary!$B$5-1</f>
        <v>0.0743433499264969</v>
      </c>
    </row>
    <row r="46" customFormat="false" ht="15" hidden="false" customHeight="false" outlineLevel="0" collapsed="false">
      <c r="A46" s="0" t="n">
        <v>45</v>
      </c>
      <c r="B46" s="14" t="n">
        <v>106972.057487863</v>
      </c>
      <c r="C46" s="15" t="n">
        <v>0.08812866838277</v>
      </c>
      <c r="D46" s="14" t="n">
        <f aca="false">Summary!$B$5-B46</f>
        <v>-6972.0574878628</v>
      </c>
      <c r="E46" s="15" t="n">
        <f aca="false">B46/Summary!$B$5-1</f>
        <v>0.069720574878628</v>
      </c>
    </row>
    <row r="47" customFormat="false" ht="15" hidden="false" customHeight="false" outlineLevel="0" collapsed="false">
      <c r="A47" s="0" t="n">
        <v>46</v>
      </c>
      <c r="B47" s="14" t="n">
        <v>104568.966424208</v>
      </c>
      <c r="C47" s="15" t="n">
        <v>0.0683514013874836</v>
      </c>
      <c r="D47" s="14" t="n">
        <f aca="false">Summary!$B$5-B47</f>
        <v>-4568.9664242076</v>
      </c>
      <c r="E47" s="15" t="n">
        <f aca="false">B47/Summary!$B$5-1</f>
        <v>0.0456896642420759</v>
      </c>
    </row>
    <row r="48" customFormat="false" ht="15" hidden="false" customHeight="false" outlineLevel="0" collapsed="false">
      <c r="A48" s="0" t="n">
        <v>47</v>
      </c>
      <c r="B48" s="14" t="n">
        <v>100566.368754282</v>
      </c>
      <c r="C48" s="15" t="n">
        <v>0.13362565137864</v>
      </c>
      <c r="D48" s="14" t="n">
        <f aca="false">Summary!$B$5-B48</f>
        <v>-566.368754282303</v>
      </c>
      <c r="E48" s="15" t="n">
        <f aca="false">B48/Summary!$B$5-1</f>
        <v>0.00566368754282309</v>
      </c>
    </row>
    <row r="49" customFormat="false" ht="15" hidden="false" customHeight="false" outlineLevel="0" collapsed="false">
      <c r="A49" s="0" t="n">
        <v>48</v>
      </c>
      <c r="B49" s="14" t="n">
        <v>90073.5406662269</v>
      </c>
      <c r="C49" s="15" t="n">
        <v>0.18467848007679</v>
      </c>
      <c r="D49" s="14" t="n">
        <f aca="false">Summary!$B$5-B49</f>
        <v>9926.45933377309</v>
      </c>
      <c r="E49" s="15" t="n">
        <f aca="false">B49/Summary!$B$5-1</f>
        <v>-0.099264593337731</v>
      </c>
    </row>
    <row r="50" customFormat="false" ht="15" hidden="false" customHeight="false" outlineLevel="0" collapsed="false">
      <c r="A50" s="0" t="n">
        <v>49</v>
      </c>
      <c r="B50" s="14" t="n">
        <v>96350.2665321554</v>
      </c>
      <c r="C50" s="15" t="n">
        <v>0.125905664466859</v>
      </c>
      <c r="D50" s="14" t="n">
        <f aca="false">Summary!$B$5-B50</f>
        <v>3649.73346784456</v>
      </c>
      <c r="E50" s="15" t="n">
        <f aca="false">B50/Summary!$B$5-1</f>
        <v>-0.0364973346784456</v>
      </c>
    </row>
    <row r="51" customFormat="false" ht="15" hidden="false" customHeight="false" outlineLevel="0" collapsed="false">
      <c r="A51" s="0" t="n">
        <v>50</v>
      </c>
      <c r="B51" s="14" t="n">
        <v>115716.778031763</v>
      </c>
      <c r="C51" s="15" t="n">
        <v>0.0786584407180581</v>
      </c>
      <c r="D51" s="14" t="n">
        <f aca="false">Summary!$B$5-B51</f>
        <v>-15716.7780317634</v>
      </c>
      <c r="E51" s="15" t="n">
        <f aca="false">B51/Summary!$B$5-1</f>
        <v>0.157167780317634</v>
      </c>
    </row>
    <row r="52" customFormat="false" ht="15" hidden="false" customHeight="false" outlineLevel="0" collapsed="false">
      <c r="A52" s="0" t="n">
        <v>51</v>
      </c>
      <c r="B52" s="14" t="n">
        <v>96571.6496342801</v>
      </c>
      <c r="C52" s="15" t="n">
        <v>0.117003714989294</v>
      </c>
      <c r="D52" s="14" t="n">
        <f aca="false">Summary!$B$5-B52</f>
        <v>3428.35036571993</v>
      </c>
      <c r="E52" s="15" t="n">
        <f aca="false">B52/Summary!$B$5-1</f>
        <v>-0.0342835036571993</v>
      </c>
    </row>
    <row r="53" customFormat="false" ht="15" hidden="false" customHeight="false" outlineLevel="0" collapsed="false">
      <c r="A53" s="0" t="n">
        <v>52</v>
      </c>
      <c r="B53" s="14" t="n">
        <v>111181.210602232</v>
      </c>
      <c r="C53" s="15" t="n">
        <v>0.114596213400926</v>
      </c>
      <c r="D53" s="14" t="n">
        <f aca="false">Summary!$B$5-B53</f>
        <v>-11181.2106022319</v>
      </c>
      <c r="E53" s="15" t="n">
        <f aca="false">B53/Summary!$B$5-1</f>
        <v>0.111812106022319</v>
      </c>
    </row>
    <row r="54" customFormat="false" ht="15" hidden="false" customHeight="false" outlineLevel="0" collapsed="false">
      <c r="A54" s="0" t="n">
        <v>53</v>
      </c>
      <c r="B54" s="14" t="n">
        <v>81934.7221810588</v>
      </c>
      <c r="C54" s="15" t="n">
        <v>0.214070277076068</v>
      </c>
      <c r="D54" s="14" t="n">
        <f aca="false">Summary!$B$5-B54</f>
        <v>18065.2778189412</v>
      </c>
      <c r="E54" s="15" t="n">
        <f aca="false">B54/Summary!$B$5-1</f>
        <v>-0.180652778189412</v>
      </c>
    </row>
    <row r="55" customFormat="false" ht="15" hidden="false" customHeight="false" outlineLevel="0" collapsed="false">
      <c r="A55" s="0" t="n">
        <v>54</v>
      </c>
      <c r="B55" s="14" t="n">
        <v>106372.933776884</v>
      </c>
      <c r="C55" s="15" t="n">
        <v>0.0706716504433845</v>
      </c>
      <c r="D55" s="14" t="n">
        <f aca="false">Summary!$B$5-B55</f>
        <v>-6372.9337768835</v>
      </c>
      <c r="E55" s="15" t="n">
        <f aca="false">B55/Summary!$B$5-1</f>
        <v>0.0637293377688351</v>
      </c>
    </row>
    <row r="56" customFormat="false" ht="15" hidden="false" customHeight="false" outlineLevel="0" collapsed="false">
      <c r="A56" s="0" t="n">
        <v>55</v>
      </c>
      <c r="B56" s="14" t="n">
        <v>106577.206633138</v>
      </c>
      <c r="C56" s="15" t="n">
        <v>0.112587333066779</v>
      </c>
      <c r="D56" s="14" t="n">
        <f aca="false">Summary!$B$5-B56</f>
        <v>-6577.2066331375</v>
      </c>
      <c r="E56" s="15" t="n">
        <f aca="false">B56/Summary!$B$5-1</f>
        <v>0.065772066331375</v>
      </c>
    </row>
    <row r="57" customFormat="false" ht="15" hidden="false" customHeight="false" outlineLevel="0" collapsed="false">
      <c r="A57" s="0" t="n">
        <v>56</v>
      </c>
      <c r="B57" s="14" t="n">
        <v>118291.441498409</v>
      </c>
      <c r="C57" s="15" t="n">
        <v>0.0925459136632907</v>
      </c>
      <c r="D57" s="14" t="n">
        <f aca="false">Summary!$B$5-B57</f>
        <v>-18291.441498409</v>
      </c>
      <c r="E57" s="15" t="n">
        <f aca="false">B57/Summary!$B$5-1</f>
        <v>0.18291441498409</v>
      </c>
    </row>
    <row r="58" customFormat="false" ht="15" hidden="false" customHeight="false" outlineLevel="0" collapsed="false">
      <c r="A58" s="0" t="n">
        <v>57</v>
      </c>
      <c r="B58" s="14" t="n">
        <v>139794.500908035</v>
      </c>
      <c r="C58" s="15" t="n">
        <v>0.0483205044016513</v>
      </c>
      <c r="D58" s="14" t="n">
        <f aca="false">Summary!$B$5-B58</f>
        <v>-39794.5009080349</v>
      </c>
      <c r="E58" s="15" t="n">
        <f aca="false">B58/Summary!$B$5-1</f>
        <v>0.397945009080349</v>
      </c>
    </row>
    <row r="59" customFormat="false" ht="15" hidden="false" customHeight="false" outlineLevel="0" collapsed="false">
      <c r="A59" s="0" t="n">
        <v>58</v>
      </c>
      <c r="B59" s="14" t="n">
        <v>113211.915382393</v>
      </c>
      <c r="C59" s="15" t="n">
        <v>0.0807355796623624</v>
      </c>
      <c r="D59" s="14" t="n">
        <f aca="false">Summary!$B$5-B59</f>
        <v>-13211.9153823926</v>
      </c>
      <c r="E59" s="15" t="n">
        <f aca="false">B59/Summary!$B$5-1</f>
        <v>0.132119153823926</v>
      </c>
    </row>
    <row r="60" customFormat="false" ht="15" hidden="false" customHeight="false" outlineLevel="0" collapsed="false">
      <c r="A60" s="0" t="n">
        <v>59</v>
      </c>
      <c r="B60" s="14" t="n">
        <v>133276.612149167</v>
      </c>
      <c r="C60" s="15" t="n">
        <v>0.108783278329194</v>
      </c>
      <c r="D60" s="14" t="n">
        <f aca="false">Summary!$B$5-B60</f>
        <v>-33276.6121491666</v>
      </c>
      <c r="E60" s="15" t="n">
        <f aca="false">B60/Summary!$B$5-1</f>
        <v>0.332766121491666</v>
      </c>
    </row>
    <row r="61" customFormat="false" ht="15" hidden="false" customHeight="false" outlineLevel="0" collapsed="false">
      <c r="A61" s="0" t="n">
        <v>60</v>
      </c>
      <c r="B61" s="14" t="n">
        <v>77794.9251843807</v>
      </c>
      <c r="C61" s="15" t="n">
        <v>0.271321319708542</v>
      </c>
      <c r="D61" s="14" t="n">
        <f aca="false">Summary!$B$5-B61</f>
        <v>22205.0748156193</v>
      </c>
      <c r="E61" s="15" t="n">
        <f aca="false">B61/Summary!$B$5-1</f>
        <v>-0.222050748156193</v>
      </c>
    </row>
    <row r="62" customFormat="false" ht="15" hidden="false" customHeight="false" outlineLevel="0" collapsed="false">
      <c r="A62" s="0" t="n">
        <v>61</v>
      </c>
      <c r="B62" s="14" t="n">
        <v>103604.193347213</v>
      </c>
      <c r="C62" s="15" t="n">
        <v>0.0856173626050033</v>
      </c>
      <c r="D62" s="14" t="n">
        <f aca="false">Summary!$B$5-B62</f>
        <v>-3604.1933472133</v>
      </c>
      <c r="E62" s="15" t="n">
        <f aca="false">B62/Summary!$B$5-1</f>
        <v>0.0360419334721329</v>
      </c>
    </row>
    <row r="63" customFormat="false" ht="15" hidden="false" customHeight="false" outlineLevel="0" collapsed="false">
      <c r="A63" s="0" t="n">
        <v>62</v>
      </c>
      <c r="B63" s="14" t="n">
        <v>104688.888280222</v>
      </c>
      <c r="C63" s="15" t="n">
        <v>0.115296248556679</v>
      </c>
      <c r="D63" s="14" t="n">
        <f aca="false">Summary!$B$5-B63</f>
        <v>-4688.88828022149</v>
      </c>
      <c r="E63" s="15" t="n">
        <f aca="false">B63/Summary!$B$5-1</f>
        <v>0.0468888828022149</v>
      </c>
    </row>
    <row r="64" customFormat="false" ht="15" hidden="false" customHeight="false" outlineLevel="0" collapsed="false">
      <c r="A64" s="0" t="n">
        <v>63</v>
      </c>
      <c r="B64" s="14" t="n">
        <v>82892.8521712927</v>
      </c>
      <c r="C64" s="15" t="n">
        <v>0.240536302314732</v>
      </c>
      <c r="D64" s="14" t="n">
        <f aca="false">Summary!$B$5-B64</f>
        <v>17107.1478287073</v>
      </c>
      <c r="E64" s="15" t="n">
        <f aca="false">B64/Summary!$B$5-1</f>
        <v>-0.171071478287073</v>
      </c>
    </row>
    <row r="65" customFormat="false" ht="15" hidden="false" customHeight="false" outlineLevel="0" collapsed="false">
      <c r="A65" s="0" t="n">
        <v>64</v>
      </c>
      <c r="B65" s="14" t="n">
        <v>101930.443803455</v>
      </c>
      <c r="C65" s="15" t="n">
        <v>0.0762121795476332</v>
      </c>
      <c r="D65" s="14" t="n">
        <f aca="false">Summary!$B$5-B65</f>
        <v>-1930.4438034545</v>
      </c>
      <c r="E65" s="15" t="n">
        <f aca="false">B65/Summary!$B$5-1</f>
        <v>0.0193044380345451</v>
      </c>
    </row>
    <row r="66" customFormat="false" ht="15" hidden="false" customHeight="false" outlineLevel="0" collapsed="false">
      <c r="A66" s="0" t="n">
        <v>65</v>
      </c>
      <c r="B66" s="14" t="n">
        <v>104241.802296004</v>
      </c>
      <c r="C66" s="15" t="n">
        <v>0.151154722020137</v>
      </c>
      <c r="D66" s="14" t="n">
        <f aca="false">Summary!$B$5-B66</f>
        <v>-4241.8022960035</v>
      </c>
      <c r="E66" s="15" t="n">
        <f aca="false">B66/Summary!$B$5-1</f>
        <v>0.0424180229600351</v>
      </c>
    </row>
    <row r="67" customFormat="false" ht="15" hidden="false" customHeight="false" outlineLevel="0" collapsed="false">
      <c r="A67" s="0" t="n">
        <v>66</v>
      </c>
      <c r="B67" s="14" t="n">
        <v>116797.573670694</v>
      </c>
      <c r="C67" s="15" t="n">
        <v>0.0743143236724572</v>
      </c>
      <c r="D67" s="14" t="n">
        <f aca="false">Summary!$B$5-B67</f>
        <v>-16797.5736706936</v>
      </c>
      <c r="E67" s="15" t="n">
        <f aca="false">B67/Summary!$B$5-1</f>
        <v>0.167975736706936</v>
      </c>
    </row>
    <row r="68" customFormat="false" ht="15" hidden="false" customHeight="false" outlineLevel="0" collapsed="false">
      <c r="A68" s="0" t="n">
        <v>67</v>
      </c>
      <c r="B68" s="14" t="n">
        <v>126371.339189104</v>
      </c>
      <c r="C68" s="15" t="n">
        <v>0.0667033386282495</v>
      </c>
      <c r="D68" s="14" t="n">
        <f aca="false">Summary!$B$5-B68</f>
        <v>-26371.3391891036</v>
      </c>
      <c r="E68" s="15" t="n">
        <f aca="false">B68/Summary!$B$5-1</f>
        <v>0.263713391891036</v>
      </c>
    </row>
    <row r="69" customFormat="false" ht="15" hidden="false" customHeight="false" outlineLevel="0" collapsed="false">
      <c r="A69" s="0" t="n">
        <v>68</v>
      </c>
      <c r="B69" s="14" t="n">
        <v>118937.453179713</v>
      </c>
      <c r="C69" s="15" t="n">
        <v>0.0758350254611974</v>
      </c>
      <c r="D69" s="14" t="n">
        <f aca="false">Summary!$B$5-B69</f>
        <v>-18937.4531797131</v>
      </c>
      <c r="E69" s="15" t="n">
        <f aca="false">B69/Summary!$B$5-1</f>
        <v>0.189374531797131</v>
      </c>
    </row>
    <row r="70" customFormat="false" ht="15" hidden="false" customHeight="false" outlineLevel="0" collapsed="false">
      <c r="A70" s="0" t="n">
        <v>69</v>
      </c>
      <c r="B70" s="14" t="n">
        <v>105151.967876807</v>
      </c>
      <c r="C70" s="15" t="n">
        <v>0.102799291872209</v>
      </c>
      <c r="D70" s="14" t="n">
        <f aca="false">Summary!$B$5-B70</f>
        <v>-5151.9678768069</v>
      </c>
      <c r="E70" s="15" t="n">
        <f aca="false">B70/Summary!$B$5-1</f>
        <v>0.051519678768069</v>
      </c>
    </row>
    <row r="71" customFormat="false" ht="15" hidden="false" customHeight="false" outlineLevel="0" collapsed="false">
      <c r="A71" s="0" t="n">
        <v>70</v>
      </c>
      <c r="B71" s="14" t="n">
        <v>97071.2239293521</v>
      </c>
      <c r="C71" s="15" t="n">
        <v>0.135495862915655</v>
      </c>
      <c r="D71" s="14" t="n">
        <f aca="false">Summary!$B$5-B71</f>
        <v>2928.77607064787</v>
      </c>
      <c r="E71" s="15" t="n">
        <f aca="false">B71/Summary!$B$5-1</f>
        <v>-0.0292877607064788</v>
      </c>
    </row>
    <row r="72" customFormat="false" ht="15" hidden="false" customHeight="false" outlineLevel="0" collapsed="false">
      <c r="A72" s="0" t="n">
        <v>71</v>
      </c>
      <c r="B72" s="14" t="n">
        <v>107889.213228827</v>
      </c>
      <c r="C72" s="15" t="n">
        <v>0.0689585490337225</v>
      </c>
      <c r="D72" s="14" t="n">
        <f aca="false">Summary!$B$5-B72</f>
        <v>-7889.2132288268</v>
      </c>
      <c r="E72" s="15" t="n">
        <f aca="false">B72/Summary!$B$5-1</f>
        <v>0.0788921322882681</v>
      </c>
    </row>
    <row r="73" customFormat="false" ht="15" hidden="false" customHeight="false" outlineLevel="0" collapsed="false">
      <c r="A73" s="0" t="n">
        <v>72</v>
      </c>
      <c r="B73" s="14" t="n">
        <v>140155.238971138</v>
      </c>
      <c r="C73" s="15" t="n">
        <v>0.0356936454689739</v>
      </c>
      <c r="D73" s="14" t="n">
        <f aca="false">Summary!$B$5-B73</f>
        <v>-40155.2389711379</v>
      </c>
      <c r="E73" s="15" t="n">
        <f aca="false">B73/Summary!$B$5-1</f>
        <v>0.401552389711379</v>
      </c>
    </row>
    <row r="74" customFormat="false" ht="15" hidden="false" customHeight="false" outlineLevel="0" collapsed="false">
      <c r="A74" s="0" t="n">
        <v>73</v>
      </c>
      <c r="B74" s="14" t="n">
        <v>99581.7270210718</v>
      </c>
      <c r="C74" s="15" t="n">
        <v>0.106129868908271</v>
      </c>
      <c r="D74" s="14" t="n">
        <f aca="false">Summary!$B$5-B74</f>
        <v>418.272978928173</v>
      </c>
      <c r="E74" s="15" t="n">
        <f aca="false">B74/Summary!$B$5-1</f>
        <v>-0.00418272978928169</v>
      </c>
    </row>
    <row r="75" customFormat="false" ht="15" hidden="false" customHeight="false" outlineLevel="0" collapsed="false">
      <c r="A75" s="0" t="n">
        <v>74</v>
      </c>
      <c r="B75" s="14" t="n">
        <v>112257.316402917</v>
      </c>
      <c r="C75" s="15" t="n">
        <v>0.0693962574797106</v>
      </c>
      <c r="D75" s="14" t="n">
        <f aca="false">Summary!$B$5-B75</f>
        <v>-12257.3164029167</v>
      </c>
      <c r="E75" s="15" t="n">
        <f aca="false">B75/Summary!$B$5-1</f>
        <v>0.122573164029167</v>
      </c>
    </row>
    <row r="76" customFormat="false" ht="15" hidden="false" customHeight="false" outlineLevel="0" collapsed="false">
      <c r="A76" s="0" t="n">
        <v>75</v>
      </c>
      <c r="B76" s="14" t="n">
        <v>111679.417179384</v>
      </c>
      <c r="C76" s="15" t="n">
        <v>0.0804446839651952</v>
      </c>
      <c r="D76" s="14" t="n">
        <f aca="false">Summary!$B$5-B76</f>
        <v>-11679.4171793844</v>
      </c>
      <c r="E76" s="15" t="n">
        <f aca="false">B76/Summary!$B$5-1</f>
        <v>0.116794171793844</v>
      </c>
    </row>
    <row r="77" customFormat="false" ht="15" hidden="false" customHeight="false" outlineLevel="0" collapsed="false">
      <c r="A77" s="0" t="n">
        <v>76</v>
      </c>
      <c r="B77" s="14" t="n">
        <v>115674.203695695</v>
      </c>
      <c r="C77" s="15" t="n">
        <v>0.0706476772009341</v>
      </c>
      <c r="D77" s="14" t="n">
        <f aca="false">Summary!$B$5-B77</f>
        <v>-15674.203695695</v>
      </c>
      <c r="E77" s="15" t="n">
        <f aca="false">B77/Summary!$B$5-1</f>
        <v>0.15674203695695</v>
      </c>
    </row>
    <row r="78" customFormat="false" ht="15" hidden="false" customHeight="false" outlineLevel="0" collapsed="false">
      <c r="A78" s="0" t="n">
        <v>77</v>
      </c>
      <c r="B78" s="14" t="n">
        <v>102304.988886542</v>
      </c>
      <c r="C78" s="15" t="n">
        <v>0.0933164550305062</v>
      </c>
      <c r="D78" s="14" t="n">
        <f aca="false">Summary!$B$5-B78</f>
        <v>-2304.98888654209</v>
      </c>
      <c r="E78" s="15" t="n">
        <f aca="false">B78/Summary!$B$5-1</f>
        <v>0.0230498888654209</v>
      </c>
    </row>
    <row r="79" customFormat="false" ht="15" hidden="false" customHeight="false" outlineLevel="0" collapsed="false">
      <c r="A79" s="0" t="n">
        <v>78</v>
      </c>
      <c r="B79" s="14" t="n">
        <v>104552.032752487</v>
      </c>
      <c r="C79" s="15" t="n">
        <v>0.0944915111269249</v>
      </c>
      <c r="D79" s="14" t="n">
        <f aca="false">Summary!$B$5-B79</f>
        <v>-4552.03275248699</v>
      </c>
      <c r="E79" s="15" t="n">
        <f aca="false">B79/Summary!$B$5-1</f>
        <v>0.0455203275248699</v>
      </c>
    </row>
    <row r="80" customFormat="false" ht="15" hidden="false" customHeight="false" outlineLevel="0" collapsed="false">
      <c r="A80" s="0" t="n">
        <v>79</v>
      </c>
      <c r="B80" s="14" t="n">
        <v>135520.777410645</v>
      </c>
      <c r="C80" s="15" t="n">
        <v>0.0617138868968373</v>
      </c>
      <c r="D80" s="14" t="n">
        <f aca="false">Summary!$B$5-B80</f>
        <v>-35520.7774106445</v>
      </c>
      <c r="E80" s="15" t="n">
        <f aca="false">B80/Summary!$B$5-1</f>
        <v>0.355207774106445</v>
      </c>
    </row>
    <row r="81" customFormat="false" ht="15" hidden="false" customHeight="false" outlineLevel="0" collapsed="false">
      <c r="A81" s="0" t="n">
        <v>80</v>
      </c>
      <c r="B81" s="14" t="n">
        <v>103147.549428377</v>
      </c>
      <c r="C81" s="15" t="n">
        <v>0.107933355139678</v>
      </c>
      <c r="D81" s="14" t="n">
        <f aca="false">Summary!$B$5-B81</f>
        <v>-3147.54942837689</v>
      </c>
      <c r="E81" s="15" t="n">
        <f aca="false">B81/Summary!$B$5-1</f>
        <v>0.0314754942837689</v>
      </c>
    </row>
    <row r="82" customFormat="false" ht="15" hidden="false" customHeight="false" outlineLevel="0" collapsed="false">
      <c r="A82" s="0" t="n">
        <v>81</v>
      </c>
      <c r="B82" s="14" t="n">
        <v>114403.091718344</v>
      </c>
      <c r="C82" s="15" t="n">
        <v>0.058175118179514</v>
      </c>
      <c r="D82" s="14" t="n">
        <f aca="false">Summary!$B$5-B82</f>
        <v>-14403.0917183442</v>
      </c>
      <c r="E82" s="15" t="n">
        <f aca="false">B82/Summary!$B$5-1</f>
        <v>0.144030917183442</v>
      </c>
    </row>
    <row r="83" customFormat="false" ht="15" hidden="false" customHeight="false" outlineLevel="0" collapsed="false">
      <c r="A83" s="0" t="n">
        <v>82</v>
      </c>
      <c r="B83" s="14" t="n">
        <v>99638.6166067989</v>
      </c>
      <c r="C83" s="15" t="n">
        <v>0.159474950975011</v>
      </c>
      <c r="D83" s="14" t="n">
        <f aca="false">Summary!$B$5-B83</f>
        <v>361.383393201089</v>
      </c>
      <c r="E83" s="15" t="n">
        <f aca="false">B83/Summary!$B$5-1</f>
        <v>-0.00361383393201087</v>
      </c>
    </row>
    <row r="84" customFormat="false" ht="15" hidden="false" customHeight="false" outlineLevel="0" collapsed="false">
      <c r="A84" s="0" t="n">
        <v>83</v>
      </c>
      <c r="B84" s="14" t="n">
        <v>124505.691091364</v>
      </c>
      <c r="C84" s="15" t="n">
        <v>0.0625210649839233</v>
      </c>
      <c r="D84" s="14" t="n">
        <f aca="false">Summary!$B$5-B84</f>
        <v>-24505.6910913643</v>
      </c>
      <c r="E84" s="15" t="n">
        <f aca="false">B84/Summary!$B$5-1</f>
        <v>0.245056910913643</v>
      </c>
    </row>
    <row r="85" customFormat="false" ht="15" hidden="false" customHeight="false" outlineLevel="0" collapsed="false">
      <c r="A85" s="0" t="n">
        <v>84</v>
      </c>
      <c r="B85" s="14" t="n">
        <v>109066.23532075</v>
      </c>
      <c r="C85" s="15" t="n">
        <v>0.124192217804332</v>
      </c>
      <c r="D85" s="14" t="n">
        <f aca="false">Summary!$B$5-B85</f>
        <v>-9066.2353207495</v>
      </c>
      <c r="E85" s="15" t="n">
        <f aca="false">B85/Summary!$B$5-1</f>
        <v>0.0906623532074951</v>
      </c>
    </row>
    <row r="86" customFormat="false" ht="15" hidden="false" customHeight="false" outlineLevel="0" collapsed="false">
      <c r="A86" s="0" t="n">
        <v>85</v>
      </c>
      <c r="B86" s="14" t="n">
        <v>109691.291026184</v>
      </c>
      <c r="C86" s="15" t="n">
        <v>0.0717360361350611</v>
      </c>
      <c r="D86" s="14" t="n">
        <f aca="false">Summary!$B$5-B86</f>
        <v>-9691.291026184</v>
      </c>
      <c r="E86" s="15" t="n">
        <f aca="false">B86/Summary!$B$5-1</f>
        <v>0.09691291026184</v>
      </c>
    </row>
    <row r="87" customFormat="false" ht="15" hidden="false" customHeight="false" outlineLevel="0" collapsed="false">
      <c r="A87" s="0" t="n">
        <v>86</v>
      </c>
      <c r="B87" s="14" t="n">
        <v>97484.3989001374</v>
      </c>
      <c r="C87" s="15" t="n">
        <v>0.114251769256519</v>
      </c>
      <c r="D87" s="14" t="n">
        <f aca="false">Summary!$B$5-B87</f>
        <v>2515.60109986264</v>
      </c>
      <c r="E87" s="15" t="n">
        <f aca="false">B87/Summary!$B$5-1</f>
        <v>-0.0251560109986264</v>
      </c>
    </row>
    <row r="88" customFormat="false" ht="15" hidden="false" customHeight="false" outlineLevel="0" collapsed="false">
      <c r="A88" s="0" t="n">
        <v>87</v>
      </c>
      <c r="B88" s="14" t="n">
        <v>97798.0714567827</v>
      </c>
      <c r="C88" s="15" t="n">
        <v>0.0830070516085528</v>
      </c>
      <c r="D88" s="14" t="n">
        <f aca="false">Summary!$B$5-B88</f>
        <v>2201.92854321728</v>
      </c>
      <c r="E88" s="15" t="n">
        <f aca="false">B88/Summary!$B$5-1</f>
        <v>-0.0220192854321728</v>
      </c>
    </row>
    <row r="89" customFormat="false" ht="15" hidden="false" customHeight="false" outlineLevel="0" collapsed="false">
      <c r="A89" s="0" t="n">
        <v>88</v>
      </c>
      <c r="B89" s="14" t="n">
        <v>115931.512659827</v>
      </c>
      <c r="C89" s="15" t="n">
        <v>0.0528624324689124</v>
      </c>
      <c r="D89" s="14" t="n">
        <f aca="false">Summary!$B$5-B89</f>
        <v>-15931.5126598266</v>
      </c>
      <c r="E89" s="15" t="n">
        <f aca="false">B89/Summary!$B$5-1</f>
        <v>0.159315126598266</v>
      </c>
    </row>
    <row r="90" customFormat="false" ht="15" hidden="false" customHeight="false" outlineLevel="0" collapsed="false">
      <c r="A90" s="0" t="n">
        <v>89</v>
      </c>
      <c r="B90" s="14" t="n">
        <v>98348.2779568232</v>
      </c>
      <c r="C90" s="15" t="n">
        <v>0.100411269899116</v>
      </c>
      <c r="D90" s="14" t="n">
        <f aca="false">Summary!$B$5-B90</f>
        <v>1651.72204317676</v>
      </c>
      <c r="E90" s="15" t="n">
        <f aca="false">B90/Summary!$B$5-1</f>
        <v>-0.0165172204317676</v>
      </c>
    </row>
    <row r="91" customFormat="false" ht="15" hidden="false" customHeight="false" outlineLevel="0" collapsed="false">
      <c r="A91" s="0" t="n">
        <v>90</v>
      </c>
      <c r="B91" s="14" t="n">
        <v>111569.177166344</v>
      </c>
      <c r="C91" s="15" t="n">
        <v>0.0711547210464532</v>
      </c>
      <c r="D91" s="14" t="n">
        <f aca="false">Summary!$B$5-B91</f>
        <v>-11569.1771663436</v>
      </c>
      <c r="E91" s="15" t="n">
        <f aca="false">B91/Summary!$B$5-1</f>
        <v>0.115691771663436</v>
      </c>
    </row>
    <row r="92" customFormat="false" ht="15" hidden="false" customHeight="false" outlineLevel="0" collapsed="false">
      <c r="A92" s="0" t="n">
        <v>91</v>
      </c>
      <c r="B92" s="14" t="n">
        <v>123499.703182511</v>
      </c>
      <c r="C92" s="15" t="n">
        <v>0.0642712153806597</v>
      </c>
      <c r="D92" s="14" t="n">
        <f aca="false">Summary!$B$5-B92</f>
        <v>-23499.7031825112</v>
      </c>
      <c r="E92" s="15" t="n">
        <f aca="false">B92/Summary!$B$5-1</f>
        <v>0.234997031825112</v>
      </c>
    </row>
    <row r="93" customFormat="false" ht="15" hidden="false" customHeight="false" outlineLevel="0" collapsed="false">
      <c r="A93" s="0" t="n">
        <v>92</v>
      </c>
      <c r="B93" s="14" t="n">
        <v>109210.712266974</v>
      </c>
      <c r="C93" s="15" t="n">
        <v>0.128360065851395</v>
      </c>
      <c r="D93" s="14" t="n">
        <f aca="false">Summary!$B$5-B93</f>
        <v>-9210.7122669736</v>
      </c>
      <c r="E93" s="15" t="n">
        <f aca="false">B93/Summary!$B$5-1</f>
        <v>0.0921071226697361</v>
      </c>
    </row>
    <row r="94" customFormat="false" ht="15" hidden="false" customHeight="false" outlineLevel="0" collapsed="false">
      <c r="A94" s="0" t="n">
        <v>93</v>
      </c>
      <c r="B94" s="14" t="n">
        <v>107356.648362794</v>
      </c>
      <c r="C94" s="15" t="n">
        <v>0.173192658433873</v>
      </c>
      <c r="D94" s="14" t="n">
        <f aca="false">Summary!$B$5-B94</f>
        <v>-7356.6483627937</v>
      </c>
      <c r="E94" s="15" t="n">
        <f aca="false">B94/Summary!$B$5-1</f>
        <v>0.0735664836279371</v>
      </c>
    </row>
    <row r="95" customFormat="false" ht="15" hidden="false" customHeight="false" outlineLevel="0" collapsed="false">
      <c r="A95" s="0" t="n">
        <v>94</v>
      </c>
      <c r="B95" s="14" t="n">
        <v>127260.406963857</v>
      </c>
      <c r="C95" s="15" t="n">
        <v>0.0841204219750689</v>
      </c>
      <c r="D95" s="14" t="n">
        <f aca="false">Summary!$B$5-B95</f>
        <v>-27260.406963857</v>
      </c>
      <c r="E95" s="15" t="n">
        <f aca="false">B95/Summary!$B$5-1</f>
        <v>0.27260406963857</v>
      </c>
    </row>
    <row r="96" customFormat="false" ht="15" hidden="false" customHeight="false" outlineLevel="0" collapsed="false">
      <c r="A96" s="0" t="n">
        <v>95</v>
      </c>
      <c r="B96" s="14" t="n">
        <v>113461.672463609</v>
      </c>
      <c r="C96" s="15" t="n">
        <v>0.0630844572388762</v>
      </c>
      <c r="D96" s="14" t="n">
        <f aca="false">Summary!$B$5-B96</f>
        <v>-13461.6724636089</v>
      </c>
      <c r="E96" s="15" t="n">
        <f aca="false">B96/Summary!$B$5-1</f>
        <v>0.134616724636089</v>
      </c>
    </row>
    <row r="97" customFormat="false" ht="15" hidden="false" customHeight="false" outlineLevel="0" collapsed="false">
      <c r="A97" s="0" t="n">
        <v>96</v>
      </c>
      <c r="B97" s="14" t="n">
        <v>131232.23174049</v>
      </c>
      <c r="C97" s="15" t="n">
        <v>0.0528214851529565</v>
      </c>
      <c r="D97" s="14" t="n">
        <f aca="false">Summary!$B$5-B97</f>
        <v>-31232.2317404904</v>
      </c>
      <c r="E97" s="15" t="n">
        <f aca="false">B97/Summary!$B$5-1</f>
        <v>0.312322317404904</v>
      </c>
    </row>
    <row r="98" customFormat="false" ht="15" hidden="false" customHeight="false" outlineLevel="0" collapsed="false">
      <c r="A98" s="0" t="n">
        <v>97</v>
      </c>
      <c r="B98" s="14" t="n">
        <v>126800.57792377</v>
      </c>
      <c r="C98" s="15" t="n">
        <v>0.0692011089710786</v>
      </c>
      <c r="D98" s="14" t="n">
        <f aca="false">Summary!$B$5-B98</f>
        <v>-26800.5779237703</v>
      </c>
      <c r="E98" s="15" t="n">
        <f aca="false">B98/Summary!$B$5-1</f>
        <v>0.268005779237703</v>
      </c>
    </row>
    <row r="99" customFormat="false" ht="15" hidden="false" customHeight="false" outlineLevel="0" collapsed="false">
      <c r="A99" s="0" t="n">
        <v>98</v>
      </c>
      <c r="B99" s="14" t="n">
        <v>83128.7444219791</v>
      </c>
      <c r="C99" s="15" t="n">
        <v>0.168712555780209</v>
      </c>
      <c r="D99" s="14" t="n">
        <f aca="false">Summary!$B$5-B99</f>
        <v>16871.2555780209</v>
      </c>
      <c r="E99" s="15" t="n">
        <f aca="false">B99/Summary!$B$5-1</f>
        <v>-0.168712555780209</v>
      </c>
    </row>
    <row r="100" customFormat="false" ht="15" hidden="false" customHeight="false" outlineLevel="0" collapsed="false">
      <c r="A100" s="0" t="n">
        <v>99</v>
      </c>
      <c r="B100" s="14" t="n">
        <v>116572.299009986</v>
      </c>
      <c r="C100" s="15" t="n">
        <v>0.0853902432214768</v>
      </c>
      <c r="D100" s="14" t="n">
        <f aca="false">Summary!$B$5-B100</f>
        <v>-16572.2990099861</v>
      </c>
      <c r="E100" s="15" t="n">
        <f aca="false">B100/Summary!$B$5-1</f>
        <v>0.165722990099861</v>
      </c>
    </row>
    <row r="101" customFormat="false" ht="15" hidden="false" customHeight="false" outlineLevel="0" collapsed="false">
      <c r="A101" s="0" t="n">
        <v>100</v>
      </c>
      <c r="B101" s="14" t="n">
        <v>108259.935895013</v>
      </c>
      <c r="C101" s="15" t="n">
        <v>0.143286813133844</v>
      </c>
      <c r="D101" s="14" t="n">
        <f aca="false">Summary!$B$5-B101</f>
        <v>-8259.93589501271</v>
      </c>
      <c r="E101" s="15" t="n">
        <f aca="false">B101/Summary!$B$5-1</f>
        <v>0.082599358950127</v>
      </c>
    </row>
    <row r="102" customFormat="false" ht="15" hidden="false" customHeight="false" outlineLevel="0" collapsed="false">
      <c r="A102" s="0" t="n">
        <v>101</v>
      </c>
      <c r="B102" s="14" t="n">
        <v>100184.401898734</v>
      </c>
      <c r="C102" s="15" t="n">
        <v>0.105924273737197</v>
      </c>
      <c r="D102" s="14" t="n">
        <f aca="false">Summary!$B$5-B102</f>
        <v>-184.401898734199</v>
      </c>
      <c r="E102" s="15" t="n">
        <f aca="false">B102/Summary!$B$5-1</f>
        <v>0.00184401898734188</v>
      </c>
    </row>
    <row r="103" customFormat="false" ht="15" hidden="false" customHeight="false" outlineLevel="0" collapsed="false">
      <c r="A103" s="0" t="n">
        <v>102</v>
      </c>
      <c r="B103" s="14" t="n">
        <v>77652.664280389</v>
      </c>
      <c r="C103" s="15" t="n">
        <v>0.227888440082077</v>
      </c>
      <c r="D103" s="14" t="n">
        <f aca="false">Summary!$B$5-B103</f>
        <v>22347.335719611</v>
      </c>
      <c r="E103" s="15" t="n">
        <f aca="false">B103/Summary!$B$5-1</f>
        <v>-0.22347335719611</v>
      </c>
    </row>
    <row r="104" customFormat="false" ht="15" hidden="false" customHeight="false" outlineLevel="0" collapsed="false">
      <c r="A104" s="0" t="n">
        <v>103</v>
      </c>
      <c r="B104" s="14" t="n">
        <v>109822.021185191</v>
      </c>
      <c r="C104" s="15" t="n">
        <v>0.116806879532648</v>
      </c>
      <c r="D104" s="14" t="n">
        <f aca="false">Summary!$B$5-B104</f>
        <v>-9822.021185191</v>
      </c>
      <c r="E104" s="15" t="n">
        <f aca="false">B104/Summary!$B$5-1</f>
        <v>0.09822021185191</v>
      </c>
    </row>
    <row r="105" customFormat="false" ht="15" hidden="false" customHeight="false" outlineLevel="0" collapsed="false">
      <c r="A105" s="0" t="n">
        <v>104</v>
      </c>
      <c r="B105" s="14" t="n">
        <v>138040.999956503</v>
      </c>
      <c r="C105" s="15" t="n">
        <v>0.0412947195015596</v>
      </c>
      <c r="D105" s="14" t="n">
        <f aca="false">Summary!$B$5-B105</f>
        <v>-38040.9999565025</v>
      </c>
      <c r="E105" s="15" t="n">
        <f aca="false">B105/Summary!$B$5-1</f>
        <v>0.380409999565025</v>
      </c>
    </row>
    <row r="106" customFormat="false" ht="15" hidden="false" customHeight="false" outlineLevel="0" collapsed="false">
      <c r="A106" s="0" t="n">
        <v>105</v>
      </c>
      <c r="B106" s="14" t="n">
        <v>101547.93590886</v>
      </c>
      <c r="C106" s="15" t="n">
        <v>0.111179618212988</v>
      </c>
      <c r="D106" s="14" t="n">
        <f aca="false">Summary!$B$5-B106</f>
        <v>-1547.9359088596</v>
      </c>
      <c r="E106" s="15" t="n">
        <f aca="false">B106/Summary!$B$5-1</f>
        <v>0.015479359088596</v>
      </c>
    </row>
    <row r="107" customFormat="false" ht="15" hidden="false" customHeight="false" outlineLevel="0" collapsed="false">
      <c r="A107" s="0" t="n">
        <v>106</v>
      </c>
      <c r="B107" s="14" t="n">
        <v>101530.350587336</v>
      </c>
      <c r="C107" s="15" t="n">
        <v>0.100953312802931</v>
      </c>
      <c r="D107" s="14" t="n">
        <f aca="false">Summary!$B$5-B107</f>
        <v>-1530.3505873361</v>
      </c>
      <c r="E107" s="15" t="n">
        <f aca="false">B107/Summary!$B$5-1</f>
        <v>0.015303505873361</v>
      </c>
    </row>
    <row r="108" customFormat="false" ht="15" hidden="false" customHeight="false" outlineLevel="0" collapsed="false">
      <c r="A108" s="0" t="n">
        <v>107</v>
      </c>
      <c r="B108" s="14" t="n">
        <v>135727.143017739</v>
      </c>
      <c r="C108" s="15" t="n">
        <v>0.0682869624942251</v>
      </c>
      <c r="D108" s="14" t="n">
        <f aca="false">Summary!$B$5-B108</f>
        <v>-35727.1430177385</v>
      </c>
      <c r="E108" s="15" t="n">
        <f aca="false">B108/Summary!$B$5-1</f>
        <v>0.357271430177385</v>
      </c>
    </row>
    <row r="109" customFormat="false" ht="15" hidden="false" customHeight="false" outlineLevel="0" collapsed="false">
      <c r="A109" s="0" t="n">
        <v>108</v>
      </c>
      <c r="B109" s="14" t="n">
        <v>120552.963331947</v>
      </c>
      <c r="C109" s="15" t="n">
        <v>0.0422671205452009</v>
      </c>
      <c r="D109" s="14" t="n">
        <f aca="false">Summary!$B$5-B109</f>
        <v>-20552.9633319473</v>
      </c>
      <c r="E109" s="15" t="n">
        <f aca="false">B109/Summary!$B$5-1</f>
        <v>0.205529633319473</v>
      </c>
    </row>
    <row r="110" customFormat="false" ht="15" hidden="false" customHeight="false" outlineLevel="0" collapsed="false">
      <c r="A110" s="0" t="n">
        <v>109</v>
      </c>
      <c r="B110" s="14" t="n">
        <v>133470.825216122</v>
      </c>
      <c r="C110" s="15" t="n">
        <v>0.0448353886510755</v>
      </c>
      <c r="D110" s="14" t="n">
        <f aca="false">Summary!$B$5-B110</f>
        <v>-33470.8252161219</v>
      </c>
      <c r="E110" s="15" t="n">
        <f aca="false">B110/Summary!$B$5-1</f>
        <v>0.334708252161219</v>
      </c>
    </row>
    <row r="111" customFormat="false" ht="15" hidden="false" customHeight="false" outlineLevel="0" collapsed="false">
      <c r="A111" s="0" t="n">
        <v>110</v>
      </c>
      <c r="B111" s="14" t="n">
        <v>123127.696318672</v>
      </c>
      <c r="C111" s="15" t="n">
        <v>0.072282960224315</v>
      </c>
      <c r="D111" s="14" t="n">
        <f aca="false">Summary!$B$5-B111</f>
        <v>-23127.6963186722</v>
      </c>
      <c r="E111" s="15" t="n">
        <f aca="false">B111/Summary!$B$5-1</f>
        <v>0.231276963186722</v>
      </c>
    </row>
    <row r="112" customFormat="false" ht="15" hidden="false" customHeight="false" outlineLevel="0" collapsed="false">
      <c r="A112" s="0" t="n">
        <v>111</v>
      </c>
      <c r="B112" s="14" t="n">
        <v>95133.0366704571</v>
      </c>
      <c r="C112" s="15" t="n">
        <v>0.0933209444100546</v>
      </c>
      <c r="D112" s="14" t="n">
        <f aca="false">Summary!$B$5-B112</f>
        <v>4866.96332954287</v>
      </c>
      <c r="E112" s="15" t="n">
        <f aca="false">B112/Summary!$B$5-1</f>
        <v>-0.0486696332954286</v>
      </c>
    </row>
    <row r="113" customFormat="false" ht="15" hidden="false" customHeight="false" outlineLevel="0" collapsed="false">
      <c r="A113" s="0" t="n">
        <v>112</v>
      </c>
      <c r="B113" s="14" t="n">
        <v>80278.9037469956</v>
      </c>
      <c r="C113" s="15" t="n">
        <v>0.21488841200434</v>
      </c>
      <c r="D113" s="14" t="n">
        <f aca="false">Summary!$B$5-B113</f>
        <v>19721.0962530045</v>
      </c>
      <c r="E113" s="15" t="n">
        <f aca="false">B113/Summary!$B$5-1</f>
        <v>-0.197210962530044</v>
      </c>
    </row>
    <row r="114" customFormat="false" ht="15" hidden="false" customHeight="false" outlineLevel="0" collapsed="false">
      <c r="A114" s="0" t="n">
        <v>113</v>
      </c>
      <c r="B114" s="14" t="n">
        <v>97852.4249332628</v>
      </c>
      <c r="C114" s="15" t="n">
        <v>0.124862009035052</v>
      </c>
      <c r="D114" s="14" t="n">
        <f aca="false">Summary!$B$5-B114</f>
        <v>2147.57506673722</v>
      </c>
      <c r="E114" s="15" t="n">
        <f aca="false">B114/Summary!$B$5-1</f>
        <v>-0.0214757506673722</v>
      </c>
    </row>
    <row r="115" customFormat="false" ht="15" hidden="false" customHeight="false" outlineLevel="0" collapsed="false">
      <c r="A115" s="0" t="n">
        <v>114</v>
      </c>
      <c r="B115" s="14" t="n">
        <v>97629.1553715042</v>
      </c>
      <c r="C115" s="15" t="n">
        <v>0.0772915816558338</v>
      </c>
      <c r="D115" s="14" t="n">
        <f aca="false">Summary!$B$5-B115</f>
        <v>2370.8446284958</v>
      </c>
      <c r="E115" s="15" t="n">
        <f aca="false">B115/Summary!$B$5-1</f>
        <v>-0.0237084462849581</v>
      </c>
    </row>
    <row r="116" customFormat="false" ht="15" hidden="false" customHeight="false" outlineLevel="0" collapsed="false">
      <c r="A116" s="0" t="n">
        <v>115</v>
      </c>
      <c r="B116" s="14" t="n">
        <v>94622.5331770572</v>
      </c>
      <c r="C116" s="15" t="n">
        <v>0.12062477276617</v>
      </c>
      <c r="D116" s="14" t="n">
        <f aca="false">Summary!$B$5-B116</f>
        <v>5377.46682294276</v>
      </c>
      <c r="E116" s="15" t="n">
        <f aca="false">B116/Summary!$B$5-1</f>
        <v>-0.0537746682294277</v>
      </c>
    </row>
    <row r="117" customFormat="false" ht="15" hidden="false" customHeight="false" outlineLevel="0" collapsed="false">
      <c r="A117" s="0" t="n">
        <v>116</v>
      </c>
      <c r="B117" s="14" t="n">
        <v>115210.513784433</v>
      </c>
      <c r="C117" s="15" t="n">
        <v>0.0582584961104017</v>
      </c>
      <c r="D117" s="14" t="n">
        <f aca="false">Summary!$B$5-B117</f>
        <v>-15210.5137844325</v>
      </c>
      <c r="E117" s="15" t="n">
        <f aca="false">B117/Summary!$B$5-1</f>
        <v>0.152105137844325</v>
      </c>
    </row>
    <row r="118" customFormat="false" ht="15" hidden="false" customHeight="false" outlineLevel="0" collapsed="false">
      <c r="A118" s="0" t="n">
        <v>117</v>
      </c>
      <c r="B118" s="14" t="n">
        <v>97520.2789096236</v>
      </c>
      <c r="C118" s="15" t="n">
        <v>0.122310777324833</v>
      </c>
      <c r="D118" s="14" t="n">
        <f aca="false">Summary!$B$5-B118</f>
        <v>2479.72109037641</v>
      </c>
      <c r="E118" s="15" t="n">
        <f aca="false">B118/Summary!$B$5-1</f>
        <v>-0.0247972109037641</v>
      </c>
    </row>
    <row r="119" customFormat="false" ht="15" hidden="false" customHeight="false" outlineLevel="0" collapsed="false">
      <c r="A119" s="0" t="n">
        <v>118</v>
      </c>
      <c r="B119" s="14" t="n">
        <v>109062.048689412</v>
      </c>
      <c r="C119" s="15" t="n">
        <v>0.113752193878555</v>
      </c>
      <c r="D119" s="14" t="n">
        <f aca="false">Summary!$B$5-B119</f>
        <v>-9062.0486894121</v>
      </c>
      <c r="E119" s="15" t="n">
        <f aca="false">B119/Summary!$B$5-1</f>
        <v>0.0906204868941209</v>
      </c>
    </row>
    <row r="120" customFormat="false" ht="15" hidden="false" customHeight="false" outlineLevel="0" collapsed="false">
      <c r="A120" s="0" t="n">
        <v>119</v>
      </c>
      <c r="B120" s="14" t="n">
        <v>115406.199800574</v>
      </c>
      <c r="C120" s="15" t="n">
        <v>0.119660708965517</v>
      </c>
      <c r="D120" s="14" t="n">
        <f aca="false">Summary!$B$5-B120</f>
        <v>-15406.1998005743</v>
      </c>
      <c r="E120" s="15" t="n">
        <f aca="false">B120/Summary!$B$5-1</f>
        <v>0.154061998005743</v>
      </c>
    </row>
    <row r="121" customFormat="false" ht="15" hidden="false" customHeight="false" outlineLevel="0" collapsed="false">
      <c r="A121" s="0" t="n">
        <v>120</v>
      </c>
      <c r="B121" s="14" t="n">
        <v>93763.1945054887</v>
      </c>
      <c r="C121" s="15" t="n">
        <v>0.136113693822158</v>
      </c>
      <c r="D121" s="14" t="n">
        <f aca="false">Summary!$B$5-B121</f>
        <v>6236.80549451133</v>
      </c>
      <c r="E121" s="15" t="n">
        <f aca="false">B121/Summary!$B$5-1</f>
        <v>-0.0623680549451132</v>
      </c>
    </row>
    <row r="122" customFormat="false" ht="15" hidden="false" customHeight="false" outlineLevel="0" collapsed="false">
      <c r="A122" s="0" t="n">
        <v>121</v>
      </c>
      <c r="B122" s="14" t="n">
        <v>96066.3614041578</v>
      </c>
      <c r="C122" s="15" t="n">
        <v>0.124746174630927</v>
      </c>
      <c r="D122" s="14" t="n">
        <f aca="false">Summary!$B$5-B122</f>
        <v>3933.63859584223</v>
      </c>
      <c r="E122" s="15" t="n">
        <f aca="false">B122/Summary!$B$5-1</f>
        <v>-0.0393363859584224</v>
      </c>
    </row>
    <row r="123" customFormat="false" ht="15" hidden="false" customHeight="false" outlineLevel="0" collapsed="false">
      <c r="A123" s="0" t="n">
        <v>122</v>
      </c>
      <c r="B123" s="14" t="n">
        <v>119963.103859178</v>
      </c>
      <c r="C123" s="15" t="n">
        <v>0.0863526624228981</v>
      </c>
      <c r="D123" s="14" t="n">
        <f aca="false">Summary!$B$5-B123</f>
        <v>-19963.1038591778</v>
      </c>
      <c r="E123" s="15" t="n">
        <f aca="false">B123/Summary!$B$5-1</f>
        <v>0.199631038591778</v>
      </c>
    </row>
    <row r="124" customFormat="false" ht="15" hidden="false" customHeight="false" outlineLevel="0" collapsed="false">
      <c r="A124" s="0" t="n">
        <v>123</v>
      </c>
      <c r="B124" s="14" t="n">
        <v>102785.408875434</v>
      </c>
      <c r="C124" s="15" t="n">
        <v>0.0934734371537431</v>
      </c>
      <c r="D124" s="14" t="n">
        <f aca="false">Summary!$B$5-B124</f>
        <v>-2785.4088754336</v>
      </c>
      <c r="E124" s="15" t="n">
        <f aca="false">B124/Summary!$B$5-1</f>
        <v>0.0278540887543359</v>
      </c>
    </row>
    <row r="125" customFormat="false" ht="15" hidden="false" customHeight="false" outlineLevel="0" collapsed="false">
      <c r="A125" s="0" t="n">
        <v>124</v>
      </c>
      <c r="B125" s="14" t="n">
        <v>117030.904271836</v>
      </c>
      <c r="C125" s="15" t="n">
        <v>0.0569277737757982</v>
      </c>
      <c r="D125" s="14" t="n">
        <f aca="false">Summary!$B$5-B125</f>
        <v>-17030.9042718356</v>
      </c>
      <c r="E125" s="15" t="n">
        <f aca="false">B125/Summary!$B$5-1</f>
        <v>0.170309042718356</v>
      </c>
    </row>
    <row r="126" customFormat="false" ht="15" hidden="false" customHeight="false" outlineLevel="0" collapsed="false">
      <c r="A126" s="0" t="n">
        <v>125</v>
      </c>
      <c r="B126" s="14" t="n">
        <v>113324.472462778</v>
      </c>
      <c r="C126" s="15" t="n">
        <v>0.0621004826933757</v>
      </c>
      <c r="D126" s="14" t="n">
        <f aca="false">Summary!$B$5-B126</f>
        <v>-13324.4724627775</v>
      </c>
      <c r="E126" s="15" t="n">
        <f aca="false">B126/Summary!$B$5-1</f>
        <v>0.133244724627775</v>
      </c>
    </row>
    <row r="127" customFormat="false" ht="15" hidden="false" customHeight="false" outlineLevel="0" collapsed="false">
      <c r="A127" s="0" t="n">
        <v>126</v>
      </c>
      <c r="B127" s="14" t="n">
        <v>104956.486952322</v>
      </c>
      <c r="C127" s="15" t="n">
        <v>0.0913195386200445</v>
      </c>
      <c r="D127" s="14" t="n">
        <f aca="false">Summary!$B$5-B127</f>
        <v>-4956.486952322</v>
      </c>
      <c r="E127" s="15" t="n">
        <f aca="false">B127/Summary!$B$5-1</f>
        <v>0.04956486952322</v>
      </c>
    </row>
    <row r="128" customFormat="false" ht="15" hidden="false" customHeight="false" outlineLevel="0" collapsed="false">
      <c r="A128" s="0" t="n">
        <v>127</v>
      </c>
      <c r="B128" s="14" t="n">
        <v>87650.9814067744</v>
      </c>
      <c r="C128" s="15" t="n">
        <v>0.145693049258988</v>
      </c>
      <c r="D128" s="14" t="n">
        <f aca="false">Summary!$B$5-B128</f>
        <v>12349.0185932256</v>
      </c>
      <c r="E128" s="15" t="n">
        <f aca="false">B128/Summary!$B$5-1</f>
        <v>-0.123490185932256</v>
      </c>
    </row>
    <row r="129" customFormat="false" ht="15" hidden="false" customHeight="false" outlineLevel="0" collapsed="false">
      <c r="A129" s="0" t="n">
        <v>128</v>
      </c>
      <c r="B129" s="14" t="n">
        <v>117959.625285817</v>
      </c>
      <c r="C129" s="15" t="n">
        <v>0.0696266458686226</v>
      </c>
      <c r="D129" s="14" t="n">
        <f aca="false">Summary!$B$5-B129</f>
        <v>-17959.6252858166</v>
      </c>
      <c r="E129" s="15" t="n">
        <f aca="false">B129/Summary!$B$5-1</f>
        <v>0.179596252858166</v>
      </c>
    </row>
    <row r="130" customFormat="false" ht="15" hidden="false" customHeight="false" outlineLevel="0" collapsed="false">
      <c r="A130" s="0" t="n">
        <v>129</v>
      </c>
      <c r="B130" s="14" t="n">
        <v>107887.680672102</v>
      </c>
      <c r="C130" s="15" t="n">
        <v>0.107025824157319</v>
      </c>
      <c r="D130" s="14" t="n">
        <f aca="false">Summary!$B$5-B130</f>
        <v>-7887.6806721022</v>
      </c>
      <c r="E130" s="15" t="n">
        <f aca="false">B130/Summary!$B$5-1</f>
        <v>0.0788768067210219</v>
      </c>
    </row>
    <row r="131" customFormat="false" ht="15" hidden="false" customHeight="false" outlineLevel="0" collapsed="false">
      <c r="A131" s="0" t="n">
        <v>130</v>
      </c>
      <c r="B131" s="14" t="n">
        <v>117750.23455825</v>
      </c>
      <c r="C131" s="15" t="n">
        <v>0.107060326206551</v>
      </c>
      <c r="D131" s="14" t="n">
        <f aca="false">Summary!$B$5-B131</f>
        <v>-17750.2345582503</v>
      </c>
      <c r="E131" s="15" t="n">
        <f aca="false">B131/Summary!$B$5-1</f>
        <v>0.177502345582503</v>
      </c>
    </row>
    <row r="132" customFormat="false" ht="15" hidden="false" customHeight="false" outlineLevel="0" collapsed="false">
      <c r="A132" s="0" t="n">
        <v>131</v>
      </c>
      <c r="B132" s="14" t="n">
        <v>140867.667771796</v>
      </c>
      <c r="C132" s="15" t="n">
        <v>0.0544136748919254</v>
      </c>
      <c r="D132" s="14" t="n">
        <f aca="false">Summary!$B$5-B132</f>
        <v>-40867.6677717962</v>
      </c>
      <c r="E132" s="15" t="n">
        <f aca="false">B132/Summary!$B$5-1</f>
        <v>0.408676677717962</v>
      </c>
    </row>
    <row r="133" customFormat="false" ht="15" hidden="false" customHeight="false" outlineLevel="0" collapsed="false">
      <c r="A133" s="0" t="n">
        <v>132</v>
      </c>
      <c r="B133" s="14" t="n">
        <v>108077.740536389</v>
      </c>
      <c r="C133" s="15" t="n">
        <v>0.121043805661825</v>
      </c>
      <c r="D133" s="14" t="n">
        <f aca="false">Summary!$B$5-B133</f>
        <v>-8077.740536389</v>
      </c>
      <c r="E133" s="15" t="n">
        <f aca="false">B133/Summary!$B$5-1</f>
        <v>0.0807774053638899</v>
      </c>
    </row>
    <row r="134" customFormat="false" ht="15" hidden="false" customHeight="false" outlineLevel="0" collapsed="false">
      <c r="A134" s="0" t="n">
        <v>133</v>
      </c>
      <c r="B134" s="14" t="n">
        <v>99560.6337447525</v>
      </c>
      <c r="C134" s="15" t="n">
        <v>0.107753438472209</v>
      </c>
      <c r="D134" s="14" t="n">
        <f aca="false">Summary!$B$5-B134</f>
        <v>439.366255247485</v>
      </c>
      <c r="E134" s="15" t="n">
        <f aca="false">B134/Summary!$B$5-1</f>
        <v>-0.00439366255247486</v>
      </c>
    </row>
    <row r="135" customFormat="false" ht="15" hidden="false" customHeight="false" outlineLevel="0" collapsed="false">
      <c r="A135" s="0" t="n">
        <v>134</v>
      </c>
      <c r="B135" s="14" t="n">
        <v>123925.523653776</v>
      </c>
      <c r="C135" s="15" t="n">
        <v>0.0637751583632218</v>
      </c>
      <c r="D135" s="14" t="n">
        <f aca="false">Summary!$B$5-B135</f>
        <v>-23925.5236537761</v>
      </c>
      <c r="E135" s="15" t="n">
        <f aca="false">B135/Summary!$B$5-1</f>
        <v>0.239255236537761</v>
      </c>
    </row>
    <row r="136" customFormat="false" ht="15" hidden="false" customHeight="false" outlineLevel="0" collapsed="false">
      <c r="A136" s="0" t="n">
        <v>135</v>
      </c>
      <c r="B136" s="14" t="n">
        <v>97552.8546478513</v>
      </c>
      <c r="C136" s="15" t="n">
        <v>0.122236812417847</v>
      </c>
      <c r="D136" s="14" t="n">
        <f aca="false">Summary!$B$5-B136</f>
        <v>2447.14535214873</v>
      </c>
      <c r="E136" s="15" t="n">
        <f aca="false">B136/Summary!$B$5-1</f>
        <v>-0.0244714535214873</v>
      </c>
    </row>
    <row r="137" customFormat="false" ht="15" hidden="false" customHeight="false" outlineLevel="0" collapsed="false">
      <c r="A137" s="0" t="n">
        <v>136</v>
      </c>
      <c r="B137" s="14" t="n">
        <v>123933.247270743</v>
      </c>
      <c r="C137" s="15" t="n">
        <v>0.078418585238741</v>
      </c>
      <c r="D137" s="14" t="n">
        <f aca="false">Summary!$B$5-B137</f>
        <v>-23933.2472707433</v>
      </c>
      <c r="E137" s="15" t="n">
        <f aca="false">B137/Summary!$B$5-1</f>
        <v>0.239332472707433</v>
      </c>
    </row>
    <row r="138" customFormat="false" ht="15" hidden="false" customHeight="false" outlineLevel="0" collapsed="false">
      <c r="A138" s="0" t="n">
        <v>137</v>
      </c>
      <c r="B138" s="14" t="n">
        <v>93613.3078419762</v>
      </c>
      <c r="C138" s="15" t="n">
        <v>0.16056038158096</v>
      </c>
      <c r="D138" s="14" t="n">
        <f aca="false">Summary!$B$5-B138</f>
        <v>6386.69215802383</v>
      </c>
      <c r="E138" s="15" t="n">
        <f aca="false">B138/Summary!$B$5-1</f>
        <v>-0.0638669215802383</v>
      </c>
    </row>
    <row r="139" customFormat="false" ht="15" hidden="false" customHeight="false" outlineLevel="0" collapsed="false">
      <c r="A139" s="0" t="n">
        <v>138</v>
      </c>
      <c r="B139" s="14" t="n">
        <v>94365.7844462995</v>
      </c>
      <c r="C139" s="15" t="n">
        <v>0.168596614928866</v>
      </c>
      <c r="D139" s="14" t="n">
        <f aca="false">Summary!$B$5-B139</f>
        <v>5634.21555370046</v>
      </c>
      <c r="E139" s="15" t="n">
        <f aca="false">B139/Summary!$B$5-1</f>
        <v>-0.0563421555370046</v>
      </c>
    </row>
    <row r="140" customFormat="false" ht="15" hidden="false" customHeight="false" outlineLevel="0" collapsed="false">
      <c r="A140" s="0" t="n">
        <v>139</v>
      </c>
      <c r="B140" s="14" t="n">
        <v>89910.0008551957</v>
      </c>
      <c r="C140" s="15" t="n">
        <v>0.147995168509441</v>
      </c>
      <c r="D140" s="14" t="n">
        <f aca="false">Summary!$B$5-B140</f>
        <v>10089.9991448043</v>
      </c>
      <c r="E140" s="15" t="n">
        <f aca="false">B140/Summary!$B$5-1</f>
        <v>-0.100899991448043</v>
      </c>
    </row>
    <row r="141" customFormat="false" ht="15" hidden="false" customHeight="false" outlineLevel="0" collapsed="false">
      <c r="A141" s="0" t="n">
        <v>140</v>
      </c>
      <c r="B141" s="14" t="n">
        <v>111266.673411754</v>
      </c>
      <c r="C141" s="15" t="n">
        <v>0.0790793325614673</v>
      </c>
      <c r="D141" s="14" t="n">
        <f aca="false">Summary!$B$5-B141</f>
        <v>-11266.6734117538</v>
      </c>
      <c r="E141" s="15" t="n">
        <f aca="false">B141/Summary!$B$5-1</f>
        <v>0.112666734117538</v>
      </c>
    </row>
    <row r="142" customFormat="false" ht="15" hidden="false" customHeight="false" outlineLevel="0" collapsed="false">
      <c r="A142" s="0" t="n">
        <v>141</v>
      </c>
      <c r="B142" s="14" t="n">
        <v>100665.166547998</v>
      </c>
      <c r="C142" s="15" t="n">
        <v>0.115001441579005</v>
      </c>
      <c r="D142" s="14" t="n">
        <f aca="false">Summary!$B$5-B142</f>
        <v>-665.166547998102</v>
      </c>
      <c r="E142" s="15" t="n">
        <f aca="false">B142/Summary!$B$5-1</f>
        <v>0.00665166547998108</v>
      </c>
    </row>
    <row r="143" customFormat="false" ht="15" hidden="false" customHeight="false" outlineLevel="0" collapsed="false">
      <c r="A143" s="0" t="n">
        <v>142</v>
      </c>
      <c r="B143" s="14" t="n">
        <v>111156.522391296</v>
      </c>
      <c r="C143" s="15" t="n">
        <v>0.10833201475731</v>
      </c>
      <c r="D143" s="14" t="n">
        <f aca="false">Summary!$B$5-B143</f>
        <v>-11156.5223912963</v>
      </c>
      <c r="E143" s="15" t="n">
        <f aca="false">B143/Summary!$B$5-1</f>
        <v>0.111565223912963</v>
      </c>
    </row>
    <row r="144" customFormat="false" ht="15" hidden="false" customHeight="false" outlineLevel="0" collapsed="false">
      <c r="A144" s="0" t="n">
        <v>143</v>
      </c>
      <c r="B144" s="14" t="n">
        <v>82614.3363742653</v>
      </c>
      <c r="C144" s="15" t="n">
        <v>0.244974507545215</v>
      </c>
      <c r="D144" s="14" t="n">
        <f aca="false">Summary!$B$5-B144</f>
        <v>17385.6636257347</v>
      </c>
      <c r="E144" s="15" t="n">
        <f aca="false">B144/Summary!$B$5-1</f>
        <v>-0.173856636257347</v>
      </c>
    </row>
    <row r="145" customFormat="false" ht="15" hidden="false" customHeight="false" outlineLevel="0" collapsed="false">
      <c r="A145" s="0" t="n">
        <v>144</v>
      </c>
      <c r="B145" s="14" t="n">
        <v>109327.246926307</v>
      </c>
      <c r="C145" s="15" t="n">
        <v>0.131335266521523</v>
      </c>
      <c r="D145" s="14" t="n">
        <f aca="false">Summary!$B$5-B145</f>
        <v>-9327.2469263067</v>
      </c>
      <c r="E145" s="15" t="n">
        <f aca="false">B145/Summary!$B$5-1</f>
        <v>0.0932724692630671</v>
      </c>
    </row>
    <row r="146" customFormat="false" ht="15" hidden="false" customHeight="false" outlineLevel="0" collapsed="false">
      <c r="A146" s="0" t="n">
        <v>145</v>
      </c>
      <c r="B146" s="14" t="n">
        <v>108323.162940024</v>
      </c>
      <c r="C146" s="15" t="n">
        <v>0.088974620052275</v>
      </c>
      <c r="D146" s="14" t="n">
        <f aca="false">Summary!$B$5-B146</f>
        <v>-8323.16294002401</v>
      </c>
      <c r="E146" s="15" t="n">
        <f aca="false">B146/Summary!$B$5-1</f>
        <v>0.08323162940024</v>
      </c>
    </row>
    <row r="147" customFormat="false" ht="15" hidden="false" customHeight="false" outlineLevel="0" collapsed="false">
      <c r="A147" s="0" t="n">
        <v>146</v>
      </c>
      <c r="B147" s="14" t="n">
        <v>98003.5204281882</v>
      </c>
      <c r="C147" s="15" t="n">
        <v>0.0949809536206157</v>
      </c>
      <c r="D147" s="14" t="n">
        <f aca="false">Summary!$B$5-B147</f>
        <v>1996.47957181185</v>
      </c>
      <c r="E147" s="15" t="n">
        <f aca="false">B147/Summary!$B$5-1</f>
        <v>-0.0199647957181186</v>
      </c>
    </row>
    <row r="148" customFormat="false" ht="15" hidden="false" customHeight="false" outlineLevel="0" collapsed="false">
      <c r="A148" s="0" t="n">
        <v>147</v>
      </c>
      <c r="B148" s="14" t="n">
        <v>120666.652014341</v>
      </c>
      <c r="C148" s="15" t="n">
        <v>0.0514395511743833</v>
      </c>
      <c r="D148" s="14" t="n">
        <f aca="false">Summary!$B$5-B148</f>
        <v>-20666.6520143414</v>
      </c>
      <c r="E148" s="15" t="n">
        <f aca="false">B148/Summary!$B$5-1</f>
        <v>0.206666520143414</v>
      </c>
    </row>
    <row r="149" customFormat="false" ht="15" hidden="false" customHeight="false" outlineLevel="0" collapsed="false">
      <c r="A149" s="0" t="n">
        <v>148</v>
      </c>
      <c r="B149" s="14" t="n">
        <v>112634.874935998</v>
      </c>
      <c r="C149" s="15" t="n">
        <v>0.0661466118399428</v>
      </c>
      <c r="D149" s="14" t="n">
        <f aca="false">Summary!$B$5-B149</f>
        <v>-12634.8749359984</v>
      </c>
      <c r="E149" s="15" t="n">
        <f aca="false">B149/Summary!$B$5-1</f>
        <v>0.126348749359984</v>
      </c>
    </row>
    <row r="150" customFormat="false" ht="15" hidden="false" customHeight="false" outlineLevel="0" collapsed="false">
      <c r="A150" s="0" t="n">
        <v>149</v>
      </c>
      <c r="B150" s="14" t="n">
        <v>108557.24859283</v>
      </c>
      <c r="C150" s="15" t="n">
        <v>0.094376352617691</v>
      </c>
      <c r="D150" s="14" t="n">
        <f aca="false">Summary!$B$5-B150</f>
        <v>-8557.2485928299</v>
      </c>
      <c r="E150" s="15" t="n">
        <f aca="false">B150/Summary!$B$5-1</f>
        <v>0.0855724859282989</v>
      </c>
    </row>
    <row r="151" customFormat="false" ht="15" hidden="false" customHeight="false" outlineLevel="0" collapsed="false">
      <c r="A151" s="0" t="n">
        <v>150</v>
      </c>
      <c r="B151" s="14" t="n">
        <v>90401.4225887602</v>
      </c>
      <c r="C151" s="15" t="n">
        <v>0.173253727413357</v>
      </c>
      <c r="D151" s="14" t="n">
        <f aca="false">Summary!$B$5-B151</f>
        <v>9598.57741123981</v>
      </c>
      <c r="E151" s="15" t="n">
        <f aca="false">B151/Summary!$B$5-1</f>
        <v>-0.0959857741123981</v>
      </c>
    </row>
    <row r="152" customFormat="false" ht="15" hidden="false" customHeight="false" outlineLevel="0" collapsed="false">
      <c r="A152" s="0" t="n">
        <v>151</v>
      </c>
      <c r="B152" s="14" t="n">
        <v>91198.9899309727</v>
      </c>
      <c r="C152" s="15" t="n">
        <v>0.143570192202976</v>
      </c>
      <c r="D152" s="14" t="n">
        <f aca="false">Summary!$B$5-B152</f>
        <v>8801.01006902734</v>
      </c>
      <c r="E152" s="15" t="n">
        <f aca="false">B152/Summary!$B$5-1</f>
        <v>-0.0880101006902734</v>
      </c>
    </row>
    <row r="153" customFormat="false" ht="15" hidden="false" customHeight="false" outlineLevel="0" collapsed="false">
      <c r="A153" s="0" t="n">
        <v>152</v>
      </c>
      <c r="B153" s="14" t="n">
        <v>110016.007495871</v>
      </c>
      <c r="C153" s="15" t="n">
        <v>0.0765388469797339</v>
      </c>
      <c r="D153" s="14" t="n">
        <f aca="false">Summary!$B$5-B153</f>
        <v>-10016.0074958712</v>
      </c>
      <c r="E153" s="15" t="n">
        <f aca="false">B153/Summary!$B$5-1</f>
        <v>0.100160074958712</v>
      </c>
    </row>
    <row r="154" customFormat="false" ht="15" hidden="false" customHeight="false" outlineLevel="0" collapsed="false">
      <c r="A154" s="0" t="n">
        <v>153</v>
      </c>
      <c r="B154" s="14" t="n">
        <v>95485.6251088746</v>
      </c>
      <c r="C154" s="15" t="n">
        <v>0.118120615187401</v>
      </c>
      <c r="D154" s="14" t="n">
        <f aca="false">Summary!$B$5-B154</f>
        <v>4514.37489112544</v>
      </c>
      <c r="E154" s="15" t="n">
        <f aca="false">B154/Summary!$B$5-1</f>
        <v>-0.0451437489112544</v>
      </c>
    </row>
    <row r="155" customFormat="false" ht="15" hidden="false" customHeight="false" outlineLevel="0" collapsed="false">
      <c r="A155" s="0" t="n">
        <v>154</v>
      </c>
      <c r="B155" s="14" t="n">
        <v>128716.15004899</v>
      </c>
      <c r="C155" s="15" t="n">
        <v>0.0471777683285763</v>
      </c>
      <c r="D155" s="14" t="n">
        <f aca="false">Summary!$B$5-B155</f>
        <v>-28716.1500489896</v>
      </c>
      <c r="E155" s="15" t="n">
        <f aca="false">B155/Summary!$B$5-1</f>
        <v>0.287161500489896</v>
      </c>
    </row>
    <row r="156" customFormat="false" ht="15" hidden="false" customHeight="false" outlineLevel="0" collapsed="false">
      <c r="A156" s="0" t="n">
        <v>155</v>
      </c>
      <c r="B156" s="14" t="n">
        <v>110211.552346894</v>
      </c>
      <c r="C156" s="15" t="n">
        <v>0.0919799656098911</v>
      </c>
      <c r="D156" s="14" t="n">
        <f aca="false">Summary!$B$5-B156</f>
        <v>-10211.5523468943</v>
      </c>
      <c r="E156" s="15" t="n">
        <f aca="false">B156/Summary!$B$5-1</f>
        <v>0.102115523468943</v>
      </c>
    </row>
    <row r="157" customFormat="false" ht="15" hidden="false" customHeight="false" outlineLevel="0" collapsed="false">
      <c r="A157" s="0" t="n">
        <v>156</v>
      </c>
      <c r="B157" s="14" t="n">
        <v>112808.791812655</v>
      </c>
      <c r="C157" s="15" t="n">
        <v>0.117405575229416</v>
      </c>
      <c r="D157" s="14" t="n">
        <f aca="false">Summary!$B$5-B157</f>
        <v>-12808.7918126547</v>
      </c>
      <c r="E157" s="15" t="n">
        <f aca="false">B157/Summary!$B$5-1</f>
        <v>0.128087918126547</v>
      </c>
    </row>
    <row r="158" customFormat="false" ht="15" hidden="false" customHeight="false" outlineLevel="0" collapsed="false">
      <c r="A158" s="0" t="n">
        <v>157</v>
      </c>
      <c r="B158" s="14" t="n">
        <v>110693.987923689</v>
      </c>
      <c r="C158" s="15" t="n">
        <v>0.079736604575993</v>
      </c>
      <c r="D158" s="14" t="n">
        <f aca="false">Summary!$B$5-B158</f>
        <v>-10693.9879236885</v>
      </c>
      <c r="E158" s="15" t="n">
        <f aca="false">B158/Summary!$B$5-1</f>
        <v>0.106939879236885</v>
      </c>
    </row>
    <row r="159" customFormat="false" ht="15" hidden="false" customHeight="false" outlineLevel="0" collapsed="false">
      <c r="A159" s="0" t="n">
        <v>158</v>
      </c>
      <c r="B159" s="14" t="n">
        <v>141165.357998775</v>
      </c>
      <c r="C159" s="15" t="n">
        <v>0.0563560091191111</v>
      </c>
      <c r="D159" s="14" t="n">
        <f aca="false">Summary!$B$5-B159</f>
        <v>-41165.3579987745</v>
      </c>
      <c r="E159" s="15" t="n">
        <f aca="false">B159/Summary!$B$5-1</f>
        <v>0.411653579987745</v>
      </c>
    </row>
    <row r="160" customFormat="false" ht="15" hidden="false" customHeight="false" outlineLevel="0" collapsed="false">
      <c r="A160" s="0" t="n">
        <v>159</v>
      </c>
      <c r="B160" s="14" t="n">
        <v>93687.9297123739</v>
      </c>
      <c r="C160" s="15" t="n">
        <v>0.122121314938578</v>
      </c>
      <c r="D160" s="14" t="n">
        <f aca="false">Summary!$B$5-B160</f>
        <v>6312.07028762615</v>
      </c>
      <c r="E160" s="15" t="n">
        <f aca="false">B160/Summary!$B$5-1</f>
        <v>-0.0631207028762615</v>
      </c>
    </row>
    <row r="161" customFormat="false" ht="15" hidden="false" customHeight="false" outlineLevel="0" collapsed="false">
      <c r="A161" s="0" t="n">
        <v>160</v>
      </c>
      <c r="B161" s="14" t="n">
        <v>126481.749509727</v>
      </c>
      <c r="C161" s="15" t="n">
        <v>0.0853627915383451</v>
      </c>
      <c r="D161" s="14" t="n">
        <f aca="false">Summary!$B$5-B161</f>
        <v>-26481.7495097273</v>
      </c>
      <c r="E161" s="15" t="n">
        <f aca="false">B161/Summary!$B$5-1</f>
        <v>0.264817495097273</v>
      </c>
    </row>
    <row r="162" customFormat="false" ht="15" hidden="false" customHeight="false" outlineLevel="0" collapsed="false">
      <c r="A162" s="0" t="n">
        <v>161</v>
      </c>
      <c r="B162" s="14" t="n">
        <v>114767.022273434</v>
      </c>
      <c r="C162" s="15" t="n">
        <v>0.0658156042186835</v>
      </c>
      <c r="D162" s="14" t="n">
        <f aca="false">Summary!$B$5-B162</f>
        <v>-14767.0222734339</v>
      </c>
      <c r="E162" s="15" t="n">
        <f aca="false">B162/Summary!$B$5-1</f>
        <v>0.147670222734339</v>
      </c>
    </row>
    <row r="163" customFormat="false" ht="15" hidden="false" customHeight="false" outlineLevel="0" collapsed="false">
      <c r="A163" s="0" t="n">
        <v>162</v>
      </c>
      <c r="B163" s="14" t="n">
        <v>118281.152273265</v>
      </c>
      <c r="C163" s="15" t="n">
        <v>0.071808326060357</v>
      </c>
      <c r="D163" s="14" t="n">
        <f aca="false">Summary!$B$5-B163</f>
        <v>-18281.1522732653</v>
      </c>
      <c r="E163" s="15" t="n">
        <f aca="false">B163/Summary!$B$5-1</f>
        <v>0.182811522732653</v>
      </c>
    </row>
    <row r="164" customFormat="false" ht="15" hidden="false" customHeight="false" outlineLevel="0" collapsed="false">
      <c r="A164" s="0" t="n">
        <v>163</v>
      </c>
      <c r="B164" s="14" t="n">
        <v>125798.321407376</v>
      </c>
      <c r="C164" s="15" t="n">
        <v>0.0477413919173211</v>
      </c>
      <c r="D164" s="14" t="n">
        <f aca="false">Summary!$B$5-B164</f>
        <v>-25798.3214073757</v>
      </c>
      <c r="E164" s="15" t="n">
        <f aca="false">B164/Summary!$B$5-1</f>
        <v>0.257983214073757</v>
      </c>
    </row>
    <row r="165" customFormat="false" ht="15" hidden="false" customHeight="false" outlineLevel="0" collapsed="false">
      <c r="A165" s="0" t="n">
        <v>164</v>
      </c>
      <c r="B165" s="14" t="n">
        <v>93145.3628189102</v>
      </c>
      <c r="C165" s="15" t="n">
        <v>0.0982239067934433</v>
      </c>
      <c r="D165" s="14" t="n">
        <f aca="false">Summary!$B$5-B165</f>
        <v>6854.63718108978</v>
      </c>
      <c r="E165" s="15" t="n">
        <f aca="false">B165/Summary!$B$5-1</f>
        <v>-0.0685463718108978</v>
      </c>
    </row>
    <row r="166" customFormat="false" ht="15" hidden="false" customHeight="false" outlineLevel="0" collapsed="false">
      <c r="A166" s="0" t="n">
        <v>165</v>
      </c>
      <c r="B166" s="14" t="n">
        <v>110171.311124252</v>
      </c>
      <c r="C166" s="15" t="n">
        <v>0.0691740918374845</v>
      </c>
      <c r="D166" s="14" t="n">
        <f aca="false">Summary!$B$5-B166</f>
        <v>-10171.3111242515</v>
      </c>
      <c r="E166" s="15" t="n">
        <f aca="false">B166/Summary!$B$5-1</f>
        <v>0.101713111242515</v>
      </c>
    </row>
    <row r="167" customFormat="false" ht="15" hidden="false" customHeight="false" outlineLevel="0" collapsed="false">
      <c r="A167" s="0" t="n">
        <v>166</v>
      </c>
      <c r="B167" s="14" t="n">
        <v>95125.5448668782</v>
      </c>
      <c r="C167" s="15" t="n">
        <v>0.180555871906741</v>
      </c>
      <c r="D167" s="14" t="n">
        <f aca="false">Summary!$B$5-B167</f>
        <v>4874.4551331218</v>
      </c>
      <c r="E167" s="15" t="n">
        <f aca="false">B167/Summary!$B$5-1</f>
        <v>-0.0487445513312179</v>
      </c>
    </row>
    <row r="168" customFormat="false" ht="15" hidden="false" customHeight="false" outlineLevel="0" collapsed="false">
      <c r="A168" s="0" t="n">
        <v>167</v>
      </c>
      <c r="B168" s="14" t="n">
        <v>117446.395099108</v>
      </c>
      <c r="C168" s="15" t="n">
        <v>0.0957765360743489</v>
      </c>
      <c r="D168" s="14" t="n">
        <f aca="false">Summary!$B$5-B168</f>
        <v>-17446.3950991077</v>
      </c>
      <c r="E168" s="15" t="n">
        <f aca="false">B168/Summary!$B$5-1</f>
        <v>0.174463950991077</v>
      </c>
    </row>
    <row r="169" customFormat="false" ht="15" hidden="false" customHeight="false" outlineLevel="0" collapsed="false">
      <c r="A169" s="0" t="n">
        <v>168</v>
      </c>
      <c r="B169" s="14" t="n">
        <v>85356.6700891094</v>
      </c>
      <c r="C169" s="15" t="n">
        <v>0.16259140208103</v>
      </c>
      <c r="D169" s="14" t="n">
        <f aca="false">Summary!$B$5-B169</f>
        <v>14643.3299108907</v>
      </c>
      <c r="E169" s="15" t="n">
        <f aca="false">B169/Summary!$B$5-1</f>
        <v>-0.146433299108906</v>
      </c>
    </row>
    <row r="170" customFormat="false" ht="15" hidden="false" customHeight="false" outlineLevel="0" collapsed="false">
      <c r="A170" s="0" t="n">
        <v>169</v>
      </c>
      <c r="B170" s="14" t="n">
        <v>113332.407562466</v>
      </c>
      <c r="C170" s="15" t="n">
        <v>0.0649930053873047</v>
      </c>
      <c r="D170" s="14" t="n">
        <f aca="false">Summary!$B$5-B170</f>
        <v>-13332.407562466</v>
      </c>
      <c r="E170" s="15" t="n">
        <f aca="false">B170/Summary!$B$5-1</f>
        <v>0.13332407562466</v>
      </c>
    </row>
    <row r="171" customFormat="false" ht="15" hidden="false" customHeight="false" outlineLevel="0" collapsed="false">
      <c r="A171" s="0" t="n">
        <v>170</v>
      </c>
      <c r="B171" s="14" t="n">
        <v>108739.440690336</v>
      </c>
      <c r="C171" s="15" t="n">
        <v>0.0932273509448289</v>
      </c>
      <c r="D171" s="14" t="n">
        <f aca="false">Summary!$B$5-B171</f>
        <v>-8739.4406903364</v>
      </c>
      <c r="E171" s="15" t="n">
        <f aca="false">B171/Summary!$B$5-1</f>
        <v>0.0873944069033641</v>
      </c>
    </row>
    <row r="172" customFormat="false" ht="15" hidden="false" customHeight="false" outlineLevel="0" collapsed="false">
      <c r="A172" s="0" t="n">
        <v>171</v>
      </c>
      <c r="B172" s="14" t="n">
        <v>120073.952979089</v>
      </c>
      <c r="C172" s="15" t="n">
        <v>0.0499468242337399</v>
      </c>
      <c r="D172" s="14" t="n">
        <f aca="false">Summary!$B$5-B172</f>
        <v>-20073.9529790886</v>
      </c>
      <c r="E172" s="15" t="n">
        <f aca="false">B172/Summary!$B$5-1</f>
        <v>0.200739529790886</v>
      </c>
    </row>
    <row r="173" customFormat="false" ht="15" hidden="false" customHeight="false" outlineLevel="0" collapsed="false">
      <c r="A173" s="0" t="n">
        <v>172</v>
      </c>
      <c r="B173" s="14" t="n">
        <v>116723.453969007</v>
      </c>
      <c r="C173" s="15" t="n">
        <v>0.0671425879123099</v>
      </c>
      <c r="D173" s="14" t="n">
        <f aca="false">Summary!$B$5-B173</f>
        <v>-16723.4539690073</v>
      </c>
      <c r="E173" s="15" t="n">
        <f aca="false">B173/Summary!$B$5-1</f>
        <v>0.167234539690073</v>
      </c>
    </row>
    <row r="174" customFormat="false" ht="15" hidden="false" customHeight="false" outlineLevel="0" collapsed="false">
      <c r="A174" s="0" t="n">
        <v>173</v>
      </c>
      <c r="B174" s="14" t="n">
        <v>86227.9285234041</v>
      </c>
      <c r="C174" s="15" t="n">
        <v>0.188442532812846</v>
      </c>
      <c r="D174" s="14" t="n">
        <f aca="false">Summary!$B$5-B174</f>
        <v>13772.0714765959</v>
      </c>
      <c r="E174" s="15" t="n">
        <f aca="false">B174/Summary!$B$5-1</f>
        <v>-0.137720714765959</v>
      </c>
    </row>
    <row r="175" customFormat="false" ht="15" hidden="false" customHeight="false" outlineLevel="0" collapsed="false">
      <c r="A175" s="0" t="n">
        <v>174</v>
      </c>
      <c r="B175" s="14" t="n">
        <v>83339.5389621082</v>
      </c>
      <c r="C175" s="15" t="n">
        <v>0.211172552106947</v>
      </c>
      <c r="D175" s="14" t="n">
        <f aca="false">Summary!$B$5-B175</f>
        <v>16660.4610378918</v>
      </c>
      <c r="E175" s="15" t="n">
        <f aca="false">B175/Summary!$B$5-1</f>
        <v>-0.166604610378918</v>
      </c>
    </row>
    <row r="176" customFormat="false" ht="15" hidden="false" customHeight="false" outlineLevel="0" collapsed="false">
      <c r="A176" s="0" t="n">
        <v>175</v>
      </c>
      <c r="B176" s="14" t="n">
        <v>104339.285640137</v>
      </c>
      <c r="C176" s="15" t="n">
        <v>0.138062213154514</v>
      </c>
      <c r="D176" s="14" t="n">
        <f aca="false">Summary!$B$5-B176</f>
        <v>-4339.28564013691</v>
      </c>
      <c r="E176" s="15" t="n">
        <f aca="false">B176/Summary!$B$5-1</f>
        <v>0.043392856401369</v>
      </c>
    </row>
    <row r="177" customFormat="false" ht="15" hidden="false" customHeight="false" outlineLevel="0" collapsed="false">
      <c r="A177" s="0" t="n">
        <v>176</v>
      </c>
      <c r="B177" s="14" t="n">
        <v>116498.000074177</v>
      </c>
      <c r="C177" s="15" t="n">
        <v>0.0642614869515247</v>
      </c>
      <c r="D177" s="14" t="n">
        <f aca="false">Summary!$B$5-B177</f>
        <v>-16498.0000741765</v>
      </c>
      <c r="E177" s="15" t="n">
        <f aca="false">B177/Summary!$B$5-1</f>
        <v>0.164980000741765</v>
      </c>
    </row>
    <row r="178" customFormat="false" ht="15" hidden="false" customHeight="false" outlineLevel="0" collapsed="false">
      <c r="A178" s="0" t="n">
        <v>177</v>
      </c>
      <c r="B178" s="14" t="n">
        <v>96875.7391950316</v>
      </c>
      <c r="C178" s="15" t="n">
        <v>0.121215382247656</v>
      </c>
      <c r="D178" s="14" t="n">
        <f aca="false">Summary!$B$5-B178</f>
        <v>3124.26080496839</v>
      </c>
      <c r="E178" s="15" t="n">
        <f aca="false">B178/Summary!$B$5-1</f>
        <v>-0.0312426080496839</v>
      </c>
    </row>
    <row r="179" customFormat="false" ht="15" hidden="false" customHeight="false" outlineLevel="0" collapsed="false">
      <c r="A179" s="0" t="n">
        <v>178</v>
      </c>
      <c r="B179" s="14" t="n">
        <v>143026.038294071</v>
      </c>
      <c r="C179" s="15" t="n">
        <v>0.0590432423539707</v>
      </c>
      <c r="D179" s="14" t="n">
        <f aca="false">Summary!$B$5-B179</f>
        <v>-43026.038294071</v>
      </c>
      <c r="E179" s="15" t="n">
        <f aca="false">B179/Summary!$B$5-1</f>
        <v>0.43026038294071</v>
      </c>
    </row>
    <row r="180" customFormat="false" ht="15" hidden="false" customHeight="false" outlineLevel="0" collapsed="false">
      <c r="A180" s="0" t="n">
        <v>179</v>
      </c>
      <c r="B180" s="14" t="n">
        <v>114821.00667243</v>
      </c>
      <c r="C180" s="15" t="n">
        <v>0.0593313098039972</v>
      </c>
      <c r="D180" s="14" t="n">
        <f aca="false">Summary!$B$5-B180</f>
        <v>-14821.0066724303</v>
      </c>
      <c r="E180" s="15" t="n">
        <f aca="false">B180/Summary!$B$5-1</f>
        <v>0.148210066724303</v>
      </c>
    </row>
    <row r="181" customFormat="false" ht="15" hidden="false" customHeight="false" outlineLevel="0" collapsed="false">
      <c r="A181" s="0" t="n">
        <v>180</v>
      </c>
      <c r="B181" s="14" t="n">
        <v>99610.8139718203</v>
      </c>
      <c r="C181" s="15" t="n">
        <v>0.12305719816644</v>
      </c>
      <c r="D181" s="14" t="n">
        <f aca="false">Summary!$B$5-B181</f>
        <v>389.186028179713</v>
      </c>
      <c r="E181" s="15" t="n">
        <f aca="false">B181/Summary!$B$5-1</f>
        <v>-0.00389186028179711</v>
      </c>
    </row>
    <row r="182" customFormat="false" ht="15" hidden="false" customHeight="false" outlineLevel="0" collapsed="false">
      <c r="A182" s="0" t="n">
        <v>181</v>
      </c>
      <c r="B182" s="14" t="n">
        <v>103087.508662954</v>
      </c>
      <c r="C182" s="15" t="n">
        <v>0.0783807492270546</v>
      </c>
      <c r="D182" s="14" t="n">
        <f aca="false">Summary!$B$5-B182</f>
        <v>-3087.50866295351</v>
      </c>
      <c r="E182" s="15" t="n">
        <f aca="false">B182/Summary!$B$5-1</f>
        <v>0.0308750866295351</v>
      </c>
    </row>
    <row r="183" customFormat="false" ht="15" hidden="false" customHeight="false" outlineLevel="0" collapsed="false">
      <c r="A183" s="0" t="n">
        <v>182</v>
      </c>
      <c r="B183" s="14" t="n">
        <v>102722.722007613</v>
      </c>
      <c r="C183" s="15" t="n">
        <v>0.0917457582359594</v>
      </c>
      <c r="D183" s="14" t="n">
        <f aca="false">Summary!$B$5-B183</f>
        <v>-2722.72200761321</v>
      </c>
      <c r="E183" s="15" t="n">
        <f aca="false">B183/Summary!$B$5-1</f>
        <v>0.0272272200761321</v>
      </c>
    </row>
    <row r="184" customFormat="false" ht="15" hidden="false" customHeight="false" outlineLevel="0" collapsed="false">
      <c r="A184" s="0" t="n">
        <v>183</v>
      </c>
      <c r="B184" s="14" t="n">
        <v>116819.30828385</v>
      </c>
      <c r="C184" s="15" t="n">
        <v>0.0721042591068278</v>
      </c>
      <c r="D184" s="14" t="n">
        <f aca="false">Summary!$B$5-B184</f>
        <v>-16819.3082838503</v>
      </c>
      <c r="E184" s="15" t="n">
        <f aca="false">B184/Summary!$B$5-1</f>
        <v>0.168193082838503</v>
      </c>
    </row>
    <row r="185" customFormat="false" ht="15" hidden="false" customHeight="false" outlineLevel="0" collapsed="false">
      <c r="A185" s="0" t="n">
        <v>184</v>
      </c>
      <c r="B185" s="14" t="n">
        <v>98474.1545179516</v>
      </c>
      <c r="C185" s="15" t="n">
        <v>0.128012798623302</v>
      </c>
      <c r="D185" s="14" t="n">
        <f aca="false">Summary!$B$5-B185</f>
        <v>1525.84548204842</v>
      </c>
      <c r="E185" s="15" t="n">
        <f aca="false">B185/Summary!$B$5-1</f>
        <v>-0.0152584548204842</v>
      </c>
    </row>
    <row r="186" customFormat="false" ht="15" hidden="false" customHeight="false" outlineLevel="0" collapsed="false">
      <c r="A186" s="0" t="n">
        <v>185</v>
      </c>
      <c r="B186" s="14" t="n">
        <v>163379.004202823</v>
      </c>
      <c r="C186" s="15" t="n">
        <v>0.0514899818158823</v>
      </c>
      <c r="D186" s="14" t="n">
        <f aca="false">Summary!$B$5-B186</f>
        <v>-63379.0042028225</v>
      </c>
      <c r="E186" s="15" t="n">
        <f aca="false">B186/Summary!$B$5-1</f>
        <v>0.633790042028225</v>
      </c>
    </row>
    <row r="187" customFormat="false" ht="15" hidden="false" customHeight="false" outlineLevel="0" collapsed="false">
      <c r="A187" s="0" t="n">
        <v>186</v>
      </c>
      <c r="B187" s="14" t="n">
        <v>108686.226020987</v>
      </c>
      <c r="C187" s="15" t="n">
        <v>0.0588765462589589</v>
      </c>
      <c r="D187" s="14" t="n">
        <f aca="false">Summary!$B$5-B187</f>
        <v>-8686.22602098651</v>
      </c>
      <c r="E187" s="15" t="n">
        <f aca="false">B187/Summary!$B$5-1</f>
        <v>0.086862260209865</v>
      </c>
    </row>
    <row r="188" customFormat="false" ht="15" hidden="false" customHeight="false" outlineLevel="0" collapsed="false">
      <c r="A188" s="0" t="n">
        <v>187</v>
      </c>
      <c r="B188" s="14" t="n">
        <v>95416.781992663</v>
      </c>
      <c r="C188" s="15" t="n">
        <v>0.162686415354428</v>
      </c>
      <c r="D188" s="14" t="n">
        <f aca="false">Summary!$B$5-B188</f>
        <v>4583.21800733698</v>
      </c>
      <c r="E188" s="15" t="n">
        <f aca="false">B188/Summary!$B$5-1</f>
        <v>-0.0458321800733699</v>
      </c>
    </row>
    <row r="189" customFormat="false" ht="15" hidden="false" customHeight="false" outlineLevel="0" collapsed="false">
      <c r="A189" s="0" t="n">
        <v>188</v>
      </c>
      <c r="B189" s="14" t="n">
        <v>118930.56839913</v>
      </c>
      <c r="C189" s="15" t="n">
        <v>0.0779487314847154</v>
      </c>
      <c r="D189" s="14" t="n">
        <f aca="false">Summary!$B$5-B189</f>
        <v>-18930.5683991302</v>
      </c>
      <c r="E189" s="15" t="n">
        <f aca="false">B189/Summary!$B$5-1</f>
        <v>0.189305683991302</v>
      </c>
    </row>
    <row r="190" customFormat="false" ht="15" hidden="false" customHeight="false" outlineLevel="0" collapsed="false">
      <c r="A190" s="0" t="n">
        <v>189</v>
      </c>
      <c r="B190" s="14" t="n">
        <v>97438.5953706458</v>
      </c>
      <c r="C190" s="15" t="n">
        <v>0.117388224180099</v>
      </c>
      <c r="D190" s="14" t="n">
        <f aca="false">Summary!$B$5-B190</f>
        <v>2561.40462935422</v>
      </c>
      <c r="E190" s="15" t="n">
        <f aca="false">B190/Summary!$B$5-1</f>
        <v>-0.0256140462935422</v>
      </c>
    </row>
    <row r="191" customFormat="false" ht="15" hidden="false" customHeight="false" outlineLevel="0" collapsed="false">
      <c r="A191" s="0" t="n">
        <v>190</v>
      </c>
      <c r="B191" s="14" t="n">
        <v>107513.251841479</v>
      </c>
      <c r="C191" s="15" t="n">
        <v>0.0819360247047253</v>
      </c>
      <c r="D191" s="14" t="n">
        <f aca="false">Summary!$B$5-B191</f>
        <v>-7513.25184147881</v>
      </c>
      <c r="E191" s="15" t="n">
        <f aca="false">B191/Summary!$B$5-1</f>
        <v>0.075132518414788</v>
      </c>
    </row>
    <row r="192" customFormat="false" ht="15" hidden="false" customHeight="false" outlineLevel="0" collapsed="false">
      <c r="A192" s="0" t="n">
        <v>191</v>
      </c>
      <c r="B192" s="14" t="n">
        <v>108297.159455797</v>
      </c>
      <c r="C192" s="15" t="n">
        <v>0.0694646747421072</v>
      </c>
      <c r="D192" s="14" t="n">
        <f aca="false">Summary!$B$5-B192</f>
        <v>-8297.1594557966</v>
      </c>
      <c r="E192" s="15" t="n">
        <f aca="false">B192/Summary!$B$5-1</f>
        <v>0.0829715945579661</v>
      </c>
    </row>
    <row r="193" customFormat="false" ht="15" hidden="false" customHeight="false" outlineLevel="0" collapsed="false">
      <c r="A193" s="0" t="n">
        <v>192</v>
      </c>
      <c r="B193" s="14" t="n">
        <v>94591.0319755418</v>
      </c>
      <c r="C193" s="15" t="n">
        <v>0.165968467302496</v>
      </c>
      <c r="D193" s="14" t="n">
        <f aca="false">Summary!$B$5-B193</f>
        <v>5408.96802445824</v>
      </c>
      <c r="E193" s="15" t="n">
        <f aca="false">B193/Summary!$B$5-1</f>
        <v>-0.0540896802445824</v>
      </c>
    </row>
    <row r="194" customFormat="false" ht="15" hidden="false" customHeight="false" outlineLevel="0" collapsed="false">
      <c r="A194" s="0" t="n">
        <v>193</v>
      </c>
      <c r="B194" s="14" t="n">
        <v>87783.1889979237</v>
      </c>
      <c r="C194" s="15" t="n">
        <v>0.177645074300754</v>
      </c>
      <c r="D194" s="14" t="n">
        <f aca="false">Summary!$B$5-B194</f>
        <v>12216.8110020763</v>
      </c>
      <c r="E194" s="15" t="n">
        <f aca="false">B194/Summary!$B$5-1</f>
        <v>-0.122168110020763</v>
      </c>
    </row>
    <row r="195" customFormat="false" ht="15" hidden="false" customHeight="false" outlineLevel="0" collapsed="false">
      <c r="A195" s="0" t="n">
        <v>194</v>
      </c>
      <c r="B195" s="14" t="n">
        <v>109084.01014686</v>
      </c>
      <c r="C195" s="15" t="n">
        <v>0.10583638983538</v>
      </c>
      <c r="D195" s="14" t="n">
        <f aca="false">Summary!$B$5-B195</f>
        <v>-9084.0101468603</v>
      </c>
      <c r="E195" s="15" t="n">
        <f aca="false">B195/Summary!$B$5-1</f>
        <v>0.0908401014686029</v>
      </c>
    </row>
    <row r="196" customFormat="false" ht="15" hidden="false" customHeight="false" outlineLevel="0" collapsed="false">
      <c r="A196" s="0" t="n">
        <v>195</v>
      </c>
      <c r="B196" s="14" t="n">
        <v>121552.781921977</v>
      </c>
      <c r="C196" s="15" t="n">
        <v>0.111350848828237</v>
      </c>
      <c r="D196" s="14" t="n">
        <f aca="false">Summary!$B$5-B196</f>
        <v>-21552.781921977</v>
      </c>
      <c r="E196" s="15" t="n">
        <f aca="false">B196/Summary!$B$5-1</f>
        <v>0.21552781921977</v>
      </c>
    </row>
    <row r="197" customFormat="false" ht="15" hidden="false" customHeight="false" outlineLevel="0" collapsed="false">
      <c r="A197" s="0" t="n">
        <v>196</v>
      </c>
      <c r="B197" s="14" t="n">
        <v>118524.998154552</v>
      </c>
      <c r="C197" s="15" t="n">
        <v>0.0421299709216966</v>
      </c>
      <c r="D197" s="14" t="n">
        <f aca="false">Summary!$B$5-B197</f>
        <v>-18524.9981545516</v>
      </c>
      <c r="E197" s="15" t="n">
        <f aca="false">B197/Summary!$B$5-1</f>
        <v>0.185249981545516</v>
      </c>
    </row>
    <row r="198" customFormat="false" ht="15" hidden="false" customHeight="false" outlineLevel="0" collapsed="false">
      <c r="A198" s="0" t="n">
        <v>197</v>
      </c>
      <c r="B198" s="14" t="n">
        <v>102903.379145184</v>
      </c>
      <c r="C198" s="15" t="n">
        <v>0.157679268474001</v>
      </c>
      <c r="D198" s="14" t="n">
        <f aca="false">Summary!$B$5-B198</f>
        <v>-2903.37914518399</v>
      </c>
      <c r="E198" s="15" t="n">
        <f aca="false">B198/Summary!$B$5-1</f>
        <v>0.0290337914518399</v>
      </c>
    </row>
    <row r="199" customFormat="false" ht="15" hidden="false" customHeight="false" outlineLevel="0" collapsed="false">
      <c r="A199" s="0" t="n">
        <v>198</v>
      </c>
      <c r="B199" s="14" t="n">
        <v>109716.268421836</v>
      </c>
      <c r="C199" s="15" t="n">
        <v>0.115631085611283</v>
      </c>
      <c r="D199" s="14" t="n">
        <f aca="false">Summary!$B$5-B199</f>
        <v>-9716.2684218361</v>
      </c>
      <c r="E199" s="15" t="n">
        <f aca="false">B199/Summary!$B$5-1</f>
        <v>0.0971626842183611</v>
      </c>
    </row>
    <row r="200" customFormat="false" ht="15" hidden="false" customHeight="false" outlineLevel="0" collapsed="false">
      <c r="A200" s="0" t="n">
        <v>199</v>
      </c>
      <c r="B200" s="14" t="n">
        <v>125472.19810464</v>
      </c>
      <c r="C200" s="15" t="n">
        <v>0.0732015723587987</v>
      </c>
      <c r="D200" s="14" t="n">
        <f aca="false">Summary!$B$5-B200</f>
        <v>-25472.1981046401</v>
      </c>
      <c r="E200" s="15" t="n">
        <f aca="false">B200/Summary!$B$5-1</f>
        <v>0.254721981046401</v>
      </c>
    </row>
    <row r="201" customFormat="false" ht="15" hidden="false" customHeight="false" outlineLevel="0" collapsed="false">
      <c r="A201" s="0" t="n">
        <v>200</v>
      </c>
      <c r="B201" s="14" t="n">
        <v>101535.958600474</v>
      </c>
      <c r="C201" s="15" t="n">
        <v>0.0987238559585519</v>
      </c>
      <c r="D201" s="14" t="n">
        <f aca="false">Summary!$B$5-B201</f>
        <v>-1535.95860047441</v>
      </c>
      <c r="E201" s="15" t="n">
        <f aca="false">B201/Summary!$B$5-1</f>
        <v>0.015359586004744</v>
      </c>
    </row>
    <row r="202" customFormat="false" ht="15" hidden="false" customHeight="false" outlineLevel="0" collapsed="false">
      <c r="A202" s="0" t="n">
        <v>201</v>
      </c>
      <c r="B202" s="14" t="n">
        <v>104296.631905776</v>
      </c>
      <c r="C202" s="15" t="n">
        <v>0.130421837331353</v>
      </c>
      <c r="D202" s="14" t="n">
        <f aca="false">Summary!$B$5-B202</f>
        <v>-4296.6319057755</v>
      </c>
      <c r="E202" s="15" t="n">
        <f aca="false">B202/Summary!$B$5-1</f>
        <v>0.0429663190577549</v>
      </c>
    </row>
    <row r="203" customFormat="false" ht="15" hidden="false" customHeight="false" outlineLevel="0" collapsed="false">
      <c r="A203" s="0" t="n">
        <v>202</v>
      </c>
      <c r="B203" s="14" t="n">
        <v>100595.739811284</v>
      </c>
      <c r="C203" s="15" t="n">
        <v>0.116602190488216</v>
      </c>
      <c r="D203" s="14" t="n">
        <f aca="false">Summary!$B$5-B203</f>
        <v>-595.739811284395</v>
      </c>
      <c r="E203" s="15" t="n">
        <f aca="false">B203/Summary!$B$5-1</f>
        <v>0.00595739811284401</v>
      </c>
    </row>
    <row r="204" customFormat="false" ht="15" hidden="false" customHeight="false" outlineLevel="0" collapsed="false">
      <c r="A204" s="0" t="n">
        <v>203</v>
      </c>
      <c r="B204" s="14" t="n">
        <v>103340.914668678</v>
      </c>
      <c r="C204" s="15" t="n">
        <v>0.073791502359311</v>
      </c>
      <c r="D204" s="14" t="n">
        <f aca="false">Summary!$B$5-B204</f>
        <v>-3340.91466867751</v>
      </c>
      <c r="E204" s="15" t="n">
        <f aca="false">B204/Summary!$B$5-1</f>
        <v>0.033409146686775</v>
      </c>
    </row>
    <row r="205" customFormat="false" ht="15" hidden="false" customHeight="false" outlineLevel="0" collapsed="false">
      <c r="A205" s="0" t="n">
        <v>204</v>
      </c>
      <c r="B205" s="14" t="n">
        <v>104043.619490007</v>
      </c>
      <c r="C205" s="15" t="n">
        <v>0.0906018643012827</v>
      </c>
      <c r="D205" s="14" t="n">
        <f aca="false">Summary!$B$5-B205</f>
        <v>-4043.6194900066</v>
      </c>
      <c r="E205" s="15" t="n">
        <f aca="false">B205/Summary!$B$5-1</f>
        <v>0.040436194900066</v>
      </c>
    </row>
    <row r="206" customFormat="false" ht="15" hidden="false" customHeight="false" outlineLevel="0" collapsed="false">
      <c r="A206" s="0" t="n">
        <v>205</v>
      </c>
      <c r="B206" s="14" t="n">
        <v>99269.5178182771</v>
      </c>
      <c r="C206" s="15" t="n">
        <v>0.103123552360873</v>
      </c>
      <c r="D206" s="14" t="n">
        <f aca="false">Summary!$B$5-B206</f>
        <v>730.482181722909</v>
      </c>
      <c r="E206" s="15" t="n">
        <f aca="false">B206/Summary!$B$5-1</f>
        <v>-0.00730482181722914</v>
      </c>
    </row>
    <row r="207" customFormat="false" ht="15" hidden="false" customHeight="false" outlineLevel="0" collapsed="false">
      <c r="A207" s="0" t="n">
        <v>206</v>
      </c>
      <c r="B207" s="14" t="n">
        <v>97277.3687126985</v>
      </c>
      <c r="C207" s="15" t="n">
        <v>0.11925957207523</v>
      </c>
      <c r="D207" s="14" t="n">
        <f aca="false">Summary!$B$5-B207</f>
        <v>2722.6312873015</v>
      </c>
      <c r="E207" s="15" t="n">
        <f aca="false">B207/Summary!$B$5-1</f>
        <v>-0.027226312873015</v>
      </c>
    </row>
    <row r="208" customFormat="false" ht="15" hidden="false" customHeight="false" outlineLevel="0" collapsed="false">
      <c r="A208" s="0" t="n">
        <v>207</v>
      </c>
      <c r="B208" s="14" t="n">
        <v>124851.266679795</v>
      </c>
      <c r="C208" s="15" t="n">
        <v>0.0623481865694257</v>
      </c>
      <c r="D208" s="14" t="n">
        <f aca="false">Summary!$B$5-B208</f>
        <v>-24851.2666797948</v>
      </c>
      <c r="E208" s="15" t="n">
        <f aca="false">B208/Summary!$B$5-1</f>
        <v>0.248512666797948</v>
      </c>
    </row>
    <row r="209" customFormat="false" ht="15" hidden="false" customHeight="false" outlineLevel="0" collapsed="false">
      <c r="A209" s="0" t="n">
        <v>208</v>
      </c>
      <c r="B209" s="14" t="n">
        <v>102493.761106035</v>
      </c>
      <c r="C209" s="15" t="n">
        <v>0.095289543952174</v>
      </c>
      <c r="D209" s="14" t="n">
        <f aca="false">Summary!$B$5-B209</f>
        <v>-2493.76110603521</v>
      </c>
      <c r="E209" s="15" t="n">
        <f aca="false">B209/Summary!$B$5-1</f>
        <v>0.0249376110603521</v>
      </c>
    </row>
    <row r="210" customFormat="false" ht="15" hidden="false" customHeight="false" outlineLevel="0" collapsed="false">
      <c r="A210" s="0" t="n">
        <v>209</v>
      </c>
      <c r="B210" s="14" t="n">
        <v>107238.13457473</v>
      </c>
      <c r="C210" s="15" t="n">
        <v>0.077157226394323</v>
      </c>
      <c r="D210" s="14" t="n">
        <f aca="false">Summary!$B$5-B210</f>
        <v>-7238.1345747303</v>
      </c>
      <c r="E210" s="15" t="n">
        <f aca="false">B210/Summary!$B$5-1</f>
        <v>0.072381345747303</v>
      </c>
    </row>
    <row r="211" customFormat="false" ht="15" hidden="false" customHeight="false" outlineLevel="0" collapsed="false">
      <c r="A211" s="0" t="n">
        <v>210</v>
      </c>
      <c r="B211" s="14" t="n">
        <v>119262.665918918</v>
      </c>
      <c r="C211" s="15" t="n">
        <v>0.0572845197830686</v>
      </c>
      <c r="D211" s="14" t="n">
        <f aca="false">Summary!$B$5-B211</f>
        <v>-19262.6659189182</v>
      </c>
      <c r="E211" s="15" t="n">
        <f aca="false">B211/Summary!$B$5-1</f>
        <v>0.192626659189182</v>
      </c>
    </row>
    <row r="212" customFormat="false" ht="15" hidden="false" customHeight="false" outlineLevel="0" collapsed="false">
      <c r="A212" s="0" t="n">
        <v>211</v>
      </c>
      <c r="B212" s="14" t="n">
        <v>114269.949420529</v>
      </c>
      <c r="C212" s="15" t="n">
        <v>0.0952267127049863</v>
      </c>
      <c r="D212" s="14" t="n">
        <f aca="false">Summary!$B$5-B212</f>
        <v>-14269.9494205293</v>
      </c>
      <c r="E212" s="15" t="n">
        <f aca="false">B212/Summary!$B$5-1</f>
        <v>0.142699494205293</v>
      </c>
    </row>
    <row r="213" customFormat="false" ht="15" hidden="false" customHeight="false" outlineLevel="0" collapsed="false">
      <c r="A213" s="0" t="n">
        <v>212</v>
      </c>
      <c r="B213" s="14" t="n">
        <v>90269.5818765127</v>
      </c>
      <c r="C213" s="15" t="n">
        <v>0.158311134307504</v>
      </c>
      <c r="D213" s="14" t="n">
        <f aca="false">Summary!$B$5-B213</f>
        <v>9730.4181234873</v>
      </c>
      <c r="E213" s="15" t="n">
        <f aca="false">B213/Summary!$B$5-1</f>
        <v>-0.0973041812348729</v>
      </c>
    </row>
    <row r="214" customFormat="false" ht="15" hidden="false" customHeight="false" outlineLevel="0" collapsed="false">
      <c r="A214" s="0" t="n">
        <v>213</v>
      </c>
      <c r="B214" s="14" t="n">
        <v>134965.543101079</v>
      </c>
      <c r="C214" s="15" t="n">
        <v>0.0589297765932393</v>
      </c>
      <c r="D214" s="14" t="n">
        <f aca="false">Summary!$B$5-B214</f>
        <v>-34965.5431010792</v>
      </c>
      <c r="E214" s="15" t="n">
        <f aca="false">B214/Summary!$B$5-1</f>
        <v>0.349655431010792</v>
      </c>
    </row>
    <row r="215" customFormat="false" ht="15" hidden="false" customHeight="false" outlineLevel="0" collapsed="false">
      <c r="A215" s="0" t="n">
        <v>214</v>
      </c>
      <c r="B215" s="14" t="n">
        <v>130012.99950827</v>
      </c>
      <c r="C215" s="15" t="n">
        <v>0.0939627685426745</v>
      </c>
      <c r="D215" s="14" t="n">
        <f aca="false">Summary!$B$5-B215</f>
        <v>-30012.9995082695</v>
      </c>
      <c r="E215" s="15" t="n">
        <f aca="false">B215/Summary!$B$5-1</f>
        <v>0.300129995082695</v>
      </c>
    </row>
    <row r="216" customFormat="false" ht="15" hidden="false" customHeight="false" outlineLevel="0" collapsed="false">
      <c r="A216" s="0" t="n">
        <v>215</v>
      </c>
      <c r="B216" s="14" t="n">
        <v>107774.366144306</v>
      </c>
      <c r="C216" s="15" t="n">
        <v>0.111031794001641</v>
      </c>
      <c r="D216" s="14" t="n">
        <f aca="false">Summary!$B$5-B216</f>
        <v>-7774.36614430571</v>
      </c>
      <c r="E216" s="15" t="n">
        <f aca="false">B216/Summary!$B$5-1</f>
        <v>0.0777436614430571</v>
      </c>
    </row>
    <row r="217" customFormat="false" ht="15" hidden="false" customHeight="false" outlineLevel="0" collapsed="false">
      <c r="A217" s="0" t="n">
        <v>216</v>
      </c>
      <c r="B217" s="14" t="n">
        <v>101040.78468257</v>
      </c>
      <c r="C217" s="15" t="n">
        <v>0.101085621751597</v>
      </c>
      <c r="D217" s="14" t="n">
        <f aca="false">Summary!$B$5-B217</f>
        <v>-1040.7846825696</v>
      </c>
      <c r="E217" s="15" t="n">
        <f aca="false">B217/Summary!$B$5-1</f>
        <v>0.0104078468256961</v>
      </c>
    </row>
    <row r="218" customFormat="false" ht="15" hidden="false" customHeight="false" outlineLevel="0" collapsed="false">
      <c r="A218" s="0" t="n">
        <v>217</v>
      </c>
      <c r="B218" s="14" t="n">
        <v>94409.076442981</v>
      </c>
      <c r="C218" s="15" t="n">
        <v>0.172398306744411</v>
      </c>
      <c r="D218" s="14" t="n">
        <f aca="false">Summary!$B$5-B218</f>
        <v>5590.92355701901</v>
      </c>
      <c r="E218" s="15" t="n">
        <f aca="false">B218/Summary!$B$5-1</f>
        <v>-0.0559092355701901</v>
      </c>
    </row>
    <row r="219" customFormat="false" ht="15" hidden="false" customHeight="false" outlineLevel="0" collapsed="false">
      <c r="A219" s="0" t="n">
        <v>218</v>
      </c>
      <c r="B219" s="14" t="n">
        <v>113131.072854647</v>
      </c>
      <c r="C219" s="15" t="n">
        <v>0.0899068461591918</v>
      </c>
      <c r="D219" s="14" t="n">
        <f aca="false">Summary!$B$5-B219</f>
        <v>-13131.0728546466</v>
      </c>
      <c r="E219" s="15" t="n">
        <f aca="false">B219/Summary!$B$5-1</f>
        <v>0.131310728546466</v>
      </c>
    </row>
    <row r="220" customFormat="false" ht="15" hidden="false" customHeight="false" outlineLevel="0" collapsed="false">
      <c r="A220" s="0" t="n">
        <v>219</v>
      </c>
      <c r="B220" s="14" t="n">
        <v>103904.837771012</v>
      </c>
      <c r="C220" s="15" t="n">
        <v>0.0747979962969838</v>
      </c>
      <c r="D220" s="14" t="n">
        <f aca="false">Summary!$B$5-B220</f>
        <v>-3904.83777101179</v>
      </c>
      <c r="E220" s="15" t="n">
        <f aca="false">B220/Summary!$B$5-1</f>
        <v>0.0390483777101178</v>
      </c>
    </row>
    <row r="221" customFormat="false" ht="15" hidden="false" customHeight="false" outlineLevel="0" collapsed="false">
      <c r="A221" s="0" t="n">
        <v>220</v>
      </c>
      <c r="B221" s="14" t="n">
        <v>113586.862413302</v>
      </c>
      <c r="C221" s="15" t="n">
        <v>0.0688071878060949</v>
      </c>
      <c r="D221" s="14" t="n">
        <f aca="false">Summary!$B$5-B221</f>
        <v>-13586.8624133016</v>
      </c>
      <c r="E221" s="15" t="n">
        <f aca="false">B221/Summary!$B$5-1</f>
        <v>0.135868624133016</v>
      </c>
    </row>
    <row r="222" customFormat="false" ht="15" hidden="false" customHeight="false" outlineLevel="0" collapsed="false">
      <c r="A222" s="0" t="n">
        <v>221</v>
      </c>
      <c r="B222" s="14" t="n">
        <v>104447.705119342</v>
      </c>
      <c r="C222" s="15" t="n">
        <v>0.0840701353947603</v>
      </c>
      <c r="D222" s="14" t="n">
        <f aca="false">Summary!$B$5-B222</f>
        <v>-4447.7051193418</v>
      </c>
      <c r="E222" s="15" t="n">
        <f aca="false">B222/Summary!$B$5-1</f>
        <v>0.0444770511934181</v>
      </c>
    </row>
    <row r="223" customFormat="false" ht="15" hidden="false" customHeight="false" outlineLevel="0" collapsed="false">
      <c r="A223" s="0" t="n">
        <v>222</v>
      </c>
      <c r="B223" s="14" t="n">
        <v>92605.6000646378</v>
      </c>
      <c r="C223" s="15" t="n">
        <v>0.132753426975065</v>
      </c>
      <c r="D223" s="14" t="n">
        <f aca="false">Summary!$B$5-B223</f>
        <v>7394.39993536219</v>
      </c>
      <c r="E223" s="15" t="n">
        <f aca="false">B223/Summary!$B$5-1</f>
        <v>-0.073943999353622</v>
      </c>
    </row>
    <row r="224" customFormat="false" ht="15" hidden="false" customHeight="false" outlineLevel="0" collapsed="false">
      <c r="A224" s="0" t="n">
        <v>223</v>
      </c>
      <c r="B224" s="14" t="n">
        <v>112318.373475571</v>
      </c>
      <c r="C224" s="15" t="n">
        <v>0.0884947934855048</v>
      </c>
      <c r="D224" s="14" t="n">
        <f aca="false">Summary!$B$5-B224</f>
        <v>-12318.3734755711</v>
      </c>
      <c r="E224" s="15" t="n">
        <f aca="false">B224/Summary!$B$5-1</f>
        <v>0.123183734755711</v>
      </c>
    </row>
    <row r="225" customFormat="false" ht="15" hidden="false" customHeight="false" outlineLevel="0" collapsed="false">
      <c r="A225" s="0" t="n">
        <v>224</v>
      </c>
      <c r="B225" s="14" t="n">
        <v>96269.0686615164</v>
      </c>
      <c r="C225" s="15" t="n">
        <v>0.0969732070207392</v>
      </c>
      <c r="D225" s="14" t="n">
        <f aca="false">Summary!$B$5-B225</f>
        <v>3730.93133848356</v>
      </c>
      <c r="E225" s="15" t="n">
        <f aca="false">B225/Summary!$B$5-1</f>
        <v>-0.0373093133848356</v>
      </c>
    </row>
    <row r="226" customFormat="false" ht="15" hidden="false" customHeight="false" outlineLevel="0" collapsed="false">
      <c r="A226" s="0" t="n">
        <v>225</v>
      </c>
      <c r="B226" s="14" t="n">
        <v>96046.8085207531</v>
      </c>
      <c r="C226" s="15" t="n">
        <v>0.145602525370252</v>
      </c>
      <c r="D226" s="14" t="n">
        <f aca="false">Summary!$B$5-B226</f>
        <v>3953.19147924695</v>
      </c>
      <c r="E226" s="15" t="n">
        <f aca="false">B226/Summary!$B$5-1</f>
        <v>-0.0395319147924694</v>
      </c>
    </row>
    <row r="227" customFormat="false" ht="15" hidden="false" customHeight="false" outlineLevel="0" collapsed="false">
      <c r="A227" s="0" t="n">
        <v>226</v>
      </c>
      <c r="B227" s="14" t="n">
        <v>102302.758460712</v>
      </c>
      <c r="C227" s="15" t="n">
        <v>0.112256246844444</v>
      </c>
      <c r="D227" s="14" t="n">
        <f aca="false">Summary!$B$5-B227</f>
        <v>-2302.7584607124</v>
      </c>
      <c r="E227" s="15" t="n">
        <f aca="false">B227/Summary!$B$5-1</f>
        <v>0.023027584607124</v>
      </c>
    </row>
    <row r="228" customFormat="false" ht="15" hidden="false" customHeight="false" outlineLevel="0" collapsed="false">
      <c r="A228" s="0" t="n">
        <v>227</v>
      </c>
      <c r="B228" s="14" t="n">
        <v>113395.796293094</v>
      </c>
      <c r="C228" s="15" t="n">
        <v>0.0662190705732498</v>
      </c>
      <c r="D228" s="14" t="n">
        <f aca="false">Summary!$B$5-B228</f>
        <v>-13395.7962930944</v>
      </c>
      <c r="E228" s="15" t="n">
        <f aca="false">B228/Summary!$B$5-1</f>
        <v>0.133957962930944</v>
      </c>
    </row>
    <row r="229" customFormat="false" ht="15" hidden="false" customHeight="false" outlineLevel="0" collapsed="false">
      <c r="A229" s="0" t="n">
        <v>228</v>
      </c>
      <c r="B229" s="14" t="n">
        <v>124376.17213444</v>
      </c>
      <c r="C229" s="15" t="n">
        <v>0.0445727916572263</v>
      </c>
      <c r="D229" s="14" t="n">
        <f aca="false">Summary!$B$5-B229</f>
        <v>-24376.1721344402</v>
      </c>
      <c r="E229" s="15" t="n">
        <f aca="false">B229/Summary!$B$5-1</f>
        <v>0.243761721344402</v>
      </c>
    </row>
    <row r="230" customFormat="false" ht="15" hidden="false" customHeight="false" outlineLevel="0" collapsed="false">
      <c r="A230" s="0" t="n">
        <v>229</v>
      </c>
      <c r="B230" s="14" t="n">
        <v>88691.0765480308</v>
      </c>
      <c r="C230" s="15" t="n">
        <v>0.1733777803509</v>
      </c>
      <c r="D230" s="14" t="n">
        <f aca="false">Summary!$B$5-B230</f>
        <v>11308.9234519692</v>
      </c>
      <c r="E230" s="15" t="n">
        <f aca="false">B230/Summary!$B$5-1</f>
        <v>-0.113089234519692</v>
      </c>
    </row>
    <row r="231" customFormat="false" ht="15" hidden="false" customHeight="false" outlineLevel="0" collapsed="false">
      <c r="A231" s="0" t="n">
        <v>230</v>
      </c>
      <c r="B231" s="14" t="n">
        <v>89882.0010016502</v>
      </c>
      <c r="C231" s="15" t="n">
        <v>0.145730457430853</v>
      </c>
      <c r="D231" s="14" t="n">
        <f aca="false">Summary!$B$5-B231</f>
        <v>10117.9989983498</v>
      </c>
      <c r="E231" s="15" t="n">
        <f aca="false">B231/Summary!$B$5-1</f>
        <v>-0.101179989983498</v>
      </c>
    </row>
    <row r="232" customFormat="false" ht="15" hidden="false" customHeight="false" outlineLevel="0" collapsed="false">
      <c r="A232" s="0" t="n">
        <v>231</v>
      </c>
      <c r="B232" s="14" t="n">
        <v>102258.308991588</v>
      </c>
      <c r="C232" s="15" t="n">
        <v>0.108429542215245</v>
      </c>
      <c r="D232" s="14" t="n">
        <f aca="false">Summary!$B$5-B232</f>
        <v>-2258.30899158771</v>
      </c>
      <c r="E232" s="15" t="n">
        <f aca="false">B232/Summary!$B$5-1</f>
        <v>0.022583089915877</v>
      </c>
    </row>
    <row r="233" customFormat="false" ht="15" hidden="false" customHeight="false" outlineLevel="0" collapsed="false">
      <c r="A233" s="0" t="n">
        <v>232</v>
      </c>
      <c r="B233" s="14" t="n">
        <v>122824.064814106</v>
      </c>
      <c r="C233" s="15" t="n">
        <v>0.0462081026280282</v>
      </c>
      <c r="D233" s="14" t="n">
        <f aca="false">Summary!$B$5-B233</f>
        <v>-22824.0648141057</v>
      </c>
      <c r="E233" s="15" t="n">
        <f aca="false">B233/Summary!$B$5-1</f>
        <v>0.228240648141057</v>
      </c>
    </row>
    <row r="234" customFormat="false" ht="15" hidden="false" customHeight="false" outlineLevel="0" collapsed="false">
      <c r="A234" s="0" t="n">
        <v>233</v>
      </c>
      <c r="B234" s="14" t="n">
        <v>98778.4692452402</v>
      </c>
      <c r="C234" s="15" t="n">
        <v>0.0855582426486392</v>
      </c>
      <c r="D234" s="14" t="n">
        <f aca="false">Summary!$B$5-B234</f>
        <v>1221.53075475982</v>
      </c>
      <c r="E234" s="15" t="n">
        <f aca="false">B234/Summary!$B$5-1</f>
        <v>-0.0122153075475983</v>
      </c>
    </row>
    <row r="235" customFormat="false" ht="15" hidden="false" customHeight="false" outlineLevel="0" collapsed="false">
      <c r="A235" s="0" t="n">
        <v>234</v>
      </c>
      <c r="B235" s="14" t="n">
        <v>119879.110497003</v>
      </c>
      <c r="C235" s="15" t="n">
        <v>0.0661934526729612</v>
      </c>
      <c r="D235" s="14" t="n">
        <f aca="false">Summary!$B$5-B235</f>
        <v>-19879.1104970027</v>
      </c>
      <c r="E235" s="15" t="n">
        <f aca="false">B235/Summary!$B$5-1</f>
        <v>0.198791104970027</v>
      </c>
    </row>
    <row r="236" customFormat="false" ht="15" hidden="false" customHeight="false" outlineLevel="0" collapsed="false">
      <c r="A236" s="0" t="n">
        <v>235</v>
      </c>
      <c r="B236" s="14" t="n">
        <v>100774.532013967</v>
      </c>
      <c r="C236" s="15" t="n">
        <v>0.10933853649625</v>
      </c>
      <c r="D236" s="14" t="n">
        <f aca="false">Summary!$B$5-B236</f>
        <v>-774.5320139666</v>
      </c>
      <c r="E236" s="15" t="n">
        <f aca="false">B236/Summary!$B$5-1</f>
        <v>0.007745320139666</v>
      </c>
    </row>
    <row r="237" customFormat="false" ht="15" hidden="false" customHeight="false" outlineLevel="0" collapsed="false">
      <c r="A237" s="0" t="n">
        <v>236</v>
      </c>
      <c r="B237" s="14" t="n">
        <v>85219.2601911466</v>
      </c>
      <c r="C237" s="15" t="n">
        <v>0.239039837357179</v>
      </c>
      <c r="D237" s="14" t="n">
        <f aca="false">Summary!$B$5-B237</f>
        <v>14780.7398088534</v>
      </c>
      <c r="E237" s="15" t="n">
        <f aca="false">B237/Summary!$B$5-1</f>
        <v>-0.147807398088534</v>
      </c>
    </row>
    <row r="238" customFormat="false" ht="15" hidden="false" customHeight="false" outlineLevel="0" collapsed="false">
      <c r="A238" s="0" t="n">
        <v>237</v>
      </c>
      <c r="B238" s="14" t="n">
        <v>120106.877688531</v>
      </c>
      <c r="C238" s="15" t="n">
        <v>0.082192257091396</v>
      </c>
      <c r="D238" s="14" t="n">
        <f aca="false">Summary!$B$5-B238</f>
        <v>-20106.8776885307</v>
      </c>
      <c r="E238" s="15" t="n">
        <f aca="false">B238/Summary!$B$5-1</f>
        <v>0.201068776885307</v>
      </c>
    </row>
    <row r="239" customFormat="false" ht="15" hidden="false" customHeight="false" outlineLevel="0" collapsed="false">
      <c r="A239" s="0" t="n">
        <v>238</v>
      </c>
      <c r="B239" s="14" t="n">
        <v>136519.359692076</v>
      </c>
      <c r="C239" s="15" t="n">
        <v>0.0564474315899525</v>
      </c>
      <c r="D239" s="14" t="n">
        <f aca="false">Summary!$B$5-B239</f>
        <v>-36519.3596920762</v>
      </c>
      <c r="E239" s="15" t="n">
        <f aca="false">B239/Summary!$B$5-1</f>
        <v>0.365193596920762</v>
      </c>
    </row>
    <row r="240" customFormat="false" ht="15" hidden="false" customHeight="false" outlineLevel="0" collapsed="false">
      <c r="A240" s="0" t="n">
        <v>239</v>
      </c>
      <c r="B240" s="14" t="n">
        <v>91140.4063112764</v>
      </c>
      <c r="C240" s="15" t="n">
        <v>0.179001469754832</v>
      </c>
      <c r="D240" s="14" t="n">
        <f aca="false">Summary!$B$5-B240</f>
        <v>8859.59368872363</v>
      </c>
      <c r="E240" s="15" t="n">
        <f aca="false">B240/Summary!$B$5-1</f>
        <v>-0.0885959368872363</v>
      </c>
    </row>
    <row r="241" customFormat="false" ht="15" hidden="false" customHeight="false" outlineLevel="0" collapsed="false">
      <c r="A241" s="0" t="n">
        <v>240</v>
      </c>
      <c r="B241" s="14" t="n">
        <v>146877.814931962</v>
      </c>
      <c r="C241" s="15" t="n">
        <v>0.0429246562772881</v>
      </c>
      <c r="D241" s="14" t="n">
        <f aca="false">Summary!$B$5-B241</f>
        <v>-46877.8149319624</v>
      </c>
      <c r="E241" s="15" t="n">
        <f aca="false">B241/Summary!$B$5-1</f>
        <v>0.468778149319624</v>
      </c>
    </row>
    <row r="242" customFormat="false" ht="15" hidden="false" customHeight="false" outlineLevel="0" collapsed="false">
      <c r="A242" s="0" t="n">
        <v>241</v>
      </c>
      <c r="B242" s="14" t="n">
        <v>100778.026762123</v>
      </c>
      <c r="C242" s="15" t="n">
        <v>0.0740399647118806</v>
      </c>
      <c r="D242" s="14" t="n">
        <f aca="false">Summary!$B$5-B242</f>
        <v>-778.026762123001</v>
      </c>
      <c r="E242" s="15" t="n">
        <f aca="false">B242/Summary!$B$5-1</f>
        <v>0.00778026762122996</v>
      </c>
    </row>
    <row r="243" customFormat="false" ht="15" hidden="false" customHeight="false" outlineLevel="0" collapsed="false">
      <c r="A243" s="0" t="n">
        <v>242</v>
      </c>
      <c r="B243" s="14" t="n">
        <v>84318.2369576185</v>
      </c>
      <c r="C243" s="15" t="n">
        <v>0.163931376395249</v>
      </c>
      <c r="D243" s="14" t="n">
        <f aca="false">Summary!$B$5-B243</f>
        <v>15681.7630423815</v>
      </c>
      <c r="E243" s="15" t="n">
        <f aca="false">B243/Summary!$B$5-1</f>
        <v>-0.156817630423815</v>
      </c>
    </row>
    <row r="244" customFormat="false" ht="15" hidden="false" customHeight="false" outlineLevel="0" collapsed="false">
      <c r="A244" s="0" t="n">
        <v>243</v>
      </c>
      <c r="B244" s="14" t="n">
        <v>112322.433985643</v>
      </c>
      <c r="C244" s="15" t="n">
        <v>0.0834880458961973</v>
      </c>
      <c r="D244" s="14" t="n">
        <f aca="false">Summary!$B$5-B244</f>
        <v>-12322.4339856427</v>
      </c>
      <c r="E244" s="15" t="n">
        <f aca="false">B244/Summary!$B$5-1</f>
        <v>0.123224339856427</v>
      </c>
    </row>
    <row r="245" customFormat="false" ht="15" hidden="false" customHeight="false" outlineLevel="0" collapsed="false">
      <c r="A245" s="0" t="n">
        <v>244</v>
      </c>
      <c r="B245" s="14" t="n">
        <v>112638.675380387</v>
      </c>
      <c r="C245" s="15" t="n">
        <v>0.0926856173987869</v>
      </c>
      <c r="D245" s="14" t="n">
        <f aca="false">Summary!$B$5-B245</f>
        <v>-12638.6753803865</v>
      </c>
      <c r="E245" s="15" t="n">
        <f aca="false">B245/Summary!$B$5-1</f>
        <v>0.126386753803865</v>
      </c>
    </row>
    <row r="246" customFormat="false" ht="15" hidden="false" customHeight="false" outlineLevel="0" collapsed="false">
      <c r="A246" s="0" t="n">
        <v>245</v>
      </c>
      <c r="B246" s="14" t="n">
        <v>117210.239321869</v>
      </c>
      <c r="C246" s="15" t="n">
        <v>0.110203453108866</v>
      </c>
      <c r="D246" s="14" t="n">
        <f aca="false">Summary!$B$5-B246</f>
        <v>-17210.2393218685</v>
      </c>
      <c r="E246" s="15" t="n">
        <f aca="false">B246/Summary!$B$5-1</f>
        <v>0.172102393218685</v>
      </c>
    </row>
    <row r="247" customFormat="false" ht="15" hidden="false" customHeight="false" outlineLevel="0" collapsed="false">
      <c r="A247" s="0" t="n">
        <v>246</v>
      </c>
      <c r="B247" s="14" t="n">
        <v>100083.64731223</v>
      </c>
      <c r="C247" s="15" t="n">
        <v>0.114042175610971</v>
      </c>
      <c r="D247" s="14" t="n">
        <f aca="false">Summary!$B$5-B247</f>
        <v>-83.647312229994</v>
      </c>
      <c r="E247" s="15" t="n">
        <f aca="false">B247/Summary!$B$5-1</f>
        <v>0.000836473122299841</v>
      </c>
    </row>
    <row r="248" customFormat="false" ht="15" hidden="false" customHeight="false" outlineLevel="0" collapsed="false">
      <c r="A248" s="0" t="n">
        <v>247</v>
      </c>
      <c r="B248" s="14" t="n">
        <v>111090.369864965</v>
      </c>
      <c r="C248" s="15" t="n">
        <v>0.071910422636761</v>
      </c>
      <c r="D248" s="14" t="n">
        <f aca="false">Summary!$B$5-B248</f>
        <v>-11090.3698649647</v>
      </c>
      <c r="E248" s="15" t="n">
        <f aca="false">B248/Summary!$B$5-1</f>
        <v>0.110903698649647</v>
      </c>
    </row>
    <row r="249" customFormat="false" ht="15" hidden="false" customHeight="false" outlineLevel="0" collapsed="false">
      <c r="A249" s="0" t="n">
        <v>248</v>
      </c>
      <c r="B249" s="14" t="n">
        <v>118055.025968808</v>
      </c>
      <c r="C249" s="15" t="n">
        <v>0.0669921050929472</v>
      </c>
      <c r="D249" s="14" t="n">
        <f aca="false">Summary!$B$5-B249</f>
        <v>-18055.0259688082</v>
      </c>
      <c r="E249" s="15" t="n">
        <f aca="false">B249/Summary!$B$5-1</f>
        <v>0.180550259688082</v>
      </c>
    </row>
    <row r="250" customFormat="false" ht="15" hidden="false" customHeight="false" outlineLevel="0" collapsed="false">
      <c r="A250" s="0" t="n">
        <v>249</v>
      </c>
      <c r="B250" s="14" t="n">
        <v>117436.484138143</v>
      </c>
      <c r="C250" s="15" t="n">
        <v>0.125025531189574</v>
      </c>
      <c r="D250" s="14" t="n">
        <f aca="false">Summary!$B$5-B250</f>
        <v>-17436.4841381432</v>
      </c>
      <c r="E250" s="15" t="n">
        <f aca="false">B250/Summary!$B$5-1</f>
        <v>0.174364841381432</v>
      </c>
    </row>
    <row r="251" customFormat="false" ht="15" hidden="false" customHeight="false" outlineLevel="0" collapsed="false">
      <c r="A251" s="0" t="n">
        <v>250</v>
      </c>
      <c r="B251" s="14" t="n">
        <v>116718.379107407</v>
      </c>
      <c r="C251" s="15" t="n">
        <v>0.100131437951609</v>
      </c>
      <c r="D251" s="14" t="n">
        <f aca="false">Summary!$B$5-B251</f>
        <v>-16718.3791074069</v>
      </c>
      <c r="E251" s="15" t="n">
        <f aca="false">B251/Summary!$B$5-1</f>
        <v>0.167183791074069</v>
      </c>
    </row>
    <row r="252" customFormat="false" ht="15" hidden="false" customHeight="false" outlineLevel="0" collapsed="false">
      <c r="A252" s="0" t="n">
        <v>251</v>
      </c>
      <c r="B252" s="14" t="n">
        <v>111765.878551073</v>
      </c>
      <c r="C252" s="15" t="n">
        <v>0.098316131959709</v>
      </c>
      <c r="D252" s="14" t="n">
        <f aca="false">Summary!$B$5-B252</f>
        <v>-11765.8785510732</v>
      </c>
      <c r="E252" s="15" t="n">
        <f aca="false">B252/Summary!$B$5-1</f>
        <v>0.117658785510732</v>
      </c>
    </row>
    <row r="253" customFormat="false" ht="15" hidden="false" customHeight="false" outlineLevel="0" collapsed="false">
      <c r="A253" s="0" t="n">
        <v>252</v>
      </c>
      <c r="B253" s="14" t="n">
        <v>92777.9506311287</v>
      </c>
      <c r="C253" s="15" t="n">
        <v>0.0995130884391114</v>
      </c>
      <c r="D253" s="14" t="n">
        <f aca="false">Summary!$B$5-B253</f>
        <v>7222.04936887135</v>
      </c>
      <c r="E253" s="15" t="n">
        <f aca="false">B253/Summary!$B$5-1</f>
        <v>-0.0722204936887134</v>
      </c>
    </row>
    <row r="254" customFormat="false" ht="15" hidden="false" customHeight="false" outlineLevel="0" collapsed="false">
      <c r="A254" s="0" t="n">
        <v>253</v>
      </c>
      <c r="B254" s="14" t="n">
        <v>119012.123047225</v>
      </c>
      <c r="C254" s="15" t="n">
        <v>0.0453942838686409</v>
      </c>
      <c r="D254" s="14" t="n">
        <f aca="false">Summary!$B$5-B254</f>
        <v>-19012.1230472248</v>
      </c>
      <c r="E254" s="15" t="n">
        <f aca="false">B254/Summary!$B$5-1</f>
        <v>0.190121230472248</v>
      </c>
    </row>
    <row r="255" customFormat="false" ht="15" hidden="false" customHeight="false" outlineLevel="0" collapsed="false">
      <c r="A255" s="0" t="n">
        <v>254</v>
      </c>
      <c r="B255" s="14" t="n">
        <v>121631.750278182</v>
      </c>
      <c r="C255" s="15" t="n">
        <v>0.0723851648172037</v>
      </c>
      <c r="D255" s="14" t="n">
        <f aca="false">Summary!$B$5-B255</f>
        <v>-21631.7502781818</v>
      </c>
      <c r="E255" s="15" t="n">
        <f aca="false">B255/Summary!$B$5-1</f>
        <v>0.216317502781818</v>
      </c>
    </row>
    <row r="256" customFormat="false" ht="15" hidden="false" customHeight="false" outlineLevel="0" collapsed="false">
      <c r="A256" s="0" t="n">
        <v>255</v>
      </c>
      <c r="B256" s="14" t="n">
        <v>98872.2647022484</v>
      </c>
      <c r="C256" s="15" t="n">
        <v>0.0987171573669555</v>
      </c>
      <c r="D256" s="14" t="n">
        <f aca="false">Summary!$B$5-B256</f>
        <v>1127.73529775161</v>
      </c>
      <c r="E256" s="15" t="n">
        <f aca="false">B256/Summary!$B$5-1</f>
        <v>-0.0112773529775161</v>
      </c>
    </row>
    <row r="257" customFormat="false" ht="15" hidden="false" customHeight="false" outlineLevel="0" collapsed="false">
      <c r="A257" s="0" t="n">
        <v>256</v>
      </c>
      <c r="B257" s="14" t="n">
        <v>102020.170914013</v>
      </c>
      <c r="C257" s="15" t="n">
        <v>0.0931716542519796</v>
      </c>
      <c r="D257" s="14" t="n">
        <f aca="false">Summary!$B$5-B257</f>
        <v>-2020.1709140131</v>
      </c>
      <c r="E257" s="15" t="n">
        <f aca="false">B257/Summary!$B$5-1</f>
        <v>0.020201709140131</v>
      </c>
    </row>
    <row r="258" customFormat="false" ht="15" hidden="false" customHeight="false" outlineLevel="0" collapsed="false">
      <c r="A258" s="0" t="n">
        <v>257</v>
      </c>
      <c r="B258" s="14" t="n">
        <v>117475.529614026</v>
      </c>
      <c r="C258" s="15" t="n">
        <v>0.111800114452269</v>
      </c>
      <c r="D258" s="14" t="n">
        <f aca="false">Summary!$B$5-B258</f>
        <v>-17475.5296140261</v>
      </c>
      <c r="E258" s="15" t="n">
        <f aca="false">B258/Summary!$B$5-1</f>
        <v>0.174755296140261</v>
      </c>
    </row>
    <row r="259" customFormat="false" ht="15" hidden="false" customHeight="false" outlineLevel="0" collapsed="false">
      <c r="A259" s="0" t="n">
        <v>258</v>
      </c>
      <c r="B259" s="14" t="n">
        <v>111302.286386008</v>
      </c>
      <c r="C259" s="15" t="n">
        <v>0.11430845697461</v>
      </c>
      <c r="D259" s="14" t="n">
        <f aca="false">Summary!$B$5-B259</f>
        <v>-11302.2863860076</v>
      </c>
      <c r="E259" s="15" t="n">
        <f aca="false">B259/Summary!$B$5-1</f>
        <v>0.113022863860076</v>
      </c>
    </row>
    <row r="260" customFormat="false" ht="15" hidden="false" customHeight="false" outlineLevel="0" collapsed="false">
      <c r="A260" s="0" t="n">
        <v>259</v>
      </c>
      <c r="B260" s="14" t="n">
        <v>123047.298169987</v>
      </c>
      <c r="C260" s="15" t="n">
        <v>0.0936463606247514</v>
      </c>
      <c r="D260" s="14" t="n">
        <f aca="false">Summary!$B$5-B260</f>
        <v>-23047.2981699872</v>
      </c>
      <c r="E260" s="15" t="n">
        <f aca="false">B260/Summary!$B$5-1</f>
        <v>0.230472981699872</v>
      </c>
    </row>
    <row r="261" customFormat="false" ht="15" hidden="false" customHeight="false" outlineLevel="0" collapsed="false">
      <c r="A261" s="0" t="n">
        <v>260</v>
      </c>
      <c r="B261" s="14" t="n">
        <v>106116.407726309</v>
      </c>
      <c r="C261" s="15" t="n">
        <v>0.114900935977789</v>
      </c>
      <c r="D261" s="14" t="n">
        <f aca="false">Summary!$B$5-B261</f>
        <v>-6116.4077263087</v>
      </c>
      <c r="E261" s="15" t="n">
        <f aca="false">B261/Summary!$B$5-1</f>
        <v>0.061164077263087</v>
      </c>
    </row>
    <row r="262" customFormat="false" ht="15" hidden="false" customHeight="false" outlineLevel="0" collapsed="false">
      <c r="A262" s="0" t="n">
        <v>261</v>
      </c>
      <c r="B262" s="14" t="n">
        <v>116139.830990185</v>
      </c>
      <c r="C262" s="15" t="n">
        <v>0.0685586168660644</v>
      </c>
      <c r="D262" s="14" t="n">
        <f aca="false">Summary!$B$5-B262</f>
        <v>-16139.8309901848</v>
      </c>
      <c r="E262" s="15" t="n">
        <f aca="false">B262/Summary!$B$5-1</f>
        <v>0.161398309901848</v>
      </c>
    </row>
    <row r="263" customFormat="false" ht="15" hidden="false" customHeight="false" outlineLevel="0" collapsed="false">
      <c r="A263" s="0" t="n">
        <v>262</v>
      </c>
      <c r="B263" s="14" t="n">
        <v>97440.8059898162</v>
      </c>
      <c r="C263" s="15" t="n">
        <v>0.0927728528315814</v>
      </c>
      <c r="D263" s="14" t="n">
        <f aca="false">Summary!$B$5-B263</f>
        <v>2559.1940101838</v>
      </c>
      <c r="E263" s="15" t="n">
        <f aca="false">B263/Summary!$B$5-1</f>
        <v>-0.025591940101838</v>
      </c>
    </row>
    <row r="264" customFormat="false" ht="15" hidden="false" customHeight="false" outlineLevel="0" collapsed="false">
      <c r="A264" s="0" t="n">
        <v>263</v>
      </c>
      <c r="B264" s="14" t="n">
        <v>117572.258134658</v>
      </c>
      <c r="C264" s="15" t="n">
        <v>0.0927801147548966</v>
      </c>
      <c r="D264" s="14" t="n">
        <f aca="false">Summary!$B$5-B264</f>
        <v>-17572.2581346578</v>
      </c>
      <c r="E264" s="15" t="n">
        <f aca="false">B264/Summary!$B$5-1</f>
        <v>0.175722581346578</v>
      </c>
    </row>
    <row r="265" customFormat="false" ht="15" hidden="false" customHeight="false" outlineLevel="0" collapsed="false">
      <c r="A265" s="0" t="n">
        <v>264</v>
      </c>
      <c r="B265" s="14" t="n">
        <v>133644.98477705</v>
      </c>
      <c r="C265" s="15" t="n">
        <v>0.0638773307988602</v>
      </c>
      <c r="D265" s="14" t="n">
        <f aca="false">Summary!$B$5-B265</f>
        <v>-33644.9847770502</v>
      </c>
      <c r="E265" s="15" t="n">
        <f aca="false">B265/Summary!$B$5-1</f>
        <v>0.336449847770502</v>
      </c>
    </row>
    <row r="266" customFormat="false" ht="15" hidden="false" customHeight="false" outlineLevel="0" collapsed="false">
      <c r="A266" s="0" t="n">
        <v>265</v>
      </c>
      <c r="B266" s="14" t="n">
        <v>127869.097667537</v>
      </c>
      <c r="C266" s="15" t="n">
        <v>0.0701594199622171</v>
      </c>
      <c r="D266" s="14" t="n">
        <f aca="false">Summary!$B$5-B266</f>
        <v>-27869.0976675374</v>
      </c>
      <c r="E266" s="15" t="n">
        <f aca="false">B266/Summary!$B$5-1</f>
        <v>0.278690976675374</v>
      </c>
    </row>
    <row r="267" customFormat="false" ht="15" hidden="false" customHeight="false" outlineLevel="0" collapsed="false">
      <c r="A267" s="0" t="n">
        <v>266</v>
      </c>
      <c r="B267" s="14" t="n">
        <v>108450.94948151</v>
      </c>
      <c r="C267" s="15" t="n">
        <v>0.117944481894843</v>
      </c>
      <c r="D267" s="14" t="n">
        <f aca="false">Summary!$B$5-B267</f>
        <v>-8450.9494815104</v>
      </c>
      <c r="E267" s="15" t="n">
        <f aca="false">B267/Summary!$B$5-1</f>
        <v>0.084509494815104</v>
      </c>
    </row>
    <row r="268" customFormat="false" ht="15" hidden="false" customHeight="false" outlineLevel="0" collapsed="false">
      <c r="A268" s="0" t="n">
        <v>267</v>
      </c>
      <c r="B268" s="14" t="n">
        <v>100196.38726663</v>
      </c>
      <c r="C268" s="15" t="n">
        <v>0.0732652078630132</v>
      </c>
      <c r="D268" s="14" t="n">
        <f aca="false">Summary!$B$5-B268</f>
        <v>-196.387266630103</v>
      </c>
      <c r="E268" s="15" t="n">
        <f aca="false">B268/Summary!$B$5-1</f>
        <v>0.00196387266630094</v>
      </c>
    </row>
    <row r="269" customFormat="false" ht="15" hidden="false" customHeight="false" outlineLevel="0" collapsed="false">
      <c r="A269" s="0" t="n">
        <v>268</v>
      </c>
      <c r="B269" s="14" t="n">
        <v>109338.511492914</v>
      </c>
      <c r="C269" s="15" t="n">
        <v>0.0873254051003383</v>
      </c>
      <c r="D269" s="14" t="n">
        <f aca="false">Summary!$B$5-B269</f>
        <v>-9338.5114929135</v>
      </c>
      <c r="E269" s="15" t="n">
        <f aca="false">B269/Summary!$B$5-1</f>
        <v>0.0933851149291349</v>
      </c>
    </row>
    <row r="270" customFormat="false" ht="15" hidden="false" customHeight="false" outlineLevel="0" collapsed="false">
      <c r="A270" s="0" t="n">
        <v>269</v>
      </c>
      <c r="B270" s="14" t="n">
        <v>94054.4071204795</v>
      </c>
      <c r="C270" s="15" t="n">
        <v>0.230946701944089</v>
      </c>
      <c r="D270" s="14" t="n">
        <f aca="false">Summary!$B$5-B270</f>
        <v>5945.59287952056</v>
      </c>
      <c r="E270" s="15" t="n">
        <f aca="false">B270/Summary!$B$5-1</f>
        <v>-0.0594559287952056</v>
      </c>
    </row>
    <row r="271" customFormat="false" ht="15" hidden="false" customHeight="false" outlineLevel="0" collapsed="false">
      <c r="A271" s="0" t="n">
        <v>270</v>
      </c>
      <c r="B271" s="14" t="n">
        <v>102264.96008024</v>
      </c>
      <c r="C271" s="15" t="n">
        <v>0.0747455516937463</v>
      </c>
      <c r="D271" s="14" t="n">
        <f aca="false">Summary!$B$5-B271</f>
        <v>-2264.9600802396</v>
      </c>
      <c r="E271" s="15" t="n">
        <f aca="false">B271/Summary!$B$5-1</f>
        <v>0.022649600802396</v>
      </c>
    </row>
    <row r="272" customFormat="false" ht="15" hidden="false" customHeight="false" outlineLevel="0" collapsed="false">
      <c r="A272" s="0" t="n">
        <v>271</v>
      </c>
      <c r="B272" s="14" t="n">
        <v>108066.423652458</v>
      </c>
      <c r="C272" s="15" t="n">
        <v>0.0655827005641436</v>
      </c>
      <c r="D272" s="14" t="n">
        <f aca="false">Summary!$B$5-B272</f>
        <v>-8066.4236524578</v>
      </c>
      <c r="E272" s="15" t="n">
        <f aca="false">B272/Summary!$B$5-1</f>
        <v>0.080664236524578</v>
      </c>
    </row>
    <row r="273" customFormat="false" ht="15" hidden="false" customHeight="false" outlineLevel="0" collapsed="false">
      <c r="A273" s="0" t="n">
        <v>272</v>
      </c>
      <c r="B273" s="14" t="n">
        <v>130444.745154736</v>
      </c>
      <c r="C273" s="15" t="n">
        <v>0.0604893051299323</v>
      </c>
      <c r="D273" s="14" t="n">
        <f aca="false">Summary!$B$5-B273</f>
        <v>-30444.7451547364</v>
      </c>
      <c r="E273" s="15" t="n">
        <f aca="false">B273/Summary!$B$5-1</f>
        <v>0.304447451547364</v>
      </c>
    </row>
    <row r="274" customFormat="false" ht="15" hidden="false" customHeight="false" outlineLevel="0" collapsed="false">
      <c r="A274" s="0" t="n">
        <v>273</v>
      </c>
      <c r="B274" s="14" t="n">
        <v>115385.724046938</v>
      </c>
      <c r="C274" s="15" t="n">
        <v>0.11733765350002</v>
      </c>
      <c r="D274" s="14" t="n">
        <f aca="false">Summary!$B$5-B274</f>
        <v>-15385.7240469384</v>
      </c>
      <c r="E274" s="15" t="n">
        <f aca="false">B274/Summary!$B$5-1</f>
        <v>0.153857240469384</v>
      </c>
    </row>
    <row r="275" customFormat="false" ht="15" hidden="false" customHeight="false" outlineLevel="0" collapsed="false">
      <c r="A275" s="0" t="n">
        <v>274</v>
      </c>
      <c r="B275" s="14" t="n">
        <v>103144.885540819</v>
      </c>
      <c r="C275" s="15" t="n">
        <v>0.115236153632487</v>
      </c>
      <c r="D275" s="14" t="n">
        <f aca="false">Summary!$B$5-B275</f>
        <v>-3144.885540819</v>
      </c>
      <c r="E275" s="15" t="n">
        <f aca="false">B275/Summary!$B$5-1</f>
        <v>0.03144885540819</v>
      </c>
    </row>
    <row r="276" customFormat="false" ht="15" hidden="false" customHeight="false" outlineLevel="0" collapsed="false">
      <c r="A276" s="0" t="n">
        <v>275</v>
      </c>
      <c r="B276" s="14" t="n">
        <v>97846.0975388377</v>
      </c>
      <c r="C276" s="15" t="n">
        <v>0.126039822510759</v>
      </c>
      <c r="D276" s="14" t="n">
        <f aca="false">Summary!$B$5-B276</f>
        <v>2153.90246116235</v>
      </c>
      <c r="E276" s="15" t="n">
        <f aca="false">B276/Summary!$B$5-1</f>
        <v>-0.0215390246116235</v>
      </c>
    </row>
    <row r="277" customFormat="false" ht="15" hidden="false" customHeight="false" outlineLevel="0" collapsed="false">
      <c r="A277" s="0" t="n">
        <v>276</v>
      </c>
      <c r="B277" s="14" t="n">
        <v>100588.556581804</v>
      </c>
      <c r="C277" s="15" t="n">
        <v>0.0677498644252957</v>
      </c>
      <c r="D277" s="14" t="n">
        <f aca="false">Summary!$B$5-B277</f>
        <v>-588.556581803496</v>
      </c>
      <c r="E277" s="15" t="n">
        <f aca="false">B277/Summary!$B$5-1</f>
        <v>0.00588556581803501</v>
      </c>
    </row>
    <row r="278" customFormat="false" ht="15" hidden="false" customHeight="false" outlineLevel="0" collapsed="false">
      <c r="A278" s="0" t="n">
        <v>277</v>
      </c>
      <c r="B278" s="14" t="n">
        <v>110530.496107484</v>
      </c>
      <c r="C278" s="15" t="n">
        <v>0.0692486283613993</v>
      </c>
      <c r="D278" s="14" t="n">
        <f aca="false">Summary!$B$5-B278</f>
        <v>-10530.4961074839</v>
      </c>
      <c r="E278" s="15" t="n">
        <f aca="false">B278/Summary!$B$5-1</f>
        <v>0.105304961074839</v>
      </c>
    </row>
    <row r="279" customFormat="false" ht="15" hidden="false" customHeight="false" outlineLevel="0" collapsed="false">
      <c r="A279" s="0" t="n">
        <v>278</v>
      </c>
      <c r="B279" s="14" t="n">
        <v>109727.715462001</v>
      </c>
      <c r="C279" s="15" t="n">
        <v>0.0921083146828137</v>
      </c>
      <c r="D279" s="14" t="n">
        <f aca="false">Summary!$B$5-B279</f>
        <v>-9727.71546200079</v>
      </c>
      <c r="E279" s="15" t="n">
        <f aca="false">B279/Summary!$B$5-1</f>
        <v>0.097277154620008</v>
      </c>
    </row>
    <row r="280" customFormat="false" ht="15" hidden="false" customHeight="false" outlineLevel="0" collapsed="false">
      <c r="A280" s="0" t="n">
        <v>279</v>
      </c>
      <c r="B280" s="14" t="n">
        <v>107614.335448432</v>
      </c>
      <c r="C280" s="15" t="n">
        <v>0.0804654775899194</v>
      </c>
      <c r="D280" s="14" t="n">
        <f aca="false">Summary!$B$5-B280</f>
        <v>-7614.33544843151</v>
      </c>
      <c r="E280" s="15" t="n">
        <f aca="false">B280/Summary!$B$5-1</f>
        <v>0.0761433544843151</v>
      </c>
    </row>
    <row r="281" customFormat="false" ht="15" hidden="false" customHeight="false" outlineLevel="0" collapsed="false">
      <c r="A281" s="0" t="n">
        <v>280</v>
      </c>
      <c r="B281" s="14" t="n">
        <v>131771.699282652</v>
      </c>
      <c r="C281" s="15" t="n">
        <v>0.0398560983212195</v>
      </c>
      <c r="D281" s="14" t="n">
        <f aca="false">Summary!$B$5-B281</f>
        <v>-31771.6992826522</v>
      </c>
      <c r="E281" s="15" t="n">
        <f aca="false">B281/Summary!$B$5-1</f>
        <v>0.317716992826522</v>
      </c>
    </row>
    <row r="282" customFormat="false" ht="15" hidden="false" customHeight="false" outlineLevel="0" collapsed="false">
      <c r="A282" s="0" t="n">
        <v>281</v>
      </c>
      <c r="B282" s="14" t="n">
        <v>95830.5300993935</v>
      </c>
      <c r="C282" s="15" t="n">
        <v>0.115527103493407</v>
      </c>
      <c r="D282" s="14" t="n">
        <f aca="false">Summary!$B$5-B282</f>
        <v>4169.46990060652</v>
      </c>
      <c r="E282" s="15" t="n">
        <f aca="false">B282/Summary!$B$5-1</f>
        <v>-0.0416946990060652</v>
      </c>
    </row>
    <row r="283" customFormat="false" ht="15" hidden="false" customHeight="false" outlineLevel="0" collapsed="false">
      <c r="A283" s="0" t="n">
        <v>282</v>
      </c>
      <c r="B283" s="14" t="n">
        <v>113570.409855848</v>
      </c>
      <c r="C283" s="15" t="n">
        <v>0.077373591632809</v>
      </c>
      <c r="D283" s="14" t="n">
        <f aca="false">Summary!$B$5-B283</f>
        <v>-13570.4098558479</v>
      </c>
      <c r="E283" s="15" t="n">
        <f aca="false">B283/Summary!$B$5-1</f>
        <v>0.135704098558479</v>
      </c>
    </row>
    <row r="284" customFormat="false" ht="15" hidden="false" customHeight="false" outlineLevel="0" collapsed="false">
      <c r="A284" s="0" t="n">
        <v>283</v>
      </c>
      <c r="B284" s="14" t="n">
        <v>109831.099795344</v>
      </c>
      <c r="C284" s="15" t="n">
        <v>0.0577992861463464</v>
      </c>
      <c r="D284" s="14" t="n">
        <f aca="false">Summary!$B$5-B284</f>
        <v>-9831.0997953437</v>
      </c>
      <c r="E284" s="15" t="n">
        <f aca="false">B284/Summary!$B$5-1</f>
        <v>0.0983109979534371</v>
      </c>
    </row>
    <row r="285" customFormat="false" ht="15" hidden="false" customHeight="false" outlineLevel="0" collapsed="false">
      <c r="A285" s="0" t="n">
        <v>284</v>
      </c>
      <c r="B285" s="14" t="n">
        <v>108653.926035786</v>
      </c>
      <c r="C285" s="15" t="n">
        <v>0.0843103054139581</v>
      </c>
      <c r="D285" s="14" t="n">
        <f aca="false">Summary!$B$5-B285</f>
        <v>-8653.9260357863</v>
      </c>
      <c r="E285" s="15" t="n">
        <f aca="false">B285/Summary!$B$5-1</f>
        <v>0.086539260357863</v>
      </c>
    </row>
    <row r="286" customFormat="false" ht="15" hidden="false" customHeight="false" outlineLevel="0" collapsed="false">
      <c r="A286" s="0" t="n">
        <v>285</v>
      </c>
      <c r="B286" s="14" t="n">
        <v>107813.464485304</v>
      </c>
      <c r="C286" s="15" t="n">
        <v>0.0788797796095653</v>
      </c>
      <c r="D286" s="14" t="n">
        <f aca="false">Summary!$B$5-B286</f>
        <v>-7813.4644853035</v>
      </c>
      <c r="E286" s="15" t="n">
        <f aca="false">B286/Summary!$B$5-1</f>
        <v>0.0781346448530349</v>
      </c>
    </row>
    <row r="287" customFormat="false" ht="15" hidden="false" customHeight="false" outlineLevel="0" collapsed="false">
      <c r="A287" s="0" t="n">
        <v>286</v>
      </c>
      <c r="B287" s="14" t="n">
        <v>108860.091748852</v>
      </c>
      <c r="C287" s="15" t="n">
        <v>0.153608363412287</v>
      </c>
      <c r="D287" s="14" t="n">
        <f aca="false">Summary!$B$5-B287</f>
        <v>-8860.0917488516</v>
      </c>
      <c r="E287" s="15" t="n">
        <f aca="false">B287/Summary!$B$5-1</f>
        <v>0.0886009174885161</v>
      </c>
    </row>
    <row r="288" customFormat="false" ht="15" hidden="false" customHeight="false" outlineLevel="0" collapsed="false">
      <c r="A288" s="0" t="n">
        <v>287</v>
      </c>
      <c r="B288" s="14" t="n">
        <v>104181.286142427</v>
      </c>
      <c r="C288" s="15" t="n">
        <v>0.0783898004395252</v>
      </c>
      <c r="D288" s="14" t="n">
        <f aca="false">Summary!$B$5-B288</f>
        <v>-4181.2861424272</v>
      </c>
      <c r="E288" s="15" t="n">
        <f aca="false">B288/Summary!$B$5-1</f>
        <v>0.0418128614242719</v>
      </c>
    </row>
    <row r="289" customFormat="false" ht="15" hidden="false" customHeight="false" outlineLevel="0" collapsed="false">
      <c r="A289" s="0" t="n">
        <v>288</v>
      </c>
      <c r="B289" s="14" t="n">
        <v>110272.112177306</v>
      </c>
      <c r="C289" s="15" t="n">
        <v>0.144744991831592</v>
      </c>
      <c r="D289" s="14" t="n">
        <f aca="false">Summary!$B$5-B289</f>
        <v>-10272.1121773056</v>
      </c>
      <c r="E289" s="15" t="n">
        <f aca="false">B289/Summary!$B$5-1</f>
        <v>0.102721121773056</v>
      </c>
    </row>
    <row r="290" customFormat="false" ht="15" hidden="false" customHeight="false" outlineLevel="0" collapsed="false">
      <c r="A290" s="0" t="n">
        <v>289</v>
      </c>
      <c r="B290" s="14" t="n">
        <v>100033.902589788</v>
      </c>
      <c r="C290" s="15" t="n">
        <v>0.117598205766456</v>
      </c>
      <c r="D290" s="14" t="n">
        <f aca="false">Summary!$B$5-B290</f>
        <v>-33.9025897878018</v>
      </c>
      <c r="E290" s="15" t="n">
        <f aca="false">B290/Summary!$B$5-1</f>
        <v>0.000339025897877931</v>
      </c>
    </row>
    <row r="291" customFormat="false" ht="15" hidden="false" customHeight="false" outlineLevel="0" collapsed="false">
      <c r="A291" s="0" t="n">
        <v>290</v>
      </c>
      <c r="B291" s="14" t="n">
        <v>89833.0533852293</v>
      </c>
      <c r="C291" s="15" t="n">
        <v>0.144680803213201</v>
      </c>
      <c r="D291" s="14" t="n">
        <f aca="false">Summary!$B$5-B291</f>
        <v>10166.9466147707</v>
      </c>
      <c r="E291" s="15" t="n">
        <f aca="false">B291/Summary!$B$5-1</f>
        <v>-0.101669466147707</v>
      </c>
    </row>
    <row r="292" customFormat="false" ht="15" hidden="false" customHeight="false" outlineLevel="0" collapsed="false">
      <c r="A292" s="0" t="n">
        <v>291</v>
      </c>
      <c r="B292" s="14" t="n">
        <v>102613.404743821</v>
      </c>
      <c r="C292" s="15" t="n">
        <v>0.102089993475597</v>
      </c>
      <c r="D292" s="14" t="n">
        <f aca="false">Summary!$B$5-B292</f>
        <v>-2613.4047438212</v>
      </c>
      <c r="E292" s="15" t="n">
        <f aca="false">B292/Summary!$B$5-1</f>
        <v>0.0261340474382119</v>
      </c>
    </row>
    <row r="293" customFormat="false" ht="15" hidden="false" customHeight="false" outlineLevel="0" collapsed="false">
      <c r="A293" s="0" t="n">
        <v>292</v>
      </c>
      <c r="B293" s="14" t="n">
        <v>119645.217876829</v>
      </c>
      <c r="C293" s="15" t="n">
        <v>0.0843884054992841</v>
      </c>
      <c r="D293" s="14" t="n">
        <f aca="false">Summary!$B$5-B293</f>
        <v>-19645.2178768293</v>
      </c>
      <c r="E293" s="15" t="n">
        <f aca="false">B293/Summary!$B$5-1</f>
        <v>0.196452178768293</v>
      </c>
    </row>
    <row r="294" customFormat="false" ht="15" hidden="false" customHeight="false" outlineLevel="0" collapsed="false">
      <c r="A294" s="0" t="n">
        <v>293</v>
      </c>
      <c r="B294" s="14" t="n">
        <v>113706.284415494</v>
      </c>
      <c r="C294" s="15" t="n">
        <v>0.143205496692512</v>
      </c>
      <c r="D294" s="14" t="n">
        <f aca="false">Summary!$B$5-B294</f>
        <v>-13706.2844154943</v>
      </c>
      <c r="E294" s="15" t="n">
        <f aca="false">B294/Summary!$B$5-1</f>
        <v>0.137062844154943</v>
      </c>
    </row>
    <row r="295" customFormat="false" ht="15" hidden="false" customHeight="false" outlineLevel="0" collapsed="false">
      <c r="A295" s="0" t="n">
        <v>294</v>
      </c>
      <c r="B295" s="14" t="n">
        <v>91689.0988437135</v>
      </c>
      <c r="C295" s="15" t="n">
        <v>0.129489832649334</v>
      </c>
      <c r="D295" s="14" t="n">
        <f aca="false">Summary!$B$5-B295</f>
        <v>8310.90115628653</v>
      </c>
      <c r="E295" s="15" t="n">
        <f aca="false">B295/Summary!$B$5-1</f>
        <v>-0.0831090115628653</v>
      </c>
    </row>
    <row r="296" customFormat="false" ht="15" hidden="false" customHeight="false" outlineLevel="0" collapsed="false">
      <c r="A296" s="0" t="n">
        <v>295</v>
      </c>
      <c r="B296" s="14" t="n">
        <v>116210.501738009</v>
      </c>
      <c r="C296" s="15" t="n">
        <v>0.11140297157197</v>
      </c>
      <c r="D296" s="14" t="n">
        <f aca="false">Summary!$B$5-B296</f>
        <v>-16210.5017380088</v>
      </c>
      <c r="E296" s="15" t="n">
        <f aca="false">B296/Summary!$B$5-1</f>
        <v>0.162105017380088</v>
      </c>
    </row>
    <row r="297" customFormat="false" ht="15" hidden="false" customHeight="false" outlineLevel="0" collapsed="false">
      <c r="A297" s="0" t="n">
        <v>296</v>
      </c>
      <c r="B297" s="14" t="n">
        <v>95482.817021877</v>
      </c>
      <c r="C297" s="15" t="n">
        <v>0.11400920956697</v>
      </c>
      <c r="D297" s="14" t="n">
        <f aca="false">Summary!$B$5-B297</f>
        <v>4517.18297812299</v>
      </c>
      <c r="E297" s="15" t="n">
        <f aca="false">B297/Summary!$B$5-1</f>
        <v>-0.0451718297812299</v>
      </c>
    </row>
    <row r="298" customFormat="false" ht="15" hidden="false" customHeight="false" outlineLevel="0" collapsed="false">
      <c r="A298" s="0" t="n">
        <v>297</v>
      </c>
      <c r="B298" s="14" t="n">
        <v>114816.232256886</v>
      </c>
      <c r="C298" s="15" t="n">
        <v>0.0926972103930969</v>
      </c>
      <c r="D298" s="14" t="n">
        <f aca="false">Summary!$B$5-B298</f>
        <v>-14816.2322568863</v>
      </c>
      <c r="E298" s="15" t="n">
        <f aca="false">B298/Summary!$B$5-1</f>
        <v>0.148162322568863</v>
      </c>
    </row>
    <row r="299" customFormat="false" ht="15" hidden="false" customHeight="false" outlineLevel="0" collapsed="false">
      <c r="A299" s="0" t="n">
        <v>298</v>
      </c>
      <c r="B299" s="14" t="n">
        <v>113302.696456516</v>
      </c>
      <c r="C299" s="15" t="n">
        <v>0.10020081851182</v>
      </c>
      <c r="D299" s="14" t="n">
        <f aca="false">Summary!$B$5-B299</f>
        <v>-13302.6964565156</v>
      </c>
      <c r="E299" s="15" t="n">
        <f aca="false">B299/Summary!$B$5-1</f>
        <v>0.133026964565156</v>
      </c>
    </row>
    <row r="300" customFormat="false" ht="15" hidden="false" customHeight="false" outlineLevel="0" collapsed="false">
      <c r="A300" s="0" t="n">
        <v>299</v>
      </c>
      <c r="B300" s="14" t="n">
        <v>110798.332290534</v>
      </c>
      <c r="C300" s="15" t="n">
        <v>0.0749657946240453</v>
      </c>
      <c r="D300" s="14" t="n">
        <f aca="false">Summary!$B$5-B300</f>
        <v>-10798.3322905339</v>
      </c>
      <c r="E300" s="15" t="n">
        <f aca="false">B300/Summary!$B$5-1</f>
        <v>0.107983322905339</v>
      </c>
    </row>
    <row r="301" customFormat="false" ht="15" hidden="false" customHeight="false" outlineLevel="0" collapsed="false">
      <c r="A301" s="0" t="n">
        <v>300</v>
      </c>
      <c r="B301" s="14" t="n">
        <v>100166.796552116</v>
      </c>
      <c r="C301" s="15" t="n">
        <v>0.0811260768895206</v>
      </c>
      <c r="D301" s="14" t="n">
        <f aca="false">Summary!$B$5-B301</f>
        <v>-166.796552115906</v>
      </c>
      <c r="E301" s="15" t="n">
        <f aca="false">B301/Summary!$B$5-1</f>
        <v>0.00166796552115911</v>
      </c>
    </row>
    <row r="302" customFormat="false" ht="15" hidden="false" customHeight="false" outlineLevel="0" collapsed="false">
      <c r="A302" s="0" t="n">
        <v>301</v>
      </c>
      <c r="B302" s="14" t="n">
        <v>111381.656043619</v>
      </c>
      <c r="C302" s="15" t="n">
        <v>0.0500088442914454</v>
      </c>
      <c r="D302" s="14" t="n">
        <f aca="false">Summary!$B$5-B302</f>
        <v>-11381.6560436187</v>
      </c>
      <c r="E302" s="15" t="n">
        <f aca="false">B302/Summary!$B$5-1</f>
        <v>0.113816560436187</v>
      </c>
    </row>
    <row r="303" customFormat="false" ht="15" hidden="false" customHeight="false" outlineLevel="0" collapsed="false">
      <c r="A303" s="0" t="n">
        <v>302</v>
      </c>
      <c r="B303" s="14" t="n">
        <v>93565.6819045273</v>
      </c>
      <c r="C303" s="15" t="n">
        <v>0.149027498943153</v>
      </c>
      <c r="D303" s="14" t="n">
        <f aca="false">Summary!$B$5-B303</f>
        <v>6434.31809547274</v>
      </c>
      <c r="E303" s="15" t="n">
        <f aca="false">B303/Summary!$B$5-1</f>
        <v>-0.0643431809547275</v>
      </c>
    </row>
    <row r="304" customFormat="false" ht="15" hidden="false" customHeight="false" outlineLevel="0" collapsed="false">
      <c r="A304" s="0" t="n">
        <v>303</v>
      </c>
      <c r="B304" s="14" t="n">
        <v>112438.403011788</v>
      </c>
      <c r="C304" s="15" t="n">
        <v>0.0685344898653714</v>
      </c>
      <c r="D304" s="14" t="n">
        <f aca="false">Summary!$B$5-B304</f>
        <v>-12438.4030117877</v>
      </c>
      <c r="E304" s="15" t="n">
        <f aca="false">B304/Summary!$B$5-1</f>
        <v>0.124384030117877</v>
      </c>
    </row>
    <row r="305" customFormat="false" ht="15" hidden="false" customHeight="false" outlineLevel="0" collapsed="false">
      <c r="A305" s="0" t="n">
        <v>304</v>
      </c>
      <c r="B305" s="14" t="n">
        <v>107246.378103142</v>
      </c>
      <c r="C305" s="15" t="n">
        <v>0.104751574756693</v>
      </c>
      <c r="D305" s="14" t="n">
        <f aca="false">Summary!$B$5-B305</f>
        <v>-7246.3781031416</v>
      </c>
      <c r="E305" s="15" t="n">
        <f aca="false">B305/Summary!$B$5-1</f>
        <v>0.0724637810314159</v>
      </c>
    </row>
    <row r="306" customFormat="false" ht="15" hidden="false" customHeight="false" outlineLevel="0" collapsed="false">
      <c r="A306" s="0" t="n">
        <v>305</v>
      </c>
      <c r="B306" s="14" t="n">
        <v>100394.672441879</v>
      </c>
      <c r="C306" s="15" t="n">
        <v>0.109858369702901</v>
      </c>
      <c r="D306" s="14" t="n">
        <f aca="false">Summary!$B$5-B306</f>
        <v>-394.672441878807</v>
      </c>
      <c r="E306" s="15" t="n">
        <f aca="false">B306/Summary!$B$5-1</f>
        <v>0.00394672441878807</v>
      </c>
    </row>
    <row r="307" customFormat="false" ht="15" hidden="false" customHeight="false" outlineLevel="0" collapsed="false">
      <c r="A307" s="0" t="n">
        <v>306</v>
      </c>
      <c r="B307" s="14" t="n">
        <v>85483.7624170486</v>
      </c>
      <c r="C307" s="15" t="n">
        <v>0.174932079028651</v>
      </c>
      <c r="D307" s="14" t="n">
        <f aca="false">Summary!$B$5-B307</f>
        <v>14516.2375829514</v>
      </c>
      <c r="E307" s="15" t="n">
        <f aca="false">B307/Summary!$B$5-1</f>
        <v>-0.145162375829514</v>
      </c>
    </row>
    <row r="308" customFormat="false" ht="15" hidden="false" customHeight="false" outlineLevel="0" collapsed="false">
      <c r="A308" s="0" t="n">
        <v>307</v>
      </c>
      <c r="B308" s="14" t="n">
        <v>110925.10964223</v>
      </c>
      <c r="C308" s="15" t="n">
        <v>0.112910197596276</v>
      </c>
      <c r="D308" s="14" t="n">
        <f aca="false">Summary!$B$5-B308</f>
        <v>-10925.1096422304</v>
      </c>
      <c r="E308" s="15" t="n">
        <f aca="false">B308/Summary!$B$5-1</f>
        <v>0.109251096422304</v>
      </c>
    </row>
    <row r="309" customFormat="false" ht="15" hidden="false" customHeight="false" outlineLevel="0" collapsed="false">
      <c r="A309" s="0" t="n">
        <v>308</v>
      </c>
      <c r="B309" s="14" t="n">
        <v>105782.379101901</v>
      </c>
      <c r="C309" s="15" t="n">
        <v>0.0604404228350103</v>
      </c>
      <c r="D309" s="14" t="n">
        <f aca="false">Summary!$B$5-B309</f>
        <v>-5782.379101901</v>
      </c>
      <c r="E309" s="15" t="n">
        <f aca="false">B309/Summary!$B$5-1</f>
        <v>0.05782379101901</v>
      </c>
    </row>
    <row r="310" customFormat="false" ht="15" hidden="false" customHeight="false" outlineLevel="0" collapsed="false">
      <c r="A310" s="0" t="n">
        <v>309</v>
      </c>
      <c r="B310" s="14" t="n">
        <v>114973.996952881</v>
      </c>
      <c r="C310" s="15" t="n">
        <v>0.106537711571481</v>
      </c>
      <c r="D310" s="14" t="n">
        <f aca="false">Summary!$B$5-B310</f>
        <v>-14973.9969528811</v>
      </c>
      <c r="E310" s="15" t="n">
        <f aca="false">B310/Summary!$B$5-1</f>
        <v>0.149739969528811</v>
      </c>
    </row>
    <row r="311" customFormat="false" ht="15" hidden="false" customHeight="false" outlineLevel="0" collapsed="false">
      <c r="A311" s="0" t="n">
        <v>310</v>
      </c>
      <c r="B311" s="14" t="n">
        <v>116400.210253414</v>
      </c>
      <c r="C311" s="15" t="n">
        <v>0.0824233481974617</v>
      </c>
      <c r="D311" s="14" t="n">
        <f aca="false">Summary!$B$5-B311</f>
        <v>-16400.210253414</v>
      </c>
      <c r="E311" s="15" t="n">
        <f aca="false">B311/Summary!$B$5-1</f>
        <v>0.16400210253414</v>
      </c>
    </row>
    <row r="312" customFormat="false" ht="15" hidden="false" customHeight="false" outlineLevel="0" collapsed="false">
      <c r="A312" s="0" t="n">
        <v>311</v>
      </c>
      <c r="B312" s="14" t="n">
        <v>118705.717617844</v>
      </c>
      <c r="C312" s="15" t="n">
        <v>0.0698187239374473</v>
      </c>
      <c r="D312" s="14" t="n">
        <f aca="false">Summary!$B$5-B312</f>
        <v>-18705.7176178442</v>
      </c>
      <c r="E312" s="15" t="n">
        <f aca="false">B312/Summary!$B$5-1</f>
        <v>0.187057176178442</v>
      </c>
    </row>
    <row r="313" customFormat="false" ht="15" hidden="false" customHeight="false" outlineLevel="0" collapsed="false">
      <c r="A313" s="0" t="n">
        <v>312</v>
      </c>
      <c r="B313" s="14" t="n">
        <v>111259.740495747</v>
      </c>
      <c r="C313" s="15" t="n">
        <v>0.0787904580618106</v>
      </c>
      <c r="D313" s="14" t="n">
        <f aca="false">Summary!$B$5-B313</f>
        <v>-11259.7404957472</v>
      </c>
      <c r="E313" s="15" t="n">
        <f aca="false">B313/Summary!$B$5-1</f>
        <v>0.112597404957472</v>
      </c>
    </row>
    <row r="314" customFormat="false" ht="15" hidden="false" customHeight="false" outlineLevel="0" collapsed="false">
      <c r="A314" s="0" t="n">
        <v>313</v>
      </c>
      <c r="B314" s="14" t="n">
        <v>110615.773458353</v>
      </c>
      <c r="C314" s="15" t="n">
        <v>0.116486282438779</v>
      </c>
      <c r="D314" s="14" t="n">
        <f aca="false">Summary!$B$5-B314</f>
        <v>-10615.7734583532</v>
      </c>
      <c r="E314" s="15" t="n">
        <f aca="false">B314/Summary!$B$5-1</f>
        <v>0.106157734583532</v>
      </c>
    </row>
    <row r="315" customFormat="false" ht="15" hidden="false" customHeight="false" outlineLevel="0" collapsed="false">
      <c r="A315" s="0" t="n">
        <v>314</v>
      </c>
      <c r="B315" s="14" t="n">
        <v>104998.237434922</v>
      </c>
      <c r="C315" s="15" t="n">
        <v>0.150392143922934</v>
      </c>
      <c r="D315" s="14" t="n">
        <f aca="false">Summary!$B$5-B315</f>
        <v>-4998.2374349224</v>
      </c>
      <c r="E315" s="15" t="n">
        <f aca="false">B315/Summary!$B$5-1</f>
        <v>0.049982374349224</v>
      </c>
    </row>
    <row r="316" customFormat="false" ht="15" hidden="false" customHeight="false" outlineLevel="0" collapsed="false">
      <c r="A316" s="0" t="n">
        <v>315</v>
      </c>
      <c r="B316" s="14" t="n">
        <v>111436.780312056</v>
      </c>
      <c r="C316" s="15" t="n">
        <v>0.116147562439606</v>
      </c>
      <c r="D316" s="14" t="n">
        <f aca="false">Summary!$B$5-B316</f>
        <v>-11436.7803120556</v>
      </c>
      <c r="E316" s="15" t="n">
        <f aca="false">B316/Summary!$B$5-1</f>
        <v>0.114367803120556</v>
      </c>
    </row>
    <row r="317" customFormat="false" ht="15" hidden="false" customHeight="false" outlineLevel="0" collapsed="false">
      <c r="A317" s="0" t="n">
        <v>316</v>
      </c>
      <c r="B317" s="14" t="n">
        <v>90658.9165645918</v>
      </c>
      <c r="C317" s="15" t="n">
        <v>0.13043357499794</v>
      </c>
      <c r="D317" s="14" t="n">
        <f aca="false">Summary!$B$5-B317</f>
        <v>9341.08343540825</v>
      </c>
      <c r="E317" s="15" t="n">
        <f aca="false">B317/Summary!$B$5-1</f>
        <v>-0.0934108343540825</v>
      </c>
    </row>
    <row r="318" customFormat="false" ht="15" hidden="false" customHeight="false" outlineLevel="0" collapsed="false">
      <c r="A318" s="0" t="n">
        <v>317</v>
      </c>
      <c r="B318" s="14" t="n">
        <v>99375.9310722189</v>
      </c>
      <c r="C318" s="15" t="n">
        <v>0.114057958310714</v>
      </c>
      <c r="D318" s="14" t="n">
        <f aca="false">Summary!$B$5-B318</f>
        <v>624.068927781103</v>
      </c>
      <c r="E318" s="15" t="n">
        <f aca="false">B318/Summary!$B$5-1</f>
        <v>-0.00624068927781107</v>
      </c>
    </row>
    <row r="319" customFormat="false" ht="15" hidden="false" customHeight="false" outlineLevel="0" collapsed="false">
      <c r="A319" s="0" t="n">
        <v>318</v>
      </c>
      <c r="B319" s="14" t="n">
        <v>132002.765750875</v>
      </c>
      <c r="C319" s="15" t="n">
        <v>0.0635550902242458</v>
      </c>
      <c r="D319" s="14" t="n">
        <f aca="false">Summary!$B$5-B319</f>
        <v>-32002.7657508749</v>
      </c>
      <c r="E319" s="15" t="n">
        <f aca="false">B319/Summary!$B$5-1</f>
        <v>0.320027657508749</v>
      </c>
    </row>
    <row r="320" customFormat="false" ht="15" hidden="false" customHeight="false" outlineLevel="0" collapsed="false">
      <c r="A320" s="0" t="n">
        <v>319</v>
      </c>
      <c r="B320" s="14" t="n">
        <v>107078.599399127</v>
      </c>
      <c r="C320" s="15" t="n">
        <v>0.0799054273211285</v>
      </c>
      <c r="D320" s="14" t="n">
        <f aca="false">Summary!$B$5-B320</f>
        <v>-7078.5993991268</v>
      </c>
      <c r="E320" s="15" t="n">
        <f aca="false">B320/Summary!$B$5-1</f>
        <v>0.0707859939912681</v>
      </c>
    </row>
    <row r="321" customFormat="false" ht="15" hidden="false" customHeight="false" outlineLevel="0" collapsed="false">
      <c r="A321" s="0" t="n">
        <v>320</v>
      </c>
      <c r="B321" s="14" t="n">
        <v>122560.249565536</v>
      </c>
      <c r="C321" s="15" t="n">
        <v>0.0562273374941095</v>
      </c>
      <c r="D321" s="14" t="n">
        <f aca="false">Summary!$B$5-B321</f>
        <v>-22560.2495655358</v>
      </c>
      <c r="E321" s="15" t="n">
        <f aca="false">B321/Summary!$B$5-1</f>
        <v>0.225602495655358</v>
      </c>
    </row>
    <row r="322" customFormat="false" ht="15" hidden="false" customHeight="false" outlineLevel="0" collapsed="false">
      <c r="A322" s="0" t="n">
        <v>321</v>
      </c>
      <c r="B322" s="14" t="n">
        <v>100401.407146938</v>
      </c>
      <c r="C322" s="15" t="n">
        <v>0.133298245782909</v>
      </c>
      <c r="D322" s="14" t="n">
        <f aca="false">Summary!$B$5-B322</f>
        <v>-401.407146937505</v>
      </c>
      <c r="E322" s="15" t="n">
        <f aca="false">B322/Summary!$B$5-1</f>
        <v>0.00401407146937505</v>
      </c>
    </row>
    <row r="323" customFormat="false" ht="15" hidden="false" customHeight="false" outlineLevel="0" collapsed="false">
      <c r="A323" s="0" t="n">
        <v>322</v>
      </c>
      <c r="B323" s="14" t="n">
        <v>115515.760819336</v>
      </c>
      <c r="C323" s="15" t="n">
        <v>0.067830744223835</v>
      </c>
      <c r="D323" s="14" t="n">
        <f aca="false">Summary!$B$5-B323</f>
        <v>-15515.7608193359</v>
      </c>
      <c r="E323" s="15" t="n">
        <f aca="false">B323/Summary!$B$5-1</f>
        <v>0.155157608193359</v>
      </c>
    </row>
    <row r="324" customFormat="false" ht="15" hidden="false" customHeight="false" outlineLevel="0" collapsed="false">
      <c r="A324" s="0" t="n">
        <v>323</v>
      </c>
      <c r="B324" s="14" t="n">
        <v>103204.226564686</v>
      </c>
      <c r="C324" s="15" t="n">
        <v>0.16841934792912</v>
      </c>
      <c r="D324" s="14" t="n">
        <f aca="false">Summary!$B$5-B324</f>
        <v>-3204.226564686</v>
      </c>
      <c r="E324" s="15" t="n">
        <f aca="false">B324/Summary!$B$5-1</f>
        <v>0.03204226564686</v>
      </c>
    </row>
    <row r="325" customFormat="false" ht="15" hidden="false" customHeight="false" outlineLevel="0" collapsed="false">
      <c r="A325" s="0" t="n">
        <v>324</v>
      </c>
      <c r="B325" s="14" t="n">
        <v>116669.199604281</v>
      </c>
      <c r="C325" s="15" t="n">
        <v>0.0863328212000584</v>
      </c>
      <c r="D325" s="14" t="n">
        <f aca="false">Summary!$B$5-B325</f>
        <v>-16669.199604281</v>
      </c>
      <c r="E325" s="15" t="n">
        <f aca="false">B325/Summary!$B$5-1</f>
        <v>0.16669199604281</v>
      </c>
    </row>
    <row r="326" customFormat="false" ht="15" hidden="false" customHeight="false" outlineLevel="0" collapsed="false">
      <c r="A326" s="0" t="n">
        <v>325</v>
      </c>
      <c r="B326" s="14" t="n">
        <v>102110.511643076</v>
      </c>
      <c r="C326" s="15" t="n">
        <v>0.0785417071453107</v>
      </c>
      <c r="D326" s="14" t="n">
        <f aca="false">Summary!$B$5-B326</f>
        <v>-2110.5116430761</v>
      </c>
      <c r="E326" s="15" t="n">
        <f aca="false">B326/Summary!$B$5-1</f>
        <v>0.021105116430761</v>
      </c>
    </row>
    <row r="327" customFormat="false" ht="15" hidden="false" customHeight="false" outlineLevel="0" collapsed="false">
      <c r="A327" s="0" t="n">
        <v>326</v>
      </c>
      <c r="B327" s="14" t="n">
        <v>94408.5698816239</v>
      </c>
      <c r="C327" s="15" t="n">
        <v>0.134216060310152</v>
      </c>
      <c r="D327" s="14" t="n">
        <f aca="false">Summary!$B$5-B327</f>
        <v>5591.43011837607</v>
      </c>
      <c r="E327" s="15" t="n">
        <f aca="false">B327/Summary!$B$5-1</f>
        <v>-0.0559143011837607</v>
      </c>
    </row>
    <row r="328" customFormat="false" ht="15" hidden="false" customHeight="false" outlineLevel="0" collapsed="false">
      <c r="A328" s="0" t="n">
        <v>327</v>
      </c>
      <c r="B328" s="14" t="n">
        <v>99361.7153754156</v>
      </c>
      <c r="C328" s="15" t="n">
        <v>0.106870464226042</v>
      </c>
      <c r="D328" s="14" t="n">
        <f aca="false">Summary!$B$5-B328</f>
        <v>638.284624584398</v>
      </c>
      <c r="E328" s="15" t="n">
        <f aca="false">B328/Summary!$B$5-1</f>
        <v>-0.00638284624584395</v>
      </c>
    </row>
    <row r="329" customFormat="false" ht="15" hidden="false" customHeight="false" outlineLevel="0" collapsed="false">
      <c r="A329" s="0" t="n">
        <v>328</v>
      </c>
      <c r="B329" s="14" t="n">
        <v>105236.481077574</v>
      </c>
      <c r="C329" s="15" t="n">
        <v>0.0922110491899407</v>
      </c>
      <c r="D329" s="14" t="n">
        <f aca="false">Summary!$B$5-B329</f>
        <v>-5236.4810775738</v>
      </c>
      <c r="E329" s="15" t="n">
        <f aca="false">B329/Summary!$B$5-1</f>
        <v>0.052364810775738</v>
      </c>
    </row>
    <row r="330" customFormat="false" ht="15" hidden="false" customHeight="false" outlineLevel="0" collapsed="false">
      <c r="A330" s="0" t="n">
        <v>329</v>
      </c>
      <c r="B330" s="14" t="n">
        <v>120169.197387849</v>
      </c>
      <c r="C330" s="15" t="n">
        <v>0.0834445230042792</v>
      </c>
      <c r="D330" s="14" t="n">
        <f aca="false">Summary!$B$5-B330</f>
        <v>-20169.1973878486</v>
      </c>
      <c r="E330" s="15" t="n">
        <f aca="false">B330/Summary!$B$5-1</f>
        <v>0.201691973878486</v>
      </c>
    </row>
    <row r="331" customFormat="false" ht="15" hidden="false" customHeight="false" outlineLevel="0" collapsed="false">
      <c r="A331" s="0" t="n">
        <v>330</v>
      </c>
      <c r="B331" s="14" t="n">
        <v>122350.05189984</v>
      </c>
      <c r="C331" s="15" t="n">
        <v>0.10222468264313</v>
      </c>
      <c r="D331" s="14" t="n">
        <f aca="false">Summary!$B$5-B331</f>
        <v>-22350.0518998398</v>
      </c>
      <c r="E331" s="15" t="n">
        <f aca="false">B331/Summary!$B$5-1</f>
        <v>0.223500518998398</v>
      </c>
    </row>
    <row r="332" customFormat="false" ht="15" hidden="false" customHeight="false" outlineLevel="0" collapsed="false">
      <c r="A332" s="0" t="n">
        <v>331</v>
      </c>
      <c r="B332" s="14" t="n">
        <v>122035.718267072</v>
      </c>
      <c r="C332" s="15" t="n">
        <v>0.0356142046148834</v>
      </c>
      <c r="D332" s="14" t="n">
        <f aca="false">Summary!$B$5-B332</f>
        <v>-22035.7182670717</v>
      </c>
      <c r="E332" s="15" t="n">
        <f aca="false">B332/Summary!$B$5-1</f>
        <v>0.220357182670717</v>
      </c>
    </row>
    <row r="333" customFormat="false" ht="15" hidden="false" customHeight="false" outlineLevel="0" collapsed="false">
      <c r="A333" s="0" t="n">
        <v>332</v>
      </c>
      <c r="B333" s="14" t="n">
        <v>111580.667145298</v>
      </c>
      <c r="C333" s="15" t="n">
        <v>0.119874772956276</v>
      </c>
      <c r="D333" s="14" t="n">
        <f aca="false">Summary!$B$5-B333</f>
        <v>-11580.6671452975</v>
      </c>
      <c r="E333" s="15" t="n">
        <f aca="false">B333/Summary!$B$5-1</f>
        <v>0.115806671452975</v>
      </c>
    </row>
    <row r="334" customFormat="false" ht="15" hidden="false" customHeight="false" outlineLevel="0" collapsed="false">
      <c r="A334" s="0" t="n">
        <v>333</v>
      </c>
      <c r="B334" s="14" t="n">
        <v>123292.313500361</v>
      </c>
      <c r="C334" s="15" t="n">
        <v>0.0895642070857593</v>
      </c>
      <c r="D334" s="14" t="n">
        <f aca="false">Summary!$B$5-B334</f>
        <v>-23292.3135003614</v>
      </c>
      <c r="E334" s="15" t="n">
        <f aca="false">B334/Summary!$B$5-1</f>
        <v>0.232923135003614</v>
      </c>
    </row>
    <row r="335" customFormat="false" ht="15" hidden="false" customHeight="false" outlineLevel="0" collapsed="false">
      <c r="A335" s="0" t="n">
        <v>334</v>
      </c>
      <c r="B335" s="14" t="n">
        <v>101531.574841589</v>
      </c>
      <c r="C335" s="15" t="n">
        <v>0.135107365931774</v>
      </c>
      <c r="D335" s="14" t="n">
        <f aca="false">Summary!$B$5-B335</f>
        <v>-1531.5748415886</v>
      </c>
      <c r="E335" s="15" t="n">
        <f aca="false">B335/Summary!$B$5-1</f>
        <v>0.0153157484158861</v>
      </c>
    </row>
    <row r="336" customFormat="false" ht="15" hidden="false" customHeight="false" outlineLevel="0" collapsed="false">
      <c r="A336" s="0" t="n">
        <v>335</v>
      </c>
      <c r="B336" s="14" t="n">
        <v>124316.809338729</v>
      </c>
      <c r="C336" s="15" t="n">
        <v>0.0858911086213371</v>
      </c>
      <c r="D336" s="14" t="n">
        <f aca="false">Summary!$B$5-B336</f>
        <v>-24316.809338729</v>
      </c>
      <c r="E336" s="15" t="n">
        <f aca="false">B336/Summary!$B$5-1</f>
        <v>0.24316809338729</v>
      </c>
    </row>
    <row r="337" customFormat="false" ht="15" hidden="false" customHeight="false" outlineLevel="0" collapsed="false">
      <c r="A337" s="0" t="n">
        <v>336</v>
      </c>
      <c r="B337" s="14" t="n">
        <v>120342.722056182</v>
      </c>
      <c r="C337" s="15" t="n">
        <v>0.0825909028328186</v>
      </c>
      <c r="D337" s="14" t="n">
        <f aca="false">Summary!$B$5-B337</f>
        <v>-20342.7220561818</v>
      </c>
      <c r="E337" s="15" t="n">
        <f aca="false">B337/Summary!$B$5-1</f>
        <v>0.203427220561818</v>
      </c>
    </row>
    <row r="338" customFormat="false" ht="15" hidden="false" customHeight="false" outlineLevel="0" collapsed="false">
      <c r="A338" s="0" t="n">
        <v>337</v>
      </c>
      <c r="B338" s="14" t="n">
        <v>115594.477084106</v>
      </c>
      <c r="C338" s="15" t="n">
        <v>0.0658504953671893</v>
      </c>
      <c r="D338" s="14" t="n">
        <f aca="false">Summary!$B$5-B338</f>
        <v>-15594.4770841056</v>
      </c>
      <c r="E338" s="15" t="n">
        <f aca="false">B338/Summary!$B$5-1</f>
        <v>0.155944770841056</v>
      </c>
    </row>
    <row r="339" customFormat="false" ht="15" hidden="false" customHeight="false" outlineLevel="0" collapsed="false">
      <c r="A339" s="0" t="n">
        <v>338</v>
      </c>
      <c r="B339" s="14" t="n">
        <v>116303.939754134</v>
      </c>
      <c r="C339" s="15" t="n">
        <v>0.0502908286057655</v>
      </c>
      <c r="D339" s="14" t="n">
        <f aca="false">Summary!$B$5-B339</f>
        <v>-16303.939754134</v>
      </c>
      <c r="E339" s="15" t="n">
        <f aca="false">B339/Summary!$B$5-1</f>
        <v>0.16303939754134</v>
      </c>
    </row>
    <row r="340" customFormat="false" ht="15" hidden="false" customHeight="false" outlineLevel="0" collapsed="false">
      <c r="A340" s="0" t="n">
        <v>339</v>
      </c>
      <c r="B340" s="14" t="n">
        <v>111166.674395113</v>
      </c>
      <c r="C340" s="15" t="n">
        <v>0.0608860623580819</v>
      </c>
      <c r="D340" s="14" t="n">
        <f aca="false">Summary!$B$5-B340</f>
        <v>-11166.674395113</v>
      </c>
      <c r="E340" s="15" t="n">
        <f aca="false">B340/Summary!$B$5-1</f>
        <v>0.11166674395113</v>
      </c>
    </row>
    <row r="341" customFormat="false" ht="15" hidden="false" customHeight="false" outlineLevel="0" collapsed="false">
      <c r="A341" s="0" t="n">
        <v>340</v>
      </c>
      <c r="B341" s="14" t="n">
        <v>123137.053026713</v>
      </c>
      <c r="C341" s="15" t="n">
        <v>0.0457409495967051</v>
      </c>
      <c r="D341" s="14" t="n">
        <f aca="false">Summary!$B$5-B341</f>
        <v>-23137.0530267132</v>
      </c>
      <c r="E341" s="15" t="n">
        <f aca="false">B341/Summary!$B$5-1</f>
        <v>0.231370530267132</v>
      </c>
    </row>
    <row r="342" customFormat="false" ht="15" hidden="false" customHeight="false" outlineLevel="0" collapsed="false">
      <c r="A342" s="0" t="n">
        <v>341</v>
      </c>
      <c r="B342" s="14" t="n">
        <v>112236.835879843</v>
      </c>
      <c r="C342" s="15" t="n">
        <v>0.0806123311539364</v>
      </c>
      <c r="D342" s="14" t="n">
        <f aca="false">Summary!$B$5-B342</f>
        <v>-12236.8358798432</v>
      </c>
      <c r="E342" s="15" t="n">
        <f aca="false">B342/Summary!$B$5-1</f>
        <v>0.122368358798432</v>
      </c>
    </row>
    <row r="343" customFormat="false" ht="15" hidden="false" customHeight="false" outlineLevel="0" collapsed="false">
      <c r="A343" s="0" t="n">
        <v>342</v>
      </c>
      <c r="B343" s="14" t="n">
        <v>114624.962250461</v>
      </c>
      <c r="C343" s="15" t="n">
        <v>0.0743479545627636</v>
      </c>
      <c r="D343" s="14" t="n">
        <f aca="false">Summary!$B$5-B343</f>
        <v>-14624.9622504607</v>
      </c>
      <c r="E343" s="15" t="n">
        <f aca="false">B343/Summary!$B$5-1</f>
        <v>0.146249622504607</v>
      </c>
    </row>
    <row r="344" customFormat="false" ht="15" hidden="false" customHeight="false" outlineLevel="0" collapsed="false">
      <c r="A344" s="0" t="n">
        <v>343</v>
      </c>
      <c r="B344" s="14" t="n">
        <v>106811.143178939</v>
      </c>
      <c r="C344" s="15" t="n">
        <v>0.149484672182114</v>
      </c>
      <c r="D344" s="14" t="n">
        <f aca="false">Summary!$B$5-B344</f>
        <v>-6811.143178939</v>
      </c>
      <c r="E344" s="15" t="n">
        <f aca="false">B344/Summary!$B$5-1</f>
        <v>0.0681114317893901</v>
      </c>
    </row>
    <row r="345" customFormat="false" ht="15" hidden="false" customHeight="false" outlineLevel="0" collapsed="false">
      <c r="A345" s="0" t="n">
        <v>344</v>
      </c>
      <c r="B345" s="14" t="n">
        <v>101097.115829684</v>
      </c>
      <c r="C345" s="15" t="n">
        <v>0.0824154946269959</v>
      </c>
      <c r="D345" s="14" t="n">
        <f aca="false">Summary!$B$5-B345</f>
        <v>-1097.115829684</v>
      </c>
      <c r="E345" s="15" t="n">
        <f aca="false">B345/Summary!$B$5-1</f>
        <v>0.0109711582968399</v>
      </c>
    </row>
    <row r="346" customFormat="false" ht="15" hidden="false" customHeight="false" outlineLevel="0" collapsed="false">
      <c r="A346" s="0" t="n">
        <v>345</v>
      </c>
      <c r="B346" s="14" t="n">
        <v>100900.283052037</v>
      </c>
      <c r="C346" s="15" t="n">
        <v>0.142289771131464</v>
      </c>
      <c r="D346" s="14" t="n">
        <f aca="false">Summary!$B$5-B346</f>
        <v>-900.283052036699</v>
      </c>
      <c r="E346" s="15" t="n">
        <f aca="false">B346/Summary!$B$5-1</f>
        <v>0.00900283052036688</v>
      </c>
    </row>
    <row r="347" customFormat="false" ht="15" hidden="false" customHeight="false" outlineLevel="0" collapsed="false">
      <c r="A347" s="0" t="n">
        <v>346</v>
      </c>
      <c r="B347" s="14" t="n">
        <v>85215.2266089073</v>
      </c>
      <c r="C347" s="15" t="n">
        <v>0.195504611149151</v>
      </c>
      <c r="D347" s="14" t="n">
        <f aca="false">Summary!$B$5-B347</f>
        <v>14784.7733910927</v>
      </c>
      <c r="E347" s="15" t="n">
        <f aca="false">B347/Summary!$B$5-1</f>
        <v>-0.147847733910927</v>
      </c>
    </row>
    <row r="348" customFormat="false" ht="15" hidden="false" customHeight="false" outlineLevel="0" collapsed="false">
      <c r="A348" s="0" t="n">
        <v>347</v>
      </c>
      <c r="B348" s="14" t="n">
        <v>108099.350242147</v>
      </c>
      <c r="C348" s="15" t="n">
        <v>0.081395353010942</v>
      </c>
      <c r="D348" s="14" t="n">
        <f aca="false">Summary!$B$5-B348</f>
        <v>-8099.3502421466</v>
      </c>
      <c r="E348" s="15" t="n">
        <f aca="false">B348/Summary!$B$5-1</f>
        <v>0.0809935024214659</v>
      </c>
    </row>
    <row r="349" customFormat="false" ht="15" hidden="false" customHeight="false" outlineLevel="0" collapsed="false">
      <c r="A349" s="0" t="n">
        <v>348</v>
      </c>
      <c r="B349" s="14" t="n">
        <v>119436.07367923</v>
      </c>
      <c r="C349" s="15" t="n">
        <v>0.0756610673857406</v>
      </c>
      <c r="D349" s="14" t="n">
        <f aca="false">Summary!$B$5-B349</f>
        <v>-19436.07367923</v>
      </c>
      <c r="E349" s="15" t="n">
        <f aca="false">B349/Summary!$B$5-1</f>
        <v>0.1943607367923</v>
      </c>
    </row>
    <row r="350" customFormat="false" ht="15" hidden="false" customHeight="false" outlineLevel="0" collapsed="false">
      <c r="A350" s="0" t="n">
        <v>349</v>
      </c>
      <c r="B350" s="14" t="n">
        <v>102946.642968791</v>
      </c>
      <c r="C350" s="15" t="n">
        <v>0.0984218616070807</v>
      </c>
      <c r="D350" s="14" t="n">
        <f aca="false">Summary!$B$5-B350</f>
        <v>-2946.6429687905</v>
      </c>
      <c r="E350" s="15" t="n">
        <f aca="false">B350/Summary!$B$5-1</f>
        <v>0.029466429687905</v>
      </c>
    </row>
    <row r="351" customFormat="false" ht="15" hidden="false" customHeight="false" outlineLevel="0" collapsed="false">
      <c r="A351" s="0" t="n">
        <v>350</v>
      </c>
      <c r="B351" s="14" t="n">
        <v>113097.888406741</v>
      </c>
      <c r="C351" s="15" t="n">
        <v>0.0539769286340684</v>
      </c>
      <c r="D351" s="14" t="n">
        <f aca="false">Summary!$B$5-B351</f>
        <v>-13097.8884067407</v>
      </c>
      <c r="E351" s="15" t="n">
        <f aca="false">B351/Summary!$B$5-1</f>
        <v>0.130978884067407</v>
      </c>
    </row>
    <row r="352" customFormat="false" ht="15" hidden="false" customHeight="false" outlineLevel="0" collapsed="false">
      <c r="A352" s="0" t="n">
        <v>351</v>
      </c>
      <c r="B352" s="14" t="n">
        <v>133429.969846429</v>
      </c>
      <c r="C352" s="15" t="n">
        <v>0.0823602837080282</v>
      </c>
      <c r="D352" s="14" t="n">
        <f aca="false">Summary!$B$5-B352</f>
        <v>-33429.9698464288</v>
      </c>
      <c r="E352" s="15" t="n">
        <f aca="false">B352/Summary!$B$5-1</f>
        <v>0.334299698464288</v>
      </c>
    </row>
    <row r="353" customFormat="false" ht="15" hidden="false" customHeight="false" outlineLevel="0" collapsed="false">
      <c r="A353" s="0" t="n">
        <v>352</v>
      </c>
      <c r="B353" s="14" t="n">
        <v>123644.740448875</v>
      </c>
      <c r="C353" s="15" t="n">
        <v>0.0482587003976397</v>
      </c>
      <c r="D353" s="14" t="n">
        <f aca="false">Summary!$B$5-B353</f>
        <v>-23644.7404488754</v>
      </c>
      <c r="E353" s="15" t="n">
        <f aca="false">B353/Summary!$B$5-1</f>
        <v>0.236447404488754</v>
      </c>
    </row>
    <row r="354" customFormat="false" ht="15" hidden="false" customHeight="false" outlineLevel="0" collapsed="false">
      <c r="A354" s="0" t="n">
        <v>353</v>
      </c>
      <c r="B354" s="14" t="n">
        <v>110270.257914014</v>
      </c>
      <c r="C354" s="15" t="n">
        <v>0.115796446947801</v>
      </c>
      <c r="D354" s="14" t="n">
        <f aca="false">Summary!$B$5-B354</f>
        <v>-10270.2579140143</v>
      </c>
      <c r="E354" s="15" t="n">
        <f aca="false">B354/Summary!$B$5-1</f>
        <v>0.102702579140143</v>
      </c>
    </row>
    <row r="355" customFormat="false" ht="15" hidden="false" customHeight="false" outlineLevel="0" collapsed="false">
      <c r="A355" s="0" t="n">
        <v>354</v>
      </c>
      <c r="B355" s="14" t="n">
        <v>100820.279103377</v>
      </c>
      <c r="C355" s="15" t="n">
        <v>0.0960033324353758</v>
      </c>
      <c r="D355" s="14" t="n">
        <f aca="false">Summary!$B$5-B355</f>
        <v>-820.279103376495</v>
      </c>
      <c r="E355" s="15" t="n">
        <f aca="false">B355/Summary!$B$5-1</f>
        <v>0.00820279103376498</v>
      </c>
    </row>
    <row r="356" customFormat="false" ht="15" hidden="false" customHeight="false" outlineLevel="0" collapsed="false">
      <c r="A356" s="0" t="n">
        <v>355</v>
      </c>
      <c r="B356" s="14" t="n">
        <v>103398.659380315</v>
      </c>
      <c r="C356" s="15" t="n">
        <v>0.0791921482394656</v>
      </c>
      <c r="D356" s="14" t="n">
        <f aca="false">Summary!$B$5-B356</f>
        <v>-3398.65938031449</v>
      </c>
      <c r="E356" s="15" t="n">
        <f aca="false">B356/Summary!$B$5-1</f>
        <v>0.033986593803145</v>
      </c>
    </row>
    <row r="357" customFormat="false" ht="15" hidden="false" customHeight="false" outlineLevel="0" collapsed="false">
      <c r="A357" s="0" t="n">
        <v>356</v>
      </c>
      <c r="B357" s="14" t="n">
        <v>102653.057642209</v>
      </c>
      <c r="C357" s="15" t="n">
        <v>0.0934968485351125</v>
      </c>
      <c r="D357" s="14" t="n">
        <f aca="false">Summary!$B$5-B357</f>
        <v>-2653.0576422086</v>
      </c>
      <c r="E357" s="15" t="n">
        <f aca="false">B357/Summary!$B$5-1</f>
        <v>0.026530576422086</v>
      </c>
    </row>
    <row r="358" customFormat="false" ht="15" hidden="false" customHeight="false" outlineLevel="0" collapsed="false">
      <c r="A358" s="0" t="n">
        <v>357</v>
      </c>
      <c r="B358" s="14" t="n">
        <v>108271.383424874</v>
      </c>
      <c r="C358" s="15" t="n">
        <v>0.0984159666540944</v>
      </c>
      <c r="D358" s="14" t="n">
        <f aca="false">Summary!$B$5-B358</f>
        <v>-8271.38342487349</v>
      </c>
      <c r="E358" s="15" t="n">
        <f aca="false">B358/Summary!$B$5-1</f>
        <v>0.082713834248735</v>
      </c>
    </row>
    <row r="359" customFormat="false" ht="15" hidden="false" customHeight="false" outlineLevel="0" collapsed="false">
      <c r="A359" s="0" t="n">
        <v>358</v>
      </c>
      <c r="B359" s="14" t="n">
        <v>105385.814224811</v>
      </c>
      <c r="C359" s="15" t="n">
        <v>0.116735403796357</v>
      </c>
      <c r="D359" s="14" t="n">
        <f aca="false">Summary!$B$5-B359</f>
        <v>-5385.8142248105</v>
      </c>
      <c r="E359" s="15" t="n">
        <f aca="false">B359/Summary!$B$5-1</f>
        <v>0.053858142248105</v>
      </c>
    </row>
    <row r="360" customFormat="false" ht="15" hidden="false" customHeight="false" outlineLevel="0" collapsed="false">
      <c r="A360" s="0" t="n">
        <v>359</v>
      </c>
      <c r="B360" s="14" t="n">
        <v>108639.069786051</v>
      </c>
      <c r="C360" s="15" t="n">
        <v>0.0820396003624577</v>
      </c>
      <c r="D360" s="14" t="n">
        <f aca="false">Summary!$B$5-B360</f>
        <v>-8639.0697860506</v>
      </c>
      <c r="E360" s="15" t="n">
        <f aca="false">B360/Summary!$B$5-1</f>
        <v>0.086390697860506</v>
      </c>
    </row>
    <row r="361" customFormat="false" ht="15" hidden="false" customHeight="false" outlineLevel="0" collapsed="false">
      <c r="A361" s="0" t="n">
        <v>360</v>
      </c>
      <c r="B361" s="14" t="n">
        <v>112969.165183527</v>
      </c>
      <c r="C361" s="15" t="n">
        <v>0.0778490746717951</v>
      </c>
      <c r="D361" s="14" t="n">
        <f aca="false">Summary!$B$5-B361</f>
        <v>-12969.1651835274</v>
      </c>
      <c r="E361" s="15" t="n">
        <f aca="false">B361/Summary!$B$5-1</f>
        <v>0.129691651835274</v>
      </c>
    </row>
    <row r="362" customFormat="false" ht="15" hidden="false" customHeight="false" outlineLevel="0" collapsed="false">
      <c r="A362" s="0" t="n">
        <v>361</v>
      </c>
      <c r="B362" s="14" t="n">
        <v>109292.063349902</v>
      </c>
      <c r="C362" s="15" t="n">
        <v>0.0653578821621588</v>
      </c>
      <c r="D362" s="14" t="n">
        <f aca="false">Summary!$B$5-B362</f>
        <v>-9292.063349902</v>
      </c>
      <c r="E362" s="15" t="n">
        <f aca="false">B362/Summary!$B$5-1</f>
        <v>0.09292063349902</v>
      </c>
    </row>
    <row r="363" customFormat="false" ht="15" hidden="false" customHeight="false" outlineLevel="0" collapsed="false">
      <c r="A363" s="0" t="n">
        <v>362</v>
      </c>
      <c r="B363" s="14" t="n">
        <v>137039.177572677</v>
      </c>
      <c r="C363" s="15" t="n">
        <v>0.0398136921691532</v>
      </c>
      <c r="D363" s="14" t="n">
        <f aca="false">Summary!$B$5-B363</f>
        <v>-37039.1775726768</v>
      </c>
      <c r="E363" s="15" t="n">
        <f aca="false">B363/Summary!$B$5-1</f>
        <v>0.370391775726768</v>
      </c>
    </row>
    <row r="364" customFormat="false" ht="15" hidden="false" customHeight="false" outlineLevel="0" collapsed="false">
      <c r="A364" s="0" t="n">
        <v>363</v>
      </c>
      <c r="B364" s="14" t="n">
        <v>101372.391611093</v>
      </c>
      <c r="C364" s="15" t="n">
        <v>0.0676805748504737</v>
      </c>
      <c r="D364" s="14" t="n">
        <f aca="false">Summary!$B$5-B364</f>
        <v>-1372.39161109331</v>
      </c>
      <c r="E364" s="15" t="n">
        <f aca="false">B364/Summary!$B$5-1</f>
        <v>0.013723916110933</v>
      </c>
    </row>
    <row r="365" customFormat="false" ht="15" hidden="false" customHeight="false" outlineLevel="0" collapsed="false">
      <c r="A365" s="0" t="n">
        <v>364</v>
      </c>
      <c r="B365" s="14" t="n">
        <v>108457.285023481</v>
      </c>
      <c r="C365" s="15" t="n">
        <v>0.0855803615142879</v>
      </c>
      <c r="D365" s="14" t="n">
        <f aca="false">Summary!$B$5-B365</f>
        <v>-8457.2850234806</v>
      </c>
      <c r="E365" s="15" t="n">
        <f aca="false">B365/Summary!$B$5-1</f>
        <v>0.084572850234806</v>
      </c>
    </row>
    <row r="366" customFormat="false" ht="15" hidden="false" customHeight="false" outlineLevel="0" collapsed="false">
      <c r="A366" s="0" t="n">
        <v>365</v>
      </c>
      <c r="B366" s="14" t="n">
        <v>96128.5294511521</v>
      </c>
      <c r="C366" s="15" t="n">
        <v>0.0966947431932244</v>
      </c>
      <c r="D366" s="14" t="n">
        <f aca="false">Summary!$B$5-B366</f>
        <v>3871.47054884789</v>
      </c>
      <c r="E366" s="15" t="n">
        <f aca="false">B366/Summary!$B$5-1</f>
        <v>-0.0387147054884789</v>
      </c>
    </row>
    <row r="367" customFormat="false" ht="15" hidden="false" customHeight="false" outlineLevel="0" collapsed="false">
      <c r="A367" s="0" t="n">
        <v>366</v>
      </c>
      <c r="B367" s="14" t="n">
        <v>122102.988729444</v>
      </c>
      <c r="C367" s="15" t="n">
        <v>0.0712175666976421</v>
      </c>
      <c r="D367" s="14" t="n">
        <f aca="false">Summary!$B$5-B367</f>
        <v>-22102.9887294442</v>
      </c>
      <c r="E367" s="15" t="n">
        <f aca="false">B367/Summary!$B$5-1</f>
        <v>0.221029887294442</v>
      </c>
    </row>
    <row r="368" customFormat="false" ht="15" hidden="false" customHeight="false" outlineLevel="0" collapsed="false">
      <c r="A368" s="0" t="n">
        <v>367</v>
      </c>
      <c r="B368" s="14" t="n">
        <v>112677.115082544</v>
      </c>
      <c r="C368" s="15" t="n">
        <v>0.12434986818384</v>
      </c>
      <c r="D368" s="14" t="n">
        <f aca="false">Summary!$B$5-B368</f>
        <v>-12677.1150825443</v>
      </c>
      <c r="E368" s="15" t="n">
        <f aca="false">B368/Summary!$B$5-1</f>
        <v>0.126771150825443</v>
      </c>
    </row>
    <row r="369" customFormat="false" ht="15" hidden="false" customHeight="false" outlineLevel="0" collapsed="false">
      <c r="A369" s="0" t="n">
        <v>368</v>
      </c>
      <c r="B369" s="14" t="n">
        <v>121375.913721818</v>
      </c>
      <c r="C369" s="15" t="n">
        <v>0.0774568744377345</v>
      </c>
      <c r="D369" s="14" t="n">
        <f aca="false">Summary!$B$5-B369</f>
        <v>-21375.9137218175</v>
      </c>
      <c r="E369" s="15" t="n">
        <f aca="false">B369/Summary!$B$5-1</f>
        <v>0.213759137218175</v>
      </c>
    </row>
    <row r="370" customFormat="false" ht="15" hidden="false" customHeight="false" outlineLevel="0" collapsed="false">
      <c r="A370" s="0" t="n">
        <v>369</v>
      </c>
      <c r="B370" s="14" t="n">
        <v>127412.3831535</v>
      </c>
      <c r="C370" s="15" t="n">
        <v>0.0531958499247297</v>
      </c>
      <c r="D370" s="14" t="n">
        <f aca="false">Summary!$B$5-B370</f>
        <v>-27412.3831535002</v>
      </c>
      <c r="E370" s="15" t="n">
        <f aca="false">B370/Summary!$B$5-1</f>
        <v>0.274123831535002</v>
      </c>
    </row>
    <row r="371" customFormat="false" ht="15" hidden="false" customHeight="false" outlineLevel="0" collapsed="false">
      <c r="A371" s="0" t="n">
        <v>370</v>
      </c>
      <c r="B371" s="14" t="n">
        <v>116547.998940192</v>
      </c>
      <c r="C371" s="15" t="n">
        <v>0.0697500308786894</v>
      </c>
      <c r="D371" s="14" t="n">
        <f aca="false">Summary!$B$5-B371</f>
        <v>-16547.9989401918</v>
      </c>
      <c r="E371" s="15" t="n">
        <f aca="false">B371/Summary!$B$5-1</f>
        <v>0.165479989401918</v>
      </c>
    </row>
    <row r="372" customFormat="false" ht="15" hidden="false" customHeight="false" outlineLevel="0" collapsed="false">
      <c r="A372" s="0" t="n">
        <v>371</v>
      </c>
      <c r="B372" s="14" t="n">
        <v>111610.33054791</v>
      </c>
      <c r="C372" s="15" t="n">
        <v>0.0738402588240074</v>
      </c>
      <c r="D372" s="14" t="n">
        <f aca="false">Summary!$B$5-B372</f>
        <v>-11610.3305479095</v>
      </c>
      <c r="E372" s="15" t="n">
        <f aca="false">B372/Summary!$B$5-1</f>
        <v>0.116103305479095</v>
      </c>
    </row>
    <row r="373" customFormat="false" ht="15" hidden="false" customHeight="false" outlineLevel="0" collapsed="false">
      <c r="A373" s="0" t="n">
        <v>372</v>
      </c>
      <c r="B373" s="14" t="n">
        <v>113280.030744282</v>
      </c>
      <c r="C373" s="15" t="n">
        <v>0.0558619372749279</v>
      </c>
      <c r="D373" s="14" t="n">
        <f aca="false">Summary!$B$5-B373</f>
        <v>-13280.0307442821</v>
      </c>
      <c r="E373" s="15" t="n">
        <f aca="false">B373/Summary!$B$5-1</f>
        <v>0.132800307442821</v>
      </c>
    </row>
    <row r="374" customFormat="false" ht="15" hidden="false" customHeight="false" outlineLevel="0" collapsed="false">
      <c r="A374" s="0" t="n">
        <v>373</v>
      </c>
      <c r="B374" s="14" t="n">
        <v>99932.2272510525</v>
      </c>
      <c r="C374" s="15" t="n">
        <v>0.114333032288506</v>
      </c>
      <c r="D374" s="14" t="n">
        <f aca="false">Summary!$B$5-B374</f>
        <v>67.7727489474928</v>
      </c>
      <c r="E374" s="15" t="n">
        <f aca="false">B374/Summary!$B$5-1</f>
        <v>-0.000677727489474922</v>
      </c>
    </row>
    <row r="375" customFormat="false" ht="15" hidden="false" customHeight="false" outlineLevel="0" collapsed="false">
      <c r="A375" s="0" t="n">
        <v>374</v>
      </c>
      <c r="B375" s="14" t="n">
        <v>113670.967462854</v>
      </c>
      <c r="C375" s="15" t="n">
        <v>0.0799332339434327</v>
      </c>
      <c r="D375" s="14" t="n">
        <f aca="false">Summary!$B$5-B375</f>
        <v>-13670.9674628544</v>
      </c>
      <c r="E375" s="15" t="n">
        <f aca="false">B375/Summary!$B$5-1</f>
        <v>0.136709674628544</v>
      </c>
    </row>
    <row r="376" customFormat="false" ht="15" hidden="false" customHeight="false" outlineLevel="0" collapsed="false">
      <c r="A376" s="0" t="n">
        <v>375</v>
      </c>
      <c r="B376" s="14" t="n">
        <v>110942.815379956</v>
      </c>
      <c r="C376" s="15" t="n">
        <v>0.0596189054037902</v>
      </c>
      <c r="D376" s="14" t="n">
        <f aca="false">Summary!$B$5-B376</f>
        <v>-10942.8153799562</v>
      </c>
      <c r="E376" s="15" t="n">
        <f aca="false">B376/Summary!$B$5-1</f>
        <v>0.109428153799562</v>
      </c>
    </row>
    <row r="377" customFormat="false" ht="15" hidden="false" customHeight="false" outlineLevel="0" collapsed="false">
      <c r="A377" s="0" t="n">
        <v>376</v>
      </c>
      <c r="B377" s="14" t="n">
        <v>122056.729413052</v>
      </c>
      <c r="C377" s="15" t="n">
        <v>0.0437063089558321</v>
      </c>
      <c r="D377" s="14" t="n">
        <f aca="false">Summary!$B$5-B377</f>
        <v>-22056.7294130517</v>
      </c>
      <c r="E377" s="15" t="n">
        <f aca="false">B377/Summary!$B$5-1</f>
        <v>0.220567294130517</v>
      </c>
    </row>
    <row r="378" customFormat="false" ht="15" hidden="false" customHeight="false" outlineLevel="0" collapsed="false">
      <c r="A378" s="0" t="n">
        <v>377</v>
      </c>
      <c r="B378" s="14" t="n">
        <v>136251.897818341</v>
      </c>
      <c r="C378" s="15" t="n">
        <v>0.0552934646205158</v>
      </c>
      <c r="D378" s="14" t="n">
        <f aca="false">Summary!$B$5-B378</f>
        <v>-36251.897818341</v>
      </c>
      <c r="E378" s="15" t="n">
        <f aca="false">B378/Summary!$B$5-1</f>
        <v>0.36251897818341</v>
      </c>
    </row>
    <row r="379" customFormat="false" ht="15" hidden="false" customHeight="false" outlineLevel="0" collapsed="false">
      <c r="A379" s="0" t="n">
        <v>378</v>
      </c>
      <c r="B379" s="14" t="n">
        <v>125760.287397036</v>
      </c>
      <c r="C379" s="15" t="n">
        <v>0.0527759761840432</v>
      </c>
      <c r="D379" s="14" t="n">
        <f aca="false">Summary!$B$5-B379</f>
        <v>-25760.2873970357</v>
      </c>
      <c r="E379" s="15" t="n">
        <f aca="false">B379/Summary!$B$5-1</f>
        <v>0.257602873970357</v>
      </c>
    </row>
    <row r="380" customFormat="false" ht="15" hidden="false" customHeight="false" outlineLevel="0" collapsed="false">
      <c r="A380" s="0" t="n">
        <v>379</v>
      </c>
      <c r="B380" s="14" t="n">
        <v>131584.357555832</v>
      </c>
      <c r="C380" s="15" t="n">
        <v>0.0513505007993095</v>
      </c>
      <c r="D380" s="14" t="n">
        <f aca="false">Summary!$B$5-B380</f>
        <v>-31584.3575558322</v>
      </c>
      <c r="E380" s="15" t="n">
        <f aca="false">B380/Summary!$B$5-1</f>
        <v>0.315843575558322</v>
      </c>
    </row>
    <row r="381" customFormat="false" ht="15" hidden="false" customHeight="false" outlineLevel="0" collapsed="false">
      <c r="A381" s="0" t="n">
        <v>380</v>
      </c>
      <c r="B381" s="14" t="n">
        <v>110965.12916944</v>
      </c>
      <c r="C381" s="15" t="n">
        <v>0.096661384403008</v>
      </c>
      <c r="D381" s="14" t="n">
        <f aca="false">Summary!$B$5-B381</f>
        <v>-10965.1291694395</v>
      </c>
      <c r="E381" s="15" t="n">
        <f aca="false">B381/Summary!$B$5-1</f>
        <v>0.109651291694395</v>
      </c>
    </row>
    <row r="382" customFormat="false" ht="15" hidden="false" customHeight="false" outlineLevel="0" collapsed="false">
      <c r="A382" s="0" t="n">
        <v>381</v>
      </c>
      <c r="B382" s="14" t="n">
        <v>142301.745860564</v>
      </c>
      <c r="C382" s="15" t="n">
        <v>0.0562290581976461</v>
      </c>
      <c r="D382" s="14" t="n">
        <f aca="false">Summary!$B$5-B382</f>
        <v>-42301.7458605639</v>
      </c>
      <c r="E382" s="15" t="n">
        <f aca="false">B382/Summary!$B$5-1</f>
        <v>0.423017458605639</v>
      </c>
    </row>
    <row r="383" customFormat="false" ht="15" hidden="false" customHeight="false" outlineLevel="0" collapsed="false">
      <c r="A383" s="0" t="n">
        <v>382</v>
      </c>
      <c r="B383" s="14" t="n">
        <v>110721.373941284</v>
      </c>
      <c r="C383" s="15" t="n">
        <v>0.131305922566639</v>
      </c>
      <c r="D383" s="14" t="n">
        <f aca="false">Summary!$B$5-B383</f>
        <v>-10721.373941284</v>
      </c>
      <c r="E383" s="15" t="n">
        <f aca="false">B383/Summary!$B$5-1</f>
        <v>0.10721373941284</v>
      </c>
    </row>
    <row r="384" customFormat="false" ht="15" hidden="false" customHeight="false" outlineLevel="0" collapsed="false">
      <c r="A384" s="0" t="n">
        <v>383</v>
      </c>
      <c r="B384" s="14" t="n">
        <v>108626.907039432</v>
      </c>
      <c r="C384" s="15" t="n">
        <v>0.0720869234815671</v>
      </c>
      <c r="D384" s="14" t="n">
        <f aca="false">Summary!$B$5-B384</f>
        <v>-8626.9070394321</v>
      </c>
      <c r="E384" s="15" t="n">
        <f aca="false">B384/Summary!$B$5-1</f>
        <v>0.086269070394321</v>
      </c>
    </row>
    <row r="385" customFormat="false" ht="15" hidden="false" customHeight="false" outlineLevel="0" collapsed="false">
      <c r="A385" s="0" t="n">
        <v>384</v>
      </c>
      <c r="B385" s="14" t="n">
        <v>119541.970754695</v>
      </c>
      <c r="C385" s="15" t="n">
        <v>0.0517867234363312</v>
      </c>
      <c r="D385" s="14" t="n">
        <f aca="false">Summary!$B$5-B385</f>
        <v>-19541.9707546946</v>
      </c>
      <c r="E385" s="15" t="n">
        <f aca="false">B385/Summary!$B$5-1</f>
        <v>0.195419707546946</v>
      </c>
    </row>
    <row r="386" customFormat="false" ht="15" hidden="false" customHeight="false" outlineLevel="0" collapsed="false">
      <c r="A386" s="0" t="n">
        <v>385</v>
      </c>
      <c r="B386" s="14" t="n">
        <v>107065.562802434</v>
      </c>
      <c r="C386" s="15" t="n">
        <v>0.0869250639251046</v>
      </c>
      <c r="D386" s="14" t="n">
        <f aca="false">Summary!$B$5-B386</f>
        <v>-7065.5628024335</v>
      </c>
      <c r="E386" s="15" t="n">
        <f aca="false">B386/Summary!$B$5-1</f>
        <v>0.0706556280243351</v>
      </c>
    </row>
    <row r="387" customFormat="false" ht="15" hidden="false" customHeight="false" outlineLevel="0" collapsed="false">
      <c r="A387" s="0" t="n">
        <v>386</v>
      </c>
      <c r="B387" s="14" t="n">
        <v>118750.357715182</v>
      </c>
      <c r="C387" s="15" t="n">
        <v>0.0711715867573514</v>
      </c>
      <c r="D387" s="14" t="n">
        <f aca="false">Summary!$B$5-B387</f>
        <v>-18750.3577151823</v>
      </c>
      <c r="E387" s="15" t="n">
        <f aca="false">B387/Summary!$B$5-1</f>
        <v>0.187503577151823</v>
      </c>
    </row>
    <row r="388" customFormat="false" ht="15" hidden="false" customHeight="false" outlineLevel="0" collapsed="false">
      <c r="A388" s="0" t="n">
        <v>387</v>
      </c>
      <c r="B388" s="14" t="n">
        <v>86778.3530799347</v>
      </c>
      <c r="C388" s="15" t="n">
        <v>0.161265906544366</v>
      </c>
      <c r="D388" s="14" t="n">
        <f aca="false">Summary!$B$5-B388</f>
        <v>13221.6469200654</v>
      </c>
      <c r="E388" s="15" t="n">
        <f aca="false">B388/Summary!$B$5-1</f>
        <v>-0.132216469200654</v>
      </c>
    </row>
    <row r="389" customFormat="false" ht="15" hidden="false" customHeight="false" outlineLevel="0" collapsed="false">
      <c r="A389" s="0" t="n">
        <v>388</v>
      </c>
      <c r="B389" s="14" t="n">
        <v>109317.257397367</v>
      </c>
      <c r="C389" s="15" t="n">
        <v>0.112375925626918</v>
      </c>
      <c r="D389" s="14" t="n">
        <f aca="false">Summary!$B$5-B389</f>
        <v>-9317.2573973673</v>
      </c>
      <c r="E389" s="15" t="n">
        <f aca="false">B389/Summary!$B$5-1</f>
        <v>0.0931725739736731</v>
      </c>
    </row>
    <row r="390" customFormat="false" ht="15" hidden="false" customHeight="false" outlineLevel="0" collapsed="false">
      <c r="A390" s="0" t="n">
        <v>389</v>
      </c>
      <c r="B390" s="14" t="n">
        <v>94667.8707891613</v>
      </c>
      <c r="C390" s="15" t="n">
        <v>0.146304299126036</v>
      </c>
      <c r="D390" s="14" t="n">
        <f aca="false">Summary!$B$5-B390</f>
        <v>5332.12921083873</v>
      </c>
      <c r="E390" s="15" t="n">
        <f aca="false">B390/Summary!$B$5-1</f>
        <v>-0.0533212921083873</v>
      </c>
    </row>
    <row r="391" customFormat="false" ht="15" hidden="false" customHeight="false" outlineLevel="0" collapsed="false">
      <c r="A391" s="0" t="n">
        <v>390</v>
      </c>
      <c r="B391" s="14" t="n">
        <v>89632.5681114853</v>
      </c>
      <c r="C391" s="15" t="n">
        <v>0.164333892079062</v>
      </c>
      <c r="D391" s="14" t="n">
        <f aca="false">Summary!$B$5-B391</f>
        <v>10367.4318885147</v>
      </c>
      <c r="E391" s="15" t="n">
        <f aca="false">B391/Summary!$B$5-1</f>
        <v>-0.103674318885147</v>
      </c>
    </row>
    <row r="392" customFormat="false" ht="15" hidden="false" customHeight="false" outlineLevel="0" collapsed="false">
      <c r="A392" s="0" t="n">
        <v>391</v>
      </c>
      <c r="B392" s="14" t="n">
        <v>105639.400796002</v>
      </c>
      <c r="C392" s="15" t="n">
        <v>0.0776824319921734</v>
      </c>
      <c r="D392" s="14" t="n">
        <f aca="false">Summary!$B$5-B392</f>
        <v>-5639.4007960016</v>
      </c>
      <c r="E392" s="15" t="n">
        <f aca="false">B392/Summary!$B$5-1</f>
        <v>0.056394007960016</v>
      </c>
    </row>
    <row r="393" customFormat="false" ht="15" hidden="false" customHeight="false" outlineLevel="0" collapsed="false">
      <c r="A393" s="0" t="n">
        <v>392</v>
      </c>
      <c r="B393" s="14" t="n">
        <v>113068.312460157</v>
      </c>
      <c r="C393" s="15" t="n">
        <v>0.0588150517489587</v>
      </c>
      <c r="D393" s="14" t="n">
        <f aca="false">Summary!$B$5-B393</f>
        <v>-13068.3124601571</v>
      </c>
      <c r="E393" s="15" t="n">
        <f aca="false">B393/Summary!$B$5-1</f>
        <v>0.130683124601571</v>
      </c>
    </row>
    <row r="394" customFormat="false" ht="15" hidden="false" customHeight="false" outlineLevel="0" collapsed="false">
      <c r="A394" s="0" t="n">
        <v>393</v>
      </c>
      <c r="B394" s="14" t="n">
        <v>102323.490650039</v>
      </c>
      <c r="C394" s="15" t="n">
        <v>0.0902629248435916</v>
      </c>
      <c r="D394" s="14" t="n">
        <f aca="false">Summary!$B$5-B394</f>
        <v>-2323.49065003909</v>
      </c>
      <c r="E394" s="15" t="n">
        <f aca="false">B394/Summary!$B$5-1</f>
        <v>0.023234906500391</v>
      </c>
    </row>
    <row r="395" customFormat="false" ht="15" hidden="false" customHeight="false" outlineLevel="0" collapsed="false">
      <c r="A395" s="0" t="n">
        <v>394</v>
      </c>
      <c r="B395" s="14" t="n">
        <v>107235.149158666</v>
      </c>
      <c r="C395" s="15" t="n">
        <v>0.0736396799235249</v>
      </c>
      <c r="D395" s="14" t="n">
        <f aca="false">Summary!$B$5-B395</f>
        <v>-7235.14915866561</v>
      </c>
      <c r="E395" s="15" t="n">
        <f aca="false">B395/Summary!$B$5-1</f>
        <v>0.0723514915866561</v>
      </c>
    </row>
    <row r="396" customFormat="false" ht="15" hidden="false" customHeight="false" outlineLevel="0" collapsed="false">
      <c r="A396" s="0" t="n">
        <v>395</v>
      </c>
      <c r="B396" s="14" t="n">
        <v>99596.5143114724</v>
      </c>
      <c r="C396" s="15" t="n">
        <v>0.0982249836837624</v>
      </c>
      <c r="D396" s="14" t="n">
        <f aca="false">Summary!$B$5-B396</f>
        <v>403.485688527566</v>
      </c>
      <c r="E396" s="15" t="n">
        <f aca="false">B396/Summary!$B$5-1</f>
        <v>-0.00403485688527561</v>
      </c>
    </row>
    <row r="397" customFormat="false" ht="15" hidden="false" customHeight="false" outlineLevel="0" collapsed="false">
      <c r="A397" s="0" t="n">
        <v>396</v>
      </c>
      <c r="B397" s="14" t="n">
        <v>109352.132676567</v>
      </c>
      <c r="C397" s="15" t="n">
        <v>0.0848693487585556</v>
      </c>
      <c r="D397" s="14" t="n">
        <f aca="false">Summary!$B$5-B397</f>
        <v>-9352.1326765674</v>
      </c>
      <c r="E397" s="15" t="n">
        <f aca="false">B397/Summary!$B$5-1</f>
        <v>0.093521326765674</v>
      </c>
    </row>
    <row r="398" customFormat="false" ht="15" hidden="false" customHeight="false" outlineLevel="0" collapsed="false">
      <c r="A398" s="0" t="n">
        <v>397</v>
      </c>
      <c r="B398" s="14" t="n">
        <v>108782.584533034</v>
      </c>
      <c r="C398" s="15" t="n">
        <v>0.0548123715189415</v>
      </c>
      <c r="D398" s="14" t="n">
        <f aca="false">Summary!$B$5-B398</f>
        <v>-8782.5845330335</v>
      </c>
      <c r="E398" s="15" t="n">
        <f aca="false">B398/Summary!$B$5-1</f>
        <v>0.0878258453303351</v>
      </c>
    </row>
    <row r="399" customFormat="false" ht="15" hidden="false" customHeight="false" outlineLevel="0" collapsed="false">
      <c r="A399" s="0" t="n">
        <v>398</v>
      </c>
      <c r="B399" s="14" t="n">
        <v>111213.949574052</v>
      </c>
      <c r="C399" s="15" t="n">
        <v>0.090851328439344</v>
      </c>
      <c r="D399" s="14" t="n">
        <f aca="false">Summary!$B$5-B399</f>
        <v>-11213.949574052</v>
      </c>
      <c r="E399" s="15" t="n">
        <f aca="false">B399/Summary!$B$5-1</f>
        <v>0.11213949574052</v>
      </c>
    </row>
    <row r="400" customFormat="false" ht="15" hidden="false" customHeight="false" outlineLevel="0" collapsed="false">
      <c r="A400" s="0" t="n">
        <v>399</v>
      </c>
      <c r="B400" s="14" t="n">
        <v>105745.871617058</v>
      </c>
      <c r="C400" s="15" t="n">
        <v>0.0666034436192501</v>
      </c>
      <c r="D400" s="14" t="n">
        <f aca="false">Summary!$B$5-B400</f>
        <v>-5745.8716170577</v>
      </c>
      <c r="E400" s="15" t="n">
        <f aca="false">B400/Summary!$B$5-1</f>
        <v>0.0574587161705769</v>
      </c>
    </row>
    <row r="401" customFormat="false" ht="15" hidden="false" customHeight="false" outlineLevel="0" collapsed="false">
      <c r="A401" s="0" t="n">
        <v>400</v>
      </c>
      <c r="B401" s="14" t="n">
        <v>91286.1918364568</v>
      </c>
      <c r="C401" s="15" t="n">
        <v>0.169283738748327</v>
      </c>
      <c r="D401" s="14" t="n">
        <f aca="false">Summary!$B$5-B401</f>
        <v>8713.80816354317</v>
      </c>
      <c r="E401" s="15" t="n">
        <f aca="false">B401/Summary!$B$5-1</f>
        <v>-0.0871380816354317</v>
      </c>
    </row>
    <row r="402" customFormat="false" ht="15" hidden="false" customHeight="false" outlineLevel="0" collapsed="false">
      <c r="A402" s="0" t="n">
        <v>401</v>
      </c>
      <c r="B402" s="14" t="n">
        <v>100366.198841745</v>
      </c>
      <c r="C402" s="15" t="n">
        <v>0.0606587409730263</v>
      </c>
      <c r="D402" s="14" t="n">
        <f aca="false">Summary!$B$5-B402</f>
        <v>-366.198841745398</v>
      </c>
      <c r="E402" s="15" t="n">
        <f aca="false">B402/Summary!$B$5-1</f>
        <v>0.00366198841745402</v>
      </c>
    </row>
    <row r="403" customFormat="false" ht="15" hidden="false" customHeight="false" outlineLevel="0" collapsed="false">
      <c r="A403" s="0" t="n">
        <v>402</v>
      </c>
      <c r="B403" s="14" t="n">
        <v>103528.147962988</v>
      </c>
      <c r="C403" s="15" t="n">
        <v>0.106060674439497</v>
      </c>
      <c r="D403" s="14" t="n">
        <f aca="false">Summary!$B$5-B403</f>
        <v>-3528.1479629878</v>
      </c>
      <c r="E403" s="15" t="n">
        <f aca="false">B403/Summary!$B$5-1</f>
        <v>0.0352814796298779</v>
      </c>
    </row>
    <row r="404" customFormat="false" ht="15" hidden="false" customHeight="false" outlineLevel="0" collapsed="false">
      <c r="A404" s="0" t="n">
        <v>403</v>
      </c>
      <c r="B404" s="14" t="n">
        <v>100965.844656613</v>
      </c>
      <c r="C404" s="15" t="n">
        <v>0.0789587588004386</v>
      </c>
      <c r="D404" s="14" t="n">
        <f aca="false">Summary!$B$5-B404</f>
        <v>-965.844656613102</v>
      </c>
      <c r="E404" s="15" t="n">
        <f aca="false">B404/Summary!$B$5-1</f>
        <v>0.00965844656613113</v>
      </c>
    </row>
    <row r="405" customFormat="false" ht="15" hidden="false" customHeight="false" outlineLevel="0" collapsed="false">
      <c r="A405" s="0" t="n">
        <v>404</v>
      </c>
      <c r="B405" s="14" t="n">
        <v>116592.036926528</v>
      </c>
      <c r="C405" s="15" t="n">
        <v>0.110246336466802</v>
      </c>
      <c r="D405" s="14" t="n">
        <f aca="false">Summary!$B$5-B405</f>
        <v>-16592.0369265276</v>
      </c>
      <c r="E405" s="15" t="n">
        <f aca="false">B405/Summary!$B$5-1</f>
        <v>0.165920369265276</v>
      </c>
    </row>
    <row r="406" customFormat="false" ht="15" hidden="false" customHeight="false" outlineLevel="0" collapsed="false">
      <c r="A406" s="0" t="n">
        <v>405</v>
      </c>
      <c r="B406" s="14" t="n">
        <v>89183.3143694476</v>
      </c>
      <c r="C406" s="15" t="n">
        <v>0.213085387204643</v>
      </c>
      <c r="D406" s="14" t="n">
        <f aca="false">Summary!$B$5-B406</f>
        <v>10816.6856305524</v>
      </c>
      <c r="E406" s="15" t="n">
        <f aca="false">B406/Summary!$B$5-1</f>
        <v>-0.108166856305524</v>
      </c>
    </row>
    <row r="407" customFormat="false" ht="15" hidden="false" customHeight="false" outlineLevel="0" collapsed="false">
      <c r="A407" s="0" t="n">
        <v>406</v>
      </c>
      <c r="B407" s="14" t="n">
        <v>113765.721586253</v>
      </c>
      <c r="C407" s="15" t="n">
        <v>0.0800902204631465</v>
      </c>
      <c r="D407" s="14" t="n">
        <f aca="false">Summary!$B$5-B407</f>
        <v>-13765.7215862532</v>
      </c>
      <c r="E407" s="15" t="n">
        <f aca="false">B407/Summary!$B$5-1</f>
        <v>0.137657215862532</v>
      </c>
    </row>
    <row r="408" customFormat="false" ht="15" hidden="false" customHeight="false" outlineLevel="0" collapsed="false">
      <c r="A408" s="0" t="n">
        <v>407</v>
      </c>
      <c r="B408" s="14" t="n">
        <v>84680.1106996285</v>
      </c>
      <c r="C408" s="15" t="n">
        <v>0.199150430972268</v>
      </c>
      <c r="D408" s="14" t="n">
        <f aca="false">Summary!$B$5-B408</f>
        <v>15319.8893003715</v>
      </c>
      <c r="E408" s="15" t="n">
        <f aca="false">B408/Summary!$B$5-1</f>
        <v>-0.153198893003715</v>
      </c>
    </row>
    <row r="409" customFormat="false" ht="15" hidden="false" customHeight="false" outlineLevel="0" collapsed="false">
      <c r="A409" s="0" t="n">
        <v>408</v>
      </c>
      <c r="B409" s="14" t="n">
        <v>105209.365423818</v>
      </c>
      <c r="C409" s="15" t="n">
        <v>0.133264129079066</v>
      </c>
      <c r="D409" s="14" t="n">
        <f aca="false">Summary!$B$5-B409</f>
        <v>-5209.3654238181</v>
      </c>
      <c r="E409" s="15" t="n">
        <f aca="false">B409/Summary!$B$5-1</f>
        <v>0.0520936542381811</v>
      </c>
    </row>
    <row r="410" customFormat="false" ht="15" hidden="false" customHeight="false" outlineLevel="0" collapsed="false">
      <c r="A410" s="0" t="n">
        <v>409</v>
      </c>
      <c r="B410" s="14" t="n">
        <v>128240.920933157</v>
      </c>
      <c r="C410" s="15" t="n">
        <v>0.0712591952110149</v>
      </c>
      <c r="D410" s="14" t="n">
        <f aca="false">Summary!$B$5-B410</f>
        <v>-28240.9209331573</v>
      </c>
      <c r="E410" s="15" t="n">
        <f aca="false">B410/Summary!$B$5-1</f>
        <v>0.282409209331573</v>
      </c>
    </row>
    <row r="411" customFormat="false" ht="15" hidden="false" customHeight="false" outlineLevel="0" collapsed="false">
      <c r="A411" s="0" t="n">
        <v>410</v>
      </c>
      <c r="B411" s="14" t="n">
        <v>116484.596763813</v>
      </c>
      <c r="C411" s="15" t="n">
        <v>0.0724131083647638</v>
      </c>
      <c r="D411" s="14" t="n">
        <f aca="false">Summary!$B$5-B411</f>
        <v>-16484.5967638132</v>
      </c>
      <c r="E411" s="15" t="n">
        <f aca="false">B411/Summary!$B$5-1</f>
        <v>0.164845967638132</v>
      </c>
    </row>
    <row r="412" customFormat="false" ht="15" hidden="false" customHeight="false" outlineLevel="0" collapsed="false">
      <c r="A412" s="0" t="n">
        <v>411</v>
      </c>
      <c r="B412" s="14" t="n">
        <v>118611.573091526</v>
      </c>
      <c r="C412" s="15" t="n">
        <v>0.081199045975009</v>
      </c>
      <c r="D412" s="14" t="n">
        <f aca="false">Summary!$B$5-B412</f>
        <v>-18611.573091526</v>
      </c>
      <c r="E412" s="15" t="n">
        <f aca="false">B412/Summary!$B$5-1</f>
        <v>0.18611573091526</v>
      </c>
    </row>
    <row r="413" customFormat="false" ht="15" hidden="false" customHeight="false" outlineLevel="0" collapsed="false">
      <c r="A413" s="0" t="n">
        <v>412</v>
      </c>
      <c r="B413" s="14" t="n">
        <v>137556.21153061</v>
      </c>
      <c r="C413" s="15" t="n">
        <v>0.0789026343301666</v>
      </c>
      <c r="D413" s="14" t="n">
        <f aca="false">Summary!$B$5-B413</f>
        <v>-37556.2115306095</v>
      </c>
      <c r="E413" s="15" t="n">
        <f aca="false">B413/Summary!$B$5-1</f>
        <v>0.375562115306095</v>
      </c>
    </row>
    <row r="414" customFormat="false" ht="15" hidden="false" customHeight="false" outlineLevel="0" collapsed="false">
      <c r="A414" s="0" t="n">
        <v>413</v>
      </c>
      <c r="B414" s="14" t="n">
        <v>94368.3918767102</v>
      </c>
      <c r="C414" s="15" t="n">
        <v>0.163157197808421</v>
      </c>
      <c r="D414" s="14" t="n">
        <f aca="false">Summary!$B$5-B414</f>
        <v>5631.6081232898</v>
      </c>
      <c r="E414" s="15" t="n">
        <f aca="false">B414/Summary!$B$5-1</f>
        <v>-0.056316081232898</v>
      </c>
    </row>
    <row r="415" customFormat="false" ht="15" hidden="false" customHeight="false" outlineLevel="0" collapsed="false">
      <c r="A415" s="0" t="n">
        <v>414</v>
      </c>
      <c r="B415" s="14" t="n">
        <v>107387.246142612</v>
      </c>
      <c r="C415" s="15" t="n">
        <v>0.080413618856127</v>
      </c>
      <c r="D415" s="14" t="n">
        <f aca="false">Summary!$B$5-B415</f>
        <v>-7387.2461426121</v>
      </c>
      <c r="E415" s="15" t="n">
        <f aca="false">B415/Summary!$B$5-1</f>
        <v>0.073872461426121</v>
      </c>
    </row>
    <row r="416" customFormat="false" ht="15" hidden="false" customHeight="false" outlineLevel="0" collapsed="false">
      <c r="A416" s="0" t="n">
        <v>415</v>
      </c>
      <c r="B416" s="14" t="n">
        <v>102101.679223993</v>
      </c>
      <c r="C416" s="15" t="n">
        <v>0.140771664602937</v>
      </c>
      <c r="D416" s="14" t="n">
        <f aca="false">Summary!$B$5-B416</f>
        <v>-2101.6792239926</v>
      </c>
      <c r="E416" s="15" t="n">
        <f aca="false">B416/Summary!$B$5-1</f>
        <v>0.021016792239926</v>
      </c>
    </row>
    <row r="417" customFormat="false" ht="15" hidden="false" customHeight="false" outlineLevel="0" collapsed="false">
      <c r="A417" s="0" t="n">
        <v>416</v>
      </c>
      <c r="B417" s="14" t="n">
        <v>104958.308063922</v>
      </c>
      <c r="C417" s="15" t="n">
        <v>0.0679794975051364</v>
      </c>
      <c r="D417" s="14" t="n">
        <f aca="false">Summary!$B$5-B417</f>
        <v>-4958.3080639219</v>
      </c>
      <c r="E417" s="15" t="n">
        <f aca="false">B417/Summary!$B$5-1</f>
        <v>0.049583080639219</v>
      </c>
    </row>
    <row r="418" customFormat="false" ht="15" hidden="false" customHeight="false" outlineLevel="0" collapsed="false">
      <c r="A418" s="0" t="n">
        <v>417</v>
      </c>
      <c r="B418" s="14" t="n">
        <v>93581.4514892103</v>
      </c>
      <c r="C418" s="15" t="n">
        <v>0.181402479307715</v>
      </c>
      <c r="D418" s="14" t="n">
        <f aca="false">Summary!$B$5-B418</f>
        <v>6418.54851078976</v>
      </c>
      <c r="E418" s="15" t="n">
        <f aca="false">B418/Summary!$B$5-1</f>
        <v>-0.0641854851078976</v>
      </c>
    </row>
    <row r="419" customFormat="false" ht="15" hidden="false" customHeight="false" outlineLevel="0" collapsed="false">
      <c r="A419" s="0" t="n">
        <v>418</v>
      </c>
      <c r="B419" s="14" t="n">
        <v>95955.7501574039</v>
      </c>
      <c r="C419" s="15" t="n">
        <v>0.147506902948327</v>
      </c>
      <c r="D419" s="14" t="n">
        <f aca="false">Summary!$B$5-B419</f>
        <v>4044.2498425961</v>
      </c>
      <c r="E419" s="15" t="n">
        <f aca="false">B419/Summary!$B$5-1</f>
        <v>-0.0404424984259609</v>
      </c>
    </row>
    <row r="420" customFormat="false" ht="15" hidden="false" customHeight="false" outlineLevel="0" collapsed="false">
      <c r="A420" s="0" t="n">
        <v>419</v>
      </c>
      <c r="B420" s="14" t="n">
        <v>107895.279766737</v>
      </c>
      <c r="C420" s="15" t="n">
        <v>0.056337626229814</v>
      </c>
      <c r="D420" s="14" t="n">
        <f aca="false">Summary!$B$5-B420</f>
        <v>-7895.27976673649</v>
      </c>
      <c r="E420" s="15" t="n">
        <f aca="false">B420/Summary!$B$5-1</f>
        <v>0.078952797667365</v>
      </c>
    </row>
    <row r="421" customFormat="false" ht="15" hidden="false" customHeight="false" outlineLevel="0" collapsed="false">
      <c r="A421" s="0" t="n">
        <v>420</v>
      </c>
      <c r="B421" s="14" t="n">
        <v>126178.44082784</v>
      </c>
      <c r="C421" s="15" t="n">
        <v>0.0662826658423109</v>
      </c>
      <c r="D421" s="14" t="n">
        <f aca="false">Summary!$B$5-B421</f>
        <v>-26178.4408278395</v>
      </c>
      <c r="E421" s="15" t="n">
        <f aca="false">B421/Summary!$B$5-1</f>
        <v>0.261784408278395</v>
      </c>
    </row>
    <row r="422" customFormat="false" ht="15" hidden="false" customHeight="false" outlineLevel="0" collapsed="false">
      <c r="A422" s="0" t="n">
        <v>421</v>
      </c>
      <c r="B422" s="14" t="n">
        <v>112057.938655538</v>
      </c>
      <c r="C422" s="15" t="n">
        <v>0.0683410232604411</v>
      </c>
      <c r="D422" s="14" t="n">
        <f aca="false">Summary!$B$5-B422</f>
        <v>-12057.9386555378</v>
      </c>
      <c r="E422" s="15" t="n">
        <f aca="false">B422/Summary!$B$5-1</f>
        <v>0.120579386555378</v>
      </c>
    </row>
    <row r="423" customFormat="false" ht="15" hidden="false" customHeight="false" outlineLevel="0" collapsed="false">
      <c r="A423" s="0" t="n">
        <v>422</v>
      </c>
      <c r="B423" s="14" t="n">
        <v>102350.53187187</v>
      </c>
      <c r="C423" s="15" t="n">
        <v>0.0973860838576988</v>
      </c>
      <c r="D423" s="14" t="n">
        <f aca="false">Summary!$B$5-B423</f>
        <v>-2350.53187187</v>
      </c>
      <c r="E423" s="15" t="n">
        <f aca="false">B423/Summary!$B$5-1</f>
        <v>0.0235053187187</v>
      </c>
    </row>
    <row r="424" customFormat="false" ht="15" hidden="false" customHeight="false" outlineLevel="0" collapsed="false">
      <c r="A424" s="0" t="n">
        <v>423</v>
      </c>
      <c r="B424" s="14" t="n">
        <v>128894.798113933</v>
      </c>
      <c r="C424" s="15" t="n">
        <v>0.090434063897184</v>
      </c>
      <c r="D424" s="14" t="n">
        <f aca="false">Summary!$B$5-B424</f>
        <v>-28894.798113933</v>
      </c>
      <c r="E424" s="15" t="n">
        <f aca="false">B424/Summary!$B$5-1</f>
        <v>0.28894798113933</v>
      </c>
    </row>
    <row r="425" customFormat="false" ht="15" hidden="false" customHeight="false" outlineLevel="0" collapsed="false">
      <c r="A425" s="0" t="n">
        <v>424</v>
      </c>
      <c r="B425" s="14" t="n">
        <v>100246.167979984</v>
      </c>
      <c r="C425" s="15" t="n">
        <v>0.130622550850796</v>
      </c>
      <c r="D425" s="14" t="n">
        <f aca="false">Summary!$B$5-B425</f>
        <v>-246.167979983598</v>
      </c>
      <c r="E425" s="15" t="n">
        <f aca="false">B425/Summary!$B$5-1</f>
        <v>0.00246167979983603</v>
      </c>
    </row>
    <row r="426" customFormat="false" ht="15" hidden="false" customHeight="false" outlineLevel="0" collapsed="false">
      <c r="A426" s="0" t="n">
        <v>425</v>
      </c>
      <c r="B426" s="14" t="n">
        <v>118409.569783722</v>
      </c>
      <c r="C426" s="15" t="n">
        <v>0.0635157712909256</v>
      </c>
      <c r="D426" s="14" t="n">
        <f aca="false">Summary!$B$5-B426</f>
        <v>-18409.5697837223</v>
      </c>
      <c r="E426" s="15" t="n">
        <f aca="false">B426/Summary!$B$5-1</f>
        <v>0.184095697837223</v>
      </c>
    </row>
    <row r="427" customFormat="false" ht="15" hidden="false" customHeight="false" outlineLevel="0" collapsed="false">
      <c r="A427" s="0" t="n">
        <v>426</v>
      </c>
      <c r="B427" s="14" t="n">
        <v>103058.061188883</v>
      </c>
      <c r="C427" s="15" t="n">
        <v>0.112919536774513</v>
      </c>
      <c r="D427" s="14" t="n">
        <f aca="false">Summary!$B$5-B427</f>
        <v>-3058.0611888829</v>
      </c>
      <c r="E427" s="15" t="n">
        <f aca="false">B427/Summary!$B$5-1</f>
        <v>0.030580611888829</v>
      </c>
    </row>
    <row r="428" customFormat="false" ht="15" hidden="false" customHeight="false" outlineLevel="0" collapsed="false">
      <c r="A428" s="0" t="n">
        <v>427</v>
      </c>
      <c r="B428" s="14" t="n">
        <v>119293.909414119</v>
      </c>
      <c r="C428" s="15" t="n">
        <v>0.0790982869447757</v>
      </c>
      <c r="D428" s="14" t="n">
        <f aca="false">Summary!$B$5-B428</f>
        <v>-19293.9094141186</v>
      </c>
      <c r="E428" s="15" t="n">
        <f aca="false">B428/Summary!$B$5-1</f>
        <v>0.192939094141186</v>
      </c>
    </row>
    <row r="429" customFormat="false" ht="15" hidden="false" customHeight="false" outlineLevel="0" collapsed="false">
      <c r="A429" s="0" t="n">
        <v>428</v>
      </c>
      <c r="B429" s="14" t="n">
        <v>94819.9084593625</v>
      </c>
      <c r="C429" s="15" t="n">
        <v>0.134524894735547</v>
      </c>
      <c r="D429" s="14" t="n">
        <f aca="false">Summary!$B$5-B429</f>
        <v>5180.09154063754</v>
      </c>
      <c r="E429" s="15" t="n">
        <f aca="false">B429/Summary!$B$5-1</f>
        <v>-0.0518009154063754</v>
      </c>
    </row>
    <row r="430" customFormat="false" ht="15" hidden="false" customHeight="false" outlineLevel="0" collapsed="false">
      <c r="A430" s="0" t="n">
        <v>429</v>
      </c>
      <c r="B430" s="14" t="n">
        <v>119442.091868938</v>
      </c>
      <c r="C430" s="15" t="n">
        <v>0.0776909312901645</v>
      </c>
      <c r="D430" s="14" t="n">
        <f aca="false">Summary!$B$5-B430</f>
        <v>-19442.0918689379</v>
      </c>
      <c r="E430" s="15" t="n">
        <f aca="false">B430/Summary!$B$5-1</f>
        <v>0.194420918689379</v>
      </c>
    </row>
    <row r="431" customFormat="false" ht="15" hidden="false" customHeight="false" outlineLevel="0" collapsed="false">
      <c r="A431" s="0" t="n">
        <v>430</v>
      </c>
      <c r="B431" s="14" t="n">
        <v>105535.249573611</v>
      </c>
      <c r="C431" s="15" t="n">
        <v>0.083199841119437</v>
      </c>
      <c r="D431" s="14" t="n">
        <f aca="false">Summary!$B$5-B431</f>
        <v>-5535.24957361131</v>
      </c>
      <c r="E431" s="15" t="n">
        <f aca="false">B431/Summary!$B$5-1</f>
        <v>0.0553524957361131</v>
      </c>
    </row>
    <row r="432" customFormat="false" ht="15" hidden="false" customHeight="false" outlineLevel="0" collapsed="false">
      <c r="A432" s="0" t="n">
        <v>431</v>
      </c>
      <c r="B432" s="14" t="n">
        <v>122963.925188037</v>
      </c>
      <c r="C432" s="15" t="n">
        <v>0.0537452272999147</v>
      </c>
      <c r="D432" s="14" t="n">
        <f aca="false">Summary!$B$5-B432</f>
        <v>-22963.9251880366</v>
      </c>
      <c r="E432" s="15" t="n">
        <f aca="false">B432/Summary!$B$5-1</f>
        <v>0.229639251880366</v>
      </c>
    </row>
    <row r="433" customFormat="false" ht="15" hidden="false" customHeight="false" outlineLevel="0" collapsed="false">
      <c r="A433" s="0" t="n">
        <v>432</v>
      </c>
      <c r="B433" s="14" t="n">
        <v>91193.582819783</v>
      </c>
      <c r="C433" s="15" t="n">
        <v>0.141988615494136</v>
      </c>
      <c r="D433" s="14" t="n">
        <f aca="false">Summary!$B$5-B433</f>
        <v>8806.41718021702</v>
      </c>
      <c r="E433" s="15" t="n">
        <f aca="false">B433/Summary!$B$5-1</f>
        <v>-0.0880641718021702</v>
      </c>
    </row>
    <row r="434" customFormat="false" ht="15" hidden="false" customHeight="false" outlineLevel="0" collapsed="false">
      <c r="A434" s="0" t="n">
        <v>433</v>
      </c>
      <c r="B434" s="14" t="n">
        <v>107892.760651779</v>
      </c>
      <c r="C434" s="15" t="n">
        <v>0.0611720180384873</v>
      </c>
      <c r="D434" s="14" t="n">
        <f aca="false">Summary!$B$5-B434</f>
        <v>-7892.76065177941</v>
      </c>
      <c r="E434" s="15" t="n">
        <f aca="false">B434/Summary!$B$5-1</f>
        <v>0.078927606517794</v>
      </c>
    </row>
    <row r="435" customFormat="false" ht="15" hidden="false" customHeight="false" outlineLevel="0" collapsed="false">
      <c r="A435" s="0" t="n">
        <v>434</v>
      </c>
      <c r="B435" s="14" t="n">
        <v>106803.550343069</v>
      </c>
      <c r="C435" s="15" t="n">
        <v>0.0952460870255409</v>
      </c>
      <c r="D435" s="14" t="n">
        <f aca="false">Summary!$B$5-B435</f>
        <v>-6803.5503430689</v>
      </c>
      <c r="E435" s="15" t="n">
        <f aca="false">B435/Summary!$B$5-1</f>
        <v>0.068035503430689</v>
      </c>
    </row>
    <row r="436" customFormat="false" ht="15" hidden="false" customHeight="false" outlineLevel="0" collapsed="false">
      <c r="A436" s="0" t="n">
        <v>435</v>
      </c>
      <c r="B436" s="14" t="n">
        <v>103561.955117074</v>
      </c>
      <c r="C436" s="15" t="n">
        <v>0.090605692463067</v>
      </c>
      <c r="D436" s="14" t="n">
        <f aca="false">Summary!$B$5-B436</f>
        <v>-3561.95511707359</v>
      </c>
      <c r="E436" s="15" t="n">
        <f aca="false">B436/Summary!$B$5-1</f>
        <v>0.035619551170736</v>
      </c>
    </row>
    <row r="437" customFormat="false" ht="15" hidden="false" customHeight="false" outlineLevel="0" collapsed="false">
      <c r="A437" s="0" t="n">
        <v>436</v>
      </c>
      <c r="B437" s="14" t="n">
        <v>124523.70067928</v>
      </c>
      <c r="C437" s="15" t="n">
        <v>0.0800765507559282</v>
      </c>
      <c r="D437" s="14" t="n">
        <f aca="false">Summary!$B$5-B437</f>
        <v>-24523.7006792804</v>
      </c>
      <c r="E437" s="15" t="n">
        <f aca="false">B437/Summary!$B$5-1</f>
        <v>0.245237006792804</v>
      </c>
    </row>
    <row r="438" customFormat="false" ht="15" hidden="false" customHeight="false" outlineLevel="0" collapsed="false">
      <c r="A438" s="0" t="n">
        <v>437</v>
      </c>
      <c r="B438" s="14" t="n">
        <v>94823.4883343671</v>
      </c>
      <c r="C438" s="15" t="n">
        <v>0.12231085000787</v>
      </c>
      <c r="D438" s="14" t="n">
        <f aca="false">Summary!$B$5-B438</f>
        <v>5176.51166563293</v>
      </c>
      <c r="E438" s="15" t="n">
        <f aca="false">B438/Summary!$B$5-1</f>
        <v>-0.0517651166563293</v>
      </c>
    </row>
    <row r="439" customFormat="false" ht="15" hidden="false" customHeight="false" outlineLevel="0" collapsed="false">
      <c r="A439" s="0" t="n">
        <v>438</v>
      </c>
      <c r="B439" s="14" t="n">
        <v>91351.4726982607</v>
      </c>
      <c r="C439" s="15" t="n">
        <v>0.138943615565834</v>
      </c>
      <c r="D439" s="14" t="n">
        <f aca="false">Summary!$B$5-B439</f>
        <v>8648.52730173929</v>
      </c>
      <c r="E439" s="15" t="n">
        <f aca="false">B439/Summary!$B$5-1</f>
        <v>-0.086485273017393</v>
      </c>
    </row>
    <row r="440" customFormat="false" ht="15" hidden="false" customHeight="false" outlineLevel="0" collapsed="false">
      <c r="A440" s="0" t="n">
        <v>439</v>
      </c>
      <c r="B440" s="14" t="n">
        <v>100479.441740971</v>
      </c>
      <c r="C440" s="15" t="n">
        <v>0.127308753721439</v>
      </c>
      <c r="D440" s="14" t="n">
        <f aca="false">Summary!$B$5-B440</f>
        <v>-479.441740970695</v>
      </c>
      <c r="E440" s="15" t="n">
        <f aca="false">B440/Summary!$B$5-1</f>
        <v>0.00479441740970699</v>
      </c>
    </row>
    <row r="441" customFormat="false" ht="15" hidden="false" customHeight="false" outlineLevel="0" collapsed="false">
      <c r="A441" s="0" t="n">
        <v>440</v>
      </c>
      <c r="B441" s="14" t="n">
        <v>124551.569964903</v>
      </c>
      <c r="C441" s="15" t="n">
        <v>0.0622674994166961</v>
      </c>
      <c r="D441" s="14" t="n">
        <f aca="false">Summary!$B$5-B441</f>
        <v>-24551.5699649033</v>
      </c>
      <c r="E441" s="15" t="n">
        <f aca="false">B441/Summary!$B$5-1</f>
        <v>0.245515699649033</v>
      </c>
    </row>
    <row r="442" customFormat="false" ht="15" hidden="false" customHeight="false" outlineLevel="0" collapsed="false">
      <c r="A442" s="0" t="n">
        <v>441</v>
      </c>
      <c r="B442" s="14" t="n">
        <v>100041.412319889</v>
      </c>
      <c r="C442" s="15" t="n">
        <v>0.110019713830848</v>
      </c>
      <c r="D442" s="14" t="n">
        <f aca="false">Summary!$B$5-B442</f>
        <v>-41.4123198893067</v>
      </c>
      <c r="E442" s="15" t="n">
        <f aca="false">B442/Summary!$B$5-1</f>
        <v>0.000414123198893002</v>
      </c>
    </row>
    <row r="443" customFormat="false" ht="15" hidden="false" customHeight="false" outlineLevel="0" collapsed="false">
      <c r="A443" s="0" t="n">
        <v>442</v>
      </c>
      <c r="B443" s="14" t="n">
        <v>105745.074606278</v>
      </c>
      <c r="C443" s="15" t="n">
        <v>0.0580986051477356</v>
      </c>
      <c r="D443" s="14" t="n">
        <f aca="false">Summary!$B$5-B443</f>
        <v>-5745.0746062784</v>
      </c>
      <c r="E443" s="15" t="n">
        <f aca="false">B443/Summary!$B$5-1</f>
        <v>0.057450746062784</v>
      </c>
    </row>
    <row r="444" customFormat="false" ht="15" hidden="false" customHeight="false" outlineLevel="0" collapsed="false">
      <c r="A444" s="0" t="n">
        <v>443</v>
      </c>
      <c r="B444" s="14" t="n">
        <v>126778.464880735</v>
      </c>
      <c r="C444" s="15" t="n">
        <v>0.0360989875719435</v>
      </c>
      <c r="D444" s="14" t="n">
        <f aca="false">Summary!$B$5-B444</f>
        <v>-26778.4648807354</v>
      </c>
      <c r="E444" s="15" t="n">
        <f aca="false">B444/Summary!$B$5-1</f>
        <v>0.267784648807354</v>
      </c>
    </row>
    <row r="445" customFormat="false" ht="15" hidden="false" customHeight="false" outlineLevel="0" collapsed="false">
      <c r="A445" s="0" t="n">
        <v>444</v>
      </c>
      <c r="B445" s="14" t="n">
        <v>100742.175765099</v>
      </c>
      <c r="C445" s="15" t="n">
        <v>0.101317425875662</v>
      </c>
      <c r="D445" s="14" t="n">
        <f aca="false">Summary!$B$5-B445</f>
        <v>-742.175765098902</v>
      </c>
      <c r="E445" s="15" t="n">
        <f aca="false">B445/Summary!$B$5-1</f>
        <v>0.00742175765098896</v>
      </c>
    </row>
    <row r="446" customFormat="false" ht="15" hidden="false" customHeight="false" outlineLevel="0" collapsed="false">
      <c r="A446" s="0" t="n">
        <v>445</v>
      </c>
      <c r="B446" s="14" t="n">
        <v>83430.9970699544</v>
      </c>
      <c r="C446" s="15" t="n">
        <v>0.224197198370093</v>
      </c>
      <c r="D446" s="14" t="n">
        <f aca="false">Summary!$B$5-B446</f>
        <v>16569.0029300456</v>
      </c>
      <c r="E446" s="15" t="n">
        <f aca="false">B446/Summary!$B$5-1</f>
        <v>-0.165690029300456</v>
      </c>
    </row>
    <row r="447" customFormat="false" ht="15" hidden="false" customHeight="false" outlineLevel="0" collapsed="false">
      <c r="A447" s="0" t="n">
        <v>446</v>
      </c>
      <c r="B447" s="14" t="n">
        <v>121520.697762196</v>
      </c>
      <c r="C447" s="15" t="n">
        <v>0.0553777217118576</v>
      </c>
      <c r="D447" s="14" t="n">
        <f aca="false">Summary!$B$5-B447</f>
        <v>-21520.6977621958</v>
      </c>
      <c r="E447" s="15" t="n">
        <f aca="false">B447/Summary!$B$5-1</f>
        <v>0.215206977621958</v>
      </c>
    </row>
    <row r="448" customFormat="false" ht="15" hidden="false" customHeight="false" outlineLevel="0" collapsed="false">
      <c r="A448" s="0" t="n">
        <v>447</v>
      </c>
      <c r="B448" s="14" t="n">
        <v>84365.0823597742</v>
      </c>
      <c r="C448" s="15" t="n">
        <v>0.17407310902757</v>
      </c>
      <c r="D448" s="14" t="n">
        <f aca="false">Summary!$B$5-B448</f>
        <v>15634.9176402258</v>
      </c>
      <c r="E448" s="15" t="n">
        <f aca="false">B448/Summary!$B$5-1</f>
        <v>-0.156349176402258</v>
      </c>
    </row>
    <row r="449" customFormat="false" ht="15" hidden="false" customHeight="false" outlineLevel="0" collapsed="false">
      <c r="A449" s="0" t="n">
        <v>448</v>
      </c>
      <c r="B449" s="14" t="n">
        <v>105331.335856769</v>
      </c>
      <c r="C449" s="15" t="n">
        <v>0.0516847719108302</v>
      </c>
      <c r="D449" s="14" t="n">
        <f aca="false">Summary!$B$5-B449</f>
        <v>-5331.33585676921</v>
      </c>
      <c r="E449" s="15" t="n">
        <f aca="false">B449/Summary!$B$5-1</f>
        <v>0.0533133585676922</v>
      </c>
    </row>
    <row r="450" customFormat="false" ht="15" hidden="false" customHeight="false" outlineLevel="0" collapsed="false">
      <c r="A450" s="0" t="n">
        <v>449</v>
      </c>
      <c r="B450" s="14" t="n">
        <v>98961.2884637551</v>
      </c>
      <c r="C450" s="15" t="n">
        <v>0.14220567806337</v>
      </c>
      <c r="D450" s="14" t="n">
        <f aca="false">Summary!$B$5-B450</f>
        <v>1038.71153624488</v>
      </c>
      <c r="E450" s="15" t="n">
        <f aca="false">B450/Summary!$B$5-1</f>
        <v>-0.0103871153624489</v>
      </c>
    </row>
    <row r="451" customFormat="false" ht="15" hidden="false" customHeight="false" outlineLevel="0" collapsed="false">
      <c r="A451" s="0" t="n">
        <v>450</v>
      </c>
      <c r="B451" s="14" t="n">
        <v>115554.586029151</v>
      </c>
      <c r="C451" s="15" t="n">
        <v>0.0516630271942479</v>
      </c>
      <c r="D451" s="14" t="n">
        <f aca="false">Summary!$B$5-B451</f>
        <v>-15554.5860291512</v>
      </c>
      <c r="E451" s="15" t="n">
        <f aca="false">B451/Summary!$B$5-1</f>
        <v>0.155545860291512</v>
      </c>
    </row>
    <row r="452" customFormat="false" ht="15" hidden="false" customHeight="false" outlineLevel="0" collapsed="false">
      <c r="A452" s="0" t="n">
        <v>451</v>
      </c>
      <c r="B452" s="14" t="n">
        <v>124706.595480355</v>
      </c>
      <c r="C452" s="15" t="n">
        <v>0.0633134943976972</v>
      </c>
      <c r="D452" s="14" t="n">
        <f aca="false">Summary!$B$5-B452</f>
        <v>-24706.5954803545</v>
      </c>
      <c r="E452" s="15" t="n">
        <f aca="false">B452/Summary!$B$5-1</f>
        <v>0.247065954803545</v>
      </c>
    </row>
    <row r="453" customFormat="false" ht="15" hidden="false" customHeight="false" outlineLevel="0" collapsed="false">
      <c r="A453" s="0" t="n">
        <v>452</v>
      </c>
      <c r="B453" s="14" t="n">
        <v>102905.046369305</v>
      </c>
      <c r="C453" s="15" t="n">
        <v>0.110584881167693</v>
      </c>
      <c r="D453" s="14" t="n">
        <f aca="false">Summary!$B$5-B453</f>
        <v>-2905.046369305</v>
      </c>
      <c r="E453" s="15" t="n">
        <f aca="false">B453/Summary!$B$5-1</f>
        <v>0.02905046369305</v>
      </c>
    </row>
    <row r="454" customFormat="false" ht="15" hidden="false" customHeight="false" outlineLevel="0" collapsed="false">
      <c r="A454" s="0" t="n">
        <v>453</v>
      </c>
      <c r="B454" s="14" t="n">
        <v>127239.731966058</v>
      </c>
      <c r="C454" s="15" t="n">
        <v>0.0575003212104964</v>
      </c>
      <c r="D454" s="14" t="n">
        <f aca="false">Summary!$B$5-B454</f>
        <v>-27239.7319660583</v>
      </c>
      <c r="E454" s="15" t="n">
        <f aca="false">B454/Summary!$B$5-1</f>
        <v>0.272397319660583</v>
      </c>
    </row>
    <row r="455" customFormat="false" ht="15" hidden="false" customHeight="false" outlineLevel="0" collapsed="false">
      <c r="A455" s="0" t="n">
        <v>454</v>
      </c>
      <c r="B455" s="14" t="n">
        <v>109045.652137743</v>
      </c>
      <c r="C455" s="15" t="n">
        <v>0.0688100733636154</v>
      </c>
      <c r="D455" s="14" t="n">
        <f aca="false">Summary!$B$5-B455</f>
        <v>-9045.652137743</v>
      </c>
      <c r="E455" s="15" t="n">
        <f aca="false">B455/Summary!$B$5-1</f>
        <v>0.09045652137743</v>
      </c>
    </row>
    <row r="456" customFormat="false" ht="15" hidden="false" customHeight="false" outlineLevel="0" collapsed="false">
      <c r="A456" s="0" t="n">
        <v>455</v>
      </c>
      <c r="B456" s="14" t="n">
        <v>133595.526247471</v>
      </c>
      <c r="C456" s="15" t="n">
        <v>0.0730425228040447</v>
      </c>
      <c r="D456" s="14" t="n">
        <f aca="false">Summary!$B$5-B456</f>
        <v>-33595.5262474706</v>
      </c>
      <c r="E456" s="15" t="n">
        <f aca="false">B456/Summary!$B$5-1</f>
        <v>0.335955262474706</v>
      </c>
    </row>
    <row r="457" customFormat="false" ht="15" hidden="false" customHeight="false" outlineLevel="0" collapsed="false">
      <c r="A457" s="0" t="n">
        <v>456</v>
      </c>
      <c r="B457" s="14" t="n">
        <v>121793.455930445</v>
      </c>
      <c r="C457" s="15" t="n">
        <v>0.0729312287074379</v>
      </c>
      <c r="D457" s="14" t="n">
        <f aca="false">Summary!$B$5-B457</f>
        <v>-21793.4559304445</v>
      </c>
      <c r="E457" s="15" t="n">
        <f aca="false">B457/Summary!$B$5-1</f>
        <v>0.217934559304445</v>
      </c>
    </row>
    <row r="458" customFormat="false" ht="15" hidden="false" customHeight="false" outlineLevel="0" collapsed="false">
      <c r="A458" s="0" t="n">
        <v>457</v>
      </c>
      <c r="B458" s="14" t="n">
        <v>92220.2982351399</v>
      </c>
      <c r="C458" s="15" t="n">
        <v>0.14997245522075</v>
      </c>
      <c r="D458" s="14" t="n">
        <f aca="false">Summary!$B$5-B458</f>
        <v>7779.70176486013</v>
      </c>
      <c r="E458" s="15" t="n">
        <f aca="false">B458/Summary!$B$5-1</f>
        <v>-0.0777970176486014</v>
      </c>
    </row>
    <row r="459" customFormat="false" ht="15" hidden="false" customHeight="false" outlineLevel="0" collapsed="false">
      <c r="A459" s="0" t="n">
        <v>458</v>
      </c>
      <c r="B459" s="14" t="n">
        <v>121872.817738509</v>
      </c>
      <c r="C459" s="15" t="n">
        <v>0.0640688881845725</v>
      </c>
      <c r="D459" s="14" t="n">
        <f aca="false">Summary!$B$5-B459</f>
        <v>-21872.8177385085</v>
      </c>
      <c r="E459" s="15" t="n">
        <f aca="false">B459/Summary!$B$5-1</f>
        <v>0.218728177385085</v>
      </c>
    </row>
    <row r="460" customFormat="false" ht="15" hidden="false" customHeight="false" outlineLevel="0" collapsed="false">
      <c r="A460" s="0" t="n">
        <v>459</v>
      </c>
      <c r="B460" s="14" t="n">
        <v>112193.118718861</v>
      </c>
      <c r="C460" s="15" t="n">
        <v>0.0598361904072797</v>
      </c>
      <c r="D460" s="14" t="n">
        <f aca="false">Summary!$B$5-B460</f>
        <v>-12193.1187188612</v>
      </c>
      <c r="E460" s="15" t="n">
        <f aca="false">B460/Summary!$B$5-1</f>
        <v>0.121931187188612</v>
      </c>
    </row>
    <row r="461" customFormat="false" ht="15" hidden="false" customHeight="false" outlineLevel="0" collapsed="false">
      <c r="A461" s="0" t="n">
        <v>460</v>
      </c>
      <c r="B461" s="14" t="n">
        <v>135924.949519825</v>
      </c>
      <c r="C461" s="15" t="n">
        <v>0.0436443824041085</v>
      </c>
      <c r="D461" s="14" t="n">
        <f aca="false">Summary!$B$5-B461</f>
        <v>-35924.9495198252</v>
      </c>
      <c r="E461" s="15" t="n">
        <f aca="false">B461/Summary!$B$5-1</f>
        <v>0.359249495198252</v>
      </c>
    </row>
    <row r="462" customFormat="false" ht="15" hidden="false" customHeight="false" outlineLevel="0" collapsed="false">
      <c r="A462" s="0" t="n">
        <v>461</v>
      </c>
      <c r="B462" s="14" t="n">
        <v>111890.741553883</v>
      </c>
      <c r="C462" s="15" t="n">
        <v>0.0985789932633001</v>
      </c>
      <c r="D462" s="14" t="n">
        <f aca="false">Summary!$B$5-B462</f>
        <v>-11890.7415538832</v>
      </c>
      <c r="E462" s="15" t="n">
        <f aca="false">B462/Summary!$B$5-1</f>
        <v>0.118907415538832</v>
      </c>
    </row>
    <row r="463" customFormat="false" ht="15" hidden="false" customHeight="false" outlineLevel="0" collapsed="false">
      <c r="A463" s="0" t="n">
        <v>462</v>
      </c>
      <c r="B463" s="14" t="n">
        <v>94491.4685007899</v>
      </c>
      <c r="C463" s="15" t="n">
        <v>0.0887754084328599</v>
      </c>
      <c r="D463" s="14" t="n">
        <f aca="false">Summary!$B$5-B463</f>
        <v>5508.53149921011</v>
      </c>
      <c r="E463" s="15" t="n">
        <f aca="false">B463/Summary!$B$5-1</f>
        <v>-0.055085314992101</v>
      </c>
    </row>
    <row r="464" customFormat="false" ht="15" hidden="false" customHeight="false" outlineLevel="0" collapsed="false">
      <c r="A464" s="0" t="n">
        <v>463</v>
      </c>
      <c r="B464" s="14" t="n">
        <v>95759.2004816335</v>
      </c>
      <c r="C464" s="15" t="n">
        <v>0.118423820529534</v>
      </c>
      <c r="D464" s="14" t="n">
        <f aca="false">Summary!$B$5-B464</f>
        <v>4240.79951836655</v>
      </c>
      <c r="E464" s="15" t="n">
        <f aca="false">B464/Summary!$B$5-1</f>
        <v>-0.0424079951836655</v>
      </c>
    </row>
    <row r="465" customFormat="false" ht="15" hidden="false" customHeight="false" outlineLevel="0" collapsed="false">
      <c r="A465" s="0" t="n">
        <v>464</v>
      </c>
      <c r="B465" s="14" t="n">
        <v>113137.976262953</v>
      </c>
      <c r="C465" s="15" t="n">
        <v>0.0647702033384403</v>
      </c>
      <c r="D465" s="14" t="n">
        <f aca="false">Summary!$B$5-B465</f>
        <v>-13137.9762629528</v>
      </c>
      <c r="E465" s="15" t="n">
        <f aca="false">B465/Summary!$B$5-1</f>
        <v>0.131379762629528</v>
      </c>
    </row>
    <row r="466" customFormat="false" ht="15" hidden="false" customHeight="false" outlineLevel="0" collapsed="false">
      <c r="A466" s="0" t="n">
        <v>465</v>
      </c>
      <c r="B466" s="14" t="n">
        <v>94088.5133693224</v>
      </c>
      <c r="C466" s="15" t="n">
        <v>0.176227710440887</v>
      </c>
      <c r="D466" s="14" t="n">
        <f aca="false">Summary!$B$5-B466</f>
        <v>5911.48663067764</v>
      </c>
      <c r="E466" s="15" t="n">
        <f aca="false">B466/Summary!$B$5-1</f>
        <v>-0.0591148663067764</v>
      </c>
    </row>
    <row r="467" customFormat="false" ht="15" hidden="false" customHeight="false" outlineLevel="0" collapsed="false">
      <c r="A467" s="0" t="n">
        <v>466</v>
      </c>
      <c r="B467" s="14" t="n">
        <v>106612.732846612</v>
      </c>
      <c r="C467" s="15" t="n">
        <v>0.0907592193723938</v>
      </c>
      <c r="D467" s="14" t="n">
        <f aca="false">Summary!$B$5-B467</f>
        <v>-6612.73284661191</v>
      </c>
      <c r="E467" s="15" t="n">
        <f aca="false">B467/Summary!$B$5-1</f>
        <v>0.066127328466119</v>
      </c>
    </row>
    <row r="468" customFormat="false" ht="15" hidden="false" customHeight="false" outlineLevel="0" collapsed="false">
      <c r="A468" s="0" t="n">
        <v>467</v>
      </c>
      <c r="B468" s="14" t="n">
        <v>126250.629914173</v>
      </c>
      <c r="C468" s="15" t="n">
        <v>0.108996891950303</v>
      </c>
      <c r="D468" s="14" t="n">
        <f aca="false">Summary!$B$5-B468</f>
        <v>-26250.6299141731</v>
      </c>
      <c r="E468" s="15" t="n">
        <f aca="false">B468/Summary!$B$5-1</f>
        <v>0.262506299141731</v>
      </c>
    </row>
    <row r="469" customFormat="false" ht="15" hidden="false" customHeight="false" outlineLevel="0" collapsed="false">
      <c r="A469" s="0" t="n">
        <v>468</v>
      </c>
      <c r="B469" s="14" t="n">
        <v>96449.3108434668</v>
      </c>
      <c r="C469" s="15" t="n">
        <v>0.100837517537274</v>
      </c>
      <c r="D469" s="14" t="n">
        <f aca="false">Summary!$B$5-B469</f>
        <v>3550.68915653323</v>
      </c>
      <c r="E469" s="15" t="n">
        <f aca="false">B469/Summary!$B$5-1</f>
        <v>-0.0355068915653324</v>
      </c>
    </row>
    <row r="470" customFormat="false" ht="15" hidden="false" customHeight="false" outlineLevel="0" collapsed="false">
      <c r="A470" s="0" t="n">
        <v>469</v>
      </c>
      <c r="B470" s="14" t="n">
        <v>101462.649670683</v>
      </c>
      <c r="C470" s="15" t="n">
        <v>0.0917073021677374</v>
      </c>
      <c r="D470" s="14" t="n">
        <f aca="false">Summary!$B$5-B470</f>
        <v>-1462.6496706827</v>
      </c>
      <c r="E470" s="15" t="n">
        <f aca="false">B470/Summary!$B$5-1</f>
        <v>0.014626496706827</v>
      </c>
    </row>
    <row r="471" customFormat="false" ht="15" hidden="false" customHeight="false" outlineLevel="0" collapsed="false">
      <c r="A471" s="0" t="n">
        <v>470</v>
      </c>
      <c r="B471" s="14" t="n">
        <v>107043.662147011</v>
      </c>
      <c r="C471" s="15" t="n">
        <v>0.0749452438555927</v>
      </c>
      <c r="D471" s="14" t="n">
        <f aca="false">Summary!$B$5-B471</f>
        <v>-7043.6621470111</v>
      </c>
      <c r="E471" s="15" t="n">
        <f aca="false">B471/Summary!$B$5-1</f>
        <v>0.0704366214701111</v>
      </c>
    </row>
    <row r="472" customFormat="false" ht="15" hidden="false" customHeight="false" outlineLevel="0" collapsed="false">
      <c r="A472" s="0" t="n">
        <v>471</v>
      </c>
      <c r="B472" s="14" t="n">
        <v>118789.45572085</v>
      </c>
      <c r="C472" s="15" t="n">
        <v>0.0630412409316881</v>
      </c>
      <c r="D472" s="14" t="n">
        <f aca="false">Summary!$B$5-B472</f>
        <v>-18789.4557208495</v>
      </c>
      <c r="E472" s="15" t="n">
        <f aca="false">B472/Summary!$B$5-1</f>
        <v>0.187894557208495</v>
      </c>
    </row>
    <row r="473" customFormat="false" ht="15" hidden="false" customHeight="false" outlineLevel="0" collapsed="false">
      <c r="A473" s="0" t="n">
        <v>472</v>
      </c>
      <c r="B473" s="14" t="n">
        <v>115783.940231765</v>
      </c>
      <c r="C473" s="15" t="n">
        <v>0.0653175875338621</v>
      </c>
      <c r="D473" s="14" t="n">
        <f aca="false">Summary!$B$5-B473</f>
        <v>-15783.9402317646</v>
      </c>
      <c r="E473" s="15" t="n">
        <f aca="false">B473/Summary!$B$5-1</f>
        <v>0.157839402317646</v>
      </c>
    </row>
    <row r="474" customFormat="false" ht="15" hidden="false" customHeight="false" outlineLevel="0" collapsed="false">
      <c r="A474" s="0" t="n">
        <v>473</v>
      </c>
      <c r="B474" s="14" t="n">
        <v>118919.09852185</v>
      </c>
      <c r="C474" s="15" t="n">
        <v>0.0834251825182574</v>
      </c>
      <c r="D474" s="14" t="n">
        <f aca="false">Summary!$B$5-B474</f>
        <v>-18919.0985218498</v>
      </c>
      <c r="E474" s="15" t="n">
        <f aca="false">B474/Summary!$B$5-1</f>
        <v>0.189190985218498</v>
      </c>
    </row>
    <row r="475" customFormat="false" ht="15" hidden="false" customHeight="false" outlineLevel="0" collapsed="false">
      <c r="A475" s="0" t="n">
        <v>474</v>
      </c>
      <c r="B475" s="14" t="n">
        <v>122549.551418778</v>
      </c>
      <c r="C475" s="15" t="n">
        <v>0.0610755917586954</v>
      </c>
      <c r="D475" s="14" t="n">
        <f aca="false">Summary!$B$5-B475</f>
        <v>-22549.5514187777</v>
      </c>
      <c r="E475" s="15" t="n">
        <f aca="false">B475/Summary!$B$5-1</f>
        <v>0.225495514187777</v>
      </c>
    </row>
    <row r="476" customFormat="false" ht="15" hidden="false" customHeight="false" outlineLevel="0" collapsed="false">
      <c r="A476" s="0" t="n">
        <v>475</v>
      </c>
      <c r="B476" s="14" t="n">
        <v>109647.467105864</v>
      </c>
      <c r="C476" s="15" t="n">
        <v>0.0545232988114757</v>
      </c>
      <c r="D476" s="14" t="n">
        <f aca="false">Summary!$B$5-B476</f>
        <v>-9647.4671058641</v>
      </c>
      <c r="E476" s="15" t="n">
        <f aca="false">B476/Summary!$B$5-1</f>
        <v>0.0964746710586411</v>
      </c>
    </row>
    <row r="477" customFormat="false" ht="15" hidden="false" customHeight="false" outlineLevel="0" collapsed="false">
      <c r="A477" s="0" t="n">
        <v>476</v>
      </c>
      <c r="B477" s="14" t="n">
        <v>116819.163690269</v>
      </c>
      <c r="C477" s="15" t="n">
        <v>0.0745423843583106</v>
      </c>
      <c r="D477" s="14" t="n">
        <f aca="false">Summary!$B$5-B477</f>
        <v>-16819.1636902688</v>
      </c>
      <c r="E477" s="15" t="n">
        <f aca="false">B477/Summary!$B$5-1</f>
        <v>0.168191636902688</v>
      </c>
    </row>
    <row r="478" customFormat="false" ht="15" hidden="false" customHeight="false" outlineLevel="0" collapsed="false">
      <c r="A478" s="0" t="n">
        <v>477</v>
      </c>
      <c r="B478" s="14" t="n">
        <v>129501.802476695</v>
      </c>
      <c r="C478" s="15" t="n">
        <v>0.0813150108301914</v>
      </c>
      <c r="D478" s="14" t="n">
        <f aca="false">Summary!$B$5-B478</f>
        <v>-29501.8024766948</v>
      </c>
      <c r="E478" s="15" t="n">
        <f aca="false">B478/Summary!$B$5-1</f>
        <v>0.295018024766948</v>
      </c>
    </row>
    <row r="479" customFormat="false" ht="15" hidden="false" customHeight="false" outlineLevel="0" collapsed="false">
      <c r="A479" s="0" t="n">
        <v>478</v>
      </c>
      <c r="B479" s="14" t="n">
        <v>103117.296536202</v>
      </c>
      <c r="C479" s="15" t="n">
        <v>0.0805969968532062</v>
      </c>
      <c r="D479" s="14" t="n">
        <f aca="false">Summary!$B$5-B479</f>
        <v>-3117.2965362018</v>
      </c>
      <c r="E479" s="15" t="n">
        <f aca="false">B479/Summary!$B$5-1</f>
        <v>0.0311729653620181</v>
      </c>
    </row>
    <row r="480" customFormat="false" ht="15" hidden="false" customHeight="false" outlineLevel="0" collapsed="false">
      <c r="A480" s="0" t="n">
        <v>479</v>
      </c>
      <c r="B480" s="14" t="n">
        <v>91384.8903173844</v>
      </c>
      <c r="C480" s="15" t="n">
        <v>0.140176315230478</v>
      </c>
      <c r="D480" s="14" t="n">
        <f aca="false">Summary!$B$5-B480</f>
        <v>8615.10968261556</v>
      </c>
      <c r="E480" s="15" t="n">
        <f aca="false">B480/Summary!$B$5-1</f>
        <v>-0.0861510968261555</v>
      </c>
    </row>
    <row r="481" customFormat="false" ht="15" hidden="false" customHeight="false" outlineLevel="0" collapsed="false">
      <c r="A481" s="0" t="n">
        <v>480</v>
      </c>
      <c r="B481" s="14" t="n">
        <v>109756.657065939</v>
      </c>
      <c r="C481" s="15" t="n">
        <v>0.0899354616416979</v>
      </c>
      <c r="D481" s="14" t="n">
        <f aca="false">Summary!$B$5-B481</f>
        <v>-9756.65706593879</v>
      </c>
      <c r="E481" s="15" t="n">
        <f aca="false">B481/Summary!$B$5-1</f>
        <v>0.097566570659388</v>
      </c>
    </row>
    <row r="482" customFormat="false" ht="15" hidden="false" customHeight="false" outlineLevel="0" collapsed="false">
      <c r="A482" s="0" t="n">
        <v>481</v>
      </c>
      <c r="B482" s="14" t="n">
        <v>122399.326356948</v>
      </c>
      <c r="C482" s="15" t="n">
        <v>0.0860734251877993</v>
      </c>
      <c r="D482" s="14" t="n">
        <f aca="false">Summary!$B$5-B482</f>
        <v>-22399.3263569483</v>
      </c>
      <c r="E482" s="15" t="n">
        <f aca="false">B482/Summary!$B$5-1</f>
        <v>0.223993263569483</v>
      </c>
    </row>
    <row r="483" customFormat="false" ht="15" hidden="false" customHeight="false" outlineLevel="0" collapsed="false">
      <c r="A483" s="0" t="n">
        <v>482</v>
      </c>
      <c r="B483" s="14" t="n">
        <v>96571.2347151416</v>
      </c>
      <c r="C483" s="15" t="n">
        <v>0.101347830939607</v>
      </c>
      <c r="D483" s="14" t="n">
        <f aca="false">Summary!$B$5-B483</f>
        <v>3428.76528485838</v>
      </c>
      <c r="E483" s="15" t="n">
        <f aca="false">B483/Summary!$B$5-1</f>
        <v>-0.0342876528485838</v>
      </c>
    </row>
    <row r="484" customFormat="false" ht="15" hidden="false" customHeight="false" outlineLevel="0" collapsed="false">
      <c r="A484" s="0" t="n">
        <v>483</v>
      </c>
      <c r="B484" s="14" t="n">
        <v>121073.082557027</v>
      </c>
      <c r="C484" s="15" t="n">
        <v>0.0699032730110576</v>
      </c>
      <c r="D484" s="14" t="n">
        <f aca="false">Summary!$B$5-B484</f>
        <v>-21073.0825570269</v>
      </c>
      <c r="E484" s="15" t="n">
        <f aca="false">B484/Summary!$B$5-1</f>
        <v>0.210730825570269</v>
      </c>
    </row>
    <row r="485" customFormat="false" ht="15" hidden="false" customHeight="false" outlineLevel="0" collapsed="false">
      <c r="A485" s="0" t="n">
        <v>484</v>
      </c>
      <c r="B485" s="14" t="n">
        <v>97806.2873183495</v>
      </c>
      <c r="C485" s="15" t="n">
        <v>0.177834387330803</v>
      </c>
      <c r="D485" s="14" t="n">
        <f aca="false">Summary!$B$5-B485</f>
        <v>2193.7126816505</v>
      </c>
      <c r="E485" s="15" t="n">
        <f aca="false">B485/Summary!$B$5-1</f>
        <v>-0.0219371268165051</v>
      </c>
    </row>
    <row r="486" customFormat="false" ht="15" hidden="false" customHeight="false" outlineLevel="0" collapsed="false">
      <c r="A486" s="0" t="n">
        <v>485</v>
      </c>
      <c r="B486" s="14" t="n">
        <v>106466.423258194</v>
      </c>
      <c r="C486" s="15" t="n">
        <v>0.0954953701210961</v>
      </c>
      <c r="D486" s="14" t="n">
        <f aca="false">Summary!$B$5-B486</f>
        <v>-6466.423258194</v>
      </c>
      <c r="E486" s="15" t="n">
        <f aca="false">B486/Summary!$B$5-1</f>
        <v>0.06466423258194</v>
      </c>
    </row>
    <row r="487" customFormat="false" ht="15" hidden="false" customHeight="false" outlineLevel="0" collapsed="false">
      <c r="A487" s="0" t="n">
        <v>486</v>
      </c>
      <c r="B487" s="14" t="n">
        <v>97611.8961697798</v>
      </c>
      <c r="C487" s="15" t="n">
        <v>0.105101520685822</v>
      </c>
      <c r="D487" s="14" t="n">
        <f aca="false">Summary!$B$5-B487</f>
        <v>2388.10383022025</v>
      </c>
      <c r="E487" s="15" t="n">
        <f aca="false">B487/Summary!$B$5-1</f>
        <v>-0.0238810383022025</v>
      </c>
    </row>
    <row r="488" customFormat="false" ht="15" hidden="false" customHeight="false" outlineLevel="0" collapsed="false">
      <c r="A488" s="0" t="n">
        <v>487</v>
      </c>
      <c r="B488" s="14" t="n">
        <v>110657.392187762</v>
      </c>
      <c r="C488" s="15" t="n">
        <v>0.141759661852077</v>
      </c>
      <c r="D488" s="14" t="n">
        <f aca="false">Summary!$B$5-B488</f>
        <v>-10657.3921877624</v>
      </c>
      <c r="E488" s="15" t="n">
        <f aca="false">B488/Summary!$B$5-1</f>
        <v>0.106573921877624</v>
      </c>
    </row>
    <row r="489" customFormat="false" ht="15" hidden="false" customHeight="false" outlineLevel="0" collapsed="false">
      <c r="A489" s="0" t="n">
        <v>488</v>
      </c>
      <c r="B489" s="14" t="n">
        <v>91406.6466547772</v>
      </c>
      <c r="C489" s="15" t="n">
        <v>0.166324941732481</v>
      </c>
      <c r="D489" s="14" t="n">
        <f aca="false">Summary!$B$5-B489</f>
        <v>8593.35334522279</v>
      </c>
      <c r="E489" s="15" t="n">
        <f aca="false">B489/Summary!$B$5-1</f>
        <v>-0.0859335334522279</v>
      </c>
    </row>
    <row r="490" customFormat="false" ht="15" hidden="false" customHeight="false" outlineLevel="0" collapsed="false">
      <c r="A490" s="0" t="n">
        <v>489</v>
      </c>
      <c r="B490" s="14" t="n">
        <v>118591.267289292</v>
      </c>
      <c r="C490" s="15" t="n">
        <v>0.0997417438033327</v>
      </c>
      <c r="D490" s="14" t="n">
        <f aca="false">Summary!$B$5-B490</f>
        <v>-18591.267289292</v>
      </c>
      <c r="E490" s="15" t="n">
        <f aca="false">B490/Summary!$B$5-1</f>
        <v>0.18591267289292</v>
      </c>
    </row>
    <row r="491" customFormat="false" ht="15" hidden="false" customHeight="false" outlineLevel="0" collapsed="false">
      <c r="A491" s="0" t="n">
        <v>490</v>
      </c>
      <c r="B491" s="14" t="n">
        <v>116480.945790905</v>
      </c>
      <c r="C491" s="15" t="n">
        <v>0.06932180747142</v>
      </c>
      <c r="D491" s="14" t="n">
        <f aca="false">Summary!$B$5-B491</f>
        <v>-16480.9457909046</v>
      </c>
      <c r="E491" s="15" t="n">
        <f aca="false">B491/Summary!$B$5-1</f>
        <v>0.164809457909046</v>
      </c>
    </row>
    <row r="492" customFormat="false" ht="15" hidden="false" customHeight="false" outlineLevel="0" collapsed="false">
      <c r="A492" s="0" t="n">
        <v>491</v>
      </c>
      <c r="B492" s="14" t="n">
        <v>95309.2549855407</v>
      </c>
      <c r="C492" s="15" t="n">
        <v>0.142637520848025</v>
      </c>
      <c r="D492" s="14" t="n">
        <f aca="false">Summary!$B$5-B492</f>
        <v>4690.74501445935</v>
      </c>
      <c r="E492" s="15" t="n">
        <f aca="false">B492/Summary!$B$5-1</f>
        <v>-0.0469074501445934</v>
      </c>
    </row>
    <row r="493" customFormat="false" ht="15" hidden="false" customHeight="false" outlineLevel="0" collapsed="false">
      <c r="A493" s="0" t="n">
        <v>492</v>
      </c>
      <c r="B493" s="14" t="n">
        <v>107440.321529212</v>
      </c>
      <c r="C493" s="15" t="n">
        <v>0.109548342511332</v>
      </c>
      <c r="D493" s="14" t="n">
        <f aca="false">Summary!$B$5-B493</f>
        <v>-7440.32152921231</v>
      </c>
      <c r="E493" s="15" t="n">
        <f aca="false">B493/Summary!$B$5-1</f>
        <v>0.074403215292123</v>
      </c>
    </row>
    <row r="494" customFormat="false" ht="15" hidden="false" customHeight="false" outlineLevel="0" collapsed="false">
      <c r="A494" s="0" t="n">
        <v>493</v>
      </c>
      <c r="B494" s="14" t="n">
        <v>121019.993422287</v>
      </c>
      <c r="C494" s="15" t="n">
        <v>0.0676243135327466</v>
      </c>
      <c r="D494" s="14" t="n">
        <f aca="false">Summary!$B$5-B494</f>
        <v>-21019.993422287</v>
      </c>
      <c r="E494" s="15" t="n">
        <f aca="false">B494/Summary!$B$5-1</f>
        <v>0.21019993422287</v>
      </c>
    </row>
    <row r="495" customFormat="false" ht="15" hidden="false" customHeight="false" outlineLevel="0" collapsed="false">
      <c r="A495" s="0" t="n">
        <v>494</v>
      </c>
      <c r="B495" s="14" t="n">
        <v>120384.733738383</v>
      </c>
      <c r="C495" s="15" t="n">
        <v>0.0609208450540109</v>
      </c>
      <c r="D495" s="14" t="n">
        <f aca="false">Summary!$B$5-B495</f>
        <v>-20384.7337383832</v>
      </c>
      <c r="E495" s="15" t="n">
        <f aca="false">B495/Summary!$B$5-1</f>
        <v>0.203847337383832</v>
      </c>
    </row>
    <row r="496" customFormat="false" ht="15" hidden="false" customHeight="false" outlineLevel="0" collapsed="false">
      <c r="A496" s="0" t="n">
        <v>495</v>
      </c>
      <c r="B496" s="14" t="n">
        <v>102979.056386028</v>
      </c>
      <c r="C496" s="15" t="n">
        <v>0.144678300011411</v>
      </c>
      <c r="D496" s="14" t="n">
        <f aca="false">Summary!$B$5-B496</f>
        <v>-2979.0563860275</v>
      </c>
      <c r="E496" s="15" t="n">
        <f aca="false">B496/Summary!$B$5-1</f>
        <v>0.0297905638602749</v>
      </c>
    </row>
    <row r="497" customFormat="false" ht="15" hidden="false" customHeight="false" outlineLevel="0" collapsed="false">
      <c r="A497" s="0" t="n">
        <v>496</v>
      </c>
      <c r="B497" s="14" t="n">
        <v>94128.2170526984</v>
      </c>
      <c r="C497" s="15" t="n">
        <v>0.123072785010241</v>
      </c>
      <c r="D497" s="14" t="n">
        <f aca="false">Summary!$B$5-B497</f>
        <v>5871.7829473016</v>
      </c>
      <c r="E497" s="15" t="n">
        <f aca="false">B497/Summary!$B$5-1</f>
        <v>-0.0587178294730161</v>
      </c>
    </row>
    <row r="498" customFormat="false" ht="15" hidden="false" customHeight="false" outlineLevel="0" collapsed="false">
      <c r="A498" s="0" t="n">
        <v>497</v>
      </c>
      <c r="B498" s="14" t="n">
        <v>144916.790558291</v>
      </c>
      <c r="C498" s="15" t="n">
        <v>0.0310248599415148</v>
      </c>
      <c r="D498" s="14" t="n">
        <f aca="false">Summary!$B$5-B498</f>
        <v>-44916.7905582907</v>
      </c>
      <c r="E498" s="15" t="n">
        <f aca="false">B498/Summary!$B$5-1</f>
        <v>0.449167905582907</v>
      </c>
    </row>
    <row r="499" customFormat="false" ht="15" hidden="false" customHeight="false" outlineLevel="0" collapsed="false">
      <c r="A499" s="0" t="n">
        <v>498</v>
      </c>
      <c r="B499" s="14" t="n">
        <v>133746.693973008</v>
      </c>
      <c r="C499" s="15" t="n">
        <v>0.0883349879126532</v>
      </c>
      <c r="D499" s="14" t="n">
        <f aca="false">Summary!$B$5-B499</f>
        <v>-33746.6939730075</v>
      </c>
      <c r="E499" s="15" t="n">
        <f aca="false">B499/Summary!$B$5-1</f>
        <v>0.337466939730075</v>
      </c>
    </row>
    <row r="500" customFormat="false" ht="15" hidden="false" customHeight="false" outlineLevel="0" collapsed="false">
      <c r="A500" s="0" t="n">
        <v>499</v>
      </c>
      <c r="B500" s="14" t="n">
        <v>100765.114942862</v>
      </c>
      <c r="C500" s="15" t="n">
        <v>0.0698423020973034</v>
      </c>
      <c r="D500" s="14" t="n">
        <f aca="false">Summary!$B$5-B500</f>
        <v>-765.114942861997</v>
      </c>
      <c r="E500" s="15" t="n">
        <f aca="false">B500/Summary!$B$5-1</f>
        <v>0.00765114942862</v>
      </c>
    </row>
    <row r="501" customFormat="false" ht="15" hidden="false" customHeight="false" outlineLevel="0" collapsed="false">
      <c r="A501" s="0" t="n">
        <v>500</v>
      </c>
      <c r="B501" s="14" t="n">
        <v>105409.492114461</v>
      </c>
      <c r="C501" s="15" t="n">
        <v>0.0963552542074436</v>
      </c>
      <c r="D501" s="14" t="n">
        <f aca="false">Summary!$B$5-B501</f>
        <v>-5409.4921144612</v>
      </c>
      <c r="E501" s="15" t="n">
        <f aca="false">B501/Summary!$B$5-1</f>
        <v>0.054094921144612</v>
      </c>
    </row>
    <row r="502" customFormat="false" ht="15" hidden="false" customHeight="false" outlineLevel="0" collapsed="false">
      <c r="A502" s="0" t="n">
        <v>501</v>
      </c>
      <c r="B502" s="14" t="n">
        <v>131189.250610689</v>
      </c>
      <c r="C502" s="15" t="n">
        <v>0.0453594028513825</v>
      </c>
      <c r="D502" s="14" t="n">
        <f aca="false">Summary!$B$5-B502</f>
        <v>-31189.2506106887</v>
      </c>
      <c r="E502" s="15" t="n">
        <f aca="false">B502/Summary!$B$5-1</f>
        <v>0.311892506106887</v>
      </c>
    </row>
    <row r="503" customFormat="false" ht="15" hidden="false" customHeight="false" outlineLevel="0" collapsed="false">
      <c r="A503" s="0" t="n">
        <v>502</v>
      </c>
      <c r="B503" s="14" t="n">
        <v>102363.703730085</v>
      </c>
      <c r="C503" s="15" t="n">
        <v>0.104502538983829</v>
      </c>
      <c r="D503" s="14" t="n">
        <f aca="false">Summary!$B$5-B503</f>
        <v>-2363.70373008509</v>
      </c>
      <c r="E503" s="15" t="n">
        <f aca="false">B503/Summary!$B$5-1</f>
        <v>0.023637037300851</v>
      </c>
    </row>
    <row r="504" customFormat="false" ht="15" hidden="false" customHeight="false" outlineLevel="0" collapsed="false">
      <c r="A504" s="0" t="n">
        <v>503</v>
      </c>
      <c r="B504" s="14" t="n">
        <v>108834.858795255</v>
      </c>
      <c r="C504" s="15" t="n">
        <v>0.140190763579205</v>
      </c>
      <c r="D504" s="14" t="n">
        <f aca="false">Summary!$B$5-B504</f>
        <v>-8834.8587952548</v>
      </c>
      <c r="E504" s="15" t="n">
        <f aca="false">B504/Summary!$B$5-1</f>
        <v>0.0883485879525481</v>
      </c>
    </row>
    <row r="505" customFormat="false" ht="15" hidden="false" customHeight="false" outlineLevel="0" collapsed="false">
      <c r="A505" s="0" t="n">
        <v>504</v>
      </c>
      <c r="B505" s="14" t="n">
        <v>110411.348707655</v>
      </c>
      <c r="C505" s="15" t="n">
        <v>0.0881208303216129</v>
      </c>
      <c r="D505" s="14" t="n">
        <f aca="false">Summary!$B$5-B505</f>
        <v>-10411.3487076549</v>
      </c>
      <c r="E505" s="15" t="n">
        <f aca="false">B505/Summary!$B$5-1</f>
        <v>0.104113487076549</v>
      </c>
    </row>
    <row r="506" customFormat="false" ht="15" hidden="false" customHeight="false" outlineLevel="0" collapsed="false">
      <c r="A506" s="0" t="n">
        <v>505</v>
      </c>
      <c r="B506" s="14" t="n">
        <v>122909.860585411</v>
      </c>
      <c r="C506" s="15" t="n">
        <v>0.0950238721431583</v>
      </c>
      <c r="D506" s="14" t="n">
        <f aca="false">Summary!$B$5-B506</f>
        <v>-22909.8605854109</v>
      </c>
      <c r="E506" s="15" t="n">
        <f aca="false">B506/Summary!$B$5-1</f>
        <v>0.229098605854109</v>
      </c>
    </row>
    <row r="507" customFormat="false" ht="15" hidden="false" customHeight="false" outlineLevel="0" collapsed="false">
      <c r="A507" s="0" t="n">
        <v>506</v>
      </c>
      <c r="B507" s="14" t="n">
        <v>111119.925870755</v>
      </c>
      <c r="C507" s="15" t="n">
        <v>0.0552166118975878</v>
      </c>
      <c r="D507" s="14" t="n">
        <f aca="false">Summary!$B$5-B507</f>
        <v>-11119.9258707554</v>
      </c>
      <c r="E507" s="15" t="n">
        <f aca="false">B507/Summary!$B$5-1</f>
        <v>0.111199258707554</v>
      </c>
    </row>
    <row r="508" customFormat="false" ht="15" hidden="false" customHeight="false" outlineLevel="0" collapsed="false">
      <c r="A508" s="0" t="n">
        <v>507</v>
      </c>
      <c r="B508" s="14" t="n">
        <v>92352.2745699857</v>
      </c>
      <c r="C508" s="15" t="n">
        <v>0.203812819586402</v>
      </c>
      <c r="D508" s="14" t="n">
        <f aca="false">Summary!$B$5-B508</f>
        <v>7647.72543001434</v>
      </c>
      <c r="E508" s="15" t="n">
        <f aca="false">B508/Summary!$B$5-1</f>
        <v>-0.0764772543001434</v>
      </c>
    </row>
    <row r="509" customFormat="false" ht="15" hidden="false" customHeight="false" outlineLevel="0" collapsed="false">
      <c r="A509" s="0" t="n">
        <v>508</v>
      </c>
      <c r="B509" s="14" t="n">
        <v>102578.407191716</v>
      </c>
      <c r="C509" s="15" t="n">
        <v>0.0694412953566796</v>
      </c>
      <c r="D509" s="14" t="n">
        <f aca="false">Summary!$B$5-B509</f>
        <v>-2578.4071917158</v>
      </c>
      <c r="E509" s="15" t="n">
        <f aca="false">B509/Summary!$B$5-1</f>
        <v>0.025784071917158</v>
      </c>
    </row>
    <row r="510" customFormat="false" ht="15" hidden="false" customHeight="false" outlineLevel="0" collapsed="false">
      <c r="A510" s="0" t="n">
        <v>509</v>
      </c>
      <c r="B510" s="14" t="n">
        <v>114113.636104748</v>
      </c>
      <c r="C510" s="15" t="n">
        <v>0.0603118853463649</v>
      </c>
      <c r="D510" s="14" t="n">
        <f aca="false">Summary!$B$5-B510</f>
        <v>-14113.6361047478</v>
      </c>
      <c r="E510" s="15" t="n">
        <f aca="false">B510/Summary!$B$5-1</f>
        <v>0.141136361047478</v>
      </c>
    </row>
    <row r="511" customFormat="false" ht="15" hidden="false" customHeight="false" outlineLevel="0" collapsed="false">
      <c r="A511" s="0" t="n">
        <v>510</v>
      </c>
      <c r="B511" s="14" t="n">
        <v>101505.870860697</v>
      </c>
      <c r="C511" s="15" t="n">
        <v>0.0806133764846867</v>
      </c>
      <c r="D511" s="14" t="n">
        <f aca="false">Summary!$B$5-B511</f>
        <v>-1505.87086069711</v>
      </c>
      <c r="E511" s="15" t="n">
        <f aca="false">B511/Summary!$B$5-1</f>
        <v>0.0150587086069711</v>
      </c>
    </row>
    <row r="512" customFormat="false" ht="15" hidden="false" customHeight="false" outlineLevel="0" collapsed="false">
      <c r="A512" s="0" t="n">
        <v>511</v>
      </c>
      <c r="B512" s="14" t="n">
        <v>112392.960086383</v>
      </c>
      <c r="C512" s="15" t="n">
        <v>0.10300905157814</v>
      </c>
      <c r="D512" s="14" t="n">
        <f aca="false">Summary!$B$5-B512</f>
        <v>-12392.9600863833</v>
      </c>
      <c r="E512" s="15" t="n">
        <f aca="false">B512/Summary!$B$5-1</f>
        <v>0.123929600863833</v>
      </c>
    </row>
    <row r="513" customFormat="false" ht="15" hidden="false" customHeight="false" outlineLevel="0" collapsed="false">
      <c r="A513" s="0" t="n">
        <v>512</v>
      </c>
      <c r="B513" s="14" t="n">
        <v>106475.377274446</v>
      </c>
      <c r="C513" s="15" t="n">
        <v>0.0802539006772944</v>
      </c>
      <c r="D513" s="14" t="n">
        <f aca="false">Summary!$B$5-B513</f>
        <v>-6475.37727444559</v>
      </c>
      <c r="E513" s="15" t="n">
        <f aca="false">B513/Summary!$B$5-1</f>
        <v>0.0647537727444558</v>
      </c>
    </row>
    <row r="514" customFormat="false" ht="15" hidden="false" customHeight="false" outlineLevel="0" collapsed="false">
      <c r="A514" s="0" t="n">
        <v>513</v>
      </c>
      <c r="B514" s="14" t="n">
        <v>115856.703699009</v>
      </c>
      <c r="C514" s="15" t="n">
        <v>0.0814667449237558</v>
      </c>
      <c r="D514" s="14" t="n">
        <f aca="false">Summary!$B$5-B514</f>
        <v>-15856.7036990088</v>
      </c>
      <c r="E514" s="15" t="n">
        <f aca="false">B514/Summary!$B$5-1</f>
        <v>0.158567036990088</v>
      </c>
    </row>
    <row r="515" customFormat="false" ht="15" hidden="false" customHeight="false" outlineLevel="0" collapsed="false">
      <c r="A515" s="0" t="n">
        <v>514</v>
      </c>
      <c r="B515" s="14" t="n">
        <v>114921.338672135</v>
      </c>
      <c r="C515" s="15" t="n">
        <v>0.086232956549668</v>
      </c>
      <c r="D515" s="14" t="n">
        <f aca="false">Summary!$B$5-B515</f>
        <v>-14921.3386721346</v>
      </c>
      <c r="E515" s="15" t="n">
        <f aca="false">B515/Summary!$B$5-1</f>
        <v>0.149213386721346</v>
      </c>
    </row>
    <row r="516" customFormat="false" ht="15" hidden="false" customHeight="false" outlineLevel="0" collapsed="false">
      <c r="A516" s="0" t="n">
        <v>515</v>
      </c>
      <c r="B516" s="14" t="n">
        <v>116009.364408667</v>
      </c>
      <c r="C516" s="15" t="n">
        <v>0.0810937839673419</v>
      </c>
      <c r="D516" s="14" t="n">
        <f aca="false">Summary!$B$5-B516</f>
        <v>-16009.3644086671</v>
      </c>
      <c r="E516" s="15" t="n">
        <f aca="false">B516/Summary!$B$5-1</f>
        <v>0.160093644086671</v>
      </c>
    </row>
    <row r="517" customFormat="false" ht="15" hidden="false" customHeight="false" outlineLevel="0" collapsed="false">
      <c r="A517" s="0" t="n">
        <v>516</v>
      </c>
      <c r="B517" s="14" t="n">
        <v>132788.784687888</v>
      </c>
      <c r="C517" s="15" t="n">
        <v>0.0453432926850991</v>
      </c>
      <c r="D517" s="14" t="n">
        <f aca="false">Summary!$B$5-B517</f>
        <v>-32788.784687888</v>
      </c>
      <c r="E517" s="15" t="n">
        <f aca="false">B517/Summary!$B$5-1</f>
        <v>0.32788784687888</v>
      </c>
    </row>
    <row r="518" customFormat="false" ht="15" hidden="false" customHeight="false" outlineLevel="0" collapsed="false">
      <c r="A518" s="0" t="n">
        <v>517</v>
      </c>
      <c r="B518" s="14" t="n">
        <v>110865.554552582</v>
      </c>
      <c r="C518" s="15" t="n">
        <v>0.0857527645263653</v>
      </c>
      <c r="D518" s="14" t="n">
        <f aca="false">Summary!$B$5-B518</f>
        <v>-10865.5545525819</v>
      </c>
      <c r="E518" s="15" t="n">
        <f aca="false">B518/Summary!$B$5-1</f>
        <v>0.108655545525819</v>
      </c>
    </row>
    <row r="519" customFormat="false" ht="15" hidden="false" customHeight="false" outlineLevel="0" collapsed="false">
      <c r="A519" s="0" t="n">
        <v>518</v>
      </c>
      <c r="B519" s="14" t="n">
        <v>93889.0299477777</v>
      </c>
      <c r="C519" s="15" t="n">
        <v>0.134506272801246</v>
      </c>
      <c r="D519" s="14" t="n">
        <f aca="false">Summary!$B$5-B519</f>
        <v>6110.9700522223</v>
      </c>
      <c r="E519" s="15" t="n">
        <f aca="false">B519/Summary!$B$5-1</f>
        <v>-0.061109700522223</v>
      </c>
    </row>
    <row r="520" customFormat="false" ht="15" hidden="false" customHeight="false" outlineLevel="0" collapsed="false">
      <c r="A520" s="0" t="n">
        <v>519</v>
      </c>
      <c r="B520" s="14" t="n">
        <v>118531.590883845</v>
      </c>
      <c r="C520" s="15" t="n">
        <v>0.0838173685172574</v>
      </c>
      <c r="D520" s="14" t="n">
        <f aca="false">Summary!$B$5-B520</f>
        <v>-18531.5908838445</v>
      </c>
      <c r="E520" s="15" t="n">
        <f aca="false">B520/Summary!$B$5-1</f>
        <v>0.185315908838445</v>
      </c>
    </row>
    <row r="521" customFormat="false" ht="15" hidden="false" customHeight="false" outlineLevel="0" collapsed="false">
      <c r="A521" s="0" t="n">
        <v>520</v>
      </c>
      <c r="B521" s="14" t="n">
        <v>118512.410257005</v>
      </c>
      <c r="C521" s="15" t="n">
        <v>0.0535639646545627</v>
      </c>
      <c r="D521" s="14" t="n">
        <f aca="false">Summary!$B$5-B521</f>
        <v>-18512.410257005</v>
      </c>
      <c r="E521" s="15" t="n">
        <f aca="false">B521/Summary!$B$5-1</f>
        <v>0.18512410257005</v>
      </c>
    </row>
    <row r="522" customFormat="false" ht="15" hidden="false" customHeight="false" outlineLevel="0" collapsed="false">
      <c r="A522" s="0" t="n">
        <v>521</v>
      </c>
      <c r="B522" s="14" t="n">
        <v>99911.0379390904</v>
      </c>
      <c r="C522" s="15" t="n">
        <v>0.0741115743942544</v>
      </c>
      <c r="D522" s="14" t="n">
        <f aca="false">Summary!$B$5-B522</f>
        <v>88.9620609096019</v>
      </c>
      <c r="E522" s="15" t="n">
        <f aca="false">B522/Summary!$B$5-1</f>
        <v>-0.000889620609096031</v>
      </c>
    </row>
    <row r="523" customFormat="false" ht="15" hidden="false" customHeight="false" outlineLevel="0" collapsed="false">
      <c r="A523" s="0" t="n">
        <v>522</v>
      </c>
      <c r="B523" s="14" t="n">
        <v>109772.220767016</v>
      </c>
      <c r="C523" s="15" t="n">
        <v>0.0715029474199894</v>
      </c>
      <c r="D523" s="14" t="n">
        <f aca="false">Summary!$B$5-B523</f>
        <v>-9772.2207670161</v>
      </c>
      <c r="E523" s="15" t="n">
        <f aca="false">B523/Summary!$B$5-1</f>
        <v>0.0977222076701609</v>
      </c>
    </row>
    <row r="524" customFormat="false" ht="15" hidden="false" customHeight="false" outlineLevel="0" collapsed="false">
      <c r="A524" s="0" t="n">
        <v>523</v>
      </c>
      <c r="B524" s="14" t="n">
        <v>105458.430197301</v>
      </c>
      <c r="C524" s="15" t="n">
        <v>0.0660638511373332</v>
      </c>
      <c r="D524" s="14" t="n">
        <f aca="false">Summary!$B$5-B524</f>
        <v>-5458.43019730139</v>
      </c>
      <c r="E524" s="15" t="n">
        <f aca="false">B524/Summary!$B$5-1</f>
        <v>0.0545843019730139</v>
      </c>
    </row>
    <row r="525" customFormat="false" ht="15" hidden="false" customHeight="false" outlineLevel="0" collapsed="false">
      <c r="A525" s="0" t="n">
        <v>524</v>
      </c>
      <c r="B525" s="14" t="n">
        <v>128172.866173409</v>
      </c>
      <c r="C525" s="15" t="n">
        <v>0.0668082688450519</v>
      </c>
      <c r="D525" s="14" t="n">
        <f aca="false">Summary!$B$5-B525</f>
        <v>-28172.8661734085</v>
      </c>
      <c r="E525" s="15" t="n">
        <f aca="false">B525/Summary!$B$5-1</f>
        <v>0.281728661734085</v>
      </c>
    </row>
    <row r="526" customFormat="false" ht="15" hidden="false" customHeight="false" outlineLevel="0" collapsed="false">
      <c r="A526" s="0" t="n">
        <v>525</v>
      </c>
      <c r="B526" s="14" t="n">
        <v>97487.5278856192</v>
      </c>
      <c r="C526" s="15" t="n">
        <v>0.175567110082686</v>
      </c>
      <c r="D526" s="14" t="n">
        <f aca="false">Summary!$B$5-B526</f>
        <v>2512.47211438077</v>
      </c>
      <c r="E526" s="15" t="n">
        <f aca="false">B526/Summary!$B$5-1</f>
        <v>-0.0251247211438077</v>
      </c>
    </row>
    <row r="527" customFormat="false" ht="15" hidden="false" customHeight="false" outlineLevel="0" collapsed="false">
      <c r="A527" s="0" t="n">
        <v>526</v>
      </c>
      <c r="B527" s="14" t="n">
        <v>96887.865931005</v>
      </c>
      <c r="C527" s="15" t="n">
        <v>0.117685208015873</v>
      </c>
      <c r="D527" s="14" t="n">
        <f aca="false">Summary!$B$5-B527</f>
        <v>3112.13406899499</v>
      </c>
      <c r="E527" s="15" t="n">
        <f aca="false">B527/Summary!$B$5-1</f>
        <v>-0.0311213406899499</v>
      </c>
    </row>
    <row r="528" customFormat="false" ht="15" hidden="false" customHeight="false" outlineLevel="0" collapsed="false">
      <c r="A528" s="0" t="n">
        <v>527</v>
      </c>
      <c r="B528" s="14" t="n">
        <v>87789.836716206</v>
      </c>
      <c r="C528" s="15" t="n">
        <v>0.23300623451192</v>
      </c>
      <c r="D528" s="14" t="n">
        <f aca="false">Summary!$B$5-B528</f>
        <v>12210.163283794</v>
      </c>
      <c r="E528" s="15" t="n">
        <f aca="false">B528/Summary!$B$5-1</f>
        <v>-0.12210163283794</v>
      </c>
    </row>
    <row r="529" customFormat="false" ht="15" hidden="false" customHeight="false" outlineLevel="0" collapsed="false">
      <c r="A529" s="0" t="n">
        <v>528</v>
      </c>
      <c r="B529" s="14" t="n">
        <v>127881.671439131</v>
      </c>
      <c r="C529" s="15" t="n">
        <v>0.0567324119967504</v>
      </c>
      <c r="D529" s="14" t="n">
        <f aca="false">Summary!$B$5-B529</f>
        <v>-27881.6714391308</v>
      </c>
      <c r="E529" s="15" t="n">
        <f aca="false">B529/Summary!$B$5-1</f>
        <v>0.278816714391308</v>
      </c>
    </row>
    <row r="530" customFormat="false" ht="15" hidden="false" customHeight="false" outlineLevel="0" collapsed="false">
      <c r="A530" s="0" t="n">
        <v>529</v>
      </c>
      <c r="B530" s="14" t="n">
        <v>109631.536761997</v>
      </c>
      <c r="C530" s="15" t="n">
        <v>0.0858759705155638</v>
      </c>
      <c r="D530" s="14" t="n">
        <f aca="false">Summary!$B$5-B530</f>
        <v>-9631.5367619965</v>
      </c>
      <c r="E530" s="15" t="n">
        <f aca="false">B530/Summary!$B$5-1</f>
        <v>0.0963153676199651</v>
      </c>
    </row>
    <row r="531" customFormat="false" ht="15" hidden="false" customHeight="false" outlineLevel="0" collapsed="false">
      <c r="A531" s="0" t="n">
        <v>530</v>
      </c>
      <c r="B531" s="14" t="n">
        <v>133878.549306469</v>
      </c>
      <c r="C531" s="15" t="n">
        <v>0.0516142219544926</v>
      </c>
      <c r="D531" s="14" t="n">
        <f aca="false">Summary!$B$5-B531</f>
        <v>-33878.549306469</v>
      </c>
      <c r="E531" s="15" t="n">
        <f aca="false">B531/Summary!$B$5-1</f>
        <v>0.33878549306469</v>
      </c>
    </row>
    <row r="532" customFormat="false" ht="15" hidden="false" customHeight="false" outlineLevel="0" collapsed="false">
      <c r="A532" s="0" t="n">
        <v>531</v>
      </c>
      <c r="B532" s="14" t="n">
        <v>107819.052365886</v>
      </c>
      <c r="C532" s="15" t="n">
        <v>0.0967447228140517</v>
      </c>
      <c r="D532" s="14" t="n">
        <f aca="false">Summary!$B$5-B532</f>
        <v>-7819.0523658859</v>
      </c>
      <c r="E532" s="15" t="n">
        <f aca="false">B532/Summary!$B$5-1</f>
        <v>0.0781905236588589</v>
      </c>
    </row>
    <row r="533" customFormat="false" ht="15" hidden="false" customHeight="false" outlineLevel="0" collapsed="false">
      <c r="A533" s="0" t="n">
        <v>532</v>
      </c>
      <c r="B533" s="14" t="n">
        <v>90947.465601072</v>
      </c>
      <c r="C533" s="15" t="n">
        <v>0.137350193877514</v>
      </c>
      <c r="D533" s="14" t="n">
        <f aca="false">Summary!$B$5-B533</f>
        <v>9052.53439892801</v>
      </c>
      <c r="E533" s="15" t="n">
        <f aca="false">B533/Summary!$B$5-1</f>
        <v>-0.09052534398928</v>
      </c>
    </row>
    <row r="534" customFormat="false" ht="15" hidden="false" customHeight="false" outlineLevel="0" collapsed="false">
      <c r="A534" s="0" t="n">
        <v>533</v>
      </c>
      <c r="B534" s="14" t="n">
        <v>134401.2697044</v>
      </c>
      <c r="C534" s="15" t="n">
        <v>0.0587316842124875</v>
      </c>
      <c r="D534" s="14" t="n">
        <f aca="false">Summary!$B$5-B534</f>
        <v>-34401.2697044</v>
      </c>
      <c r="E534" s="15" t="n">
        <f aca="false">B534/Summary!$B$5-1</f>
        <v>0.344012697044</v>
      </c>
    </row>
    <row r="535" customFormat="false" ht="15" hidden="false" customHeight="false" outlineLevel="0" collapsed="false">
      <c r="A535" s="0" t="n">
        <v>534</v>
      </c>
      <c r="B535" s="14" t="n">
        <v>92187.9532704179</v>
      </c>
      <c r="C535" s="15" t="n">
        <v>0.15624118141498</v>
      </c>
      <c r="D535" s="14" t="n">
        <f aca="false">Summary!$B$5-B535</f>
        <v>7812.04672958207</v>
      </c>
      <c r="E535" s="15" t="n">
        <f aca="false">B535/Summary!$B$5-1</f>
        <v>-0.0781204672958207</v>
      </c>
    </row>
    <row r="536" customFormat="false" ht="15" hidden="false" customHeight="false" outlineLevel="0" collapsed="false">
      <c r="A536" s="0" t="n">
        <v>535</v>
      </c>
      <c r="B536" s="14" t="n">
        <v>116696.891820891</v>
      </c>
      <c r="C536" s="15" t="n">
        <v>0.0481622822718827</v>
      </c>
      <c r="D536" s="14" t="n">
        <f aca="false">Summary!$B$5-B536</f>
        <v>-16696.8918208911</v>
      </c>
      <c r="E536" s="15" t="n">
        <f aca="false">B536/Summary!$B$5-1</f>
        <v>0.166968918208911</v>
      </c>
    </row>
    <row r="537" customFormat="false" ht="15" hidden="false" customHeight="false" outlineLevel="0" collapsed="false">
      <c r="A537" s="0" t="n">
        <v>536</v>
      </c>
      <c r="B537" s="14" t="n">
        <v>114365.048087047</v>
      </c>
      <c r="C537" s="15" t="n">
        <v>0.0715480219911144</v>
      </c>
      <c r="D537" s="14" t="n">
        <f aca="false">Summary!$B$5-B537</f>
        <v>-14365.048087047</v>
      </c>
      <c r="E537" s="15" t="n">
        <f aca="false">B537/Summary!$B$5-1</f>
        <v>0.14365048087047</v>
      </c>
    </row>
    <row r="538" customFormat="false" ht="15" hidden="false" customHeight="false" outlineLevel="0" collapsed="false">
      <c r="A538" s="0" t="n">
        <v>537</v>
      </c>
      <c r="B538" s="14" t="n">
        <v>105587.967112177</v>
      </c>
      <c r="C538" s="15" t="n">
        <v>0.0753445392776538</v>
      </c>
      <c r="D538" s="14" t="n">
        <f aca="false">Summary!$B$5-B538</f>
        <v>-5587.9671121767</v>
      </c>
      <c r="E538" s="15" t="n">
        <f aca="false">B538/Summary!$B$5-1</f>
        <v>0.0558796711217671</v>
      </c>
    </row>
    <row r="539" customFormat="false" ht="15" hidden="false" customHeight="false" outlineLevel="0" collapsed="false">
      <c r="A539" s="0" t="n">
        <v>538</v>
      </c>
      <c r="B539" s="14" t="n">
        <v>116878.038235654</v>
      </c>
      <c r="C539" s="15" t="n">
        <v>0.109991659557608</v>
      </c>
      <c r="D539" s="14" t="n">
        <f aca="false">Summary!$B$5-B539</f>
        <v>-16878.0382356537</v>
      </c>
      <c r="E539" s="15" t="n">
        <f aca="false">B539/Summary!$B$5-1</f>
        <v>0.168780382356537</v>
      </c>
    </row>
    <row r="540" customFormat="false" ht="15" hidden="false" customHeight="false" outlineLevel="0" collapsed="false">
      <c r="A540" s="0" t="n">
        <v>539</v>
      </c>
      <c r="B540" s="14" t="n">
        <v>89947.6583734061</v>
      </c>
      <c r="C540" s="15" t="n">
        <v>0.227525886368336</v>
      </c>
      <c r="D540" s="14" t="n">
        <f aca="false">Summary!$B$5-B540</f>
        <v>10052.3416265939</v>
      </c>
      <c r="E540" s="15" t="n">
        <f aca="false">B540/Summary!$B$5-1</f>
        <v>-0.100523416265939</v>
      </c>
    </row>
    <row r="541" customFormat="false" ht="15" hidden="false" customHeight="false" outlineLevel="0" collapsed="false">
      <c r="A541" s="0" t="n">
        <v>540</v>
      </c>
      <c r="B541" s="14" t="n">
        <v>88754.7499959657</v>
      </c>
      <c r="C541" s="15" t="n">
        <v>0.167282485045491</v>
      </c>
      <c r="D541" s="14" t="n">
        <f aca="false">Summary!$B$5-B541</f>
        <v>11245.2500040343</v>
      </c>
      <c r="E541" s="15" t="n">
        <f aca="false">B541/Summary!$B$5-1</f>
        <v>-0.112452500040343</v>
      </c>
    </row>
    <row r="542" customFormat="false" ht="15" hidden="false" customHeight="false" outlineLevel="0" collapsed="false">
      <c r="A542" s="0" t="n">
        <v>541</v>
      </c>
      <c r="B542" s="14" t="n">
        <v>122356.728044789</v>
      </c>
      <c r="C542" s="15" t="n">
        <v>0.0771630530273634</v>
      </c>
      <c r="D542" s="14" t="n">
        <f aca="false">Summary!$B$5-B542</f>
        <v>-22356.7280447894</v>
      </c>
      <c r="E542" s="15" t="n">
        <f aca="false">B542/Summary!$B$5-1</f>
        <v>0.223567280447894</v>
      </c>
    </row>
    <row r="543" customFormat="false" ht="15" hidden="false" customHeight="false" outlineLevel="0" collapsed="false">
      <c r="A543" s="0" t="n">
        <v>542</v>
      </c>
      <c r="B543" s="14" t="n">
        <v>116497.858808177</v>
      </c>
      <c r="C543" s="15" t="n">
        <v>0.0780754864029204</v>
      </c>
      <c r="D543" s="14" t="n">
        <f aca="false">Summary!$B$5-B543</f>
        <v>-16497.8588081772</v>
      </c>
      <c r="E543" s="15" t="n">
        <f aca="false">B543/Summary!$B$5-1</f>
        <v>0.164978588081772</v>
      </c>
    </row>
    <row r="544" customFormat="false" ht="15" hidden="false" customHeight="false" outlineLevel="0" collapsed="false">
      <c r="A544" s="0" t="n">
        <v>543</v>
      </c>
      <c r="B544" s="14" t="n">
        <v>124784.711417283</v>
      </c>
      <c r="C544" s="15" t="n">
        <v>0.0589360584415752</v>
      </c>
      <c r="D544" s="14" t="n">
        <f aca="false">Summary!$B$5-B544</f>
        <v>-24784.7114172831</v>
      </c>
      <c r="E544" s="15" t="n">
        <f aca="false">B544/Summary!$B$5-1</f>
        <v>0.247847114172831</v>
      </c>
    </row>
    <row r="545" customFormat="false" ht="15" hidden="false" customHeight="false" outlineLevel="0" collapsed="false">
      <c r="A545" s="0" t="n">
        <v>544</v>
      </c>
      <c r="B545" s="14" t="n">
        <v>97325.8977582718</v>
      </c>
      <c r="C545" s="15" t="n">
        <v>0.114203664752165</v>
      </c>
      <c r="D545" s="14" t="n">
        <f aca="false">Summary!$B$5-B545</f>
        <v>2674.10224172825</v>
      </c>
      <c r="E545" s="15" t="n">
        <f aca="false">B545/Summary!$B$5-1</f>
        <v>-0.0267410224172825</v>
      </c>
    </row>
    <row r="546" customFormat="false" ht="15" hidden="false" customHeight="false" outlineLevel="0" collapsed="false">
      <c r="A546" s="0" t="n">
        <v>545</v>
      </c>
      <c r="B546" s="14" t="n">
        <v>93937.1522981729</v>
      </c>
      <c r="C546" s="15" t="n">
        <v>0.131149466619209</v>
      </c>
      <c r="D546" s="14" t="n">
        <f aca="false">Summary!$B$5-B546</f>
        <v>6062.84770182712</v>
      </c>
      <c r="E546" s="15" t="n">
        <f aca="false">B546/Summary!$B$5-1</f>
        <v>-0.0606284770182712</v>
      </c>
    </row>
    <row r="547" customFormat="false" ht="15" hidden="false" customHeight="false" outlineLevel="0" collapsed="false">
      <c r="A547" s="0" t="n">
        <v>546</v>
      </c>
      <c r="B547" s="14" t="n">
        <v>104286.475279101</v>
      </c>
      <c r="C547" s="15" t="n">
        <v>0.136048225166052</v>
      </c>
      <c r="D547" s="14" t="n">
        <f aca="false">Summary!$B$5-B547</f>
        <v>-4286.475279101</v>
      </c>
      <c r="E547" s="15" t="n">
        <f aca="false">B547/Summary!$B$5-1</f>
        <v>0.04286475279101</v>
      </c>
    </row>
    <row r="548" customFormat="false" ht="15" hidden="false" customHeight="false" outlineLevel="0" collapsed="false">
      <c r="A548" s="0" t="n">
        <v>547</v>
      </c>
      <c r="B548" s="14" t="n">
        <v>108908.645131107</v>
      </c>
      <c r="C548" s="15" t="n">
        <v>0.0856443040922813</v>
      </c>
      <c r="D548" s="14" t="n">
        <f aca="false">Summary!$B$5-B548</f>
        <v>-8908.64513110671</v>
      </c>
      <c r="E548" s="15" t="n">
        <f aca="false">B548/Summary!$B$5-1</f>
        <v>0.089086451311067</v>
      </c>
    </row>
    <row r="549" customFormat="false" ht="15" hidden="false" customHeight="false" outlineLevel="0" collapsed="false">
      <c r="A549" s="0" t="n">
        <v>548</v>
      </c>
      <c r="B549" s="14" t="n">
        <v>97029.4602019182</v>
      </c>
      <c r="C549" s="15" t="n">
        <v>0.121243198924513</v>
      </c>
      <c r="D549" s="14" t="n">
        <f aca="false">Summary!$B$5-B549</f>
        <v>2970.53979808185</v>
      </c>
      <c r="E549" s="15" t="n">
        <f aca="false">B549/Summary!$B$5-1</f>
        <v>-0.0297053979808185</v>
      </c>
    </row>
    <row r="550" customFormat="false" ht="15" hidden="false" customHeight="false" outlineLevel="0" collapsed="false">
      <c r="A550" s="0" t="n">
        <v>549</v>
      </c>
      <c r="B550" s="14" t="n">
        <v>117411.580412543</v>
      </c>
      <c r="C550" s="15" t="n">
        <v>0.0716580273503572</v>
      </c>
      <c r="D550" s="14" t="n">
        <f aca="false">Summary!$B$5-B550</f>
        <v>-17411.5804125426</v>
      </c>
      <c r="E550" s="15" t="n">
        <f aca="false">B550/Summary!$B$5-1</f>
        <v>0.174115804125426</v>
      </c>
    </row>
    <row r="551" customFormat="false" ht="15" hidden="false" customHeight="false" outlineLevel="0" collapsed="false">
      <c r="A551" s="0" t="n">
        <v>550</v>
      </c>
      <c r="B551" s="14" t="n">
        <v>124532.506964013</v>
      </c>
      <c r="C551" s="15" t="n">
        <v>0.0633910229180799</v>
      </c>
      <c r="D551" s="14" t="n">
        <f aca="false">Summary!$B$5-B551</f>
        <v>-24532.5069640127</v>
      </c>
      <c r="E551" s="15" t="n">
        <f aca="false">B551/Summary!$B$5-1</f>
        <v>0.245325069640127</v>
      </c>
    </row>
    <row r="552" customFormat="false" ht="15" hidden="false" customHeight="false" outlineLevel="0" collapsed="false">
      <c r="A552" s="0" t="n">
        <v>551</v>
      </c>
      <c r="B552" s="14" t="n">
        <v>100529.803766206</v>
      </c>
      <c r="C552" s="15" t="n">
        <v>0.0981315339827243</v>
      </c>
      <c r="D552" s="14" t="n">
        <f aca="false">Summary!$B$5-B552</f>
        <v>-529.803766205805</v>
      </c>
      <c r="E552" s="15" t="n">
        <f aca="false">B552/Summary!$B$5-1</f>
        <v>0.00529803766205794</v>
      </c>
    </row>
    <row r="553" customFormat="false" ht="15" hidden="false" customHeight="false" outlineLevel="0" collapsed="false">
      <c r="A553" s="0" t="n">
        <v>552</v>
      </c>
      <c r="B553" s="14" t="n">
        <v>116238.444348487</v>
      </c>
      <c r="C553" s="15" t="n">
        <v>0.0710692135436996</v>
      </c>
      <c r="D553" s="14" t="n">
        <f aca="false">Summary!$B$5-B553</f>
        <v>-16238.4443484872</v>
      </c>
      <c r="E553" s="15" t="n">
        <f aca="false">B553/Summary!$B$5-1</f>
        <v>0.162384443484872</v>
      </c>
    </row>
    <row r="554" customFormat="false" ht="15" hidden="false" customHeight="false" outlineLevel="0" collapsed="false">
      <c r="A554" s="0" t="n">
        <v>553</v>
      </c>
      <c r="B554" s="14" t="n">
        <v>111867.386814493</v>
      </c>
      <c r="C554" s="15" t="n">
        <v>0.138618525725191</v>
      </c>
      <c r="D554" s="14" t="n">
        <f aca="false">Summary!$B$5-B554</f>
        <v>-11867.3868144927</v>
      </c>
      <c r="E554" s="15" t="n">
        <f aca="false">B554/Summary!$B$5-1</f>
        <v>0.118673868144927</v>
      </c>
    </row>
    <row r="555" customFormat="false" ht="15" hidden="false" customHeight="false" outlineLevel="0" collapsed="false">
      <c r="A555" s="0" t="n">
        <v>554</v>
      </c>
      <c r="B555" s="14" t="n">
        <v>120920.149819139</v>
      </c>
      <c r="C555" s="15" t="n">
        <v>0.0854925985551099</v>
      </c>
      <c r="D555" s="14" t="n">
        <f aca="false">Summary!$B$5-B555</f>
        <v>-20920.1498191388</v>
      </c>
      <c r="E555" s="15" t="n">
        <f aca="false">B555/Summary!$B$5-1</f>
        <v>0.209201498191388</v>
      </c>
    </row>
    <row r="556" customFormat="false" ht="15" hidden="false" customHeight="false" outlineLevel="0" collapsed="false">
      <c r="A556" s="0" t="n">
        <v>555</v>
      </c>
      <c r="B556" s="14" t="n">
        <v>137472.061027542</v>
      </c>
      <c r="C556" s="15" t="n">
        <v>0.0571794603724216</v>
      </c>
      <c r="D556" s="14" t="n">
        <f aca="false">Summary!$B$5-B556</f>
        <v>-37472.0610275424</v>
      </c>
      <c r="E556" s="15" t="n">
        <f aca="false">B556/Summary!$B$5-1</f>
        <v>0.374720610275424</v>
      </c>
    </row>
    <row r="557" customFormat="false" ht="15" hidden="false" customHeight="false" outlineLevel="0" collapsed="false">
      <c r="A557" s="0" t="n">
        <v>556</v>
      </c>
      <c r="B557" s="14" t="n">
        <v>94092.3967823883</v>
      </c>
      <c r="C557" s="15" t="n">
        <v>0.119160952709012</v>
      </c>
      <c r="D557" s="14" t="n">
        <f aca="false">Summary!$B$5-B557</f>
        <v>5907.60321761166</v>
      </c>
      <c r="E557" s="15" t="n">
        <f aca="false">B557/Summary!$B$5-1</f>
        <v>-0.0590760321761166</v>
      </c>
    </row>
    <row r="558" customFormat="false" ht="15" hidden="false" customHeight="false" outlineLevel="0" collapsed="false">
      <c r="A558" s="0" t="n">
        <v>557</v>
      </c>
      <c r="B558" s="14" t="n">
        <v>96587.5942822301</v>
      </c>
      <c r="C558" s="15" t="n">
        <v>0.0923276017258098</v>
      </c>
      <c r="D558" s="14" t="n">
        <f aca="false">Summary!$B$5-B558</f>
        <v>3412.40571776994</v>
      </c>
      <c r="E558" s="15" t="n">
        <f aca="false">B558/Summary!$B$5-1</f>
        <v>-0.0341240571776994</v>
      </c>
    </row>
    <row r="559" customFormat="false" ht="15" hidden="false" customHeight="false" outlineLevel="0" collapsed="false">
      <c r="A559" s="0" t="n">
        <v>558</v>
      </c>
      <c r="B559" s="14" t="n">
        <v>97220.5983819806</v>
      </c>
      <c r="C559" s="15" t="n">
        <v>0.100260271456302</v>
      </c>
      <c r="D559" s="14" t="n">
        <f aca="false">Summary!$B$5-B559</f>
        <v>2779.40161801937</v>
      </c>
      <c r="E559" s="15" t="n">
        <f aca="false">B559/Summary!$B$5-1</f>
        <v>-0.0277940161801937</v>
      </c>
    </row>
    <row r="560" customFormat="false" ht="15" hidden="false" customHeight="false" outlineLevel="0" collapsed="false">
      <c r="A560" s="0" t="n">
        <v>559</v>
      </c>
      <c r="B560" s="14" t="n">
        <v>99185.6394618768</v>
      </c>
      <c r="C560" s="15" t="n">
        <v>0.123425813938005</v>
      </c>
      <c r="D560" s="14" t="n">
        <f aca="false">Summary!$B$5-B560</f>
        <v>814.360538123234</v>
      </c>
      <c r="E560" s="15" t="n">
        <f aca="false">B560/Summary!$B$5-1</f>
        <v>-0.00814360538123238</v>
      </c>
    </row>
    <row r="561" customFormat="false" ht="15" hidden="false" customHeight="false" outlineLevel="0" collapsed="false">
      <c r="A561" s="0" t="n">
        <v>560</v>
      </c>
      <c r="B561" s="14" t="n">
        <v>111348.559026507</v>
      </c>
      <c r="C561" s="15" t="n">
        <v>0.0699629756179954</v>
      </c>
      <c r="D561" s="14" t="n">
        <f aca="false">Summary!$B$5-B561</f>
        <v>-11348.5590265065</v>
      </c>
      <c r="E561" s="15" t="n">
        <f aca="false">B561/Summary!$B$5-1</f>
        <v>0.113485590265065</v>
      </c>
    </row>
    <row r="562" customFormat="false" ht="15" hidden="false" customHeight="false" outlineLevel="0" collapsed="false">
      <c r="A562" s="0" t="n">
        <v>561</v>
      </c>
      <c r="B562" s="14" t="n">
        <v>122082.079258408</v>
      </c>
      <c r="C562" s="15" t="n">
        <v>0.0765953325048321</v>
      </c>
      <c r="D562" s="14" t="n">
        <f aca="false">Summary!$B$5-B562</f>
        <v>-22082.0792584077</v>
      </c>
      <c r="E562" s="15" t="n">
        <f aca="false">B562/Summary!$B$5-1</f>
        <v>0.220820792584077</v>
      </c>
    </row>
    <row r="563" customFormat="false" ht="15" hidden="false" customHeight="false" outlineLevel="0" collapsed="false">
      <c r="A563" s="0" t="n">
        <v>562</v>
      </c>
      <c r="B563" s="14" t="n">
        <v>99277.0057958585</v>
      </c>
      <c r="C563" s="15" t="n">
        <v>0.119479941045148</v>
      </c>
      <c r="D563" s="14" t="n">
        <f aca="false">Summary!$B$5-B563</f>
        <v>722.994204141505</v>
      </c>
      <c r="E563" s="15" t="n">
        <f aca="false">B563/Summary!$B$5-1</f>
        <v>-0.00722994204141503</v>
      </c>
    </row>
    <row r="564" customFormat="false" ht="15" hidden="false" customHeight="false" outlineLevel="0" collapsed="false">
      <c r="A564" s="0" t="n">
        <v>563</v>
      </c>
      <c r="B564" s="14" t="n">
        <v>105425.513267219</v>
      </c>
      <c r="C564" s="15" t="n">
        <v>0.0855784839680416</v>
      </c>
      <c r="D564" s="14" t="n">
        <f aca="false">Summary!$B$5-B564</f>
        <v>-5425.5132672186</v>
      </c>
      <c r="E564" s="15" t="n">
        <f aca="false">B564/Summary!$B$5-1</f>
        <v>0.0542551326721861</v>
      </c>
    </row>
    <row r="565" customFormat="false" ht="15" hidden="false" customHeight="false" outlineLevel="0" collapsed="false">
      <c r="A565" s="0" t="n">
        <v>564</v>
      </c>
      <c r="B565" s="14" t="n">
        <v>110786.43850973</v>
      </c>
      <c r="C565" s="15" t="n">
        <v>0.056717567884744</v>
      </c>
      <c r="D565" s="14" t="n">
        <f aca="false">Summary!$B$5-B565</f>
        <v>-10786.4385097303</v>
      </c>
      <c r="E565" s="15" t="n">
        <f aca="false">B565/Summary!$B$5-1</f>
        <v>0.107864385097303</v>
      </c>
    </row>
    <row r="566" customFormat="false" ht="15" hidden="false" customHeight="false" outlineLevel="0" collapsed="false">
      <c r="A566" s="0" t="n">
        <v>565</v>
      </c>
      <c r="B566" s="14" t="n">
        <v>91242.0240227761</v>
      </c>
      <c r="C566" s="15" t="n">
        <v>0.158453683001018</v>
      </c>
      <c r="D566" s="14" t="n">
        <f aca="false">Summary!$B$5-B566</f>
        <v>8757.97597722386</v>
      </c>
      <c r="E566" s="15" t="n">
        <f aca="false">B566/Summary!$B$5-1</f>
        <v>-0.0875797597722386</v>
      </c>
    </row>
    <row r="567" customFormat="false" ht="15" hidden="false" customHeight="false" outlineLevel="0" collapsed="false">
      <c r="A567" s="0" t="n">
        <v>566</v>
      </c>
      <c r="B567" s="14" t="n">
        <v>107285.579196149</v>
      </c>
      <c r="C567" s="15" t="n">
        <v>0.0989819091187825</v>
      </c>
      <c r="D567" s="14" t="n">
        <f aca="false">Summary!$B$5-B567</f>
        <v>-7285.5791961486</v>
      </c>
      <c r="E567" s="15" t="n">
        <f aca="false">B567/Summary!$B$5-1</f>
        <v>0.0728557919614861</v>
      </c>
    </row>
    <row r="568" customFormat="false" ht="15" hidden="false" customHeight="false" outlineLevel="0" collapsed="false">
      <c r="A568" s="0" t="n">
        <v>567</v>
      </c>
      <c r="B568" s="14" t="n">
        <v>110417.276584334</v>
      </c>
      <c r="C568" s="15" t="n">
        <v>0.10173061409236</v>
      </c>
      <c r="D568" s="14" t="n">
        <f aca="false">Summary!$B$5-B568</f>
        <v>-10417.2765843339</v>
      </c>
      <c r="E568" s="15" t="n">
        <f aca="false">B568/Summary!$B$5-1</f>
        <v>0.104172765843339</v>
      </c>
    </row>
    <row r="569" customFormat="false" ht="15" hidden="false" customHeight="false" outlineLevel="0" collapsed="false">
      <c r="A569" s="0" t="n">
        <v>568</v>
      </c>
      <c r="B569" s="14" t="n">
        <v>97122.2409249226</v>
      </c>
      <c r="C569" s="15" t="n">
        <v>0.0897461308575098</v>
      </c>
      <c r="D569" s="14" t="n">
        <f aca="false">Summary!$B$5-B569</f>
        <v>2877.7590750774</v>
      </c>
      <c r="E569" s="15" t="n">
        <f aca="false">B569/Summary!$B$5-1</f>
        <v>-0.0287775907507739</v>
      </c>
    </row>
    <row r="570" customFormat="false" ht="15" hidden="false" customHeight="false" outlineLevel="0" collapsed="false">
      <c r="A570" s="0" t="n">
        <v>569</v>
      </c>
      <c r="B570" s="14" t="n">
        <v>98385.8440829527</v>
      </c>
      <c r="C570" s="15" t="n">
        <v>0.107664379031792</v>
      </c>
      <c r="D570" s="14" t="n">
        <f aca="false">Summary!$B$5-B570</f>
        <v>1614.15591704729</v>
      </c>
      <c r="E570" s="15" t="n">
        <f aca="false">B570/Summary!$B$5-1</f>
        <v>-0.0161415591704729</v>
      </c>
    </row>
    <row r="571" customFormat="false" ht="15" hidden="false" customHeight="false" outlineLevel="0" collapsed="false">
      <c r="A571" s="0" t="n">
        <v>570</v>
      </c>
      <c r="B571" s="14" t="n">
        <v>96804.4521627106</v>
      </c>
      <c r="C571" s="15" t="n">
        <v>0.0835500919470139</v>
      </c>
      <c r="D571" s="14" t="n">
        <f aca="false">Summary!$B$5-B571</f>
        <v>3195.5478372894</v>
      </c>
      <c r="E571" s="15" t="n">
        <f aca="false">B571/Summary!$B$5-1</f>
        <v>-0.031955478372894</v>
      </c>
    </row>
    <row r="572" customFormat="false" ht="15" hidden="false" customHeight="false" outlineLevel="0" collapsed="false">
      <c r="A572" s="0" t="n">
        <v>571</v>
      </c>
      <c r="B572" s="14" t="n">
        <v>106526.576154673</v>
      </c>
      <c r="C572" s="15" t="n">
        <v>0.0977480758875141</v>
      </c>
      <c r="D572" s="14" t="n">
        <f aca="false">Summary!$B$5-B572</f>
        <v>-6526.5761546729</v>
      </c>
      <c r="E572" s="15" t="n">
        <f aca="false">B572/Summary!$B$5-1</f>
        <v>0.0652657615467291</v>
      </c>
    </row>
    <row r="573" customFormat="false" ht="15" hidden="false" customHeight="false" outlineLevel="0" collapsed="false">
      <c r="A573" s="0" t="n">
        <v>572</v>
      </c>
      <c r="B573" s="14" t="n">
        <v>109494.133003136</v>
      </c>
      <c r="C573" s="15" t="n">
        <v>0.0767785812107943</v>
      </c>
      <c r="D573" s="14" t="n">
        <f aca="false">Summary!$B$5-B573</f>
        <v>-9494.1330031359</v>
      </c>
      <c r="E573" s="15" t="n">
        <f aca="false">B573/Summary!$B$5-1</f>
        <v>0.0949413300313589</v>
      </c>
    </row>
    <row r="574" customFormat="false" ht="15" hidden="false" customHeight="false" outlineLevel="0" collapsed="false">
      <c r="A574" s="0" t="n">
        <v>573</v>
      </c>
      <c r="B574" s="14" t="n">
        <v>110889.473769042</v>
      </c>
      <c r="C574" s="15" t="n">
        <v>0.0909147295016807</v>
      </c>
      <c r="D574" s="14" t="n">
        <f aca="false">Summary!$B$5-B574</f>
        <v>-10889.4737690422</v>
      </c>
      <c r="E574" s="15" t="n">
        <f aca="false">B574/Summary!$B$5-1</f>
        <v>0.108894737690422</v>
      </c>
    </row>
    <row r="575" customFormat="false" ht="15" hidden="false" customHeight="false" outlineLevel="0" collapsed="false">
      <c r="A575" s="0" t="n">
        <v>574</v>
      </c>
      <c r="B575" s="14" t="n">
        <v>108292.574546705</v>
      </c>
      <c r="C575" s="15" t="n">
        <v>0.0942208662981285</v>
      </c>
      <c r="D575" s="14" t="n">
        <f aca="false">Summary!$B$5-B575</f>
        <v>-8292.5745467048</v>
      </c>
      <c r="E575" s="15" t="n">
        <f aca="false">B575/Summary!$B$5-1</f>
        <v>0.082925745467048</v>
      </c>
    </row>
    <row r="576" customFormat="false" ht="15" hidden="false" customHeight="false" outlineLevel="0" collapsed="false">
      <c r="A576" s="0" t="n">
        <v>575</v>
      </c>
      <c r="B576" s="14" t="n">
        <v>122267.563486272</v>
      </c>
      <c r="C576" s="15" t="n">
        <v>0.0500363319105531</v>
      </c>
      <c r="D576" s="14" t="n">
        <f aca="false">Summary!$B$5-B576</f>
        <v>-22267.5634862723</v>
      </c>
      <c r="E576" s="15" t="n">
        <f aca="false">B576/Summary!$B$5-1</f>
        <v>0.222675634862723</v>
      </c>
    </row>
    <row r="577" customFormat="false" ht="15" hidden="false" customHeight="false" outlineLevel="0" collapsed="false">
      <c r="A577" s="0" t="n">
        <v>576</v>
      </c>
      <c r="B577" s="14" t="n">
        <v>101789.264556953</v>
      </c>
      <c r="C577" s="15" t="n">
        <v>0.173219578071331</v>
      </c>
      <c r="D577" s="14" t="n">
        <f aca="false">Summary!$B$5-B577</f>
        <v>-1789.26455695341</v>
      </c>
      <c r="E577" s="15" t="n">
        <f aca="false">B577/Summary!$B$5-1</f>
        <v>0.0178926455695341</v>
      </c>
    </row>
    <row r="578" customFormat="false" ht="15" hidden="false" customHeight="false" outlineLevel="0" collapsed="false">
      <c r="A578" s="0" t="n">
        <v>577</v>
      </c>
      <c r="B578" s="14" t="n">
        <v>141341.994215324</v>
      </c>
      <c r="C578" s="15" t="n">
        <v>0.0509998698419389</v>
      </c>
      <c r="D578" s="14" t="n">
        <f aca="false">Summary!$B$5-B578</f>
        <v>-41341.9942153243</v>
      </c>
      <c r="E578" s="15" t="n">
        <f aca="false">B578/Summary!$B$5-1</f>
        <v>0.413419942153243</v>
      </c>
    </row>
    <row r="579" customFormat="false" ht="15" hidden="false" customHeight="false" outlineLevel="0" collapsed="false">
      <c r="A579" s="0" t="n">
        <v>578</v>
      </c>
      <c r="B579" s="14" t="n">
        <v>113717.424067773</v>
      </c>
      <c r="C579" s="15" t="n">
        <v>0.0833081137298822</v>
      </c>
      <c r="D579" s="14" t="n">
        <f aca="false">Summary!$B$5-B579</f>
        <v>-13717.4240677732</v>
      </c>
      <c r="E579" s="15" t="n">
        <f aca="false">B579/Summary!$B$5-1</f>
        <v>0.137174240677732</v>
      </c>
    </row>
    <row r="580" customFormat="false" ht="15" hidden="false" customHeight="false" outlineLevel="0" collapsed="false">
      <c r="A580" s="0" t="n">
        <v>579</v>
      </c>
      <c r="B580" s="14" t="n">
        <v>111309.065028898</v>
      </c>
      <c r="C580" s="15" t="n">
        <v>0.118773382641126</v>
      </c>
      <c r="D580" s="14" t="n">
        <f aca="false">Summary!$B$5-B580</f>
        <v>-11309.0650288983</v>
      </c>
      <c r="E580" s="15" t="n">
        <f aca="false">B580/Summary!$B$5-1</f>
        <v>0.113090650288983</v>
      </c>
    </row>
    <row r="581" customFormat="false" ht="15" hidden="false" customHeight="false" outlineLevel="0" collapsed="false">
      <c r="A581" s="0" t="n">
        <v>580</v>
      </c>
      <c r="B581" s="14" t="n">
        <v>116382.506331377</v>
      </c>
      <c r="C581" s="15" t="n">
        <v>0.0782736346431102</v>
      </c>
      <c r="D581" s="14" t="n">
        <f aca="false">Summary!$B$5-B581</f>
        <v>-16382.5063313765</v>
      </c>
      <c r="E581" s="15" t="n">
        <f aca="false">B581/Summary!$B$5-1</f>
        <v>0.163825063313765</v>
      </c>
    </row>
    <row r="582" customFormat="false" ht="15" hidden="false" customHeight="false" outlineLevel="0" collapsed="false">
      <c r="A582" s="0" t="n">
        <v>581</v>
      </c>
      <c r="B582" s="14" t="n">
        <v>100549.204385871</v>
      </c>
      <c r="C582" s="15" t="n">
        <v>0.125593778343819</v>
      </c>
      <c r="D582" s="14" t="n">
        <f aca="false">Summary!$B$5-B582</f>
        <v>-549.204385871199</v>
      </c>
      <c r="E582" s="15" t="n">
        <f aca="false">B582/Summary!$B$5-1</f>
        <v>0.00549204385871205</v>
      </c>
    </row>
    <row r="583" customFormat="false" ht="15" hidden="false" customHeight="false" outlineLevel="0" collapsed="false">
      <c r="A583" s="0" t="n">
        <v>582</v>
      </c>
      <c r="B583" s="14" t="n">
        <v>139762.485629474</v>
      </c>
      <c r="C583" s="15" t="n">
        <v>0.044222783783908</v>
      </c>
      <c r="D583" s="14" t="n">
        <f aca="false">Summary!$B$5-B583</f>
        <v>-39762.4856294736</v>
      </c>
      <c r="E583" s="15" t="n">
        <f aca="false">B583/Summary!$B$5-1</f>
        <v>0.397624856294736</v>
      </c>
    </row>
    <row r="584" customFormat="false" ht="15" hidden="false" customHeight="false" outlineLevel="0" collapsed="false">
      <c r="A584" s="0" t="n">
        <v>583</v>
      </c>
      <c r="B584" s="14" t="n">
        <v>129500.680122464</v>
      </c>
      <c r="C584" s="15" t="n">
        <v>0.050848632251483</v>
      </c>
      <c r="D584" s="14" t="n">
        <f aca="false">Summary!$B$5-B584</f>
        <v>-29500.6801224644</v>
      </c>
      <c r="E584" s="15" t="n">
        <f aca="false">B584/Summary!$B$5-1</f>
        <v>0.295006801224644</v>
      </c>
    </row>
    <row r="585" customFormat="false" ht="15" hidden="false" customHeight="false" outlineLevel="0" collapsed="false">
      <c r="A585" s="0" t="n">
        <v>584</v>
      </c>
      <c r="B585" s="14" t="n">
        <v>101975.136384177</v>
      </c>
      <c r="C585" s="15" t="n">
        <v>0.135244930260004</v>
      </c>
      <c r="D585" s="14" t="n">
        <f aca="false">Summary!$B$5-B585</f>
        <v>-1975.13638417709</v>
      </c>
      <c r="E585" s="15" t="n">
        <f aca="false">B585/Summary!$B$5-1</f>
        <v>0.019751363841771</v>
      </c>
    </row>
    <row r="586" customFormat="false" ht="15" hidden="false" customHeight="false" outlineLevel="0" collapsed="false">
      <c r="A586" s="0" t="n">
        <v>585</v>
      </c>
      <c r="B586" s="14" t="n">
        <v>102347.291336154</v>
      </c>
      <c r="C586" s="15" t="n">
        <v>0.092980188242612</v>
      </c>
      <c r="D586" s="14" t="n">
        <f aca="false">Summary!$B$5-B586</f>
        <v>-2347.29133615379</v>
      </c>
      <c r="E586" s="15" t="n">
        <f aca="false">B586/Summary!$B$5-1</f>
        <v>0.0234729133615379</v>
      </c>
    </row>
    <row r="587" customFormat="false" ht="15" hidden="false" customHeight="false" outlineLevel="0" collapsed="false">
      <c r="A587" s="0" t="n">
        <v>586</v>
      </c>
      <c r="B587" s="14" t="n">
        <v>105767.464815313</v>
      </c>
      <c r="C587" s="15" t="n">
        <v>0.0742989806366945</v>
      </c>
      <c r="D587" s="14" t="n">
        <f aca="false">Summary!$B$5-B587</f>
        <v>-5767.4648153126</v>
      </c>
      <c r="E587" s="15" t="n">
        <f aca="false">B587/Summary!$B$5-1</f>
        <v>0.0576746481531261</v>
      </c>
    </row>
    <row r="588" customFormat="false" ht="15" hidden="false" customHeight="false" outlineLevel="0" collapsed="false">
      <c r="A588" s="0" t="n">
        <v>587</v>
      </c>
      <c r="B588" s="14" t="n">
        <v>127970.069397731</v>
      </c>
      <c r="C588" s="15" t="n">
        <v>0.0485074184293592</v>
      </c>
      <c r="D588" s="14" t="n">
        <f aca="false">Summary!$B$5-B588</f>
        <v>-27970.0693977308</v>
      </c>
      <c r="E588" s="15" t="n">
        <f aca="false">B588/Summary!$B$5-1</f>
        <v>0.279700693977308</v>
      </c>
    </row>
    <row r="589" customFormat="false" ht="15" hidden="false" customHeight="false" outlineLevel="0" collapsed="false">
      <c r="A589" s="0" t="n">
        <v>588</v>
      </c>
      <c r="B589" s="14" t="n">
        <v>110994.61606984</v>
      </c>
      <c r="C589" s="15" t="n">
        <v>0.0798829807403794</v>
      </c>
      <c r="D589" s="14" t="n">
        <f aca="false">Summary!$B$5-B589</f>
        <v>-10994.6160698403</v>
      </c>
      <c r="E589" s="15" t="n">
        <f aca="false">B589/Summary!$B$5-1</f>
        <v>0.109946160698403</v>
      </c>
    </row>
    <row r="590" customFormat="false" ht="15" hidden="false" customHeight="false" outlineLevel="0" collapsed="false">
      <c r="A590" s="0" t="n">
        <v>589</v>
      </c>
      <c r="B590" s="14" t="n">
        <v>111129.714458967</v>
      </c>
      <c r="C590" s="15" t="n">
        <v>0.0756718149683144</v>
      </c>
      <c r="D590" s="14" t="n">
        <f aca="false">Summary!$B$5-B590</f>
        <v>-11129.714458967</v>
      </c>
      <c r="E590" s="15" t="n">
        <f aca="false">B590/Summary!$B$5-1</f>
        <v>0.11129714458967</v>
      </c>
    </row>
    <row r="591" customFormat="false" ht="15" hidden="false" customHeight="false" outlineLevel="0" collapsed="false">
      <c r="A591" s="0" t="n">
        <v>590</v>
      </c>
      <c r="B591" s="14" t="n">
        <v>124094.719423264</v>
      </c>
      <c r="C591" s="15" t="n">
        <v>0.116795893806745</v>
      </c>
      <c r="D591" s="14" t="n">
        <f aca="false">Summary!$B$5-B591</f>
        <v>-24094.7194232637</v>
      </c>
      <c r="E591" s="15" t="n">
        <f aca="false">B591/Summary!$B$5-1</f>
        <v>0.240947194232637</v>
      </c>
    </row>
    <row r="592" customFormat="false" ht="15" hidden="false" customHeight="false" outlineLevel="0" collapsed="false">
      <c r="A592" s="0" t="n">
        <v>591</v>
      </c>
      <c r="B592" s="14" t="n">
        <v>126572.339138879</v>
      </c>
      <c r="C592" s="15" t="n">
        <v>0.067041805108241</v>
      </c>
      <c r="D592" s="14" t="n">
        <f aca="false">Summary!$B$5-B592</f>
        <v>-26572.3391388788</v>
      </c>
      <c r="E592" s="15" t="n">
        <f aca="false">B592/Summary!$B$5-1</f>
        <v>0.265723391388788</v>
      </c>
    </row>
    <row r="593" customFormat="false" ht="15" hidden="false" customHeight="false" outlineLevel="0" collapsed="false">
      <c r="A593" s="0" t="n">
        <v>592</v>
      </c>
      <c r="B593" s="14" t="n">
        <v>106538.918120809</v>
      </c>
      <c r="C593" s="15" t="n">
        <v>0.121992477149074</v>
      </c>
      <c r="D593" s="14" t="n">
        <f aca="false">Summary!$B$5-B593</f>
        <v>-6538.91812080859</v>
      </c>
      <c r="E593" s="15" t="n">
        <f aca="false">B593/Summary!$B$5-1</f>
        <v>0.065389181208086</v>
      </c>
    </row>
    <row r="594" customFormat="false" ht="15" hidden="false" customHeight="false" outlineLevel="0" collapsed="false">
      <c r="A594" s="0" t="n">
        <v>593</v>
      </c>
      <c r="B594" s="14" t="n">
        <v>112542.399966537</v>
      </c>
      <c r="C594" s="15" t="n">
        <v>0.0845799790801689</v>
      </c>
      <c r="D594" s="14" t="n">
        <f aca="false">Summary!$B$5-B594</f>
        <v>-12542.3999665373</v>
      </c>
      <c r="E594" s="15" t="n">
        <f aca="false">B594/Summary!$B$5-1</f>
        <v>0.125423999665373</v>
      </c>
    </row>
    <row r="595" customFormat="false" ht="15" hidden="false" customHeight="false" outlineLevel="0" collapsed="false">
      <c r="A595" s="0" t="n">
        <v>594</v>
      </c>
      <c r="B595" s="14" t="n">
        <v>116602.820784366</v>
      </c>
      <c r="C595" s="15" t="n">
        <v>0.0675679439591482</v>
      </c>
      <c r="D595" s="14" t="n">
        <f aca="false">Summary!$B$5-B595</f>
        <v>-16602.8207843663</v>
      </c>
      <c r="E595" s="15" t="n">
        <f aca="false">B595/Summary!$B$5-1</f>
        <v>0.166028207843663</v>
      </c>
    </row>
    <row r="596" customFormat="false" ht="15" hidden="false" customHeight="false" outlineLevel="0" collapsed="false">
      <c r="A596" s="0" t="n">
        <v>595</v>
      </c>
      <c r="B596" s="14" t="n">
        <v>150459.911918384</v>
      </c>
      <c r="C596" s="15" t="n">
        <v>0.0629472578642425</v>
      </c>
      <c r="D596" s="14" t="n">
        <f aca="false">Summary!$B$5-B596</f>
        <v>-50459.9119183838</v>
      </c>
      <c r="E596" s="15" t="n">
        <f aca="false">B596/Summary!$B$5-1</f>
        <v>0.504599119183838</v>
      </c>
    </row>
    <row r="597" customFormat="false" ht="15" hidden="false" customHeight="false" outlineLevel="0" collapsed="false">
      <c r="A597" s="0" t="n">
        <v>596</v>
      </c>
      <c r="B597" s="14" t="n">
        <v>86631.5536716708</v>
      </c>
      <c r="C597" s="15" t="n">
        <v>0.186530497066902</v>
      </c>
      <c r="D597" s="14" t="n">
        <f aca="false">Summary!$B$5-B597</f>
        <v>13368.4463283292</v>
      </c>
      <c r="E597" s="15" t="n">
        <f aca="false">B597/Summary!$B$5-1</f>
        <v>-0.133684463283292</v>
      </c>
    </row>
    <row r="598" customFormat="false" ht="15" hidden="false" customHeight="false" outlineLevel="0" collapsed="false">
      <c r="A598" s="0" t="n">
        <v>597</v>
      </c>
      <c r="B598" s="14" t="n">
        <v>102305.468136518</v>
      </c>
      <c r="C598" s="15" t="n">
        <v>0.126425391638215</v>
      </c>
      <c r="D598" s="14" t="n">
        <f aca="false">Summary!$B$5-B598</f>
        <v>-2305.4681365178</v>
      </c>
      <c r="E598" s="15" t="n">
        <f aca="false">B598/Summary!$B$5-1</f>
        <v>0.023054681365178</v>
      </c>
    </row>
    <row r="599" customFormat="false" ht="15" hidden="false" customHeight="false" outlineLevel="0" collapsed="false">
      <c r="A599" s="0" t="n">
        <v>598</v>
      </c>
      <c r="B599" s="14" t="n">
        <v>105006.070498241</v>
      </c>
      <c r="C599" s="15" t="n">
        <v>0.118235790022641</v>
      </c>
      <c r="D599" s="14" t="n">
        <f aca="false">Summary!$B$5-B599</f>
        <v>-5006.0704982412</v>
      </c>
      <c r="E599" s="15" t="n">
        <f aca="false">B599/Summary!$B$5-1</f>
        <v>0.050060704982412</v>
      </c>
    </row>
    <row r="600" customFormat="false" ht="15" hidden="false" customHeight="false" outlineLevel="0" collapsed="false">
      <c r="A600" s="0" t="n">
        <v>599</v>
      </c>
      <c r="B600" s="14" t="n">
        <v>107276.027847996</v>
      </c>
      <c r="C600" s="15" t="n">
        <v>0.0982406958571079</v>
      </c>
      <c r="D600" s="14" t="n">
        <f aca="false">Summary!$B$5-B600</f>
        <v>-7276.0278479955</v>
      </c>
      <c r="E600" s="15" t="n">
        <f aca="false">B600/Summary!$B$5-1</f>
        <v>0.072760278479955</v>
      </c>
    </row>
    <row r="601" customFormat="false" ht="15" hidden="false" customHeight="false" outlineLevel="0" collapsed="false">
      <c r="A601" s="0" t="n">
        <v>600</v>
      </c>
      <c r="B601" s="14" t="n">
        <v>116924.882570392</v>
      </c>
      <c r="C601" s="15" t="n">
        <v>0.102550279947552</v>
      </c>
      <c r="D601" s="14" t="n">
        <f aca="false">Summary!$B$5-B601</f>
        <v>-16924.8825703915</v>
      </c>
      <c r="E601" s="15" t="n">
        <f aca="false">B601/Summary!$B$5-1</f>
        <v>0.169248825703915</v>
      </c>
    </row>
    <row r="602" customFormat="false" ht="15" hidden="false" customHeight="false" outlineLevel="0" collapsed="false">
      <c r="A602" s="0" t="n">
        <v>601</v>
      </c>
      <c r="B602" s="14" t="n">
        <v>116130.455805449</v>
      </c>
      <c r="C602" s="15" t="n">
        <v>0.0568533329370349</v>
      </c>
      <c r="D602" s="14" t="n">
        <f aca="false">Summary!$B$5-B602</f>
        <v>-16130.4558054487</v>
      </c>
      <c r="E602" s="15" t="n">
        <f aca="false">B602/Summary!$B$5-1</f>
        <v>0.161304558054487</v>
      </c>
    </row>
    <row r="603" customFormat="false" ht="15" hidden="false" customHeight="false" outlineLevel="0" collapsed="false">
      <c r="A603" s="0" t="n">
        <v>602</v>
      </c>
      <c r="B603" s="14" t="n">
        <v>93457.3865133908</v>
      </c>
      <c r="C603" s="15" t="n">
        <v>0.128201628712879</v>
      </c>
      <c r="D603" s="14" t="n">
        <f aca="false">Summary!$B$5-B603</f>
        <v>6542.61348660923</v>
      </c>
      <c r="E603" s="15" t="n">
        <f aca="false">B603/Summary!$B$5-1</f>
        <v>-0.0654261348660923</v>
      </c>
    </row>
    <row r="604" customFormat="false" ht="15" hidden="false" customHeight="false" outlineLevel="0" collapsed="false">
      <c r="A604" s="0" t="n">
        <v>603</v>
      </c>
      <c r="B604" s="14" t="n">
        <v>116913.616873233</v>
      </c>
      <c r="C604" s="15" t="n">
        <v>0.0628273160758824</v>
      </c>
      <c r="D604" s="14" t="n">
        <f aca="false">Summary!$B$5-B604</f>
        <v>-16913.6168732334</v>
      </c>
      <c r="E604" s="15" t="n">
        <f aca="false">B604/Summary!$B$5-1</f>
        <v>0.169136168732334</v>
      </c>
    </row>
    <row r="605" customFormat="false" ht="15" hidden="false" customHeight="false" outlineLevel="0" collapsed="false">
      <c r="A605" s="0" t="n">
        <v>604</v>
      </c>
      <c r="B605" s="14" t="n">
        <v>133923.437956968</v>
      </c>
      <c r="C605" s="15" t="n">
        <v>0.0541864412743373</v>
      </c>
      <c r="D605" s="14" t="n">
        <f aca="false">Summary!$B$5-B605</f>
        <v>-33923.4379569678</v>
      </c>
      <c r="E605" s="15" t="n">
        <f aca="false">B605/Summary!$B$5-1</f>
        <v>0.339234379569678</v>
      </c>
    </row>
    <row r="606" customFormat="false" ht="15" hidden="false" customHeight="false" outlineLevel="0" collapsed="false">
      <c r="A606" s="0" t="n">
        <v>605</v>
      </c>
      <c r="B606" s="14" t="n">
        <v>110602.276242718</v>
      </c>
      <c r="C606" s="15" t="n">
        <v>0.0842271423921894</v>
      </c>
      <c r="D606" s="14" t="n">
        <f aca="false">Summary!$B$5-B606</f>
        <v>-10602.2762427175</v>
      </c>
      <c r="E606" s="15" t="n">
        <f aca="false">B606/Summary!$B$5-1</f>
        <v>0.106022762427175</v>
      </c>
    </row>
    <row r="607" customFormat="false" ht="15" hidden="false" customHeight="false" outlineLevel="0" collapsed="false">
      <c r="A607" s="0" t="n">
        <v>606</v>
      </c>
      <c r="B607" s="14" t="n">
        <v>113710.320744761</v>
      </c>
      <c r="C607" s="15" t="n">
        <v>0.093620053546138</v>
      </c>
      <c r="D607" s="14" t="n">
        <f aca="false">Summary!$B$5-B607</f>
        <v>-13710.3207447608</v>
      </c>
      <c r="E607" s="15" t="n">
        <f aca="false">B607/Summary!$B$5-1</f>
        <v>0.137103207447608</v>
      </c>
    </row>
    <row r="608" customFormat="false" ht="15" hidden="false" customHeight="false" outlineLevel="0" collapsed="false">
      <c r="A608" s="0" t="n">
        <v>607</v>
      </c>
      <c r="B608" s="14" t="n">
        <v>113688.60107457</v>
      </c>
      <c r="C608" s="15" t="n">
        <v>0.0988555043767238</v>
      </c>
      <c r="D608" s="14" t="n">
        <f aca="false">Summary!$B$5-B608</f>
        <v>-13688.6010745703</v>
      </c>
      <c r="E608" s="15" t="n">
        <f aca="false">B608/Summary!$B$5-1</f>
        <v>0.136886010745703</v>
      </c>
    </row>
    <row r="609" customFormat="false" ht="15" hidden="false" customHeight="false" outlineLevel="0" collapsed="false">
      <c r="A609" s="0" t="n">
        <v>608</v>
      </c>
      <c r="B609" s="14" t="n">
        <v>104182.146188892</v>
      </c>
      <c r="C609" s="15" t="n">
        <v>0.112192388977655</v>
      </c>
      <c r="D609" s="14" t="n">
        <f aca="false">Summary!$B$5-B609</f>
        <v>-4182.1461888918</v>
      </c>
      <c r="E609" s="15" t="n">
        <f aca="false">B609/Summary!$B$5-1</f>
        <v>0.0418214618889179</v>
      </c>
    </row>
    <row r="610" customFormat="false" ht="15" hidden="false" customHeight="false" outlineLevel="0" collapsed="false">
      <c r="A610" s="0" t="n">
        <v>609</v>
      </c>
      <c r="B610" s="14" t="n">
        <v>116161.008935538</v>
      </c>
      <c r="C610" s="15" t="n">
        <v>0.0924930172430535</v>
      </c>
      <c r="D610" s="14" t="n">
        <f aca="false">Summary!$B$5-B610</f>
        <v>-16161.0089355375</v>
      </c>
      <c r="E610" s="15" t="n">
        <f aca="false">B610/Summary!$B$5-1</f>
        <v>0.161610089355375</v>
      </c>
    </row>
    <row r="611" customFormat="false" ht="15" hidden="false" customHeight="false" outlineLevel="0" collapsed="false">
      <c r="A611" s="0" t="n">
        <v>610</v>
      </c>
      <c r="B611" s="14" t="n">
        <v>131214.298676879</v>
      </c>
      <c r="C611" s="15" t="n">
        <v>0.0567519812261476</v>
      </c>
      <c r="D611" s="14" t="n">
        <f aca="false">Summary!$B$5-B611</f>
        <v>-31214.298676879</v>
      </c>
      <c r="E611" s="15" t="n">
        <f aca="false">B611/Summary!$B$5-1</f>
        <v>0.31214298676879</v>
      </c>
    </row>
    <row r="612" customFormat="false" ht="15" hidden="false" customHeight="false" outlineLevel="0" collapsed="false">
      <c r="A612" s="0" t="n">
        <v>611</v>
      </c>
      <c r="B612" s="14" t="n">
        <v>118804.982653231</v>
      </c>
      <c r="C612" s="15" t="n">
        <v>0.053373943430528</v>
      </c>
      <c r="D612" s="14" t="n">
        <f aca="false">Summary!$B$5-B612</f>
        <v>-18804.9826532306</v>
      </c>
      <c r="E612" s="15" t="n">
        <f aca="false">B612/Summary!$B$5-1</f>
        <v>0.188049826532306</v>
      </c>
    </row>
    <row r="613" customFormat="false" ht="15" hidden="false" customHeight="false" outlineLevel="0" collapsed="false">
      <c r="A613" s="0" t="n">
        <v>612</v>
      </c>
      <c r="B613" s="14" t="n">
        <v>113061.9119391</v>
      </c>
      <c r="C613" s="15" t="n">
        <v>0.0687626230764559</v>
      </c>
      <c r="D613" s="14" t="n">
        <f aca="false">Summary!$B$5-B613</f>
        <v>-13061.9119390998</v>
      </c>
      <c r="E613" s="15" t="n">
        <f aca="false">B613/Summary!$B$5-1</f>
        <v>0.130619119390998</v>
      </c>
    </row>
    <row r="614" customFormat="false" ht="15" hidden="false" customHeight="false" outlineLevel="0" collapsed="false">
      <c r="A614" s="0" t="n">
        <v>613</v>
      </c>
      <c r="B614" s="14" t="n">
        <v>110122.942239199</v>
      </c>
      <c r="C614" s="15" t="n">
        <v>0.0521340223902788</v>
      </c>
      <c r="D614" s="14" t="n">
        <f aca="false">Summary!$B$5-B614</f>
        <v>-10122.9422391985</v>
      </c>
      <c r="E614" s="15" t="n">
        <f aca="false">B614/Summary!$B$5-1</f>
        <v>0.101229422391985</v>
      </c>
    </row>
    <row r="615" customFormat="false" ht="15" hidden="false" customHeight="false" outlineLevel="0" collapsed="false">
      <c r="A615" s="0" t="n">
        <v>614</v>
      </c>
      <c r="B615" s="14" t="n">
        <v>111517.404704885</v>
      </c>
      <c r="C615" s="15" t="n">
        <v>0.0568259629124835</v>
      </c>
      <c r="D615" s="14" t="n">
        <f aca="false">Summary!$B$5-B615</f>
        <v>-11517.4047048849</v>
      </c>
      <c r="E615" s="15" t="n">
        <f aca="false">B615/Summary!$B$5-1</f>
        <v>0.115174047048849</v>
      </c>
    </row>
    <row r="616" customFormat="false" ht="15" hidden="false" customHeight="false" outlineLevel="0" collapsed="false">
      <c r="A616" s="0" t="n">
        <v>615</v>
      </c>
      <c r="B616" s="14" t="n">
        <v>116403.738369103</v>
      </c>
      <c r="C616" s="15" t="n">
        <v>0.0728953678872751</v>
      </c>
      <c r="D616" s="14" t="n">
        <f aca="false">Summary!$B$5-B616</f>
        <v>-16403.7383691033</v>
      </c>
      <c r="E616" s="15" t="n">
        <f aca="false">B616/Summary!$B$5-1</f>
        <v>0.164037383691033</v>
      </c>
    </row>
    <row r="617" customFormat="false" ht="15" hidden="false" customHeight="false" outlineLevel="0" collapsed="false">
      <c r="A617" s="0" t="n">
        <v>616</v>
      </c>
      <c r="B617" s="14" t="n">
        <v>124553.979844248</v>
      </c>
      <c r="C617" s="15" t="n">
        <v>0.0658294863577681</v>
      </c>
      <c r="D617" s="14" t="n">
        <f aca="false">Summary!$B$5-B617</f>
        <v>-24553.9798442475</v>
      </c>
      <c r="E617" s="15" t="n">
        <f aca="false">B617/Summary!$B$5-1</f>
        <v>0.245539798442475</v>
      </c>
    </row>
    <row r="618" customFormat="false" ht="15" hidden="false" customHeight="false" outlineLevel="0" collapsed="false">
      <c r="A618" s="0" t="n">
        <v>617</v>
      </c>
      <c r="B618" s="14" t="n">
        <v>125311.062029657</v>
      </c>
      <c r="C618" s="15" t="n">
        <v>0.0989183451877043</v>
      </c>
      <c r="D618" s="14" t="n">
        <f aca="false">Summary!$B$5-B618</f>
        <v>-25311.0620296567</v>
      </c>
      <c r="E618" s="15" t="n">
        <f aca="false">B618/Summary!$B$5-1</f>
        <v>0.253110620296567</v>
      </c>
    </row>
    <row r="619" customFormat="false" ht="15" hidden="false" customHeight="false" outlineLevel="0" collapsed="false">
      <c r="A619" s="0" t="n">
        <v>618</v>
      </c>
      <c r="B619" s="14" t="n">
        <v>106020.209674871</v>
      </c>
      <c r="C619" s="15" t="n">
        <v>0.0730680010086923</v>
      </c>
      <c r="D619" s="14" t="n">
        <f aca="false">Summary!$B$5-B619</f>
        <v>-6020.2096748707</v>
      </c>
      <c r="E619" s="15" t="n">
        <f aca="false">B619/Summary!$B$5-1</f>
        <v>0.0602020967487069</v>
      </c>
    </row>
    <row r="620" customFormat="false" ht="15" hidden="false" customHeight="false" outlineLevel="0" collapsed="false">
      <c r="A620" s="0" t="n">
        <v>619</v>
      </c>
      <c r="B620" s="14" t="n">
        <v>121730.546871326</v>
      </c>
      <c r="C620" s="15" t="n">
        <v>0.0885655646735291</v>
      </c>
      <c r="D620" s="14" t="n">
        <f aca="false">Summary!$B$5-B620</f>
        <v>-21730.5468713264</v>
      </c>
      <c r="E620" s="15" t="n">
        <f aca="false">B620/Summary!$B$5-1</f>
        <v>0.217305468713264</v>
      </c>
    </row>
    <row r="621" customFormat="false" ht="15" hidden="false" customHeight="false" outlineLevel="0" collapsed="false">
      <c r="A621" s="0" t="n">
        <v>620</v>
      </c>
      <c r="B621" s="14" t="n">
        <v>90461.0653441563</v>
      </c>
      <c r="C621" s="15" t="n">
        <v>0.109977880444867</v>
      </c>
      <c r="D621" s="14" t="n">
        <f aca="false">Summary!$B$5-B621</f>
        <v>9538.93465584367</v>
      </c>
      <c r="E621" s="15" t="n">
        <f aca="false">B621/Summary!$B$5-1</f>
        <v>-0.0953893465584367</v>
      </c>
    </row>
    <row r="622" customFormat="false" ht="15" hidden="false" customHeight="false" outlineLevel="0" collapsed="false">
      <c r="A622" s="0" t="n">
        <v>621</v>
      </c>
      <c r="B622" s="14" t="n">
        <v>115542.042866116</v>
      </c>
      <c r="C622" s="15" t="n">
        <v>0.0641239663656263</v>
      </c>
      <c r="D622" s="14" t="n">
        <f aca="false">Summary!$B$5-B622</f>
        <v>-15542.0428661164</v>
      </c>
      <c r="E622" s="15" t="n">
        <f aca="false">B622/Summary!$B$5-1</f>
        <v>0.155420428661164</v>
      </c>
    </row>
    <row r="623" customFormat="false" ht="15" hidden="false" customHeight="false" outlineLevel="0" collapsed="false">
      <c r="A623" s="0" t="n">
        <v>622</v>
      </c>
      <c r="B623" s="14" t="n">
        <v>98955.1173824875</v>
      </c>
      <c r="C623" s="15" t="n">
        <v>0.0872015033944822</v>
      </c>
      <c r="D623" s="14" t="n">
        <f aca="false">Summary!$B$5-B623</f>
        <v>1044.88261751246</v>
      </c>
      <c r="E623" s="15" t="n">
        <f aca="false">B623/Summary!$B$5-1</f>
        <v>-0.0104488261751245</v>
      </c>
    </row>
    <row r="624" customFormat="false" ht="15" hidden="false" customHeight="false" outlineLevel="0" collapsed="false">
      <c r="A624" s="0" t="n">
        <v>623</v>
      </c>
      <c r="B624" s="14" t="n">
        <v>99786.7449786907</v>
      </c>
      <c r="C624" s="15" t="n">
        <v>0.0831066077340282</v>
      </c>
      <c r="D624" s="14" t="n">
        <f aca="false">Summary!$B$5-B624</f>
        <v>213.255021309335</v>
      </c>
      <c r="E624" s="15" t="n">
        <f aca="false">B624/Summary!$B$5-1</f>
        <v>-0.00213255021309333</v>
      </c>
    </row>
    <row r="625" customFormat="false" ht="15" hidden="false" customHeight="false" outlineLevel="0" collapsed="false">
      <c r="A625" s="0" t="n">
        <v>624</v>
      </c>
      <c r="B625" s="14" t="n">
        <v>89933.2336515532</v>
      </c>
      <c r="C625" s="15" t="n">
        <v>0.1474912014702</v>
      </c>
      <c r="D625" s="14" t="n">
        <f aca="false">Summary!$B$5-B625</f>
        <v>10066.7663484468</v>
      </c>
      <c r="E625" s="15" t="n">
        <f aca="false">B625/Summary!$B$5-1</f>
        <v>-0.100667663484468</v>
      </c>
    </row>
    <row r="626" customFormat="false" ht="15" hidden="false" customHeight="false" outlineLevel="0" collapsed="false">
      <c r="A626" s="0" t="n">
        <v>625</v>
      </c>
      <c r="B626" s="14" t="n">
        <v>97606.9165504196</v>
      </c>
      <c r="C626" s="15" t="n">
        <v>0.0867657167183835</v>
      </c>
      <c r="D626" s="14" t="n">
        <f aca="false">Summary!$B$5-B626</f>
        <v>2393.08344958043</v>
      </c>
      <c r="E626" s="15" t="n">
        <f aca="false">B626/Summary!$B$5-1</f>
        <v>-0.0239308344958044</v>
      </c>
    </row>
    <row r="627" customFormat="false" ht="15" hidden="false" customHeight="false" outlineLevel="0" collapsed="false">
      <c r="A627" s="0" t="n">
        <v>626</v>
      </c>
      <c r="B627" s="14" t="n">
        <v>111436.114181605</v>
      </c>
      <c r="C627" s="15" t="n">
        <v>0.0776230584807426</v>
      </c>
      <c r="D627" s="14" t="n">
        <f aca="false">Summary!$B$5-B627</f>
        <v>-11436.1141816045</v>
      </c>
      <c r="E627" s="15" t="n">
        <f aca="false">B627/Summary!$B$5-1</f>
        <v>0.114361141816045</v>
      </c>
    </row>
    <row r="628" customFormat="false" ht="15" hidden="false" customHeight="false" outlineLevel="0" collapsed="false">
      <c r="A628" s="0" t="n">
        <v>627</v>
      </c>
      <c r="B628" s="14" t="n">
        <v>112586.178579921</v>
      </c>
      <c r="C628" s="15" t="n">
        <v>0.129166704923273</v>
      </c>
      <c r="D628" s="14" t="n">
        <f aca="false">Summary!$B$5-B628</f>
        <v>-12586.1785799213</v>
      </c>
      <c r="E628" s="15" t="n">
        <f aca="false">B628/Summary!$B$5-1</f>
        <v>0.125861785799213</v>
      </c>
    </row>
    <row r="629" customFormat="false" ht="15" hidden="false" customHeight="false" outlineLevel="0" collapsed="false">
      <c r="A629" s="0" t="n">
        <v>628</v>
      </c>
      <c r="B629" s="14" t="n">
        <v>111386.22210771</v>
      </c>
      <c r="C629" s="15" t="n">
        <v>0.0855067112665844</v>
      </c>
      <c r="D629" s="14" t="n">
        <f aca="false">Summary!$B$5-B629</f>
        <v>-11386.2221077101</v>
      </c>
      <c r="E629" s="15" t="n">
        <f aca="false">B629/Summary!$B$5-1</f>
        <v>0.113862221077101</v>
      </c>
    </row>
    <row r="630" customFormat="false" ht="15" hidden="false" customHeight="false" outlineLevel="0" collapsed="false">
      <c r="A630" s="0" t="n">
        <v>629</v>
      </c>
      <c r="B630" s="14" t="n">
        <v>105042.975407565</v>
      </c>
      <c r="C630" s="15" t="n">
        <v>0.127538209469495</v>
      </c>
      <c r="D630" s="14" t="n">
        <f aca="false">Summary!$B$5-B630</f>
        <v>-5042.9754075645</v>
      </c>
      <c r="E630" s="15" t="n">
        <f aca="false">B630/Summary!$B$5-1</f>
        <v>0.0504297540756451</v>
      </c>
    </row>
    <row r="631" customFormat="false" ht="15" hidden="false" customHeight="false" outlineLevel="0" collapsed="false">
      <c r="A631" s="0" t="n">
        <v>630</v>
      </c>
      <c r="B631" s="14" t="n">
        <v>85832.1467186651</v>
      </c>
      <c r="C631" s="15" t="n">
        <v>0.202799087799007</v>
      </c>
      <c r="D631" s="14" t="n">
        <f aca="false">Summary!$B$5-B631</f>
        <v>14167.8532813349</v>
      </c>
      <c r="E631" s="15" t="n">
        <f aca="false">B631/Summary!$B$5-1</f>
        <v>-0.141678532813349</v>
      </c>
    </row>
    <row r="632" customFormat="false" ht="15" hidden="false" customHeight="false" outlineLevel="0" collapsed="false">
      <c r="A632" s="0" t="n">
        <v>631</v>
      </c>
      <c r="B632" s="14" t="n">
        <v>110083.678433108</v>
      </c>
      <c r="C632" s="15" t="n">
        <v>0.074698063895252</v>
      </c>
      <c r="D632" s="14" t="n">
        <f aca="false">Summary!$B$5-B632</f>
        <v>-10083.678433108</v>
      </c>
      <c r="E632" s="15" t="n">
        <f aca="false">B632/Summary!$B$5-1</f>
        <v>0.10083678433108</v>
      </c>
    </row>
    <row r="633" customFormat="false" ht="15" hidden="false" customHeight="false" outlineLevel="0" collapsed="false">
      <c r="A633" s="0" t="n">
        <v>632</v>
      </c>
      <c r="B633" s="14" t="n">
        <v>141172.521006432</v>
      </c>
      <c r="C633" s="15" t="n">
        <v>0.047647072527216</v>
      </c>
      <c r="D633" s="14" t="n">
        <f aca="false">Summary!$B$5-B633</f>
        <v>-41172.521006432</v>
      </c>
      <c r="E633" s="15" t="n">
        <f aca="false">B633/Summary!$B$5-1</f>
        <v>0.41172521006432</v>
      </c>
    </row>
    <row r="634" customFormat="false" ht="15" hidden="false" customHeight="false" outlineLevel="0" collapsed="false">
      <c r="A634" s="0" t="n">
        <v>633</v>
      </c>
      <c r="B634" s="14" t="n">
        <v>99493.8263073202</v>
      </c>
      <c r="C634" s="15" t="n">
        <v>0.0946725835448341</v>
      </c>
      <c r="D634" s="14" t="n">
        <f aca="false">Summary!$B$5-B634</f>
        <v>506.173692679789</v>
      </c>
      <c r="E634" s="15" t="n">
        <f aca="false">B634/Summary!$B$5-1</f>
        <v>-0.0050617369267979</v>
      </c>
    </row>
    <row r="635" customFormat="false" ht="15" hidden="false" customHeight="false" outlineLevel="0" collapsed="false">
      <c r="A635" s="0" t="n">
        <v>634</v>
      </c>
      <c r="B635" s="14" t="n">
        <v>143679.860306608</v>
      </c>
      <c r="C635" s="15" t="n">
        <v>0.112394884403503</v>
      </c>
      <c r="D635" s="14" t="n">
        <f aca="false">Summary!$B$5-B635</f>
        <v>-43679.8603066076</v>
      </c>
      <c r="E635" s="15" t="n">
        <f aca="false">B635/Summary!$B$5-1</f>
        <v>0.436798603066076</v>
      </c>
    </row>
    <row r="636" customFormat="false" ht="15" hidden="false" customHeight="false" outlineLevel="0" collapsed="false">
      <c r="A636" s="0" t="n">
        <v>635</v>
      </c>
      <c r="B636" s="14" t="n">
        <v>103075.955734355</v>
      </c>
      <c r="C636" s="15" t="n">
        <v>0.0649712630547185</v>
      </c>
      <c r="D636" s="14" t="n">
        <f aca="false">Summary!$B$5-B636</f>
        <v>-3075.9557343546</v>
      </c>
      <c r="E636" s="15" t="n">
        <f aca="false">B636/Summary!$B$5-1</f>
        <v>0.030759557343546</v>
      </c>
    </row>
    <row r="637" customFormat="false" ht="15" hidden="false" customHeight="false" outlineLevel="0" collapsed="false">
      <c r="A637" s="0" t="n">
        <v>636</v>
      </c>
      <c r="B637" s="14" t="n">
        <v>98952.0043354616</v>
      </c>
      <c r="C637" s="15" t="n">
        <v>0.111190560409347</v>
      </c>
      <c r="D637" s="14" t="n">
        <f aca="false">Summary!$B$5-B637</f>
        <v>1047.99566453841</v>
      </c>
      <c r="E637" s="15" t="n">
        <f aca="false">B637/Summary!$B$5-1</f>
        <v>-0.010479956645384</v>
      </c>
    </row>
    <row r="638" customFormat="false" ht="15" hidden="false" customHeight="false" outlineLevel="0" collapsed="false">
      <c r="A638" s="0" t="n">
        <v>637</v>
      </c>
      <c r="B638" s="14" t="n">
        <v>111888.566959607</v>
      </c>
      <c r="C638" s="15" t="n">
        <v>0.061670099750365</v>
      </c>
      <c r="D638" s="14" t="n">
        <f aca="false">Summary!$B$5-B638</f>
        <v>-11888.5669596072</v>
      </c>
      <c r="E638" s="15" t="n">
        <f aca="false">B638/Summary!$B$5-1</f>
        <v>0.118885669596072</v>
      </c>
    </row>
    <row r="639" customFormat="false" ht="15" hidden="false" customHeight="false" outlineLevel="0" collapsed="false">
      <c r="A639" s="0" t="n">
        <v>638</v>
      </c>
      <c r="B639" s="14" t="n">
        <v>110290.846263483</v>
      </c>
      <c r="C639" s="15" t="n">
        <v>0.0540460797212888</v>
      </c>
      <c r="D639" s="14" t="n">
        <f aca="false">Summary!$B$5-B639</f>
        <v>-10290.8462634825</v>
      </c>
      <c r="E639" s="15" t="n">
        <f aca="false">B639/Summary!$B$5-1</f>
        <v>0.102908462634825</v>
      </c>
    </row>
    <row r="640" customFormat="false" ht="15" hidden="false" customHeight="false" outlineLevel="0" collapsed="false">
      <c r="A640" s="0" t="n">
        <v>639</v>
      </c>
      <c r="B640" s="14" t="n">
        <v>107706.916330021</v>
      </c>
      <c r="C640" s="15" t="n">
        <v>0.127280307040334</v>
      </c>
      <c r="D640" s="14" t="n">
        <f aca="false">Summary!$B$5-B640</f>
        <v>-7706.9163300208</v>
      </c>
      <c r="E640" s="15" t="n">
        <f aca="false">B640/Summary!$B$5-1</f>
        <v>0.0770691633002081</v>
      </c>
    </row>
    <row r="641" customFormat="false" ht="15" hidden="false" customHeight="false" outlineLevel="0" collapsed="false">
      <c r="A641" s="0" t="n">
        <v>640</v>
      </c>
      <c r="B641" s="14" t="n">
        <v>127781.298161636</v>
      </c>
      <c r="C641" s="15" t="n">
        <v>0.0729632519182738</v>
      </c>
      <c r="D641" s="14" t="n">
        <f aca="false">Summary!$B$5-B641</f>
        <v>-27781.2981616359</v>
      </c>
      <c r="E641" s="15" t="n">
        <f aca="false">B641/Summary!$B$5-1</f>
        <v>0.277812981616359</v>
      </c>
    </row>
    <row r="642" customFormat="false" ht="15" hidden="false" customHeight="false" outlineLevel="0" collapsed="false">
      <c r="A642" s="0" t="n">
        <v>641</v>
      </c>
      <c r="B642" s="14" t="n">
        <v>100686.035624144</v>
      </c>
      <c r="C642" s="15" t="n">
        <v>0.105812365758088</v>
      </c>
      <c r="D642" s="14" t="n">
        <f aca="false">Summary!$B$5-B642</f>
        <v>-686.035624144293</v>
      </c>
      <c r="E642" s="15" t="n">
        <f aca="false">B642/Summary!$B$5-1</f>
        <v>0.00686035624144288</v>
      </c>
    </row>
    <row r="643" customFormat="false" ht="15" hidden="false" customHeight="false" outlineLevel="0" collapsed="false">
      <c r="A643" s="0" t="n">
        <v>642</v>
      </c>
      <c r="B643" s="14" t="n">
        <v>103757.701447628</v>
      </c>
      <c r="C643" s="15" t="n">
        <v>0.0934283884542977</v>
      </c>
      <c r="D643" s="14" t="n">
        <f aca="false">Summary!$B$5-B643</f>
        <v>-3757.7014476278</v>
      </c>
      <c r="E643" s="15" t="n">
        <f aca="false">B643/Summary!$B$5-1</f>
        <v>0.0375770144762779</v>
      </c>
    </row>
    <row r="644" customFormat="false" ht="15" hidden="false" customHeight="false" outlineLevel="0" collapsed="false">
      <c r="A644" s="0" t="n">
        <v>643</v>
      </c>
      <c r="B644" s="14" t="n">
        <v>125062.239792938</v>
      </c>
      <c r="C644" s="15" t="n">
        <v>0.0927702850102425</v>
      </c>
      <c r="D644" s="14" t="n">
        <f aca="false">Summary!$B$5-B644</f>
        <v>-25062.2397929383</v>
      </c>
      <c r="E644" s="15" t="n">
        <f aca="false">B644/Summary!$B$5-1</f>
        <v>0.250622397929383</v>
      </c>
    </row>
    <row r="645" customFormat="false" ht="15" hidden="false" customHeight="false" outlineLevel="0" collapsed="false">
      <c r="A645" s="0" t="n">
        <v>644</v>
      </c>
      <c r="B645" s="14" t="n">
        <v>123556.816212404</v>
      </c>
      <c r="C645" s="15" t="n">
        <v>0.07737681630091</v>
      </c>
      <c r="D645" s="14" t="n">
        <f aca="false">Summary!$B$5-B645</f>
        <v>-23556.8162124043</v>
      </c>
      <c r="E645" s="15" t="n">
        <f aca="false">B645/Summary!$B$5-1</f>
        <v>0.235568162124043</v>
      </c>
    </row>
    <row r="646" customFormat="false" ht="15" hidden="false" customHeight="false" outlineLevel="0" collapsed="false">
      <c r="A646" s="0" t="n">
        <v>645</v>
      </c>
      <c r="B646" s="14" t="n">
        <v>106615.497389465</v>
      </c>
      <c r="C646" s="15" t="n">
        <v>0.0725160904511123</v>
      </c>
      <c r="D646" s="14" t="n">
        <f aca="false">Summary!$B$5-B646</f>
        <v>-6615.4973894648</v>
      </c>
      <c r="E646" s="15" t="n">
        <f aca="false">B646/Summary!$B$5-1</f>
        <v>0.0661549738946481</v>
      </c>
    </row>
    <row r="647" customFormat="false" ht="15" hidden="false" customHeight="false" outlineLevel="0" collapsed="false">
      <c r="A647" s="0" t="n">
        <v>646</v>
      </c>
      <c r="B647" s="14" t="n">
        <v>131787.018415776</v>
      </c>
      <c r="C647" s="15" t="n">
        <v>0.0590669522986274</v>
      </c>
      <c r="D647" s="14" t="n">
        <f aca="false">Summary!$B$5-B647</f>
        <v>-31787.0184157761</v>
      </c>
      <c r="E647" s="15" t="n">
        <f aca="false">B647/Summary!$B$5-1</f>
        <v>0.317870184157761</v>
      </c>
    </row>
    <row r="648" customFormat="false" ht="15" hidden="false" customHeight="false" outlineLevel="0" collapsed="false">
      <c r="A648" s="0" t="n">
        <v>647</v>
      </c>
      <c r="B648" s="14" t="n">
        <v>99374.1456752534</v>
      </c>
      <c r="C648" s="15" t="n">
        <v>0.0940539265428408</v>
      </c>
      <c r="D648" s="14" t="n">
        <f aca="false">Summary!$B$5-B648</f>
        <v>625.854324746615</v>
      </c>
      <c r="E648" s="15" t="n">
        <f aca="false">B648/Summary!$B$5-1</f>
        <v>-0.00625854324746611</v>
      </c>
    </row>
    <row r="649" customFormat="false" ht="15" hidden="false" customHeight="false" outlineLevel="0" collapsed="false">
      <c r="A649" s="0" t="n">
        <v>648</v>
      </c>
      <c r="B649" s="14" t="n">
        <v>111312.176181939</v>
      </c>
      <c r="C649" s="15" t="n">
        <v>0.0914792941058158</v>
      </c>
      <c r="D649" s="14" t="n">
        <f aca="false">Summary!$B$5-B649</f>
        <v>-11312.1761819387</v>
      </c>
      <c r="E649" s="15" t="n">
        <f aca="false">B649/Summary!$B$5-1</f>
        <v>0.113121761819387</v>
      </c>
    </row>
    <row r="650" customFormat="false" ht="15" hidden="false" customHeight="false" outlineLevel="0" collapsed="false">
      <c r="A650" s="0" t="n">
        <v>649</v>
      </c>
      <c r="B650" s="14" t="n">
        <v>105753.586971387</v>
      </c>
      <c r="C650" s="15" t="n">
        <v>0.0945174019409751</v>
      </c>
      <c r="D650" s="14" t="n">
        <f aca="false">Summary!$B$5-B650</f>
        <v>-5753.5869713866</v>
      </c>
      <c r="E650" s="15" t="n">
        <f aca="false">B650/Summary!$B$5-1</f>
        <v>0.0575358697138659</v>
      </c>
    </row>
    <row r="651" customFormat="false" ht="15" hidden="false" customHeight="false" outlineLevel="0" collapsed="false">
      <c r="A651" s="0" t="n">
        <v>650</v>
      </c>
      <c r="B651" s="14" t="n">
        <v>126899.031723483</v>
      </c>
      <c r="C651" s="15" t="n">
        <v>0.0685465884727778</v>
      </c>
      <c r="D651" s="14" t="n">
        <f aca="false">Summary!$B$5-B651</f>
        <v>-26899.0317234831</v>
      </c>
      <c r="E651" s="15" t="n">
        <f aca="false">B651/Summary!$B$5-1</f>
        <v>0.268990317234831</v>
      </c>
    </row>
    <row r="652" customFormat="false" ht="15" hidden="false" customHeight="false" outlineLevel="0" collapsed="false">
      <c r="A652" s="0" t="n">
        <v>651</v>
      </c>
      <c r="B652" s="14" t="n">
        <v>120930.333710288</v>
      </c>
      <c r="C652" s="15" t="n">
        <v>0.0580541251207714</v>
      </c>
      <c r="D652" s="14" t="n">
        <f aca="false">Summary!$B$5-B652</f>
        <v>-20930.3337102884</v>
      </c>
      <c r="E652" s="15" t="n">
        <f aca="false">B652/Summary!$B$5-1</f>
        <v>0.209303337102884</v>
      </c>
    </row>
    <row r="653" customFormat="false" ht="15" hidden="false" customHeight="false" outlineLevel="0" collapsed="false">
      <c r="A653" s="0" t="n">
        <v>652</v>
      </c>
      <c r="B653" s="14" t="n">
        <v>102353.066093717</v>
      </c>
      <c r="C653" s="15" t="n">
        <v>0.0770305725171879</v>
      </c>
      <c r="D653" s="14" t="n">
        <f aca="false">Summary!$B$5-B653</f>
        <v>-2353.0660937174</v>
      </c>
      <c r="E653" s="15" t="n">
        <f aca="false">B653/Summary!$B$5-1</f>
        <v>0.0235306609371739</v>
      </c>
    </row>
    <row r="654" customFormat="false" ht="15" hidden="false" customHeight="false" outlineLevel="0" collapsed="false">
      <c r="A654" s="0" t="n">
        <v>653</v>
      </c>
      <c r="B654" s="14" t="n">
        <v>117558.108624128</v>
      </c>
      <c r="C654" s="15" t="n">
        <v>0.0685375269050401</v>
      </c>
      <c r="D654" s="14" t="n">
        <f aca="false">Summary!$B$5-B654</f>
        <v>-17558.1086241275</v>
      </c>
      <c r="E654" s="15" t="n">
        <f aca="false">B654/Summary!$B$5-1</f>
        <v>0.175581086241275</v>
      </c>
    </row>
    <row r="655" customFormat="false" ht="15" hidden="false" customHeight="false" outlineLevel="0" collapsed="false">
      <c r="A655" s="0" t="n">
        <v>654</v>
      </c>
      <c r="B655" s="14" t="n">
        <v>145650.329498314</v>
      </c>
      <c r="C655" s="15" t="n">
        <v>0.0500927918138154</v>
      </c>
      <c r="D655" s="14" t="n">
        <f aca="false">Summary!$B$5-B655</f>
        <v>-45650.3294983135</v>
      </c>
      <c r="E655" s="15" t="n">
        <f aca="false">B655/Summary!$B$5-1</f>
        <v>0.456503294983135</v>
      </c>
    </row>
    <row r="656" customFormat="false" ht="15" hidden="false" customHeight="false" outlineLevel="0" collapsed="false">
      <c r="A656" s="0" t="n">
        <v>655</v>
      </c>
      <c r="B656" s="14" t="n">
        <v>107862.230677937</v>
      </c>
      <c r="C656" s="15" t="n">
        <v>0.0852503203386994</v>
      </c>
      <c r="D656" s="14" t="n">
        <f aca="false">Summary!$B$5-B656</f>
        <v>-7862.23067793679</v>
      </c>
      <c r="E656" s="15" t="n">
        <f aca="false">B656/Summary!$B$5-1</f>
        <v>0.0786223067793679</v>
      </c>
    </row>
    <row r="657" customFormat="false" ht="15" hidden="false" customHeight="false" outlineLevel="0" collapsed="false">
      <c r="A657" s="0" t="n">
        <v>656</v>
      </c>
      <c r="B657" s="14" t="n">
        <v>99832.6390115673</v>
      </c>
      <c r="C657" s="15" t="n">
        <v>0.108807117431068</v>
      </c>
      <c r="D657" s="14" t="n">
        <f aca="false">Summary!$B$5-B657</f>
        <v>167.360988432658</v>
      </c>
      <c r="E657" s="15" t="n">
        <f aca="false">B657/Summary!$B$5-1</f>
        <v>-0.00167360988432663</v>
      </c>
    </row>
    <row r="658" customFormat="false" ht="15" hidden="false" customHeight="false" outlineLevel="0" collapsed="false">
      <c r="A658" s="0" t="n">
        <v>657</v>
      </c>
      <c r="B658" s="14" t="n">
        <v>125211.99813691</v>
      </c>
      <c r="C658" s="15" t="n">
        <v>0.0602424244491371</v>
      </c>
      <c r="D658" s="14" t="n">
        <f aca="false">Summary!$B$5-B658</f>
        <v>-25211.9981369103</v>
      </c>
      <c r="E658" s="15" t="n">
        <f aca="false">B658/Summary!$B$5-1</f>
        <v>0.252119981369103</v>
      </c>
    </row>
    <row r="659" customFormat="false" ht="15" hidden="false" customHeight="false" outlineLevel="0" collapsed="false">
      <c r="A659" s="0" t="n">
        <v>658</v>
      </c>
      <c r="B659" s="14" t="n">
        <v>96026.024832652</v>
      </c>
      <c r="C659" s="15" t="n">
        <v>0.13217179631427</v>
      </c>
      <c r="D659" s="14" t="n">
        <f aca="false">Summary!$B$5-B659</f>
        <v>3973.97516734805</v>
      </c>
      <c r="E659" s="15" t="n">
        <f aca="false">B659/Summary!$B$5-1</f>
        <v>-0.0397397516734805</v>
      </c>
    </row>
    <row r="660" customFormat="false" ht="15" hidden="false" customHeight="false" outlineLevel="0" collapsed="false">
      <c r="A660" s="0" t="n">
        <v>659</v>
      </c>
      <c r="B660" s="14" t="n">
        <v>96428.1470293971</v>
      </c>
      <c r="C660" s="15" t="n">
        <v>0.140623940400565</v>
      </c>
      <c r="D660" s="14" t="n">
        <f aca="false">Summary!$B$5-B660</f>
        <v>3571.85297060295</v>
      </c>
      <c r="E660" s="15" t="n">
        <f aca="false">B660/Summary!$B$5-1</f>
        <v>-0.0357185297060295</v>
      </c>
    </row>
    <row r="661" customFormat="false" ht="15" hidden="false" customHeight="false" outlineLevel="0" collapsed="false">
      <c r="A661" s="0" t="n">
        <v>660</v>
      </c>
      <c r="B661" s="14" t="n">
        <v>102068.817336664</v>
      </c>
      <c r="C661" s="15" t="n">
        <v>0.0979758730303338</v>
      </c>
      <c r="D661" s="14" t="n">
        <f aca="false">Summary!$B$5-B661</f>
        <v>-2068.8173366636</v>
      </c>
      <c r="E661" s="15" t="n">
        <f aca="false">B661/Summary!$B$5-1</f>
        <v>0.020688173366636</v>
      </c>
    </row>
    <row r="662" customFormat="false" ht="15" hidden="false" customHeight="false" outlineLevel="0" collapsed="false">
      <c r="A662" s="0" t="n">
        <v>661</v>
      </c>
      <c r="B662" s="14" t="n">
        <v>121707.150888662</v>
      </c>
      <c r="C662" s="15" t="n">
        <v>0.0772126209141546</v>
      </c>
      <c r="D662" s="14" t="n">
        <f aca="false">Summary!$B$5-B662</f>
        <v>-21707.1508886616</v>
      </c>
      <c r="E662" s="15" t="n">
        <f aca="false">B662/Summary!$B$5-1</f>
        <v>0.217071508886616</v>
      </c>
    </row>
    <row r="663" customFormat="false" ht="15" hidden="false" customHeight="false" outlineLevel="0" collapsed="false">
      <c r="A663" s="0" t="n">
        <v>662</v>
      </c>
      <c r="B663" s="14" t="n">
        <v>91807.5623293393</v>
      </c>
      <c r="C663" s="15" t="n">
        <v>0.136044002230205</v>
      </c>
      <c r="D663" s="14" t="n">
        <f aca="false">Summary!$B$5-B663</f>
        <v>8192.43767066074</v>
      </c>
      <c r="E663" s="15" t="n">
        <f aca="false">B663/Summary!$B$5-1</f>
        <v>-0.0819243767066075</v>
      </c>
    </row>
    <row r="664" customFormat="false" ht="15" hidden="false" customHeight="false" outlineLevel="0" collapsed="false">
      <c r="A664" s="0" t="n">
        <v>663</v>
      </c>
      <c r="B664" s="14" t="n">
        <v>120495.824209528</v>
      </c>
      <c r="C664" s="15" t="n">
        <v>0.122428639047359</v>
      </c>
      <c r="D664" s="14" t="n">
        <f aca="false">Summary!$B$5-B664</f>
        <v>-20495.8242095284</v>
      </c>
      <c r="E664" s="15" t="n">
        <f aca="false">B664/Summary!$B$5-1</f>
        <v>0.204958242095284</v>
      </c>
    </row>
    <row r="665" customFormat="false" ht="15" hidden="false" customHeight="false" outlineLevel="0" collapsed="false">
      <c r="A665" s="0" t="n">
        <v>664</v>
      </c>
      <c r="B665" s="14" t="n">
        <v>96682.8722432141</v>
      </c>
      <c r="C665" s="15" t="n">
        <v>0.115995711124008</v>
      </c>
      <c r="D665" s="14" t="n">
        <f aca="false">Summary!$B$5-B665</f>
        <v>3317.12775678586</v>
      </c>
      <c r="E665" s="15" t="n">
        <f aca="false">B665/Summary!$B$5-1</f>
        <v>-0.0331712775678587</v>
      </c>
    </row>
    <row r="666" customFormat="false" ht="15" hidden="false" customHeight="false" outlineLevel="0" collapsed="false">
      <c r="A666" s="0" t="n">
        <v>665</v>
      </c>
      <c r="B666" s="14" t="n">
        <v>126778.192630264</v>
      </c>
      <c r="C666" s="15" t="n">
        <v>0.0551923396586034</v>
      </c>
      <c r="D666" s="14" t="n">
        <f aca="false">Summary!$B$5-B666</f>
        <v>-26778.1926302637</v>
      </c>
      <c r="E666" s="15" t="n">
        <f aca="false">B666/Summary!$B$5-1</f>
        <v>0.267781926302637</v>
      </c>
    </row>
    <row r="667" customFormat="false" ht="15" hidden="false" customHeight="false" outlineLevel="0" collapsed="false">
      <c r="A667" s="0" t="n">
        <v>666</v>
      </c>
      <c r="B667" s="14" t="n">
        <v>102257.328990942</v>
      </c>
      <c r="C667" s="15" t="n">
        <v>0.136328451053045</v>
      </c>
      <c r="D667" s="14" t="n">
        <f aca="false">Summary!$B$5-B667</f>
        <v>-2257.32899094171</v>
      </c>
      <c r="E667" s="15" t="n">
        <f aca="false">B667/Summary!$B$5-1</f>
        <v>0.0225732899094171</v>
      </c>
    </row>
    <row r="668" customFormat="false" ht="15" hidden="false" customHeight="false" outlineLevel="0" collapsed="false">
      <c r="A668" s="0" t="n">
        <v>667</v>
      </c>
      <c r="B668" s="14" t="n">
        <v>131731.170061462</v>
      </c>
      <c r="C668" s="15" t="n">
        <v>0.0706371696067831</v>
      </c>
      <c r="D668" s="14" t="n">
        <f aca="false">Summary!$B$5-B668</f>
        <v>-31731.1700614617</v>
      </c>
      <c r="E668" s="15" t="n">
        <f aca="false">B668/Summary!$B$5-1</f>
        <v>0.317311700614617</v>
      </c>
    </row>
    <row r="669" customFormat="false" ht="15" hidden="false" customHeight="false" outlineLevel="0" collapsed="false">
      <c r="A669" s="0" t="n">
        <v>668</v>
      </c>
      <c r="B669" s="14" t="n">
        <v>108825.781059855</v>
      </c>
      <c r="C669" s="15" t="n">
        <v>0.0802083091703216</v>
      </c>
      <c r="D669" s="14" t="n">
        <f aca="false">Summary!$B$5-B669</f>
        <v>-8825.78105985469</v>
      </c>
      <c r="E669" s="15" t="n">
        <f aca="false">B669/Summary!$B$5-1</f>
        <v>0.088257810598547</v>
      </c>
    </row>
    <row r="670" customFormat="false" ht="15" hidden="false" customHeight="false" outlineLevel="0" collapsed="false">
      <c r="A670" s="0" t="n">
        <v>669</v>
      </c>
      <c r="B670" s="14" t="n">
        <v>121135.368095754</v>
      </c>
      <c r="C670" s="15" t="n">
        <v>0.0561737643634597</v>
      </c>
      <c r="D670" s="14" t="n">
        <f aca="false">Summary!$B$5-B670</f>
        <v>-21135.3680957543</v>
      </c>
      <c r="E670" s="15" t="n">
        <f aca="false">B670/Summary!$B$5-1</f>
        <v>0.211353680957543</v>
      </c>
    </row>
    <row r="671" customFormat="false" ht="15" hidden="false" customHeight="false" outlineLevel="0" collapsed="false">
      <c r="A671" s="0" t="n">
        <v>670</v>
      </c>
      <c r="B671" s="14" t="n">
        <v>131343.712346569</v>
      </c>
      <c r="C671" s="15" t="n">
        <v>0.0848115589196843</v>
      </c>
      <c r="D671" s="14" t="n">
        <f aca="false">Summary!$B$5-B671</f>
        <v>-31343.712346569</v>
      </c>
      <c r="E671" s="15" t="n">
        <f aca="false">B671/Summary!$B$5-1</f>
        <v>0.31343712346569</v>
      </c>
    </row>
    <row r="672" customFormat="false" ht="15" hidden="false" customHeight="false" outlineLevel="0" collapsed="false">
      <c r="A672" s="0" t="n">
        <v>671</v>
      </c>
      <c r="B672" s="14" t="n">
        <v>100736.81697744</v>
      </c>
      <c r="C672" s="15" t="n">
        <v>0.127478323038635</v>
      </c>
      <c r="D672" s="14" t="n">
        <f aca="false">Summary!$B$5-B672</f>
        <v>-736.816977439506</v>
      </c>
      <c r="E672" s="15" t="n">
        <f aca="false">B672/Summary!$B$5-1</f>
        <v>0.00736816977439503</v>
      </c>
    </row>
    <row r="673" customFormat="false" ht="15" hidden="false" customHeight="false" outlineLevel="0" collapsed="false">
      <c r="A673" s="0" t="n">
        <v>672</v>
      </c>
      <c r="B673" s="14" t="n">
        <v>110207.109665719</v>
      </c>
      <c r="C673" s="15" t="n">
        <v>0.0819299699722876</v>
      </c>
      <c r="D673" s="14" t="n">
        <f aca="false">Summary!$B$5-B673</f>
        <v>-10207.1096657192</v>
      </c>
      <c r="E673" s="15" t="n">
        <f aca="false">B673/Summary!$B$5-1</f>
        <v>0.102071096657192</v>
      </c>
    </row>
    <row r="674" customFormat="false" ht="15" hidden="false" customHeight="false" outlineLevel="0" collapsed="false">
      <c r="A674" s="0" t="n">
        <v>673</v>
      </c>
      <c r="B674" s="14" t="n">
        <v>115113.928138001</v>
      </c>
      <c r="C674" s="15" t="n">
        <v>0.129815875679639</v>
      </c>
      <c r="D674" s="14" t="n">
        <f aca="false">Summary!$B$5-B674</f>
        <v>-15113.9281380012</v>
      </c>
      <c r="E674" s="15" t="n">
        <f aca="false">B674/Summary!$B$5-1</f>
        <v>0.151139281380012</v>
      </c>
    </row>
    <row r="675" customFormat="false" ht="15" hidden="false" customHeight="false" outlineLevel="0" collapsed="false">
      <c r="A675" s="0" t="n">
        <v>674</v>
      </c>
      <c r="B675" s="14" t="n">
        <v>102231.289085243</v>
      </c>
      <c r="C675" s="15" t="n">
        <v>0.0832210865094951</v>
      </c>
      <c r="D675" s="14" t="n">
        <f aca="false">Summary!$B$5-B675</f>
        <v>-2231.289085243</v>
      </c>
      <c r="E675" s="15" t="n">
        <f aca="false">B675/Summary!$B$5-1</f>
        <v>0.0223128908524299</v>
      </c>
    </row>
    <row r="676" customFormat="false" ht="15" hidden="false" customHeight="false" outlineLevel="0" collapsed="false">
      <c r="A676" s="0" t="n">
        <v>675</v>
      </c>
      <c r="B676" s="14" t="n">
        <v>106252.355077541</v>
      </c>
      <c r="C676" s="15" t="n">
        <v>0.077578193909649</v>
      </c>
      <c r="D676" s="14" t="n">
        <f aca="false">Summary!$B$5-B676</f>
        <v>-6252.3550775412</v>
      </c>
      <c r="E676" s="15" t="n">
        <f aca="false">B676/Summary!$B$5-1</f>
        <v>0.0625235507754121</v>
      </c>
    </row>
    <row r="677" customFormat="false" ht="15" hidden="false" customHeight="false" outlineLevel="0" collapsed="false">
      <c r="A677" s="0" t="n">
        <v>676</v>
      </c>
      <c r="B677" s="14" t="n">
        <v>93658.653771117</v>
      </c>
      <c r="C677" s="15" t="n">
        <v>0.0955486082960911</v>
      </c>
      <c r="D677" s="14" t="n">
        <f aca="false">Summary!$B$5-B677</f>
        <v>6341.34622888298</v>
      </c>
      <c r="E677" s="15" t="n">
        <f aca="false">B677/Summary!$B$5-1</f>
        <v>-0.0634134622888297</v>
      </c>
    </row>
    <row r="678" customFormat="false" ht="15" hidden="false" customHeight="false" outlineLevel="0" collapsed="false">
      <c r="A678" s="0" t="n">
        <v>677</v>
      </c>
      <c r="B678" s="14" t="n">
        <v>93985.3647415825</v>
      </c>
      <c r="C678" s="15" t="n">
        <v>0.140469936548875</v>
      </c>
      <c r="D678" s="14" t="n">
        <f aca="false">Summary!$B$5-B678</f>
        <v>6014.63525841746</v>
      </c>
      <c r="E678" s="15" t="n">
        <f aca="false">B678/Summary!$B$5-1</f>
        <v>-0.0601463525841746</v>
      </c>
    </row>
    <row r="679" customFormat="false" ht="15" hidden="false" customHeight="false" outlineLevel="0" collapsed="false">
      <c r="A679" s="0" t="n">
        <v>678</v>
      </c>
      <c r="B679" s="14" t="n">
        <v>145856.804838852</v>
      </c>
      <c r="C679" s="15" t="n">
        <v>0.0920097978338837</v>
      </c>
      <c r="D679" s="14" t="n">
        <f aca="false">Summary!$B$5-B679</f>
        <v>-45856.8048388521</v>
      </c>
      <c r="E679" s="15" t="n">
        <f aca="false">B679/Summary!$B$5-1</f>
        <v>0.458568048388521</v>
      </c>
    </row>
    <row r="680" customFormat="false" ht="15" hidden="false" customHeight="false" outlineLevel="0" collapsed="false">
      <c r="A680" s="0" t="n">
        <v>679</v>
      </c>
      <c r="B680" s="14" t="n">
        <v>116058.495265381</v>
      </c>
      <c r="C680" s="15" t="n">
        <v>0.109499777285458</v>
      </c>
      <c r="D680" s="14" t="n">
        <f aca="false">Summary!$B$5-B680</f>
        <v>-16058.4952653814</v>
      </c>
      <c r="E680" s="15" t="n">
        <f aca="false">B680/Summary!$B$5-1</f>
        <v>0.160584952653814</v>
      </c>
    </row>
    <row r="681" customFormat="false" ht="15" hidden="false" customHeight="false" outlineLevel="0" collapsed="false">
      <c r="A681" s="0" t="n">
        <v>680</v>
      </c>
      <c r="B681" s="14" t="n">
        <v>96344.9014181545</v>
      </c>
      <c r="C681" s="15" t="n">
        <v>0.107741145487246</v>
      </c>
      <c r="D681" s="14" t="n">
        <f aca="false">Summary!$B$5-B681</f>
        <v>3655.09858184546</v>
      </c>
      <c r="E681" s="15" t="n">
        <f aca="false">B681/Summary!$B$5-1</f>
        <v>-0.0365509858184546</v>
      </c>
    </row>
    <row r="682" customFormat="false" ht="15" hidden="false" customHeight="false" outlineLevel="0" collapsed="false">
      <c r="A682" s="0" t="n">
        <v>681</v>
      </c>
      <c r="B682" s="14" t="n">
        <v>105352.661839885</v>
      </c>
      <c r="C682" s="15" t="n">
        <v>0.085033180863819</v>
      </c>
      <c r="D682" s="14" t="n">
        <f aca="false">Summary!$B$5-B682</f>
        <v>-5352.6618398853</v>
      </c>
      <c r="E682" s="15" t="n">
        <f aca="false">B682/Summary!$B$5-1</f>
        <v>0.053526618398853</v>
      </c>
    </row>
    <row r="683" customFormat="false" ht="15" hidden="false" customHeight="false" outlineLevel="0" collapsed="false">
      <c r="A683" s="0" t="n">
        <v>682</v>
      </c>
      <c r="B683" s="14" t="n">
        <v>100017.263882569</v>
      </c>
      <c r="C683" s="15" t="n">
        <v>0.0655514976013063</v>
      </c>
      <c r="D683" s="14" t="n">
        <f aca="false">Summary!$B$5-B683</f>
        <v>-17.263882568499</v>
      </c>
      <c r="E683" s="15" t="n">
        <f aca="false">B683/Summary!$B$5-1</f>
        <v>0.000172638825685079</v>
      </c>
    </row>
    <row r="684" customFormat="false" ht="15" hidden="false" customHeight="false" outlineLevel="0" collapsed="false">
      <c r="A684" s="0" t="n">
        <v>683</v>
      </c>
      <c r="B684" s="14" t="n">
        <v>110767.925888921</v>
      </c>
      <c r="C684" s="15" t="n">
        <v>0.0881228065999544</v>
      </c>
      <c r="D684" s="14" t="n">
        <f aca="false">Summary!$B$5-B684</f>
        <v>-10767.9258889212</v>
      </c>
      <c r="E684" s="15" t="n">
        <f aca="false">B684/Summary!$B$5-1</f>
        <v>0.107679258889212</v>
      </c>
    </row>
    <row r="685" customFormat="false" ht="15" hidden="false" customHeight="false" outlineLevel="0" collapsed="false">
      <c r="A685" s="0" t="n">
        <v>684</v>
      </c>
      <c r="B685" s="14" t="n">
        <v>123267.464765426</v>
      </c>
      <c r="C685" s="15" t="n">
        <v>0.0532581852827824</v>
      </c>
      <c r="D685" s="14" t="n">
        <f aca="false">Summary!$B$5-B685</f>
        <v>-23267.4647654259</v>
      </c>
      <c r="E685" s="15" t="n">
        <f aca="false">B685/Summary!$B$5-1</f>
        <v>0.232674647654259</v>
      </c>
    </row>
    <row r="686" customFormat="false" ht="15" hidden="false" customHeight="false" outlineLevel="0" collapsed="false">
      <c r="A686" s="0" t="n">
        <v>685</v>
      </c>
      <c r="B686" s="14" t="n">
        <v>123720.573850043</v>
      </c>
      <c r="C686" s="15" t="n">
        <v>0.0819344841676998</v>
      </c>
      <c r="D686" s="14" t="n">
        <f aca="false">Summary!$B$5-B686</f>
        <v>-23720.5738500428</v>
      </c>
      <c r="E686" s="15" t="n">
        <f aca="false">B686/Summary!$B$5-1</f>
        <v>0.237205738500428</v>
      </c>
    </row>
    <row r="687" customFormat="false" ht="15" hidden="false" customHeight="false" outlineLevel="0" collapsed="false">
      <c r="A687" s="0" t="n">
        <v>686</v>
      </c>
      <c r="B687" s="14" t="n">
        <v>133592.301302966</v>
      </c>
      <c r="C687" s="15" t="n">
        <v>0.04559247127308</v>
      </c>
      <c r="D687" s="14" t="n">
        <f aca="false">Summary!$B$5-B687</f>
        <v>-33592.3013029662</v>
      </c>
      <c r="E687" s="15" t="n">
        <f aca="false">B687/Summary!$B$5-1</f>
        <v>0.335923013029662</v>
      </c>
    </row>
    <row r="688" customFormat="false" ht="15" hidden="false" customHeight="false" outlineLevel="0" collapsed="false">
      <c r="A688" s="0" t="n">
        <v>687</v>
      </c>
      <c r="B688" s="14" t="n">
        <v>124173.045333922</v>
      </c>
      <c r="C688" s="15" t="n">
        <v>0.0620518926528439</v>
      </c>
      <c r="D688" s="14" t="n">
        <f aca="false">Summary!$B$5-B688</f>
        <v>-24173.0453339223</v>
      </c>
      <c r="E688" s="15" t="n">
        <f aca="false">B688/Summary!$B$5-1</f>
        <v>0.241730453339223</v>
      </c>
    </row>
    <row r="689" customFormat="false" ht="15" hidden="false" customHeight="false" outlineLevel="0" collapsed="false">
      <c r="A689" s="0" t="n">
        <v>688</v>
      </c>
      <c r="B689" s="14" t="n">
        <v>112159.49894626</v>
      </c>
      <c r="C689" s="15" t="n">
        <v>0.0993721668295851</v>
      </c>
      <c r="D689" s="14" t="n">
        <f aca="false">Summary!$B$5-B689</f>
        <v>-12159.4989462598</v>
      </c>
      <c r="E689" s="15" t="n">
        <f aca="false">B689/Summary!$B$5-1</f>
        <v>0.121594989462598</v>
      </c>
    </row>
    <row r="690" customFormat="false" ht="15" hidden="false" customHeight="false" outlineLevel="0" collapsed="false">
      <c r="A690" s="0" t="n">
        <v>689</v>
      </c>
      <c r="B690" s="14" t="n">
        <v>108274.629720843</v>
      </c>
      <c r="C690" s="15" t="n">
        <v>0.127663208092235</v>
      </c>
      <c r="D690" s="14" t="n">
        <f aca="false">Summary!$B$5-B690</f>
        <v>-8274.62972084311</v>
      </c>
      <c r="E690" s="15" t="n">
        <f aca="false">B690/Summary!$B$5-1</f>
        <v>0.082746297208431</v>
      </c>
    </row>
    <row r="691" customFormat="false" ht="15" hidden="false" customHeight="false" outlineLevel="0" collapsed="false">
      <c r="A691" s="0" t="n">
        <v>690</v>
      </c>
      <c r="B691" s="14" t="n">
        <v>112933.968426121</v>
      </c>
      <c r="C691" s="15" t="n">
        <v>0.0776759982237412</v>
      </c>
      <c r="D691" s="14" t="n">
        <f aca="false">Summary!$B$5-B691</f>
        <v>-12933.9684261214</v>
      </c>
      <c r="E691" s="15" t="n">
        <f aca="false">B691/Summary!$B$5-1</f>
        <v>0.129339684261214</v>
      </c>
    </row>
    <row r="692" customFormat="false" ht="15" hidden="false" customHeight="false" outlineLevel="0" collapsed="false">
      <c r="A692" s="0" t="n">
        <v>691</v>
      </c>
      <c r="B692" s="14" t="n">
        <v>110240.044718534</v>
      </c>
      <c r="C692" s="15" t="n">
        <v>0.0805333715207409</v>
      </c>
      <c r="D692" s="14" t="n">
        <f aca="false">Summary!$B$5-B692</f>
        <v>-10240.0447185336</v>
      </c>
      <c r="E692" s="15" t="n">
        <f aca="false">B692/Summary!$B$5-1</f>
        <v>0.102400447185336</v>
      </c>
    </row>
    <row r="693" customFormat="false" ht="15" hidden="false" customHeight="false" outlineLevel="0" collapsed="false">
      <c r="A693" s="0" t="n">
        <v>692</v>
      </c>
      <c r="B693" s="14" t="n">
        <v>96791.2837249134</v>
      </c>
      <c r="C693" s="15" t="n">
        <v>0.124015653513406</v>
      </c>
      <c r="D693" s="14" t="n">
        <f aca="false">Summary!$B$5-B693</f>
        <v>3208.71627508661</v>
      </c>
      <c r="E693" s="15" t="n">
        <f aca="false">B693/Summary!$B$5-1</f>
        <v>-0.0320871627508661</v>
      </c>
    </row>
    <row r="694" customFormat="false" ht="15" hidden="false" customHeight="false" outlineLevel="0" collapsed="false">
      <c r="A694" s="0" t="n">
        <v>693</v>
      </c>
      <c r="B694" s="14" t="n">
        <v>122433.981985978</v>
      </c>
      <c r="C694" s="15" t="n">
        <v>0.101916792447443</v>
      </c>
      <c r="D694" s="14" t="n">
        <f aca="false">Summary!$B$5-B694</f>
        <v>-22433.9819859778</v>
      </c>
      <c r="E694" s="15" t="n">
        <f aca="false">B694/Summary!$B$5-1</f>
        <v>0.224339819859778</v>
      </c>
    </row>
    <row r="695" customFormat="false" ht="15" hidden="false" customHeight="false" outlineLevel="0" collapsed="false">
      <c r="A695" s="0" t="n">
        <v>694</v>
      </c>
      <c r="B695" s="14" t="n">
        <v>126566.705380648</v>
      </c>
      <c r="C695" s="15" t="n">
        <v>0.0893904689298667</v>
      </c>
      <c r="D695" s="14" t="n">
        <f aca="false">Summary!$B$5-B695</f>
        <v>-26566.7053806477</v>
      </c>
      <c r="E695" s="15" t="n">
        <f aca="false">B695/Summary!$B$5-1</f>
        <v>0.265667053806477</v>
      </c>
    </row>
    <row r="696" customFormat="false" ht="15" hidden="false" customHeight="false" outlineLevel="0" collapsed="false">
      <c r="A696" s="0" t="n">
        <v>695</v>
      </c>
      <c r="B696" s="14" t="n">
        <v>118442.302662698</v>
      </c>
      <c r="C696" s="15" t="n">
        <v>0.0703912996602928</v>
      </c>
      <c r="D696" s="14" t="n">
        <f aca="false">Summary!$B$5-B696</f>
        <v>-18442.3026626981</v>
      </c>
      <c r="E696" s="15" t="n">
        <f aca="false">B696/Summary!$B$5-1</f>
        <v>0.184423026626981</v>
      </c>
    </row>
    <row r="697" customFormat="false" ht="15" hidden="false" customHeight="false" outlineLevel="0" collapsed="false">
      <c r="A697" s="0" t="n">
        <v>696</v>
      </c>
      <c r="B697" s="14" t="n">
        <v>113543.40902406</v>
      </c>
      <c r="C697" s="15" t="n">
        <v>0.0883822515880774</v>
      </c>
      <c r="D697" s="14" t="n">
        <f aca="false">Summary!$B$5-B697</f>
        <v>-13543.4090240602</v>
      </c>
      <c r="E697" s="15" t="n">
        <f aca="false">B697/Summary!$B$5-1</f>
        <v>0.135434090240602</v>
      </c>
    </row>
    <row r="698" customFormat="false" ht="15" hidden="false" customHeight="false" outlineLevel="0" collapsed="false">
      <c r="A698" s="0" t="n">
        <v>697</v>
      </c>
      <c r="B698" s="14" t="n">
        <v>102357.879669934</v>
      </c>
      <c r="C698" s="15" t="n">
        <v>0.143989343945422</v>
      </c>
      <c r="D698" s="14" t="n">
        <f aca="false">Summary!$B$5-B698</f>
        <v>-2357.8796699338</v>
      </c>
      <c r="E698" s="15" t="n">
        <f aca="false">B698/Summary!$B$5-1</f>
        <v>0.0235787966993379</v>
      </c>
    </row>
    <row r="699" customFormat="false" ht="15" hidden="false" customHeight="false" outlineLevel="0" collapsed="false">
      <c r="A699" s="0" t="n">
        <v>698</v>
      </c>
      <c r="B699" s="14" t="n">
        <v>104772.509849311</v>
      </c>
      <c r="C699" s="15" t="n">
        <v>0.073545805129963</v>
      </c>
      <c r="D699" s="14" t="n">
        <f aca="false">Summary!$B$5-B699</f>
        <v>-4772.509849311</v>
      </c>
      <c r="E699" s="15" t="n">
        <f aca="false">B699/Summary!$B$5-1</f>
        <v>0.0477250984931099</v>
      </c>
    </row>
    <row r="700" customFormat="false" ht="15" hidden="false" customHeight="false" outlineLevel="0" collapsed="false">
      <c r="A700" s="0" t="n">
        <v>699</v>
      </c>
      <c r="B700" s="14" t="n">
        <v>112195.1391423</v>
      </c>
      <c r="C700" s="15" t="n">
        <v>0.0484568811946003</v>
      </c>
      <c r="D700" s="14" t="n">
        <f aca="false">Summary!$B$5-B700</f>
        <v>-12195.1391422996</v>
      </c>
      <c r="E700" s="15" t="n">
        <f aca="false">B700/Summary!$B$5-1</f>
        <v>0.121951391422996</v>
      </c>
    </row>
    <row r="701" customFormat="false" ht="15" hidden="false" customHeight="false" outlineLevel="0" collapsed="false">
      <c r="A701" s="0" t="n">
        <v>700</v>
      </c>
      <c r="B701" s="14" t="n">
        <v>100089.931451143</v>
      </c>
      <c r="C701" s="15" t="n">
        <v>0.132561161031717</v>
      </c>
      <c r="D701" s="14" t="n">
        <f aca="false">Summary!$B$5-B701</f>
        <v>-89.931451143304</v>
      </c>
      <c r="E701" s="15" t="n">
        <f aca="false">B701/Summary!$B$5-1</f>
        <v>0.000899314511433103</v>
      </c>
    </row>
    <row r="702" customFormat="false" ht="15" hidden="false" customHeight="false" outlineLevel="0" collapsed="false">
      <c r="A702" s="0" t="n">
        <v>701</v>
      </c>
      <c r="B702" s="14" t="n">
        <v>99538.9415317629</v>
      </c>
      <c r="C702" s="15" t="n">
        <v>0.0683485455350296</v>
      </c>
      <c r="D702" s="14" t="n">
        <f aca="false">Summary!$B$5-B702</f>
        <v>461.058468237083</v>
      </c>
      <c r="E702" s="15" t="n">
        <f aca="false">B702/Summary!$B$5-1</f>
        <v>-0.00461058468237086</v>
      </c>
    </row>
    <row r="703" customFormat="false" ht="15" hidden="false" customHeight="false" outlineLevel="0" collapsed="false">
      <c r="A703" s="0" t="n">
        <v>702</v>
      </c>
      <c r="B703" s="14" t="n">
        <v>107420.07180139</v>
      </c>
      <c r="C703" s="15" t="n">
        <v>0.084860025581195</v>
      </c>
      <c r="D703" s="14" t="n">
        <f aca="false">Summary!$B$5-B703</f>
        <v>-7420.07180139</v>
      </c>
      <c r="E703" s="15" t="n">
        <f aca="false">B703/Summary!$B$5-1</f>
        <v>0.0742007180138999</v>
      </c>
    </row>
    <row r="704" customFormat="false" ht="15" hidden="false" customHeight="false" outlineLevel="0" collapsed="false">
      <c r="A704" s="0" t="n">
        <v>703</v>
      </c>
      <c r="B704" s="14" t="n">
        <v>85558.0427640902</v>
      </c>
      <c r="C704" s="15" t="n">
        <v>0.161518629789638</v>
      </c>
      <c r="D704" s="14" t="n">
        <f aca="false">Summary!$B$5-B704</f>
        <v>14441.9572359098</v>
      </c>
      <c r="E704" s="15" t="n">
        <f aca="false">B704/Summary!$B$5-1</f>
        <v>-0.144419572359098</v>
      </c>
    </row>
    <row r="705" customFormat="false" ht="15" hidden="false" customHeight="false" outlineLevel="0" collapsed="false">
      <c r="A705" s="0" t="n">
        <v>704</v>
      </c>
      <c r="B705" s="14" t="n">
        <v>95003.0216496603</v>
      </c>
      <c r="C705" s="15" t="n">
        <v>0.15290155515897</v>
      </c>
      <c r="D705" s="14" t="n">
        <f aca="false">Summary!$B$5-B705</f>
        <v>4996.97835033975</v>
      </c>
      <c r="E705" s="15" t="n">
        <f aca="false">B705/Summary!$B$5-1</f>
        <v>-0.0499697835033975</v>
      </c>
    </row>
    <row r="706" customFormat="false" ht="15" hidden="false" customHeight="false" outlineLevel="0" collapsed="false">
      <c r="A706" s="0" t="n">
        <v>705</v>
      </c>
      <c r="B706" s="14" t="n">
        <v>108955.593085831</v>
      </c>
      <c r="C706" s="15" t="n">
        <v>0.0970259227716319</v>
      </c>
      <c r="D706" s="14" t="n">
        <f aca="false">Summary!$B$5-B706</f>
        <v>-8955.5930858311</v>
      </c>
      <c r="E706" s="15" t="n">
        <f aca="false">B706/Summary!$B$5-1</f>
        <v>0.0895559308583112</v>
      </c>
    </row>
    <row r="707" customFormat="false" ht="15" hidden="false" customHeight="false" outlineLevel="0" collapsed="false">
      <c r="A707" s="0" t="n">
        <v>706</v>
      </c>
      <c r="B707" s="14" t="n">
        <v>133479.418984394</v>
      </c>
      <c r="C707" s="15" t="n">
        <v>0.0527659319957744</v>
      </c>
      <c r="D707" s="14" t="n">
        <f aca="false">Summary!$B$5-B707</f>
        <v>-33479.4189843943</v>
      </c>
      <c r="E707" s="15" t="n">
        <f aca="false">B707/Summary!$B$5-1</f>
        <v>0.334794189843943</v>
      </c>
    </row>
    <row r="708" customFormat="false" ht="15" hidden="false" customHeight="false" outlineLevel="0" collapsed="false">
      <c r="A708" s="0" t="n">
        <v>707</v>
      </c>
      <c r="B708" s="14" t="n">
        <v>102881.356094618</v>
      </c>
      <c r="C708" s="15" t="n">
        <v>0.111096830590715</v>
      </c>
      <c r="D708" s="14" t="n">
        <f aca="false">Summary!$B$5-B708</f>
        <v>-2881.3560946177</v>
      </c>
      <c r="E708" s="15" t="n">
        <f aca="false">B708/Summary!$B$5-1</f>
        <v>0.028813560946177</v>
      </c>
    </row>
    <row r="709" customFormat="false" ht="15" hidden="false" customHeight="false" outlineLevel="0" collapsed="false">
      <c r="A709" s="0" t="n">
        <v>708</v>
      </c>
      <c r="B709" s="14" t="n">
        <v>112436.661362852</v>
      </c>
      <c r="C709" s="15" t="n">
        <v>0.0917741845185712</v>
      </c>
      <c r="D709" s="14" t="n">
        <f aca="false">Summary!$B$5-B709</f>
        <v>-12436.6613628516</v>
      </c>
      <c r="E709" s="15" t="n">
        <f aca="false">B709/Summary!$B$5-1</f>
        <v>0.124366613628516</v>
      </c>
    </row>
    <row r="710" customFormat="false" ht="15" hidden="false" customHeight="false" outlineLevel="0" collapsed="false">
      <c r="A710" s="0" t="n">
        <v>709</v>
      </c>
      <c r="B710" s="14" t="n">
        <v>110525.051383353</v>
      </c>
      <c r="C710" s="15" t="n">
        <v>0.0820824630094</v>
      </c>
      <c r="D710" s="14" t="n">
        <f aca="false">Summary!$B$5-B710</f>
        <v>-10525.0513833533</v>
      </c>
      <c r="E710" s="15" t="n">
        <f aca="false">B710/Summary!$B$5-1</f>
        <v>0.105250513833533</v>
      </c>
    </row>
    <row r="711" customFormat="false" ht="15" hidden="false" customHeight="false" outlineLevel="0" collapsed="false">
      <c r="A711" s="0" t="n">
        <v>710</v>
      </c>
      <c r="B711" s="14" t="n">
        <v>102665.29225428</v>
      </c>
      <c r="C711" s="15" t="n">
        <v>0.11299880630337</v>
      </c>
      <c r="D711" s="14" t="n">
        <f aca="false">Summary!$B$5-B711</f>
        <v>-2665.29225427991</v>
      </c>
      <c r="E711" s="15" t="n">
        <f aca="false">B711/Summary!$B$5-1</f>
        <v>0.0266529225427992</v>
      </c>
    </row>
    <row r="712" customFormat="false" ht="15" hidden="false" customHeight="false" outlineLevel="0" collapsed="false">
      <c r="A712" s="0" t="n">
        <v>711</v>
      </c>
      <c r="B712" s="14" t="n">
        <v>103132.779889821</v>
      </c>
      <c r="C712" s="15" t="n">
        <v>0.130592470730115</v>
      </c>
      <c r="D712" s="14" t="n">
        <f aca="false">Summary!$B$5-B712</f>
        <v>-3132.779889821</v>
      </c>
      <c r="E712" s="15" t="n">
        <f aca="false">B712/Summary!$B$5-1</f>
        <v>0.0313277988982099</v>
      </c>
    </row>
    <row r="713" customFormat="false" ht="15" hidden="false" customHeight="false" outlineLevel="0" collapsed="false">
      <c r="A713" s="0" t="n">
        <v>712</v>
      </c>
      <c r="B713" s="14" t="n">
        <v>89178.6832957539</v>
      </c>
      <c r="C713" s="15" t="n">
        <v>0.147139438889649</v>
      </c>
      <c r="D713" s="14" t="n">
        <f aca="false">Summary!$B$5-B713</f>
        <v>10821.3167042461</v>
      </c>
      <c r="E713" s="15" t="n">
        <f aca="false">B713/Summary!$B$5-1</f>
        <v>-0.108213167042461</v>
      </c>
    </row>
    <row r="714" customFormat="false" ht="15" hidden="false" customHeight="false" outlineLevel="0" collapsed="false">
      <c r="A714" s="0" t="n">
        <v>713</v>
      </c>
      <c r="B714" s="14" t="n">
        <v>97819.1080458394</v>
      </c>
      <c r="C714" s="15" t="n">
        <v>0.132212270902866</v>
      </c>
      <c r="D714" s="14" t="n">
        <f aca="false">Summary!$B$5-B714</f>
        <v>2180.8919541606</v>
      </c>
      <c r="E714" s="15" t="n">
        <f aca="false">B714/Summary!$B$5-1</f>
        <v>-0.021808919541606</v>
      </c>
    </row>
    <row r="715" customFormat="false" ht="15" hidden="false" customHeight="false" outlineLevel="0" collapsed="false">
      <c r="A715" s="0" t="n">
        <v>714</v>
      </c>
      <c r="B715" s="14" t="n">
        <v>114073.482596296</v>
      </c>
      <c r="C715" s="15" t="n">
        <v>0.0629265263530563</v>
      </c>
      <c r="D715" s="14" t="n">
        <f aca="false">Summary!$B$5-B715</f>
        <v>-14073.4825962962</v>
      </c>
      <c r="E715" s="15" t="n">
        <f aca="false">B715/Summary!$B$5-1</f>
        <v>0.140734825962962</v>
      </c>
    </row>
    <row r="716" customFormat="false" ht="15" hidden="false" customHeight="false" outlineLevel="0" collapsed="false">
      <c r="A716" s="0" t="n">
        <v>715</v>
      </c>
      <c r="B716" s="14" t="n">
        <v>99409.1327355845</v>
      </c>
      <c r="C716" s="15" t="n">
        <v>0.0792104634403799</v>
      </c>
      <c r="D716" s="14" t="n">
        <f aca="false">Summary!$B$5-B716</f>
        <v>590.867264415516</v>
      </c>
      <c r="E716" s="15" t="n">
        <f aca="false">B716/Summary!$B$5-1</f>
        <v>-0.00590867264415518</v>
      </c>
    </row>
    <row r="717" customFormat="false" ht="15" hidden="false" customHeight="false" outlineLevel="0" collapsed="false">
      <c r="A717" s="0" t="n">
        <v>716</v>
      </c>
      <c r="B717" s="14" t="n">
        <v>95347.116469381</v>
      </c>
      <c r="C717" s="15" t="n">
        <v>0.140704280326793</v>
      </c>
      <c r="D717" s="14" t="n">
        <f aca="false">Summary!$B$5-B717</f>
        <v>4652.88353061903</v>
      </c>
      <c r="E717" s="15" t="n">
        <f aca="false">B717/Summary!$B$5-1</f>
        <v>-0.0465288353061903</v>
      </c>
    </row>
    <row r="718" customFormat="false" ht="15" hidden="false" customHeight="false" outlineLevel="0" collapsed="false">
      <c r="A718" s="0" t="n">
        <v>717</v>
      </c>
      <c r="B718" s="14" t="n">
        <v>111470.18660647</v>
      </c>
      <c r="C718" s="15" t="n">
        <v>0.0865287183374932</v>
      </c>
      <c r="D718" s="14" t="n">
        <f aca="false">Summary!$B$5-B718</f>
        <v>-11470.1866064697</v>
      </c>
      <c r="E718" s="15" t="n">
        <f aca="false">B718/Summary!$B$5-1</f>
        <v>0.114701866064697</v>
      </c>
    </row>
    <row r="719" customFormat="false" ht="15" hidden="false" customHeight="false" outlineLevel="0" collapsed="false">
      <c r="A719" s="0" t="n">
        <v>718</v>
      </c>
      <c r="B719" s="14" t="n">
        <v>90372.44187555</v>
      </c>
      <c r="C719" s="15" t="n">
        <v>0.147379049011581</v>
      </c>
      <c r="D719" s="14" t="n">
        <f aca="false">Summary!$B$5-B719</f>
        <v>9627.55812445004</v>
      </c>
      <c r="E719" s="15" t="n">
        <f aca="false">B719/Summary!$B$5-1</f>
        <v>-0.0962755812445003</v>
      </c>
    </row>
    <row r="720" customFormat="false" ht="15" hidden="false" customHeight="false" outlineLevel="0" collapsed="false">
      <c r="A720" s="0" t="n">
        <v>719</v>
      </c>
      <c r="B720" s="14" t="n">
        <v>96522.8683659077</v>
      </c>
      <c r="C720" s="15" t="n">
        <v>0.151540705299614</v>
      </c>
      <c r="D720" s="14" t="n">
        <f aca="false">Summary!$B$5-B720</f>
        <v>3477.13163409231</v>
      </c>
      <c r="E720" s="15" t="n">
        <f aca="false">B720/Summary!$B$5-1</f>
        <v>-0.0347713163409231</v>
      </c>
    </row>
    <row r="721" customFormat="false" ht="15" hidden="false" customHeight="false" outlineLevel="0" collapsed="false">
      <c r="A721" s="0" t="n">
        <v>720</v>
      </c>
      <c r="B721" s="14" t="n">
        <v>102644.208003085</v>
      </c>
      <c r="C721" s="15" t="n">
        <v>0.103019376414748</v>
      </c>
      <c r="D721" s="14" t="n">
        <f aca="false">Summary!$B$5-B721</f>
        <v>-2644.2080030847</v>
      </c>
      <c r="E721" s="15" t="n">
        <f aca="false">B721/Summary!$B$5-1</f>
        <v>0.0264420800308469</v>
      </c>
    </row>
    <row r="722" customFormat="false" ht="15" hidden="false" customHeight="false" outlineLevel="0" collapsed="false">
      <c r="A722" s="0" t="n">
        <v>721</v>
      </c>
      <c r="B722" s="14" t="n">
        <v>118139.551366302</v>
      </c>
      <c r="C722" s="15" t="n">
        <v>0.0679738592090589</v>
      </c>
      <c r="D722" s="14" t="n">
        <f aca="false">Summary!$B$5-B722</f>
        <v>-18139.5513663022</v>
      </c>
      <c r="E722" s="15" t="n">
        <f aca="false">B722/Summary!$B$5-1</f>
        <v>0.181395513663022</v>
      </c>
    </row>
    <row r="723" customFormat="false" ht="15" hidden="false" customHeight="false" outlineLevel="0" collapsed="false">
      <c r="A723" s="0" t="n">
        <v>722</v>
      </c>
      <c r="B723" s="14" t="n">
        <v>101598.658944025</v>
      </c>
      <c r="C723" s="15" t="n">
        <v>0.09567280831623</v>
      </c>
      <c r="D723" s="14" t="n">
        <f aca="false">Summary!$B$5-B723</f>
        <v>-1598.6589440252</v>
      </c>
      <c r="E723" s="15" t="n">
        <f aca="false">B723/Summary!$B$5-1</f>
        <v>0.015986589440252</v>
      </c>
    </row>
    <row r="724" customFormat="false" ht="15" hidden="false" customHeight="false" outlineLevel="0" collapsed="false">
      <c r="A724" s="0" t="n">
        <v>723</v>
      </c>
      <c r="B724" s="14" t="n">
        <v>105732.822262435</v>
      </c>
      <c r="C724" s="15" t="n">
        <v>0.140281979145751</v>
      </c>
      <c r="D724" s="14" t="n">
        <f aca="false">Summary!$B$5-B724</f>
        <v>-5732.82226243459</v>
      </c>
      <c r="E724" s="15" t="n">
        <f aca="false">B724/Summary!$B$5-1</f>
        <v>0.0573282226243459</v>
      </c>
    </row>
    <row r="725" customFormat="false" ht="15" hidden="false" customHeight="false" outlineLevel="0" collapsed="false">
      <c r="A725" s="0" t="n">
        <v>724</v>
      </c>
      <c r="B725" s="14" t="n">
        <v>110845.311449426</v>
      </c>
      <c r="C725" s="15" t="n">
        <v>0.103932401254191</v>
      </c>
      <c r="D725" s="14" t="n">
        <f aca="false">Summary!$B$5-B725</f>
        <v>-10845.3114494258</v>
      </c>
      <c r="E725" s="15" t="n">
        <f aca="false">B725/Summary!$B$5-1</f>
        <v>0.108453114494258</v>
      </c>
    </row>
    <row r="726" customFormat="false" ht="15" hidden="false" customHeight="false" outlineLevel="0" collapsed="false">
      <c r="A726" s="0" t="n">
        <v>725</v>
      </c>
      <c r="B726" s="14" t="n">
        <v>116823.877784212</v>
      </c>
      <c r="C726" s="15" t="n">
        <v>0.0700981088581071</v>
      </c>
      <c r="D726" s="14" t="n">
        <f aca="false">Summary!$B$5-B726</f>
        <v>-16823.8777842118</v>
      </c>
      <c r="E726" s="15" t="n">
        <f aca="false">B726/Summary!$B$5-1</f>
        <v>0.168238777842118</v>
      </c>
    </row>
    <row r="727" customFormat="false" ht="15" hidden="false" customHeight="false" outlineLevel="0" collapsed="false">
      <c r="A727" s="0" t="n">
        <v>726</v>
      </c>
      <c r="B727" s="14" t="n">
        <v>99678.5321803095</v>
      </c>
      <c r="C727" s="15" t="n">
        <v>0.117148991343982</v>
      </c>
      <c r="D727" s="14" t="n">
        <f aca="false">Summary!$B$5-B727</f>
        <v>321.467819690544</v>
      </c>
      <c r="E727" s="15" t="n">
        <f aca="false">B727/Summary!$B$5-1</f>
        <v>-0.00321467819690546</v>
      </c>
    </row>
    <row r="728" customFormat="false" ht="15" hidden="false" customHeight="false" outlineLevel="0" collapsed="false">
      <c r="A728" s="0" t="n">
        <v>727</v>
      </c>
      <c r="B728" s="14" t="n">
        <v>137653.239544943</v>
      </c>
      <c r="C728" s="15" t="n">
        <v>0.0732073091302966</v>
      </c>
      <c r="D728" s="14" t="n">
        <f aca="false">Summary!$B$5-B728</f>
        <v>-37653.2395449429</v>
      </c>
      <c r="E728" s="15" t="n">
        <f aca="false">B728/Summary!$B$5-1</f>
        <v>0.376532395449429</v>
      </c>
    </row>
    <row r="729" customFormat="false" ht="15" hidden="false" customHeight="false" outlineLevel="0" collapsed="false">
      <c r="A729" s="0" t="n">
        <v>728</v>
      </c>
      <c r="B729" s="14" t="n">
        <v>119324.828726065</v>
      </c>
      <c r="C729" s="15" t="n">
        <v>0.103009420547066</v>
      </c>
      <c r="D729" s="14" t="n">
        <f aca="false">Summary!$B$5-B729</f>
        <v>-19324.8287260649</v>
      </c>
      <c r="E729" s="15" t="n">
        <f aca="false">B729/Summary!$B$5-1</f>
        <v>0.193248287260649</v>
      </c>
    </row>
    <row r="730" customFormat="false" ht="15" hidden="false" customHeight="false" outlineLevel="0" collapsed="false">
      <c r="A730" s="0" t="n">
        <v>729</v>
      </c>
      <c r="B730" s="14" t="n">
        <v>94125.5896719415</v>
      </c>
      <c r="C730" s="15" t="n">
        <v>0.0932336848923184</v>
      </c>
      <c r="D730" s="14" t="n">
        <f aca="false">Summary!$B$5-B730</f>
        <v>5874.41032805854</v>
      </c>
      <c r="E730" s="15" t="n">
        <f aca="false">B730/Summary!$B$5-1</f>
        <v>-0.0587441032805854</v>
      </c>
    </row>
    <row r="731" customFormat="false" ht="15" hidden="false" customHeight="false" outlineLevel="0" collapsed="false">
      <c r="A731" s="0" t="n">
        <v>730</v>
      </c>
      <c r="B731" s="14" t="n">
        <v>110126.020768483</v>
      </c>
      <c r="C731" s="15" t="n">
        <v>0.0795402131634994</v>
      </c>
      <c r="D731" s="14" t="n">
        <f aca="false">Summary!$B$5-B731</f>
        <v>-10126.0207684825</v>
      </c>
      <c r="E731" s="15" t="n">
        <f aca="false">B731/Summary!$B$5-1</f>
        <v>0.101260207684825</v>
      </c>
    </row>
    <row r="732" customFormat="false" ht="15" hidden="false" customHeight="false" outlineLevel="0" collapsed="false">
      <c r="A732" s="0" t="n">
        <v>731</v>
      </c>
      <c r="B732" s="14" t="n">
        <v>114871.442396092</v>
      </c>
      <c r="C732" s="15" t="n">
        <v>0.141064345390978</v>
      </c>
      <c r="D732" s="14" t="n">
        <f aca="false">Summary!$B$5-B732</f>
        <v>-14871.442396092</v>
      </c>
      <c r="E732" s="15" t="n">
        <f aca="false">B732/Summary!$B$5-1</f>
        <v>0.14871442396092</v>
      </c>
    </row>
    <row r="733" customFormat="false" ht="15" hidden="false" customHeight="false" outlineLevel="0" collapsed="false">
      <c r="A733" s="0" t="n">
        <v>732</v>
      </c>
      <c r="B733" s="14" t="n">
        <v>107457.238528508</v>
      </c>
      <c r="C733" s="15" t="n">
        <v>0.111942621128992</v>
      </c>
      <c r="D733" s="14" t="n">
        <f aca="false">Summary!$B$5-B733</f>
        <v>-7457.2385285084</v>
      </c>
      <c r="E733" s="15" t="n">
        <f aca="false">B733/Summary!$B$5-1</f>
        <v>0.0745723852850839</v>
      </c>
    </row>
    <row r="734" customFormat="false" ht="15" hidden="false" customHeight="false" outlineLevel="0" collapsed="false">
      <c r="A734" s="0" t="n">
        <v>733</v>
      </c>
      <c r="B734" s="14" t="n">
        <v>93513.1107576001</v>
      </c>
      <c r="C734" s="15" t="n">
        <v>0.0980614922593049</v>
      </c>
      <c r="D734" s="14" t="n">
        <f aca="false">Summary!$B$5-B734</f>
        <v>6486.88924239989</v>
      </c>
      <c r="E734" s="15" t="n">
        <f aca="false">B734/Summary!$B$5-1</f>
        <v>-0.064868892423999</v>
      </c>
    </row>
    <row r="735" customFormat="false" ht="15" hidden="false" customHeight="false" outlineLevel="0" collapsed="false">
      <c r="A735" s="0" t="n">
        <v>734</v>
      </c>
      <c r="B735" s="14" t="n">
        <v>109731.036045416</v>
      </c>
      <c r="C735" s="15" t="n">
        <v>0.072024853625635</v>
      </c>
      <c r="D735" s="14" t="n">
        <f aca="false">Summary!$B$5-B735</f>
        <v>-9731.0360454156</v>
      </c>
      <c r="E735" s="15" t="n">
        <f aca="false">B735/Summary!$B$5-1</f>
        <v>0.0973103604541561</v>
      </c>
    </row>
    <row r="736" customFormat="false" ht="15" hidden="false" customHeight="false" outlineLevel="0" collapsed="false">
      <c r="A736" s="0" t="n">
        <v>735</v>
      </c>
      <c r="B736" s="14" t="n">
        <v>132421.148688574</v>
      </c>
      <c r="C736" s="15" t="n">
        <v>0.0823737579587063</v>
      </c>
      <c r="D736" s="14" t="n">
        <f aca="false">Summary!$B$5-B736</f>
        <v>-32421.1486885743</v>
      </c>
      <c r="E736" s="15" t="n">
        <f aca="false">B736/Summary!$B$5-1</f>
        <v>0.324211486885743</v>
      </c>
    </row>
    <row r="737" customFormat="false" ht="15" hidden="false" customHeight="false" outlineLevel="0" collapsed="false">
      <c r="A737" s="0" t="n">
        <v>736</v>
      </c>
      <c r="B737" s="14" t="n">
        <v>89263.7994301885</v>
      </c>
      <c r="C737" s="15" t="n">
        <v>0.116128875026194</v>
      </c>
      <c r="D737" s="14" t="n">
        <f aca="false">Summary!$B$5-B737</f>
        <v>10736.2005698115</v>
      </c>
      <c r="E737" s="15" t="n">
        <f aca="false">B737/Summary!$B$5-1</f>
        <v>-0.107362005698115</v>
      </c>
    </row>
    <row r="738" customFormat="false" ht="15" hidden="false" customHeight="false" outlineLevel="0" collapsed="false">
      <c r="A738" s="0" t="n">
        <v>737</v>
      </c>
      <c r="B738" s="14" t="n">
        <v>118209.913815343</v>
      </c>
      <c r="C738" s="15" t="n">
        <v>0.0710073685593599</v>
      </c>
      <c r="D738" s="14" t="n">
        <f aca="false">Summary!$B$5-B738</f>
        <v>-18209.9138153434</v>
      </c>
      <c r="E738" s="15" t="n">
        <f aca="false">B738/Summary!$B$5-1</f>
        <v>0.182099138153434</v>
      </c>
    </row>
    <row r="739" customFormat="false" ht="15" hidden="false" customHeight="false" outlineLevel="0" collapsed="false">
      <c r="A739" s="0" t="n">
        <v>738</v>
      </c>
      <c r="B739" s="14" t="n">
        <v>110341.931503466</v>
      </c>
      <c r="C739" s="15" t="n">
        <v>0.0709686244421214</v>
      </c>
      <c r="D739" s="14" t="n">
        <f aca="false">Summary!$B$5-B739</f>
        <v>-10341.9315034658</v>
      </c>
      <c r="E739" s="15" t="n">
        <f aca="false">B739/Summary!$B$5-1</f>
        <v>0.103419315034658</v>
      </c>
    </row>
    <row r="740" customFormat="false" ht="15" hidden="false" customHeight="false" outlineLevel="0" collapsed="false">
      <c r="A740" s="0" t="n">
        <v>739</v>
      </c>
      <c r="B740" s="14" t="n">
        <v>86599.3053538384</v>
      </c>
      <c r="C740" s="15" t="n">
        <v>0.165990114215895</v>
      </c>
      <c r="D740" s="14" t="n">
        <f aca="false">Summary!$B$5-B740</f>
        <v>13400.6946461616</v>
      </c>
      <c r="E740" s="15" t="n">
        <f aca="false">B740/Summary!$B$5-1</f>
        <v>-0.134006946461616</v>
      </c>
    </row>
    <row r="741" customFormat="false" ht="15" hidden="false" customHeight="false" outlineLevel="0" collapsed="false">
      <c r="A741" s="0" t="n">
        <v>740</v>
      </c>
      <c r="B741" s="14" t="n">
        <v>140502.622063482</v>
      </c>
      <c r="C741" s="15" t="n">
        <v>0.065776989546753</v>
      </c>
      <c r="D741" s="14" t="n">
        <f aca="false">Summary!$B$5-B741</f>
        <v>-40502.6220634819</v>
      </c>
      <c r="E741" s="15" t="n">
        <f aca="false">B741/Summary!$B$5-1</f>
        <v>0.405026220634819</v>
      </c>
    </row>
    <row r="742" customFormat="false" ht="15" hidden="false" customHeight="false" outlineLevel="0" collapsed="false">
      <c r="A742" s="0" t="n">
        <v>741</v>
      </c>
      <c r="B742" s="14" t="n">
        <v>105952.097405999</v>
      </c>
      <c r="C742" s="15" t="n">
        <v>0.0584673140712698</v>
      </c>
      <c r="D742" s="14" t="n">
        <f aca="false">Summary!$B$5-B742</f>
        <v>-5952.0974059986</v>
      </c>
      <c r="E742" s="15" t="n">
        <f aca="false">B742/Summary!$B$5-1</f>
        <v>0.059520974059986</v>
      </c>
    </row>
    <row r="743" customFormat="false" ht="15" hidden="false" customHeight="false" outlineLevel="0" collapsed="false">
      <c r="A743" s="0" t="n">
        <v>742</v>
      </c>
      <c r="B743" s="14" t="n">
        <v>128911.659436339</v>
      </c>
      <c r="C743" s="15" t="n">
        <v>0.0606510454400494</v>
      </c>
      <c r="D743" s="14" t="n">
        <f aca="false">Summary!$B$5-B743</f>
        <v>-28911.6594363394</v>
      </c>
      <c r="E743" s="15" t="n">
        <f aca="false">B743/Summary!$B$5-1</f>
        <v>0.289116594363394</v>
      </c>
    </row>
    <row r="744" customFormat="false" ht="15" hidden="false" customHeight="false" outlineLevel="0" collapsed="false">
      <c r="A744" s="0" t="n">
        <v>743</v>
      </c>
      <c r="B744" s="14" t="n">
        <v>99838.579586574</v>
      </c>
      <c r="C744" s="15" t="n">
        <v>0.207383577279435</v>
      </c>
      <c r="D744" s="14" t="n">
        <f aca="false">Summary!$B$5-B744</f>
        <v>161.420413425978</v>
      </c>
      <c r="E744" s="15" t="n">
        <f aca="false">B744/Summary!$B$5-1</f>
        <v>-0.00161420413425983</v>
      </c>
    </row>
    <row r="745" customFormat="false" ht="15" hidden="false" customHeight="false" outlineLevel="0" collapsed="false">
      <c r="A745" s="0" t="n">
        <v>744</v>
      </c>
      <c r="B745" s="14" t="n">
        <v>90900.4415917502</v>
      </c>
      <c r="C745" s="15" t="n">
        <v>0.120660557746303</v>
      </c>
      <c r="D745" s="14" t="n">
        <f aca="false">Summary!$B$5-B745</f>
        <v>9099.55840824984</v>
      </c>
      <c r="E745" s="15" t="n">
        <f aca="false">B745/Summary!$B$5-1</f>
        <v>-0.0909955840824984</v>
      </c>
    </row>
    <row r="746" customFormat="false" ht="15" hidden="false" customHeight="false" outlineLevel="0" collapsed="false">
      <c r="A746" s="0" t="n">
        <v>745</v>
      </c>
      <c r="B746" s="14" t="n">
        <v>110412.596991566</v>
      </c>
      <c r="C746" s="15" t="n">
        <v>0.0729185826383342</v>
      </c>
      <c r="D746" s="14" t="n">
        <f aca="false">Summary!$B$5-B746</f>
        <v>-10412.5969915659</v>
      </c>
      <c r="E746" s="15" t="n">
        <f aca="false">B746/Summary!$B$5-1</f>
        <v>0.104125969915659</v>
      </c>
    </row>
    <row r="747" customFormat="false" ht="15" hidden="false" customHeight="false" outlineLevel="0" collapsed="false">
      <c r="A747" s="0" t="n">
        <v>746</v>
      </c>
      <c r="B747" s="14" t="n">
        <v>111283.523155924</v>
      </c>
      <c r="C747" s="15" t="n">
        <v>0.0788669377287924</v>
      </c>
      <c r="D747" s="14" t="n">
        <f aca="false">Summary!$B$5-B747</f>
        <v>-11283.5231559241</v>
      </c>
      <c r="E747" s="15" t="n">
        <f aca="false">B747/Summary!$B$5-1</f>
        <v>0.112835231559241</v>
      </c>
    </row>
    <row r="748" customFormat="false" ht="15" hidden="false" customHeight="false" outlineLevel="0" collapsed="false">
      <c r="A748" s="0" t="n">
        <v>747</v>
      </c>
      <c r="B748" s="14" t="n">
        <v>114802.755870473</v>
      </c>
      <c r="C748" s="15" t="n">
        <v>0.0716095609617382</v>
      </c>
      <c r="D748" s="14" t="n">
        <f aca="false">Summary!$B$5-B748</f>
        <v>-14802.7558704727</v>
      </c>
      <c r="E748" s="15" t="n">
        <f aca="false">B748/Summary!$B$5-1</f>
        <v>0.148027558704727</v>
      </c>
    </row>
    <row r="749" customFormat="false" ht="15" hidden="false" customHeight="false" outlineLevel="0" collapsed="false">
      <c r="A749" s="0" t="n">
        <v>748</v>
      </c>
      <c r="B749" s="14" t="n">
        <v>101631.924853018</v>
      </c>
      <c r="C749" s="15" t="n">
        <v>0.0943829899644638</v>
      </c>
      <c r="D749" s="14" t="n">
        <f aca="false">Summary!$B$5-B749</f>
        <v>-1631.92485301811</v>
      </c>
      <c r="E749" s="15" t="n">
        <f aca="false">B749/Summary!$B$5-1</f>
        <v>0.0163192485301811</v>
      </c>
    </row>
    <row r="750" customFormat="false" ht="15" hidden="false" customHeight="false" outlineLevel="0" collapsed="false">
      <c r="A750" s="0" t="n">
        <v>749</v>
      </c>
      <c r="B750" s="14" t="n">
        <v>115677.002458515</v>
      </c>
      <c r="C750" s="15" t="n">
        <v>0.0652269640457444</v>
      </c>
      <c r="D750" s="14" t="n">
        <f aca="false">Summary!$B$5-B750</f>
        <v>-15677.002458515</v>
      </c>
      <c r="E750" s="15" t="n">
        <f aca="false">B750/Summary!$B$5-1</f>
        <v>0.15677002458515</v>
      </c>
    </row>
    <row r="751" customFormat="false" ht="15" hidden="false" customHeight="false" outlineLevel="0" collapsed="false">
      <c r="A751" s="0" t="n">
        <v>750</v>
      </c>
      <c r="B751" s="14" t="n">
        <v>111235.858765296</v>
      </c>
      <c r="C751" s="15" t="n">
        <v>0.120791104466385</v>
      </c>
      <c r="D751" s="14" t="n">
        <f aca="false">Summary!$B$5-B751</f>
        <v>-11235.8587652962</v>
      </c>
      <c r="E751" s="15" t="n">
        <f aca="false">B751/Summary!$B$5-1</f>
        <v>0.112358587652962</v>
      </c>
    </row>
    <row r="752" customFormat="false" ht="15" hidden="false" customHeight="false" outlineLevel="0" collapsed="false">
      <c r="A752" s="0" t="n">
        <v>751</v>
      </c>
      <c r="B752" s="14" t="n">
        <v>102086.206738406</v>
      </c>
      <c r="C752" s="15" t="n">
        <v>0.0884063414201197</v>
      </c>
      <c r="D752" s="14" t="n">
        <f aca="false">Summary!$B$5-B752</f>
        <v>-2086.2067384057</v>
      </c>
      <c r="E752" s="15" t="n">
        <f aca="false">B752/Summary!$B$5-1</f>
        <v>0.0208620673840569</v>
      </c>
    </row>
    <row r="753" customFormat="false" ht="15" hidden="false" customHeight="false" outlineLevel="0" collapsed="false">
      <c r="A753" s="0" t="n">
        <v>752</v>
      </c>
      <c r="B753" s="14" t="n">
        <v>88828.7494922652</v>
      </c>
      <c r="C753" s="15" t="n">
        <v>0.150499219754711</v>
      </c>
      <c r="D753" s="14" t="n">
        <f aca="false">Summary!$B$5-B753</f>
        <v>11171.2505077348</v>
      </c>
      <c r="E753" s="15" t="n">
        <f aca="false">B753/Summary!$B$5-1</f>
        <v>-0.111712505077348</v>
      </c>
    </row>
    <row r="754" customFormat="false" ht="15" hidden="false" customHeight="false" outlineLevel="0" collapsed="false">
      <c r="A754" s="0" t="n">
        <v>753</v>
      </c>
      <c r="B754" s="14" t="n">
        <v>110582.23114583</v>
      </c>
      <c r="C754" s="15" t="n">
        <v>0.0764448054865318</v>
      </c>
      <c r="D754" s="14" t="n">
        <f aca="false">Summary!$B$5-B754</f>
        <v>-10582.2311458302</v>
      </c>
      <c r="E754" s="15" t="n">
        <f aca="false">B754/Summary!$B$5-1</f>
        <v>0.105822311458302</v>
      </c>
    </row>
    <row r="755" customFormat="false" ht="15" hidden="false" customHeight="false" outlineLevel="0" collapsed="false">
      <c r="A755" s="0" t="n">
        <v>754</v>
      </c>
      <c r="B755" s="14" t="n">
        <v>111325.293027007</v>
      </c>
      <c r="C755" s="15" t="n">
        <v>0.0676711827754944</v>
      </c>
      <c r="D755" s="14" t="n">
        <f aca="false">Summary!$B$5-B755</f>
        <v>-11325.2930270066</v>
      </c>
      <c r="E755" s="15" t="n">
        <f aca="false">B755/Summary!$B$5-1</f>
        <v>0.113252930270066</v>
      </c>
    </row>
    <row r="756" customFormat="false" ht="15" hidden="false" customHeight="false" outlineLevel="0" collapsed="false">
      <c r="A756" s="0" t="n">
        <v>755</v>
      </c>
      <c r="B756" s="14" t="n">
        <v>90068.9892450312</v>
      </c>
      <c r="C756" s="15" t="n">
        <v>0.183429640400691</v>
      </c>
      <c r="D756" s="14" t="n">
        <f aca="false">Summary!$B$5-B756</f>
        <v>9931.01075496886</v>
      </c>
      <c r="E756" s="15" t="n">
        <f aca="false">B756/Summary!$B$5-1</f>
        <v>-0.0993101075496885</v>
      </c>
    </row>
    <row r="757" customFormat="false" ht="15" hidden="false" customHeight="false" outlineLevel="0" collapsed="false">
      <c r="A757" s="0" t="n">
        <v>756</v>
      </c>
      <c r="B757" s="14" t="n">
        <v>87622.3164292934</v>
      </c>
      <c r="C757" s="15" t="n">
        <v>0.166497758205836</v>
      </c>
      <c r="D757" s="14" t="n">
        <f aca="false">Summary!$B$5-B757</f>
        <v>12377.6835707066</v>
      </c>
      <c r="E757" s="15" t="n">
        <f aca="false">B757/Summary!$B$5-1</f>
        <v>-0.123776835707066</v>
      </c>
    </row>
    <row r="758" customFormat="false" ht="15" hidden="false" customHeight="false" outlineLevel="0" collapsed="false">
      <c r="A758" s="0" t="n">
        <v>757</v>
      </c>
      <c r="B758" s="14" t="n">
        <v>115678.954493213</v>
      </c>
      <c r="C758" s="15" t="n">
        <v>0.0841921240577489</v>
      </c>
      <c r="D758" s="14" t="n">
        <f aca="false">Summary!$B$5-B758</f>
        <v>-15678.9544932132</v>
      </c>
      <c r="E758" s="15" t="n">
        <f aca="false">B758/Summary!$B$5-1</f>
        <v>0.156789544932132</v>
      </c>
    </row>
    <row r="759" customFormat="false" ht="15" hidden="false" customHeight="false" outlineLevel="0" collapsed="false">
      <c r="A759" s="0" t="n">
        <v>758</v>
      </c>
      <c r="B759" s="14" t="n">
        <v>121634.491459215</v>
      </c>
      <c r="C759" s="15" t="n">
        <v>0.0691269337661085</v>
      </c>
      <c r="D759" s="14" t="n">
        <f aca="false">Summary!$B$5-B759</f>
        <v>-21634.4914592149</v>
      </c>
      <c r="E759" s="15" t="n">
        <f aca="false">B759/Summary!$B$5-1</f>
        <v>0.216344914592149</v>
      </c>
    </row>
    <row r="760" customFormat="false" ht="15" hidden="false" customHeight="false" outlineLevel="0" collapsed="false">
      <c r="A760" s="0" t="n">
        <v>759</v>
      </c>
      <c r="B760" s="14" t="n">
        <v>94453.4751103957</v>
      </c>
      <c r="C760" s="15" t="n">
        <v>0.142241956334829</v>
      </c>
      <c r="D760" s="14" t="n">
        <f aca="false">Summary!$B$5-B760</f>
        <v>5546.52488960426</v>
      </c>
      <c r="E760" s="15" t="n">
        <f aca="false">B760/Summary!$B$5-1</f>
        <v>-0.0554652488960427</v>
      </c>
    </row>
    <row r="761" customFormat="false" ht="15" hidden="false" customHeight="false" outlineLevel="0" collapsed="false">
      <c r="A761" s="0" t="n">
        <v>760</v>
      </c>
      <c r="B761" s="14" t="n">
        <v>90860.7449169708</v>
      </c>
      <c r="C761" s="15" t="n">
        <v>0.162792401617412</v>
      </c>
      <c r="D761" s="14" t="n">
        <f aca="false">Summary!$B$5-B761</f>
        <v>9139.25508302923</v>
      </c>
      <c r="E761" s="15" t="n">
        <f aca="false">B761/Summary!$B$5-1</f>
        <v>-0.0913925508302923</v>
      </c>
    </row>
    <row r="762" customFormat="false" ht="15" hidden="false" customHeight="false" outlineLevel="0" collapsed="false">
      <c r="A762" s="0" t="n">
        <v>761</v>
      </c>
      <c r="B762" s="14" t="n">
        <v>92272.8646685228</v>
      </c>
      <c r="C762" s="15" t="n">
        <v>0.186092983189101</v>
      </c>
      <c r="D762" s="14" t="n">
        <f aca="false">Summary!$B$5-B762</f>
        <v>7727.13533147721</v>
      </c>
      <c r="E762" s="15" t="n">
        <f aca="false">B762/Summary!$B$5-1</f>
        <v>-0.0772713533147721</v>
      </c>
    </row>
    <row r="763" customFormat="false" ht="15" hidden="false" customHeight="false" outlineLevel="0" collapsed="false">
      <c r="A763" s="0" t="n">
        <v>762</v>
      </c>
      <c r="B763" s="14" t="n">
        <v>128906.15983003</v>
      </c>
      <c r="C763" s="15" t="n">
        <v>0.0732455185946298</v>
      </c>
      <c r="D763" s="14" t="n">
        <f aca="false">Summary!$B$5-B763</f>
        <v>-28906.1598300297</v>
      </c>
      <c r="E763" s="15" t="n">
        <f aca="false">B763/Summary!$B$5-1</f>
        <v>0.289061598300297</v>
      </c>
    </row>
    <row r="764" customFormat="false" ht="15" hidden="false" customHeight="false" outlineLevel="0" collapsed="false">
      <c r="A764" s="0" t="n">
        <v>763</v>
      </c>
      <c r="B764" s="14" t="n">
        <v>77075.8323557576</v>
      </c>
      <c r="C764" s="15" t="n">
        <v>0.248405870851986</v>
      </c>
      <c r="D764" s="14" t="n">
        <f aca="false">Summary!$B$5-B764</f>
        <v>22924.1676442424</v>
      </c>
      <c r="E764" s="15" t="n">
        <f aca="false">B764/Summary!$B$5-1</f>
        <v>-0.229241676442424</v>
      </c>
    </row>
    <row r="765" customFormat="false" ht="15" hidden="false" customHeight="false" outlineLevel="0" collapsed="false">
      <c r="A765" s="0" t="n">
        <v>764</v>
      </c>
      <c r="B765" s="14" t="n">
        <v>95297.6517578714</v>
      </c>
      <c r="C765" s="15" t="n">
        <v>0.126777845379756</v>
      </c>
      <c r="D765" s="14" t="n">
        <f aca="false">Summary!$B$5-B765</f>
        <v>4702.34824212865</v>
      </c>
      <c r="E765" s="15" t="n">
        <f aca="false">B765/Summary!$B$5-1</f>
        <v>-0.0470234824212865</v>
      </c>
    </row>
    <row r="766" customFormat="false" ht="15" hidden="false" customHeight="false" outlineLevel="0" collapsed="false">
      <c r="A766" s="0" t="n">
        <v>765</v>
      </c>
      <c r="B766" s="14" t="n">
        <v>93371.6889124094</v>
      </c>
      <c r="C766" s="15" t="n">
        <v>0.113335281249219</v>
      </c>
      <c r="D766" s="14" t="n">
        <f aca="false">Summary!$B$5-B766</f>
        <v>6628.31108759057</v>
      </c>
      <c r="E766" s="15" t="n">
        <f aca="false">B766/Summary!$B$5-1</f>
        <v>-0.0662831108759057</v>
      </c>
    </row>
    <row r="767" customFormat="false" ht="15" hidden="false" customHeight="false" outlineLevel="0" collapsed="false">
      <c r="A767" s="0" t="n">
        <v>766</v>
      </c>
      <c r="B767" s="14" t="n">
        <v>98320.2731974118</v>
      </c>
      <c r="C767" s="15" t="n">
        <v>0.174336978153198</v>
      </c>
      <c r="D767" s="14" t="n">
        <f aca="false">Summary!$B$5-B767</f>
        <v>1679.72680258824</v>
      </c>
      <c r="E767" s="15" t="n">
        <f aca="false">B767/Summary!$B$5-1</f>
        <v>-0.0167972680258823</v>
      </c>
    </row>
    <row r="768" customFormat="false" ht="15" hidden="false" customHeight="false" outlineLevel="0" collapsed="false">
      <c r="A768" s="0" t="n">
        <v>767</v>
      </c>
      <c r="B768" s="14" t="n">
        <v>96150.5682515666</v>
      </c>
      <c r="C768" s="15" t="n">
        <v>0.163528584139215</v>
      </c>
      <c r="D768" s="14" t="n">
        <f aca="false">Summary!$B$5-B768</f>
        <v>3849.43174843342</v>
      </c>
      <c r="E768" s="15" t="n">
        <f aca="false">B768/Summary!$B$5-1</f>
        <v>-0.0384943174843342</v>
      </c>
    </row>
    <row r="769" customFormat="false" ht="15" hidden="false" customHeight="false" outlineLevel="0" collapsed="false">
      <c r="A769" s="0" t="n">
        <v>768</v>
      </c>
      <c r="B769" s="14" t="n">
        <v>105511.812047382</v>
      </c>
      <c r="C769" s="15" t="n">
        <v>0.115708300934371</v>
      </c>
      <c r="D769" s="14" t="n">
        <f aca="false">Summary!$B$5-B769</f>
        <v>-5511.8120473824</v>
      </c>
      <c r="E769" s="15" t="n">
        <f aca="false">B769/Summary!$B$5-1</f>
        <v>0.055118120473824</v>
      </c>
    </row>
    <row r="770" customFormat="false" ht="15" hidden="false" customHeight="false" outlineLevel="0" collapsed="false">
      <c r="A770" s="0" t="n">
        <v>769</v>
      </c>
      <c r="B770" s="14" t="n">
        <v>111544.070630562</v>
      </c>
      <c r="C770" s="15" t="n">
        <v>0.0579979144676392</v>
      </c>
      <c r="D770" s="14" t="n">
        <f aca="false">Summary!$B$5-B770</f>
        <v>-11544.0706305617</v>
      </c>
      <c r="E770" s="15" t="n">
        <f aca="false">B770/Summary!$B$5-1</f>
        <v>0.115440706305617</v>
      </c>
    </row>
    <row r="771" customFormat="false" ht="15" hidden="false" customHeight="false" outlineLevel="0" collapsed="false">
      <c r="A771" s="0" t="n">
        <v>770</v>
      </c>
      <c r="B771" s="14" t="n">
        <v>88436.9679253134</v>
      </c>
      <c r="C771" s="15" t="n">
        <v>0.178183481911452</v>
      </c>
      <c r="D771" s="14" t="n">
        <f aca="false">Summary!$B$5-B771</f>
        <v>11563.0320746866</v>
      </c>
      <c r="E771" s="15" t="n">
        <f aca="false">B771/Summary!$B$5-1</f>
        <v>-0.115630320746866</v>
      </c>
    </row>
    <row r="772" customFormat="false" ht="15" hidden="false" customHeight="false" outlineLevel="0" collapsed="false">
      <c r="A772" s="0" t="n">
        <v>771</v>
      </c>
      <c r="B772" s="14" t="n">
        <v>91099.3153066088</v>
      </c>
      <c r="C772" s="15" t="n">
        <v>0.150078347080893</v>
      </c>
      <c r="D772" s="14" t="n">
        <f aca="false">Summary!$B$5-B772</f>
        <v>8900.68469339117</v>
      </c>
      <c r="E772" s="15" t="n">
        <f aca="false">B772/Summary!$B$5-1</f>
        <v>-0.0890068469339117</v>
      </c>
    </row>
    <row r="773" customFormat="false" ht="15" hidden="false" customHeight="false" outlineLevel="0" collapsed="false">
      <c r="A773" s="0" t="n">
        <v>772</v>
      </c>
      <c r="B773" s="14" t="n">
        <v>104434.726648277</v>
      </c>
      <c r="C773" s="15" t="n">
        <v>0.0815547372391798</v>
      </c>
      <c r="D773" s="14" t="n">
        <f aca="false">Summary!$B$5-B773</f>
        <v>-4434.7266482766</v>
      </c>
      <c r="E773" s="15" t="n">
        <f aca="false">B773/Summary!$B$5-1</f>
        <v>0.044347266482766</v>
      </c>
    </row>
    <row r="774" customFormat="false" ht="15" hidden="false" customHeight="false" outlineLevel="0" collapsed="false">
      <c r="A774" s="0" t="n">
        <v>773</v>
      </c>
      <c r="B774" s="14" t="n">
        <v>88197.7520320882</v>
      </c>
      <c r="C774" s="15" t="n">
        <v>0.211497953661337</v>
      </c>
      <c r="D774" s="14" t="n">
        <f aca="false">Summary!$B$5-B774</f>
        <v>11802.2479679118</v>
      </c>
      <c r="E774" s="15" t="n">
        <f aca="false">B774/Summary!$B$5-1</f>
        <v>-0.118022479679118</v>
      </c>
    </row>
    <row r="775" customFormat="false" ht="15" hidden="false" customHeight="false" outlineLevel="0" collapsed="false">
      <c r="A775" s="0" t="n">
        <v>774</v>
      </c>
      <c r="B775" s="14" t="n">
        <v>104783.555299115</v>
      </c>
      <c r="C775" s="15" t="n">
        <v>0.0759242390516316</v>
      </c>
      <c r="D775" s="14" t="n">
        <f aca="false">Summary!$B$5-B775</f>
        <v>-4783.55529911521</v>
      </c>
      <c r="E775" s="15" t="n">
        <f aca="false">B775/Summary!$B$5-1</f>
        <v>0.0478355529911521</v>
      </c>
    </row>
    <row r="776" customFormat="false" ht="15" hidden="false" customHeight="false" outlineLevel="0" collapsed="false">
      <c r="A776" s="0" t="n">
        <v>775</v>
      </c>
      <c r="B776" s="14" t="n">
        <v>119334.619429972</v>
      </c>
      <c r="C776" s="15" t="n">
        <v>0.0677423863753653</v>
      </c>
      <c r="D776" s="14" t="n">
        <f aca="false">Summary!$B$5-B776</f>
        <v>-19334.619429972</v>
      </c>
      <c r="E776" s="15" t="n">
        <f aca="false">B776/Summary!$B$5-1</f>
        <v>0.19334619429972</v>
      </c>
    </row>
    <row r="777" customFormat="false" ht="15" hidden="false" customHeight="false" outlineLevel="0" collapsed="false">
      <c r="A777" s="0" t="n">
        <v>776</v>
      </c>
      <c r="B777" s="14" t="n">
        <v>108085.738145473</v>
      </c>
      <c r="C777" s="15" t="n">
        <v>0.111691219941729</v>
      </c>
      <c r="D777" s="14" t="n">
        <f aca="false">Summary!$B$5-B777</f>
        <v>-8085.7381454726</v>
      </c>
      <c r="E777" s="15" t="n">
        <f aca="false">B777/Summary!$B$5-1</f>
        <v>0.080857381454726</v>
      </c>
    </row>
    <row r="778" customFormat="false" ht="15" hidden="false" customHeight="false" outlineLevel="0" collapsed="false">
      <c r="A778" s="0" t="n">
        <v>777</v>
      </c>
      <c r="B778" s="14" t="n">
        <v>119161.647189458</v>
      </c>
      <c r="C778" s="15" t="n">
        <v>0.0563023772516997</v>
      </c>
      <c r="D778" s="14" t="n">
        <f aca="false">Summary!$B$5-B778</f>
        <v>-19161.6471894578</v>
      </c>
      <c r="E778" s="15" t="n">
        <f aca="false">B778/Summary!$B$5-1</f>
        <v>0.191616471894578</v>
      </c>
    </row>
    <row r="779" customFormat="false" ht="15" hidden="false" customHeight="false" outlineLevel="0" collapsed="false">
      <c r="A779" s="0" t="n">
        <v>778</v>
      </c>
      <c r="B779" s="14" t="n">
        <v>90656.9122993407</v>
      </c>
      <c r="C779" s="15" t="n">
        <v>0.141124498299774</v>
      </c>
      <c r="D779" s="14" t="n">
        <f aca="false">Summary!$B$5-B779</f>
        <v>9343.08770065935</v>
      </c>
      <c r="E779" s="15" t="n">
        <f aca="false">B779/Summary!$B$5-1</f>
        <v>-0.0934308770065935</v>
      </c>
    </row>
    <row r="780" customFormat="false" ht="15" hidden="false" customHeight="false" outlineLevel="0" collapsed="false">
      <c r="A780" s="0" t="n">
        <v>779</v>
      </c>
      <c r="B780" s="14" t="n">
        <v>100040.985362936</v>
      </c>
      <c r="C780" s="15" t="n">
        <v>0.103052927328693</v>
      </c>
      <c r="D780" s="14" t="n">
        <f aca="false">Summary!$B$5-B780</f>
        <v>-40.9853629358986</v>
      </c>
      <c r="E780" s="15" t="n">
        <f aca="false">B780/Summary!$B$5-1</f>
        <v>0.00040985362935908</v>
      </c>
    </row>
    <row r="781" customFormat="false" ht="15" hidden="false" customHeight="false" outlineLevel="0" collapsed="false">
      <c r="A781" s="0" t="n">
        <v>780</v>
      </c>
      <c r="B781" s="14" t="n">
        <v>90968.7568009935</v>
      </c>
      <c r="C781" s="15" t="n">
        <v>0.157357740360264</v>
      </c>
      <c r="D781" s="14" t="n">
        <f aca="false">Summary!$B$5-B781</f>
        <v>9031.24319900654</v>
      </c>
      <c r="E781" s="15" t="n">
        <f aca="false">B781/Summary!$B$5-1</f>
        <v>-0.0903124319900653</v>
      </c>
    </row>
    <row r="782" customFormat="false" ht="15" hidden="false" customHeight="false" outlineLevel="0" collapsed="false">
      <c r="A782" s="0" t="n">
        <v>781</v>
      </c>
      <c r="B782" s="14" t="n">
        <v>106669.635801613</v>
      </c>
      <c r="C782" s="15" t="n">
        <v>0.136489798502485</v>
      </c>
      <c r="D782" s="14" t="n">
        <f aca="false">Summary!$B$5-B782</f>
        <v>-6669.63580161281</v>
      </c>
      <c r="E782" s="15" t="n">
        <f aca="false">B782/Summary!$B$5-1</f>
        <v>0.0666963580161282</v>
      </c>
    </row>
    <row r="783" customFormat="false" ht="15" hidden="false" customHeight="false" outlineLevel="0" collapsed="false">
      <c r="A783" s="0" t="n">
        <v>782</v>
      </c>
      <c r="B783" s="14" t="n">
        <v>96373.7895213471</v>
      </c>
      <c r="C783" s="15" t="n">
        <v>0.131066377267883</v>
      </c>
      <c r="D783" s="14" t="n">
        <f aca="false">Summary!$B$5-B783</f>
        <v>3626.21047865294</v>
      </c>
      <c r="E783" s="15" t="n">
        <f aca="false">B783/Summary!$B$5-1</f>
        <v>-0.0362621047865294</v>
      </c>
    </row>
    <row r="784" customFormat="false" ht="15" hidden="false" customHeight="false" outlineLevel="0" collapsed="false">
      <c r="A784" s="0" t="n">
        <v>783</v>
      </c>
      <c r="B784" s="14" t="n">
        <v>87865.9748116227</v>
      </c>
      <c r="C784" s="15" t="n">
        <v>0.195464091129891</v>
      </c>
      <c r="D784" s="14" t="n">
        <f aca="false">Summary!$B$5-B784</f>
        <v>12134.0251883773</v>
      </c>
      <c r="E784" s="15" t="n">
        <f aca="false">B784/Summary!$B$5-1</f>
        <v>-0.121340251883773</v>
      </c>
    </row>
    <row r="785" customFormat="false" ht="15" hidden="false" customHeight="false" outlineLevel="0" collapsed="false">
      <c r="A785" s="0" t="n">
        <v>784</v>
      </c>
      <c r="B785" s="14" t="n">
        <v>110705.362257249</v>
      </c>
      <c r="C785" s="15" t="n">
        <v>0.0898407128651774</v>
      </c>
      <c r="D785" s="14" t="n">
        <f aca="false">Summary!$B$5-B785</f>
        <v>-10705.3622572494</v>
      </c>
      <c r="E785" s="15" t="n">
        <f aca="false">B785/Summary!$B$5-1</f>
        <v>0.107053622572494</v>
      </c>
    </row>
    <row r="786" customFormat="false" ht="15" hidden="false" customHeight="false" outlineLevel="0" collapsed="false">
      <c r="A786" s="0" t="n">
        <v>785</v>
      </c>
      <c r="B786" s="14" t="n">
        <v>118550.126550503</v>
      </c>
      <c r="C786" s="15" t="n">
        <v>0.0582645000715726</v>
      </c>
      <c r="D786" s="14" t="n">
        <f aca="false">Summary!$B$5-B786</f>
        <v>-18550.1265505026</v>
      </c>
      <c r="E786" s="15" t="n">
        <f aca="false">B786/Summary!$B$5-1</f>
        <v>0.185501265505026</v>
      </c>
    </row>
    <row r="787" customFormat="false" ht="15" hidden="false" customHeight="false" outlineLevel="0" collapsed="false">
      <c r="A787" s="0" t="n">
        <v>786</v>
      </c>
      <c r="B787" s="14" t="n">
        <v>110078.4056622</v>
      </c>
      <c r="C787" s="15" t="n">
        <v>0.0725930991346732</v>
      </c>
      <c r="D787" s="14" t="n">
        <f aca="false">Summary!$B$5-B787</f>
        <v>-10078.4056621997</v>
      </c>
      <c r="E787" s="15" t="n">
        <f aca="false">B787/Summary!$B$5-1</f>
        <v>0.100784056621997</v>
      </c>
    </row>
    <row r="788" customFormat="false" ht="15" hidden="false" customHeight="false" outlineLevel="0" collapsed="false">
      <c r="A788" s="0" t="n">
        <v>787</v>
      </c>
      <c r="B788" s="14" t="n">
        <v>95641.0718515303</v>
      </c>
      <c r="C788" s="15" t="n">
        <v>0.122291557167657</v>
      </c>
      <c r="D788" s="14" t="n">
        <f aca="false">Summary!$B$5-B788</f>
        <v>4358.92814846974</v>
      </c>
      <c r="E788" s="15" t="n">
        <f aca="false">B788/Summary!$B$5-1</f>
        <v>-0.0435892814846974</v>
      </c>
    </row>
    <row r="789" customFormat="false" ht="15" hidden="false" customHeight="false" outlineLevel="0" collapsed="false">
      <c r="A789" s="0" t="n">
        <v>788</v>
      </c>
      <c r="B789" s="14" t="n">
        <v>140323.949610896</v>
      </c>
      <c r="C789" s="15" t="n">
        <v>0.0433572196613764</v>
      </c>
      <c r="D789" s="14" t="n">
        <f aca="false">Summary!$B$5-B789</f>
        <v>-40323.9496108961</v>
      </c>
      <c r="E789" s="15" t="n">
        <f aca="false">B789/Summary!$B$5-1</f>
        <v>0.403239496108961</v>
      </c>
    </row>
    <row r="790" customFormat="false" ht="15" hidden="false" customHeight="false" outlineLevel="0" collapsed="false">
      <c r="A790" s="0" t="n">
        <v>789</v>
      </c>
      <c r="B790" s="14" t="n">
        <v>104956.257289429</v>
      </c>
      <c r="C790" s="15" t="n">
        <v>0.0859324853662201</v>
      </c>
      <c r="D790" s="14" t="n">
        <f aca="false">Summary!$B$5-B790</f>
        <v>-4956.25728942901</v>
      </c>
      <c r="E790" s="15" t="n">
        <f aca="false">B790/Summary!$B$5-1</f>
        <v>0.0495625728942901</v>
      </c>
    </row>
    <row r="791" customFormat="false" ht="15" hidden="false" customHeight="false" outlineLevel="0" collapsed="false">
      <c r="A791" s="0" t="n">
        <v>790</v>
      </c>
      <c r="B791" s="14" t="n">
        <v>87512.6252248136</v>
      </c>
      <c r="C791" s="15" t="n">
        <v>0.190029145033125</v>
      </c>
      <c r="D791" s="14" t="n">
        <f aca="false">Summary!$B$5-B791</f>
        <v>12487.3747751864</v>
      </c>
      <c r="E791" s="15" t="n">
        <f aca="false">B791/Summary!$B$5-1</f>
        <v>-0.124873747751864</v>
      </c>
    </row>
    <row r="792" customFormat="false" ht="15" hidden="false" customHeight="false" outlineLevel="0" collapsed="false">
      <c r="A792" s="0" t="n">
        <v>791</v>
      </c>
      <c r="B792" s="14" t="n">
        <v>91138.1921862884</v>
      </c>
      <c r="C792" s="15" t="n">
        <v>0.143842066302899</v>
      </c>
      <c r="D792" s="14" t="n">
        <f aca="false">Summary!$B$5-B792</f>
        <v>8861.80781371158</v>
      </c>
      <c r="E792" s="15" t="n">
        <f aca="false">B792/Summary!$B$5-1</f>
        <v>-0.0886180781371159</v>
      </c>
    </row>
    <row r="793" customFormat="false" ht="15" hidden="false" customHeight="false" outlineLevel="0" collapsed="false">
      <c r="A793" s="0" t="n">
        <v>792</v>
      </c>
      <c r="B793" s="14" t="n">
        <v>114208.086144373</v>
      </c>
      <c r="C793" s="15" t="n">
        <v>0.0595796018735901</v>
      </c>
      <c r="D793" s="14" t="n">
        <f aca="false">Summary!$B$5-B793</f>
        <v>-14208.0861443725</v>
      </c>
      <c r="E793" s="15" t="n">
        <f aca="false">B793/Summary!$B$5-1</f>
        <v>0.142080861443725</v>
      </c>
    </row>
    <row r="794" customFormat="false" ht="15" hidden="false" customHeight="false" outlineLevel="0" collapsed="false">
      <c r="A794" s="0" t="n">
        <v>793</v>
      </c>
      <c r="B794" s="14" t="n">
        <v>91931.5887351544</v>
      </c>
      <c r="C794" s="15" t="n">
        <v>0.138415369176027</v>
      </c>
      <c r="D794" s="14" t="n">
        <f aca="false">Summary!$B$5-B794</f>
        <v>8068.41126484562</v>
      </c>
      <c r="E794" s="15" t="n">
        <f aca="false">B794/Summary!$B$5-1</f>
        <v>-0.0806841126484562</v>
      </c>
    </row>
    <row r="795" customFormat="false" ht="15" hidden="false" customHeight="false" outlineLevel="0" collapsed="false">
      <c r="A795" s="0" t="n">
        <v>794</v>
      </c>
      <c r="B795" s="14" t="n">
        <v>111850.673058965</v>
      </c>
      <c r="C795" s="15" t="n">
        <v>0.059303571460995</v>
      </c>
      <c r="D795" s="14" t="n">
        <f aca="false">Summary!$B$5-B795</f>
        <v>-11850.6730589646</v>
      </c>
      <c r="E795" s="15" t="n">
        <f aca="false">B795/Summary!$B$5-1</f>
        <v>0.118506730589646</v>
      </c>
    </row>
    <row r="796" customFormat="false" ht="15" hidden="false" customHeight="false" outlineLevel="0" collapsed="false">
      <c r="A796" s="0" t="n">
        <v>795</v>
      </c>
      <c r="B796" s="14" t="n">
        <v>106070.721636604</v>
      </c>
      <c r="C796" s="15" t="n">
        <v>0.10014347962225</v>
      </c>
      <c r="D796" s="14" t="n">
        <f aca="false">Summary!$B$5-B796</f>
        <v>-6070.72163660399</v>
      </c>
      <c r="E796" s="15" t="n">
        <f aca="false">B796/Summary!$B$5-1</f>
        <v>0.06070721636604</v>
      </c>
    </row>
    <row r="797" customFormat="false" ht="15" hidden="false" customHeight="false" outlineLevel="0" collapsed="false">
      <c r="A797" s="0" t="n">
        <v>796</v>
      </c>
      <c r="B797" s="14" t="n">
        <v>109054.081249274</v>
      </c>
      <c r="C797" s="15" t="n">
        <v>0.0495573519137192</v>
      </c>
      <c r="D797" s="14" t="n">
        <f aca="false">Summary!$B$5-B797</f>
        <v>-9054.0812492744</v>
      </c>
      <c r="E797" s="15" t="n">
        <f aca="false">B797/Summary!$B$5-1</f>
        <v>0.090540812492744</v>
      </c>
    </row>
    <row r="798" customFormat="false" ht="15" hidden="false" customHeight="false" outlineLevel="0" collapsed="false">
      <c r="A798" s="0" t="n">
        <v>797</v>
      </c>
      <c r="B798" s="14" t="n">
        <v>104679.710242602</v>
      </c>
      <c r="C798" s="15" t="n">
        <v>0.148665270370544</v>
      </c>
      <c r="D798" s="14" t="n">
        <f aca="false">Summary!$B$5-B798</f>
        <v>-4679.710242602</v>
      </c>
      <c r="E798" s="15" t="n">
        <f aca="false">B798/Summary!$B$5-1</f>
        <v>0.0467971024260201</v>
      </c>
    </row>
    <row r="799" customFormat="false" ht="15" hidden="false" customHeight="false" outlineLevel="0" collapsed="false">
      <c r="A799" s="0" t="n">
        <v>798</v>
      </c>
      <c r="B799" s="14" t="n">
        <v>100852.727874107</v>
      </c>
      <c r="C799" s="15" t="n">
        <v>0.128699938324266</v>
      </c>
      <c r="D799" s="14" t="n">
        <f aca="false">Summary!$B$5-B799</f>
        <v>-852.727874107295</v>
      </c>
      <c r="E799" s="15" t="n">
        <f aca="false">B799/Summary!$B$5-1</f>
        <v>0.00852727874107284</v>
      </c>
    </row>
    <row r="800" customFormat="false" ht="15" hidden="false" customHeight="false" outlineLevel="0" collapsed="false">
      <c r="A800" s="0" t="n">
        <v>799</v>
      </c>
      <c r="B800" s="14" t="n">
        <v>109320.386873784</v>
      </c>
      <c r="C800" s="15" t="n">
        <v>0.114373500999762</v>
      </c>
      <c r="D800" s="14" t="n">
        <f aca="false">Summary!$B$5-B800</f>
        <v>-9320.3868737841</v>
      </c>
      <c r="E800" s="15" t="n">
        <f aca="false">B800/Summary!$B$5-1</f>
        <v>0.0932038687378409</v>
      </c>
    </row>
    <row r="801" customFormat="false" ht="15" hidden="false" customHeight="false" outlineLevel="0" collapsed="false">
      <c r="A801" s="0" t="n">
        <v>800</v>
      </c>
      <c r="B801" s="14" t="n">
        <v>96056.6367452382</v>
      </c>
      <c r="C801" s="15" t="n">
        <v>0.115781552625984</v>
      </c>
      <c r="D801" s="14" t="n">
        <f aca="false">Summary!$B$5-B801</f>
        <v>3943.36325476179</v>
      </c>
      <c r="E801" s="15" t="n">
        <f aca="false">B801/Summary!$B$5-1</f>
        <v>-0.0394336325476179</v>
      </c>
    </row>
    <row r="802" customFormat="false" ht="15" hidden="false" customHeight="false" outlineLevel="0" collapsed="false">
      <c r="A802" s="0" t="n">
        <v>801</v>
      </c>
      <c r="B802" s="14" t="n">
        <v>91081.0300462385</v>
      </c>
      <c r="C802" s="15" t="n">
        <v>0.14738676228754</v>
      </c>
      <c r="D802" s="14" t="n">
        <f aca="false">Summary!$B$5-B802</f>
        <v>8918.96995376155</v>
      </c>
      <c r="E802" s="15" t="n">
        <f aca="false">B802/Summary!$B$5-1</f>
        <v>-0.0891896995376156</v>
      </c>
    </row>
    <row r="803" customFormat="false" ht="15" hidden="false" customHeight="false" outlineLevel="0" collapsed="false">
      <c r="A803" s="0" t="n">
        <v>802</v>
      </c>
      <c r="B803" s="14" t="n">
        <v>98326.8387781522</v>
      </c>
      <c r="C803" s="15" t="n">
        <v>0.173780126328544</v>
      </c>
      <c r="D803" s="14" t="n">
        <f aca="false">Summary!$B$5-B803</f>
        <v>1673.16122184777</v>
      </c>
      <c r="E803" s="15" t="n">
        <f aca="false">B803/Summary!$B$5-1</f>
        <v>-0.0167316122184776</v>
      </c>
    </row>
    <row r="804" customFormat="false" ht="15" hidden="false" customHeight="false" outlineLevel="0" collapsed="false">
      <c r="A804" s="0" t="n">
        <v>803</v>
      </c>
      <c r="B804" s="14" t="n">
        <v>81619.8361108583</v>
      </c>
      <c r="C804" s="15" t="n">
        <v>0.23271028272471</v>
      </c>
      <c r="D804" s="14" t="n">
        <f aca="false">Summary!$B$5-B804</f>
        <v>18380.1638891417</v>
      </c>
      <c r="E804" s="15" t="n">
        <f aca="false">B804/Summary!$B$5-1</f>
        <v>-0.183801638891417</v>
      </c>
    </row>
    <row r="805" customFormat="false" ht="15" hidden="false" customHeight="false" outlineLevel="0" collapsed="false">
      <c r="A805" s="0" t="n">
        <v>804</v>
      </c>
      <c r="B805" s="14" t="n">
        <v>119893.789332056</v>
      </c>
      <c r="C805" s="15" t="n">
        <v>0.0505063058631506</v>
      </c>
      <c r="D805" s="14" t="n">
        <f aca="false">Summary!$B$5-B805</f>
        <v>-19893.789332056</v>
      </c>
      <c r="E805" s="15" t="n">
        <f aca="false">B805/Summary!$B$5-1</f>
        <v>0.19893789332056</v>
      </c>
    </row>
    <row r="806" customFormat="false" ht="15" hidden="false" customHeight="false" outlineLevel="0" collapsed="false">
      <c r="A806" s="0" t="n">
        <v>805</v>
      </c>
      <c r="B806" s="14" t="n">
        <v>89821.8207214593</v>
      </c>
      <c r="C806" s="15" t="n">
        <v>0.131360683362603</v>
      </c>
      <c r="D806" s="14" t="n">
        <f aca="false">Summary!$B$5-B806</f>
        <v>10178.1792785407</v>
      </c>
      <c r="E806" s="15" t="n">
        <f aca="false">B806/Summary!$B$5-1</f>
        <v>-0.101781792785407</v>
      </c>
    </row>
    <row r="807" customFormat="false" ht="15" hidden="false" customHeight="false" outlineLevel="0" collapsed="false">
      <c r="A807" s="0" t="n">
        <v>806</v>
      </c>
      <c r="B807" s="14" t="n">
        <v>120335.515168537</v>
      </c>
      <c r="C807" s="15" t="n">
        <v>0.0934148894247261</v>
      </c>
      <c r="D807" s="14" t="n">
        <f aca="false">Summary!$B$5-B807</f>
        <v>-20335.5151685372</v>
      </c>
      <c r="E807" s="15" t="n">
        <f aca="false">B807/Summary!$B$5-1</f>
        <v>0.203355151685372</v>
      </c>
    </row>
    <row r="808" customFormat="false" ht="15" hidden="false" customHeight="false" outlineLevel="0" collapsed="false">
      <c r="A808" s="0" t="n">
        <v>807</v>
      </c>
      <c r="B808" s="14" t="n">
        <v>102139.471175534</v>
      </c>
      <c r="C808" s="15" t="n">
        <v>0.0754939300034944</v>
      </c>
      <c r="D808" s="14" t="n">
        <f aca="false">Summary!$B$5-B808</f>
        <v>-2139.47117553389</v>
      </c>
      <c r="E808" s="15" t="n">
        <f aca="false">B808/Summary!$B$5-1</f>
        <v>0.021394711755339</v>
      </c>
    </row>
    <row r="809" customFormat="false" ht="15" hidden="false" customHeight="false" outlineLevel="0" collapsed="false">
      <c r="A809" s="0" t="n">
        <v>808</v>
      </c>
      <c r="B809" s="14" t="n">
        <v>100523.948508661</v>
      </c>
      <c r="C809" s="15" t="n">
        <v>0.110144259441891</v>
      </c>
      <c r="D809" s="14" t="n">
        <f aca="false">Summary!$B$5-B809</f>
        <v>-523.948508660498</v>
      </c>
      <c r="E809" s="15" t="n">
        <f aca="false">B809/Summary!$B$5-1</f>
        <v>0.00523948508660488</v>
      </c>
    </row>
    <row r="810" customFormat="false" ht="15" hidden="false" customHeight="false" outlineLevel="0" collapsed="false">
      <c r="A810" s="0" t="n">
        <v>809</v>
      </c>
      <c r="B810" s="14" t="n">
        <v>117460.151862447</v>
      </c>
      <c r="C810" s="15" t="n">
        <v>0.0747722750452894</v>
      </c>
      <c r="D810" s="14" t="n">
        <f aca="false">Summary!$B$5-B810</f>
        <v>-17460.1518624465</v>
      </c>
      <c r="E810" s="15" t="n">
        <f aca="false">B810/Summary!$B$5-1</f>
        <v>0.174601518624465</v>
      </c>
    </row>
    <row r="811" customFormat="false" ht="15" hidden="false" customHeight="false" outlineLevel="0" collapsed="false">
      <c r="A811" s="0" t="n">
        <v>810</v>
      </c>
      <c r="B811" s="14" t="n">
        <v>120118.21406614</v>
      </c>
      <c r="C811" s="15" t="n">
        <v>0.0753437457882474</v>
      </c>
      <c r="D811" s="14" t="n">
        <f aca="false">Summary!$B$5-B811</f>
        <v>-20118.2140661404</v>
      </c>
      <c r="E811" s="15" t="n">
        <f aca="false">B811/Summary!$B$5-1</f>
        <v>0.201182140661404</v>
      </c>
    </row>
    <row r="812" customFormat="false" ht="15" hidden="false" customHeight="false" outlineLevel="0" collapsed="false">
      <c r="A812" s="0" t="n">
        <v>811</v>
      </c>
      <c r="B812" s="14" t="n">
        <v>98260.7433128803</v>
      </c>
      <c r="C812" s="15" t="n">
        <v>0.1546161881643</v>
      </c>
      <c r="D812" s="14" t="n">
        <f aca="false">Summary!$B$5-B812</f>
        <v>1739.25668711969</v>
      </c>
      <c r="E812" s="15" t="n">
        <f aca="false">B812/Summary!$B$5-1</f>
        <v>-0.0173925668711969</v>
      </c>
    </row>
    <row r="813" customFormat="false" ht="15" hidden="false" customHeight="false" outlineLevel="0" collapsed="false">
      <c r="A813" s="0" t="n">
        <v>812</v>
      </c>
      <c r="B813" s="14" t="n">
        <v>92461.2740105384</v>
      </c>
      <c r="C813" s="15" t="n">
        <v>0.15410982622478</v>
      </c>
      <c r="D813" s="14" t="n">
        <f aca="false">Summary!$B$5-B813</f>
        <v>7538.72598946159</v>
      </c>
      <c r="E813" s="15" t="n">
        <f aca="false">B813/Summary!$B$5-1</f>
        <v>-0.0753872598946158</v>
      </c>
    </row>
    <row r="814" customFormat="false" ht="15" hidden="false" customHeight="false" outlineLevel="0" collapsed="false">
      <c r="A814" s="0" t="n">
        <v>813</v>
      </c>
      <c r="B814" s="14" t="n">
        <v>96659.369092114</v>
      </c>
      <c r="C814" s="15" t="n">
        <v>0.123191767183788</v>
      </c>
      <c r="D814" s="14" t="n">
        <f aca="false">Summary!$B$5-B814</f>
        <v>3340.63090788596</v>
      </c>
      <c r="E814" s="15" t="n">
        <f aca="false">B814/Summary!$B$5-1</f>
        <v>-0.0334063090788597</v>
      </c>
    </row>
    <row r="815" customFormat="false" ht="15" hidden="false" customHeight="false" outlineLevel="0" collapsed="false">
      <c r="A815" s="0" t="n">
        <v>814</v>
      </c>
      <c r="B815" s="14" t="n">
        <v>108014.858152317</v>
      </c>
      <c r="C815" s="15" t="n">
        <v>0.0715343167349507</v>
      </c>
      <c r="D815" s="14" t="n">
        <f aca="false">Summary!$B$5-B815</f>
        <v>-8014.8581523169</v>
      </c>
      <c r="E815" s="15" t="n">
        <f aca="false">B815/Summary!$B$5-1</f>
        <v>0.0801485815231691</v>
      </c>
    </row>
    <row r="816" customFormat="false" ht="15" hidden="false" customHeight="false" outlineLevel="0" collapsed="false">
      <c r="A816" s="0" t="n">
        <v>815</v>
      </c>
      <c r="B816" s="14" t="n">
        <v>120416.988638979</v>
      </c>
      <c r="C816" s="15" t="n">
        <v>0.0861714651840481</v>
      </c>
      <c r="D816" s="14" t="n">
        <f aca="false">Summary!$B$5-B816</f>
        <v>-20416.9886389793</v>
      </c>
      <c r="E816" s="15" t="n">
        <f aca="false">B816/Summary!$B$5-1</f>
        <v>0.204169886389793</v>
      </c>
    </row>
    <row r="817" customFormat="false" ht="15" hidden="false" customHeight="false" outlineLevel="0" collapsed="false">
      <c r="A817" s="0" t="n">
        <v>816</v>
      </c>
      <c r="B817" s="14" t="n">
        <v>118359.888642202</v>
      </c>
      <c r="C817" s="15" t="n">
        <v>0.0961749213811654</v>
      </c>
      <c r="D817" s="14" t="n">
        <f aca="false">Summary!$B$5-B817</f>
        <v>-18359.8886422017</v>
      </c>
      <c r="E817" s="15" t="n">
        <f aca="false">B817/Summary!$B$5-1</f>
        <v>0.183598886422017</v>
      </c>
    </row>
    <row r="818" customFormat="false" ht="15" hidden="false" customHeight="false" outlineLevel="0" collapsed="false">
      <c r="A818" s="0" t="n">
        <v>817</v>
      </c>
      <c r="B818" s="14" t="n">
        <v>88404.9934874502</v>
      </c>
      <c r="C818" s="15" t="n">
        <v>0.16685374431043</v>
      </c>
      <c r="D818" s="14" t="n">
        <f aca="false">Summary!$B$5-B818</f>
        <v>11595.0065125498</v>
      </c>
      <c r="E818" s="15" t="n">
        <f aca="false">B818/Summary!$B$5-1</f>
        <v>-0.115950065125498</v>
      </c>
    </row>
    <row r="819" customFormat="false" ht="15" hidden="false" customHeight="false" outlineLevel="0" collapsed="false">
      <c r="A819" s="0" t="n">
        <v>818</v>
      </c>
      <c r="B819" s="14" t="n">
        <v>116140.261992512</v>
      </c>
      <c r="C819" s="15" t="n">
        <v>0.123768992477205</v>
      </c>
      <c r="D819" s="14" t="n">
        <f aca="false">Summary!$B$5-B819</f>
        <v>-16140.2619925121</v>
      </c>
      <c r="E819" s="15" t="n">
        <f aca="false">B819/Summary!$B$5-1</f>
        <v>0.161402619925121</v>
      </c>
    </row>
    <row r="820" customFormat="false" ht="15" hidden="false" customHeight="false" outlineLevel="0" collapsed="false">
      <c r="A820" s="0" t="n">
        <v>819</v>
      </c>
      <c r="B820" s="14" t="n">
        <v>100366.640321574</v>
      </c>
      <c r="C820" s="15" t="n">
        <v>0.0683505460573485</v>
      </c>
      <c r="D820" s="14" t="n">
        <f aca="false">Summary!$B$5-B820</f>
        <v>-366.640321573796</v>
      </c>
      <c r="E820" s="15" t="n">
        <f aca="false">B820/Summary!$B$5-1</f>
        <v>0.00366640321573786</v>
      </c>
    </row>
    <row r="821" customFormat="false" ht="15" hidden="false" customHeight="false" outlineLevel="0" collapsed="false">
      <c r="A821" s="0" t="n">
        <v>820</v>
      </c>
      <c r="B821" s="14" t="n">
        <v>127841.787319763</v>
      </c>
      <c r="C821" s="15" t="n">
        <v>0.0561717423569202</v>
      </c>
      <c r="D821" s="14" t="n">
        <f aca="false">Summary!$B$5-B821</f>
        <v>-27841.7873197628</v>
      </c>
      <c r="E821" s="15" t="n">
        <f aca="false">B821/Summary!$B$5-1</f>
        <v>0.278417873197628</v>
      </c>
    </row>
    <row r="822" customFormat="false" ht="15" hidden="false" customHeight="false" outlineLevel="0" collapsed="false">
      <c r="A822" s="0" t="n">
        <v>821</v>
      </c>
      <c r="B822" s="14" t="n">
        <v>117146.280177525</v>
      </c>
      <c r="C822" s="15" t="n">
        <v>0.0747675144950204</v>
      </c>
      <c r="D822" s="14" t="n">
        <f aca="false">Summary!$B$5-B822</f>
        <v>-17146.2801775254</v>
      </c>
      <c r="E822" s="15" t="n">
        <f aca="false">B822/Summary!$B$5-1</f>
        <v>0.171462801775254</v>
      </c>
    </row>
    <row r="823" customFormat="false" ht="15" hidden="false" customHeight="false" outlineLevel="0" collapsed="false">
      <c r="A823" s="0" t="n">
        <v>822</v>
      </c>
      <c r="B823" s="14" t="n">
        <v>97320.9391966868</v>
      </c>
      <c r="C823" s="15" t="n">
        <v>0.116271876102095</v>
      </c>
      <c r="D823" s="14" t="n">
        <f aca="false">Summary!$B$5-B823</f>
        <v>2679.06080331316</v>
      </c>
      <c r="E823" s="15" t="n">
        <f aca="false">B823/Summary!$B$5-1</f>
        <v>-0.0267906080331316</v>
      </c>
    </row>
    <row r="824" customFormat="false" ht="15" hidden="false" customHeight="false" outlineLevel="0" collapsed="false">
      <c r="A824" s="0" t="n">
        <v>823</v>
      </c>
      <c r="B824" s="14" t="n">
        <v>117658.082367029</v>
      </c>
      <c r="C824" s="15" t="n">
        <v>0.0844640384614611</v>
      </c>
      <c r="D824" s="14" t="n">
        <f aca="false">Summary!$B$5-B824</f>
        <v>-17658.082367029</v>
      </c>
      <c r="E824" s="15" t="n">
        <f aca="false">B824/Summary!$B$5-1</f>
        <v>0.17658082367029</v>
      </c>
    </row>
    <row r="825" customFormat="false" ht="15" hidden="false" customHeight="false" outlineLevel="0" collapsed="false">
      <c r="A825" s="0" t="n">
        <v>824</v>
      </c>
      <c r="B825" s="14" t="n">
        <v>109481.335356466</v>
      </c>
      <c r="C825" s="15" t="n">
        <v>0.0647326157020624</v>
      </c>
      <c r="D825" s="14" t="n">
        <f aca="false">Summary!$B$5-B825</f>
        <v>-9481.33535646601</v>
      </c>
      <c r="E825" s="15" t="n">
        <f aca="false">B825/Summary!$B$5-1</f>
        <v>0.09481335356466</v>
      </c>
    </row>
    <row r="826" customFormat="false" ht="15" hidden="false" customHeight="false" outlineLevel="0" collapsed="false">
      <c r="A826" s="0" t="n">
        <v>825</v>
      </c>
      <c r="B826" s="14" t="n">
        <v>108478.633037317</v>
      </c>
      <c r="C826" s="15" t="n">
        <v>0.0782718364066911</v>
      </c>
      <c r="D826" s="14" t="n">
        <f aca="false">Summary!$B$5-B826</f>
        <v>-8478.6330373174</v>
      </c>
      <c r="E826" s="15" t="n">
        <f aca="false">B826/Summary!$B$5-1</f>
        <v>0.084786330373174</v>
      </c>
    </row>
    <row r="827" customFormat="false" ht="15" hidden="false" customHeight="false" outlineLevel="0" collapsed="false">
      <c r="A827" s="0" t="n">
        <v>826</v>
      </c>
      <c r="B827" s="14" t="n">
        <v>113292.674879728</v>
      </c>
      <c r="C827" s="15" t="n">
        <v>0.0891139438368727</v>
      </c>
      <c r="D827" s="14" t="n">
        <f aca="false">Summary!$B$5-B827</f>
        <v>-13292.674879728</v>
      </c>
      <c r="E827" s="15" t="n">
        <f aca="false">B827/Summary!$B$5-1</f>
        <v>0.13292674879728</v>
      </c>
    </row>
    <row r="828" customFormat="false" ht="15" hidden="false" customHeight="false" outlineLevel="0" collapsed="false">
      <c r="A828" s="0" t="n">
        <v>827</v>
      </c>
      <c r="B828" s="14" t="n">
        <v>117700.66259149</v>
      </c>
      <c r="C828" s="15" t="n">
        <v>0.0839751279750726</v>
      </c>
      <c r="D828" s="14" t="n">
        <f aca="false">Summary!$B$5-B828</f>
        <v>-17700.6625914898</v>
      </c>
      <c r="E828" s="15" t="n">
        <f aca="false">B828/Summary!$B$5-1</f>
        <v>0.177006625914898</v>
      </c>
    </row>
    <row r="829" customFormat="false" ht="15" hidden="false" customHeight="false" outlineLevel="0" collapsed="false">
      <c r="A829" s="0" t="n">
        <v>828</v>
      </c>
      <c r="B829" s="14" t="n">
        <v>114102.285076869</v>
      </c>
      <c r="C829" s="15" t="n">
        <v>0.0955018358073266</v>
      </c>
      <c r="D829" s="14" t="n">
        <f aca="false">Summary!$B$5-B829</f>
        <v>-14102.2850768688</v>
      </c>
      <c r="E829" s="15" t="n">
        <f aca="false">B829/Summary!$B$5-1</f>
        <v>0.141022850768688</v>
      </c>
    </row>
    <row r="830" customFormat="false" ht="15" hidden="false" customHeight="false" outlineLevel="0" collapsed="false">
      <c r="A830" s="0" t="n">
        <v>829</v>
      </c>
      <c r="B830" s="14" t="n">
        <v>113171.321574136</v>
      </c>
      <c r="C830" s="15" t="n">
        <v>0.0638520607934945</v>
      </c>
      <c r="D830" s="14" t="n">
        <f aca="false">Summary!$B$5-B830</f>
        <v>-13171.3215741356</v>
      </c>
      <c r="E830" s="15" t="n">
        <f aca="false">B830/Summary!$B$5-1</f>
        <v>0.131713215741356</v>
      </c>
    </row>
    <row r="831" customFormat="false" ht="15" hidden="false" customHeight="false" outlineLevel="0" collapsed="false">
      <c r="A831" s="0" t="n">
        <v>830</v>
      </c>
      <c r="B831" s="14" t="n">
        <v>118678.714770522</v>
      </c>
      <c r="C831" s="15" t="n">
        <v>0.0664531329961062</v>
      </c>
      <c r="D831" s="14" t="n">
        <f aca="false">Summary!$B$5-B831</f>
        <v>-18678.714770522</v>
      </c>
      <c r="E831" s="15" t="n">
        <f aca="false">B831/Summary!$B$5-1</f>
        <v>0.18678714770522</v>
      </c>
    </row>
    <row r="832" customFormat="false" ht="15" hidden="false" customHeight="false" outlineLevel="0" collapsed="false">
      <c r="A832" s="0" t="n">
        <v>831</v>
      </c>
      <c r="B832" s="14" t="n">
        <v>102046.253149234</v>
      </c>
      <c r="C832" s="15" t="n">
        <v>0.0757120899185902</v>
      </c>
      <c r="D832" s="14" t="n">
        <f aca="false">Summary!$B$5-B832</f>
        <v>-2046.2531492342</v>
      </c>
      <c r="E832" s="15" t="n">
        <f aca="false">B832/Summary!$B$5-1</f>
        <v>0.0204625314923419</v>
      </c>
    </row>
    <row r="833" customFormat="false" ht="15" hidden="false" customHeight="false" outlineLevel="0" collapsed="false">
      <c r="A833" s="0" t="n">
        <v>832</v>
      </c>
      <c r="B833" s="14" t="n">
        <v>106831.155822474</v>
      </c>
      <c r="C833" s="15" t="n">
        <v>0.103620392170469</v>
      </c>
      <c r="D833" s="14" t="n">
        <f aca="false">Summary!$B$5-B833</f>
        <v>-6831.1558224741</v>
      </c>
      <c r="E833" s="15" t="n">
        <f aca="false">B833/Summary!$B$5-1</f>
        <v>0.0683115582247411</v>
      </c>
    </row>
    <row r="834" customFormat="false" ht="15" hidden="false" customHeight="false" outlineLevel="0" collapsed="false">
      <c r="A834" s="0" t="n">
        <v>833</v>
      </c>
      <c r="B834" s="14" t="n">
        <v>96124.0461317297</v>
      </c>
      <c r="C834" s="15" t="n">
        <v>0.112375723102167</v>
      </c>
      <c r="D834" s="14" t="n">
        <f aca="false">Summary!$B$5-B834</f>
        <v>3875.95386827033</v>
      </c>
      <c r="E834" s="15" t="n">
        <f aca="false">B834/Summary!$B$5-1</f>
        <v>-0.0387595386827033</v>
      </c>
    </row>
    <row r="835" customFormat="false" ht="15" hidden="false" customHeight="false" outlineLevel="0" collapsed="false">
      <c r="A835" s="0" t="n">
        <v>834</v>
      </c>
      <c r="B835" s="14" t="n">
        <v>81712.7525743081</v>
      </c>
      <c r="C835" s="15" t="n">
        <v>0.223465807408021</v>
      </c>
      <c r="D835" s="14" t="n">
        <f aca="false">Summary!$B$5-B835</f>
        <v>18287.2474256919</v>
      </c>
      <c r="E835" s="15" t="n">
        <f aca="false">B835/Summary!$B$5-1</f>
        <v>-0.182872474256919</v>
      </c>
    </row>
    <row r="836" customFormat="false" ht="15" hidden="false" customHeight="false" outlineLevel="0" collapsed="false">
      <c r="A836" s="0" t="n">
        <v>835</v>
      </c>
      <c r="B836" s="14" t="n">
        <v>100908.816875176</v>
      </c>
      <c r="C836" s="15" t="n">
        <v>0.0994579345644744</v>
      </c>
      <c r="D836" s="14" t="n">
        <f aca="false">Summary!$B$5-B836</f>
        <v>-908.816875175602</v>
      </c>
      <c r="E836" s="15" t="n">
        <f aca="false">B836/Summary!$B$5-1</f>
        <v>0.00908816875175611</v>
      </c>
    </row>
    <row r="837" customFormat="false" ht="15" hidden="false" customHeight="false" outlineLevel="0" collapsed="false">
      <c r="A837" s="0" t="n">
        <v>836</v>
      </c>
      <c r="B837" s="14" t="n">
        <v>107186.24848438</v>
      </c>
      <c r="C837" s="15" t="n">
        <v>0.0770559405259147</v>
      </c>
      <c r="D837" s="14" t="n">
        <f aca="false">Summary!$B$5-B837</f>
        <v>-7186.2484843795</v>
      </c>
      <c r="E837" s="15" t="n">
        <f aca="false">B837/Summary!$B$5-1</f>
        <v>0.071862484843795</v>
      </c>
    </row>
    <row r="838" customFormat="false" ht="15" hidden="false" customHeight="false" outlineLevel="0" collapsed="false">
      <c r="A838" s="0" t="n">
        <v>837</v>
      </c>
      <c r="B838" s="14" t="n">
        <v>104634.953900704</v>
      </c>
      <c r="C838" s="15" t="n">
        <v>0.120763108979689</v>
      </c>
      <c r="D838" s="14" t="n">
        <f aca="false">Summary!$B$5-B838</f>
        <v>-4634.95390070351</v>
      </c>
      <c r="E838" s="15" t="n">
        <f aca="false">B838/Summary!$B$5-1</f>
        <v>0.046349539007035</v>
      </c>
    </row>
    <row r="839" customFormat="false" ht="15" hidden="false" customHeight="false" outlineLevel="0" collapsed="false">
      <c r="A839" s="0" t="n">
        <v>838</v>
      </c>
      <c r="B839" s="14" t="n">
        <v>111683.197282742</v>
      </c>
      <c r="C839" s="15" t="n">
        <v>0.05923509476413</v>
      </c>
      <c r="D839" s="14" t="n">
        <f aca="false">Summary!$B$5-B839</f>
        <v>-11683.1972827423</v>
      </c>
      <c r="E839" s="15" t="n">
        <f aca="false">B839/Summary!$B$5-1</f>
        <v>0.116831972827423</v>
      </c>
    </row>
    <row r="840" customFormat="false" ht="15" hidden="false" customHeight="false" outlineLevel="0" collapsed="false">
      <c r="A840" s="0" t="n">
        <v>839</v>
      </c>
      <c r="B840" s="14" t="n">
        <v>100154.999621151</v>
      </c>
      <c r="C840" s="15" t="n">
        <v>0.0932135416220521</v>
      </c>
      <c r="D840" s="14" t="n">
        <f aca="false">Summary!$B$5-B840</f>
        <v>-154.999621150506</v>
      </c>
      <c r="E840" s="15" t="n">
        <f aca="false">B840/Summary!$B$5-1</f>
        <v>0.00154999621150509</v>
      </c>
    </row>
    <row r="841" customFormat="false" ht="15" hidden="false" customHeight="false" outlineLevel="0" collapsed="false">
      <c r="A841" s="0" t="n">
        <v>840</v>
      </c>
      <c r="B841" s="14" t="n">
        <v>108028.746987955</v>
      </c>
      <c r="C841" s="15" t="n">
        <v>0.0719204040998349</v>
      </c>
      <c r="D841" s="14" t="n">
        <f aca="false">Summary!$B$5-B841</f>
        <v>-8028.74698795519</v>
      </c>
      <c r="E841" s="15" t="n">
        <f aca="false">B841/Summary!$B$5-1</f>
        <v>0.0802874698795519</v>
      </c>
    </row>
    <row r="842" customFormat="false" ht="15" hidden="false" customHeight="false" outlineLevel="0" collapsed="false">
      <c r="A842" s="0" t="n">
        <v>841</v>
      </c>
      <c r="B842" s="14" t="n">
        <v>101925.857757224</v>
      </c>
      <c r="C842" s="15" t="n">
        <v>0.0712018506727011</v>
      </c>
      <c r="D842" s="14" t="n">
        <f aca="false">Summary!$B$5-B842</f>
        <v>-1925.8577572238</v>
      </c>
      <c r="E842" s="15" t="n">
        <f aca="false">B842/Summary!$B$5-1</f>
        <v>0.019258577572238</v>
      </c>
    </row>
    <row r="843" customFormat="false" ht="15" hidden="false" customHeight="false" outlineLevel="0" collapsed="false">
      <c r="A843" s="0" t="n">
        <v>842</v>
      </c>
      <c r="B843" s="14" t="n">
        <v>110839.429482795</v>
      </c>
      <c r="C843" s="15" t="n">
        <v>0.133562139320766</v>
      </c>
      <c r="D843" s="14" t="n">
        <f aca="false">Summary!$B$5-B843</f>
        <v>-10839.4294827953</v>
      </c>
      <c r="E843" s="15" t="n">
        <f aca="false">B843/Summary!$B$5-1</f>
        <v>0.108394294827953</v>
      </c>
    </row>
    <row r="844" customFormat="false" ht="15" hidden="false" customHeight="false" outlineLevel="0" collapsed="false">
      <c r="A844" s="0" t="n">
        <v>843</v>
      </c>
      <c r="B844" s="14" t="n">
        <v>85005.9951502511</v>
      </c>
      <c r="C844" s="15" t="n">
        <v>0.195804497000717</v>
      </c>
      <c r="D844" s="14" t="n">
        <f aca="false">Summary!$B$5-B844</f>
        <v>14994.0048497489</v>
      </c>
      <c r="E844" s="15" t="n">
        <f aca="false">B844/Summary!$B$5-1</f>
        <v>-0.149940048497489</v>
      </c>
    </row>
    <row r="845" customFormat="false" ht="15" hidden="false" customHeight="false" outlineLevel="0" collapsed="false">
      <c r="A845" s="0" t="n">
        <v>844</v>
      </c>
      <c r="B845" s="14" t="n">
        <v>92412.9620438971</v>
      </c>
      <c r="C845" s="15" t="n">
        <v>0.136687466584409</v>
      </c>
      <c r="D845" s="14" t="n">
        <f aca="false">Summary!$B$5-B845</f>
        <v>7587.03795610293</v>
      </c>
      <c r="E845" s="15" t="n">
        <f aca="false">B845/Summary!$B$5-1</f>
        <v>-0.0758703795610293</v>
      </c>
    </row>
    <row r="846" customFormat="false" ht="15" hidden="false" customHeight="false" outlineLevel="0" collapsed="false">
      <c r="A846" s="0" t="n">
        <v>845</v>
      </c>
      <c r="B846" s="14" t="n">
        <v>106715.38313745</v>
      </c>
      <c r="C846" s="15" t="n">
        <v>0.0807872389684546</v>
      </c>
      <c r="D846" s="14" t="n">
        <f aca="false">Summary!$B$5-B846</f>
        <v>-6715.3831374499</v>
      </c>
      <c r="E846" s="15" t="n">
        <f aca="false">B846/Summary!$B$5-1</f>
        <v>0.067153831374499</v>
      </c>
    </row>
    <row r="847" customFormat="false" ht="15" hidden="false" customHeight="false" outlineLevel="0" collapsed="false">
      <c r="A847" s="0" t="n">
        <v>846</v>
      </c>
      <c r="B847" s="14" t="n">
        <v>96208.1905578077</v>
      </c>
      <c r="C847" s="15" t="n">
        <v>0.128198482330301</v>
      </c>
      <c r="D847" s="14" t="n">
        <f aca="false">Summary!$B$5-B847</f>
        <v>3791.80944219226</v>
      </c>
      <c r="E847" s="15" t="n">
        <f aca="false">B847/Summary!$B$5-1</f>
        <v>-0.0379180944219226</v>
      </c>
    </row>
    <row r="848" customFormat="false" ht="15" hidden="false" customHeight="false" outlineLevel="0" collapsed="false">
      <c r="A848" s="0" t="n">
        <v>847</v>
      </c>
      <c r="B848" s="14" t="n">
        <v>80521.2668907707</v>
      </c>
      <c r="C848" s="15" t="n">
        <v>0.21395945345651</v>
      </c>
      <c r="D848" s="14" t="n">
        <f aca="false">Summary!$B$5-B848</f>
        <v>19478.7331092293</v>
      </c>
      <c r="E848" s="15" t="n">
        <f aca="false">B848/Summary!$B$5-1</f>
        <v>-0.194787331092293</v>
      </c>
    </row>
    <row r="849" customFormat="false" ht="15" hidden="false" customHeight="false" outlineLevel="0" collapsed="false">
      <c r="A849" s="0" t="n">
        <v>848</v>
      </c>
      <c r="B849" s="14" t="n">
        <v>98666.954396356</v>
      </c>
      <c r="C849" s="15" t="n">
        <v>0.0915691042543898</v>
      </c>
      <c r="D849" s="14" t="n">
        <f aca="false">Summary!$B$5-B849</f>
        <v>1333.04560364404</v>
      </c>
      <c r="E849" s="15" t="n">
        <f aca="false">B849/Summary!$B$5-1</f>
        <v>-0.0133304560364405</v>
      </c>
    </row>
    <row r="850" customFormat="false" ht="15" hidden="false" customHeight="false" outlineLevel="0" collapsed="false">
      <c r="A850" s="0" t="n">
        <v>849</v>
      </c>
      <c r="B850" s="14" t="n">
        <v>103301.898051296</v>
      </c>
      <c r="C850" s="15" t="n">
        <v>0.143883305208573</v>
      </c>
      <c r="D850" s="14" t="n">
        <f aca="false">Summary!$B$5-B850</f>
        <v>-3301.8980512962</v>
      </c>
      <c r="E850" s="15" t="n">
        <f aca="false">B850/Summary!$B$5-1</f>
        <v>0.0330189805129619</v>
      </c>
    </row>
    <row r="851" customFormat="false" ht="15" hidden="false" customHeight="false" outlineLevel="0" collapsed="false">
      <c r="A851" s="0" t="n">
        <v>850</v>
      </c>
      <c r="B851" s="14" t="n">
        <v>95423.7995500755</v>
      </c>
      <c r="C851" s="15" t="n">
        <v>0.101389289894759</v>
      </c>
      <c r="D851" s="14" t="n">
        <f aca="false">Summary!$B$5-B851</f>
        <v>4576.20044992451</v>
      </c>
      <c r="E851" s="15" t="n">
        <f aca="false">B851/Summary!$B$5-1</f>
        <v>-0.0457620044992451</v>
      </c>
    </row>
    <row r="852" customFormat="false" ht="15" hidden="false" customHeight="false" outlineLevel="0" collapsed="false">
      <c r="A852" s="0" t="n">
        <v>851</v>
      </c>
      <c r="B852" s="14" t="n">
        <v>97390.9454900784</v>
      </c>
      <c r="C852" s="15" t="n">
        <v>0.10813237486112</v>
      </c>
      <c r="D852" s="14" t="n">
        <f aca="false">Summary!$B$5-B852</f>
        <v>2609.05450992163</v>
      </c>
      <c r="E852" s="15" t="n">
        <f aca="false">B852/Summary!$B$5-1</f>
        <v>-0.0260905450992163</v>
      </c>
    </row>
    <row r="853" customFormat="false" ht="15" hidden="false" customHeight="false" outlineLevel="0" collapsed="false">
      <c r="A853" s="0" t="n">
        <v>852</v>
      </c>
      <c r="B853" s="14" t="n">
        <v>100163.378400034</v>
      </c>
      <c r="C853" s="15" t="n">
        <v>0.138566251895198</v>
      </c>
      <c r="D853" s="14" t="n">
        <f aca="false">Summary!$B$5-B853</f>
        <v>-163.378400034198</v>
      </c>
      <c r="E853" s="15" t="n">
        <f aca="false">B853/Summary!$B$5-1</f>
        <v>0.00163378400034198</v>
      </c>
    </row>
    <row r="854" customFormat="false" ht="15" hidden="false" customHeight="false" outlineLevel="0" collapsed="false">
      <c r="A854" s="0" t="n">
        <v>853</v>
      </c>
      <c r="B854" s="14" t="n">
        <v>103784.804906709</v>
      </c>
      <c r="C854" s="15" t="n">
        <v>0.0783897112145068</v>
      </c>
      <c r="D854" s="14" t="n">
        <f aca="false">Summary!$B$5-B854</f>
        <v>-3784.8049067086</v>
      </c>
      <c r="E854" s="15" t="n">
        <f aca="false">B854/Summary!$B$5-1</f>
        <v>0.0378480490670861</v>
      </c>
    </row>
    <row r="855" customFormat="false" ht="15" hidden="false" customHeight="false" outlineLevel="0" collapsed="false">
      <c r="A855" s="0" t="n">
        <v>854</v>
      </c>
      <c r="B855" s="14" t="n">
        <v>102189.446380599</v>
      </c>
      <c r="C855" s="15" t="n">
        <v>0.0958839360023278</v>
      </c>
      <c r="D855" s="14" t="n">
        <f aca="false">Summary!$B$5-B855</f>
        <v>-2189.4463805986</v>
      </c>
      <c r="E855" s="15" t="n">
        <f aca="false">B855/Summary!$B$5-1</f>
        <v>0.0218944638059859</v>
      </c>
    </row>
    <row r="856" customFormat="false" ht="15" hidden="false" customHeight="false" outlineLevel="0" collapsed="false">
      <c r="A856" s="0" t="n">
        <v>855</v>
      </c>
      <c r="B856" s="14" t="n">
        <v>91500.1333742986</v>
      </c>
      <c r="C856" s="15" t="n">
        <v>0.128134703497927</v>
      </c>
      <c r="D856" s="14" t="n">
        <f aca="false">Summary!$B$5-B856</f>
        <v>8499.8666257014</v>
      </c>
      <c r="E856" s="15" t="n">
        <f aca="false">B856/Summary!$B$5-1</f>
        <v>-0.084998666257014</v>
      </c>
    </row>
    <row r="857" customFormat="false" ht="15" hidden="false" customHeight="false" outlineLevel="0" collapsed="false">
      <c r="A857" s="0" t="n">
        <v>856</v>
      </c>
      <c r="B857" s="14" t="n">
        <v>118715.192527093</v>
      </c>
      <c r="C857" s="15" t="n">
        <v>0.0865657288407299</v>
      </c>
      <c r="D857" s="14" t="n">
        <f aca="false">Summary!$B$5-B857</f>
        <v>-18715.1925270933</v>
      </c>
      <c r="E857" s="15" t="n">
        <f aca="false">B857/Summary!$B$5-1</f>
        <v>0.187151925270933</v>
      </c>
    </row>
    <row r="858" customFormat="false" ht="15" hidden="false" customHeight="false" outlineLevel="0" collapsed="false">
      <c r="A858" s="0" t="n">
        <v>857</v>
      </c>
      <c r="B858" s="14" t="n">
        <v>105377.245040686</v>
      </c>
      <c r="C858" s="15" t="n">
        <v>0.0821697767655755</v>
      </c>
      <c r="D858" s="14" t="n">
        <f aca="false">Summary!$B$5-B858</f>
        <v>-5377.2450406862</v>
      </c>
      <c r="E858" s="15" t="n">
        <f aca="false">B858/Summary!$B$5-1</f>
        <v>0.053772450406862</v>
      </c>
    </row>
    <row r="859" customFormat="false" ht="15" hidden="false" customHeight="false" outlineLevel="0" collapsed="false">
      <c r="A859" s="0" t="n">
        <v>858</v>
      </c>
      <c r="B859" s="14" t="n">
        <v>108058.196914895</v>
      </c>
      <c r="C859" s="15" t="n">
        <v>0.0699962357018554</v>
      </c>
      <c r="D859" s="14" t="n">
        <f aca="false">Summary!$B$5-B859</f>
        <v>-8058.19691489521</v>
      </c>
      <c r="E859" s="15" t="n">
        <f aca="false">B859/Summary!$B$5-1</f>
        <v>0.080581969148952</v>
      </c>
    </row>
    <row r="860" customFormat="false" ht="15" hidden="false" customHeight="false" outlineLevel="0" collapsed="false">
      <c r="A860" s="0" t="n">
        <v>859</v>
      </c>
      <c r="B860" s="14" t="n">
        <v>87715.9704156066</v>
      </c>
      <c r="C860" s="15" t="n">
        <v>0.176585426282579</v>
      </c>
      <c r="D860" s="14" t="n">
        <f aca="false">Summary!$B$5-B860</f>
        <v>12284.0295843934</v>
      </c>
      <c r="E860" s="15" t="n">
        <f aca="false">B860/Summary!$B$5-1</f>
        <v>-0.122840295843934</v>
      </c>
    </row>
    <row r="861" customFormat="false" ht="15" hidden="false" customHeight="false" outlineLevel="0" collapsed="false">
      <c r="A861" s="0" t="n">
        <v>860</v>
      </c>
      <c r="B861" s="14" t="n">
        <v>106613.077272151</v>
      </c>
      <c r="C861" s="15" t="n">
        <v>0.077976034780174</v>
      </c>
      <c r="D861" s="14" t="n">
        <f aca="false">Summary!$B$5-B861</f>
        <v>-6613.0772721512</v>
      </c>
      <c r="E861" s="15" t="n">
        <f aca="false">B861/Summary!$B$5-1</f>
        <v>0.0661307727215121</v>
      </c>
    </row>
    <row r="862" customFormat="false" ht="15" hidden="false" customHeight="false" outlineLevel="0" collapsed="false">
      <c r="A862" s="0" t="n">
        <v>861</v>
      </c>
      <c r="B862" s="14" t="n">
        <v>125392.50777837</v>
      </c>
      <c r="C862" s="15" t="n">
        <v>0.0667034238400091</v>
      </c>
      <c r="D862" s="14" t="n">
        <f aca="false">Summary!$B$5-B862</f>
        <v>-25392.5077783702</v>
      </c>
      <c r="E862" s="15" t="n">
        <f aca="false">B862/Summary!$B$5-1</f>
        <v>0.253925077783702</v>
      </c>
    </row>
    <row r="863" customFormat="false" ht="15" hidden="false" customHeight="false" outlineLevel="0" collapsed="false">
      <c r="A863" s="0" t="n">
        <v>862</v>
      </c>
      <c r="B863" s="14" t="n">
        <v>110714.956274693</v>
      </c>
      <c r="C863" s="15" t="n">
        <v>0.0918773580179372</v>
      </c>
      <c r="D863" s="14" t="n">
        <f aca="false">Summary!$B$5-B863</f>
        <v>-10714.9562746929</v>
      </c>
      <c r="E863" s="15" t="n">
        <f aca="false">B863/Summary!$B$5-1</f>
        <v>0.107149562746929</v>
      </c>
    </row>
    <row r="864" customFormat="false" ht="15" hidden="false" customHeight="false" outlineLevel="0" collapsed="false">
      <c r="A864" s="0" t="n">
        <v>863</v>
      </c>
      <c r="B864" s="14" t="n">
        <v>92965.2148219012</v>
      </c>
      <c r="C864" s="15" t="n">
        <v>0.128660572666324</v>
      </c>
      <c r="D864" s="14" t="n">
        <f aca="false">Summary!$B$5-B864</f>
        <v>7034.78517809877</v>
      </c>
      <c r="E864" s="15" t="n">
        <f aca="false">B864/Summary!$B$5-1</f>
        <v>-0.0703478517809877</v>
      </c>
    </row>
    <row r="865" customFormat="false" ht="15" hidden="false" customHeight="false" outlineLevel="0" collapsed="false">
      <c r="A865" s="0" t="n">
        <v>864</v>
      </c>
      <c r="B865" s="14" t="n">
        <v>107973.569347397</v>
      </c>
      <c r="C865" s="15" t="n">
        <v>0.0637550648763968</v>
      </c>
      <c r="D865" s="14" t="n">
        <f aca="false">Summary!$B$5-B865</f>
        <v>-7973.56934739649</v>
      </c>
      <c r="E865" s="15" t="n">
        <f aca="false">B865/Summary!$B$5-1</f>
        <v>0.079735693473965</v>
      </c>
    </row>
    <row r="866" customFormat="false" ht="15" hidden="false" customHeight="false" outlineLevel="0" collapsed="false">
      <c r="A866" s="0" t="n">
        <v>865</v>
      </c>
      <c r="B866" s="14" t="n">
        <v>115716.745357141</v>
      </c>
      <c r="C866" s="15" t="n">
        <v>0.0614041775060488</v>
      </c>
      <c r="D866" s="14" t="n">
        <f aca="false">Summary!$B$5-B866</f>
        <v>-15716.7453571409</v>
      </c>
      <c r="E866" s="15" t="n">
        <f aca="false">B866/Summary!$B$5-1</f>
        <v>0.157167453571409</v>
      </c>
    </row>
    <row r="867" customFormat="false" ht="15" hidden="false" customHeight="false" outlineLevel="0" collapsed="false">
      <c r="A867" s="0" t="n">
        <v>866</v>
      </c>
      <c r="B867" s="14" t="n">
        <v>111730.006509225</v>
      </c>
      <c r="C867" s="15" t="n">
        <v>0.0818538338735577</v>
      </c>
      <c r="D867" s="14" t="n">
        <f aca="false">Summary!$B$5-B867</f>
        <v>-11730.0065092248</v>
      </c>
      <c r="E867" s="15" t="n">
        <f aca="false">B867/Summary!$B$5-1</f>
        <v>0.117300065092248</v>
      </c>
    </row>
    <row r="868" customFormat="false" ht="15" hidden="false" customHeight="false" outlineLevel="0" collapsed="false">
      <c r="A868" s="0" t="n">
        <v>867</v>
      </c>
      <c r="B868" s="14" t="n">
        <v>107903.446922076</v>
      </c>
      <c r="C868" s="15" t="n">
        <v>0.0729794739767988</v>
      </c>
      <c r="D868" s="14" t="n">
        <f aca="false">Summary!$B$5-B868</f>
        <v>-7903.4469220755</v>
      </c>
      <c r="E868" s="15" t="n">
        <f aca="false">B868/Summary!$B$5-1</f>
        <v>0.079034469220755</v>
      </c>
    </row>
    <row r="869" customFormat="false" ht="15" hidden="false" customHeight="false" outlineLevel="0" collapsed="false">
      <c r="A869" s="0" t="n">
        <v>868</v>
      </c>
      <c r="B869" s="14" t="n">
        <v>114074.944375666</v>
      </c>
      <c r="C869" s="15" t="n">
        <v>0.0555582795596189</v>
      </c>
      <c r="D869" s="14" t="n">
        <f aca="false">Summary!$B$5-B869</f>
        <v>-14074.9443756664</v>
      </c>
      <c r="E869" s="15" t="n">
        <f aca="false">B869/Summary!$B$5-1</f>
        <v>0.140749443756664</v>
      </c>
    </row>
    <row r="870" customFormat="false" ht="15" hidden="false" customHeight="false" outlineLevel="0" collapsed="false">
      <c r="A870" s="0" t="n">
        <v>869</v>
      </c>
      <c r="B870" s="14" t="n">
        <v>110737.699514498</v>
      </c>
      <c r="C870" s="15" t="n">
        <v>0.0708918476811398</v>
      </c>
      <c r="D870" s="14" t="n">
        <f aca="false">Summary!$B$5-B870</f>
        <v>-10737.6995144983</v>
      </c>
      <c r="E870" s="15" t="n">
        <f aca="false">B870/Summary!$B$5-1</f>
        <v>0.107376995144983</v>
      </c>
    </row>
    <row r="871" customFormat="false" ht="15" hidden="false" customHeight="false" outlineLevel="0" collapsed="false">
      <c r="A871" s="0" t="n">
        <v>870</v>
      </c>
      <c r="B871" s="14" t="n">
        <v>101198.786636735</v>
      </c>
      <c r="C871" s="15" t="n">
        <v>0.111692819307594</v>
      </c>
      <c r="D871" s="14" t="n">
        <f aca="false">Summary!$B$5-B871</f>
        <v>-1198.7866367353</v>
      </c>
      <c r="E871" s="15" t="n">
        <f aca="false">B871/Summary!$B$5-1</f>
        <v>0.0119878663673529</v>
      </c>
    </row>
    <row r="872" customFormat="false" ht="15" hidden="false" customHeight="false" outlineLevel="0" collapsed="false">
      <c r="A872" s="0" t="n">
        <v>871</v>
      </c>
      <c r="B872" s="14" t="n">
        <v>103001.465639984</v>
      </c>
      <c r="C872" s="15" t="n">
        <v>0.093842410501772</v>
      </c>
      <c r="D872" s="14" t="n">
        <f aca="false">Summary!$B$5-B872</f>
        <v>-3001.4656399836</v>
      </c>
      <c r="E872" s="15" t="n">
        <f aca="false">B872/Summary!$B$5-1</f>
        <v>0.030014656399836</v>
      </c>
    </row>
    <row r="873" customFormat="false" ht="15" hidden="false" customHeight="false" outlineLevel="0" collapsed="false">
      <c r="A873" s="0" t="n">
        <v>872</v>
      </c>
      <c r="B873" s="14" t="n">
        <v>114545.045121967</v>
      </c>
      <c r="C873" s="15" t="n">
        <v>0.0963916986914052</v>
      </c>
      <c r="D873" s="14" t="n">
        <f aca="false">Summary!$B$5-B873</f>
        <v>-14545.0451219668</v>
      </c>
      <c r="E873" s="15" t="n">
        <f aca="false">B873/Summary!$B$5-1</f>
        <v>0.145450451219668</v>
      </c>
    </row>
    <row r="874" customFormat="false" ht="15" hidden="false" customHeight="false" outlineLevel="0" collapsed="false">
      <c r="A874" s="0" t="n">
        <v>873</v>
      </c>
      <c r="B874" s="14" t="n">
        <v>114520.089258755</v>
      </c>
      <c r="C874" s="15" t="n">
        <v>0.138904996981037</v>
      </c>
      <c r="D874" s="14" t="n">
        <f aca="false">Summary!$B$5-B874</f>
        <v>-14520.0892587545</v>
      </c>
      <c r="E874" s="15" t="n">
        <f aca="false">B874/Summary!$B$5-1</f>
        <v>0.145200892587545</v>
      </c>
    </row>
    <row r="875" customFormat="false" ht="15" hidden="false" customHeight="false" outlineLevel="0" collapsed="false">
      <c r="A875" s="0" t="n">
        <v>874</v>
      </c>
      <c r="B875" s="14" t="n">
        <v>110020.754834679</v>
      </c>
      <c r="C875" s="15" t="n">
        <v>0.084856538858079</v>
      </c>
      <c r="D875" s="14" t="n">
        <f aca="false">Summary!$B$5-B875</f>
        <v>-10020.754834679</v>
      </c>
      <c r="E875" s="15" t="n">
        <f aca="false">B875/Summary!$B$5-1</f>
        <v>0.10020754834679</v>
      </c>
    </row>
    <row r="876" customFormat="false" ht="15" hidden="false" customHeight="false" outlineLevel="0" collapsed="false">
      <c r="A876" s="0" t="n">
        <v>875</v>
      </c>
      <c r="B876" s="14" t="n">
        <v>143048.742311942</v>
      </c>
      <c r="C876" s="15" t="n">
        <v>0.0523411185294175</v>
      </c>
      <c r="D876" s="14" t="n">
        <f aca="false">Summary!$B$5-B876</f>
        <v>-43048.7423119419</v>
      </c>
      <c r="E876" s="15" t="n">
        <f aca="false">B876/Summary!$B$5-1</f>
        <v>0.430487423119419</v>
      </c>
    </row>
    <row r="877" customFormat="false" ht="15" hidden="false" customHeight="false" outlineLevel="0" collapsed="false">
      <c r="A877" s="0" t="n">
        <v>876</v>
      </c>
      <c r="B877" s="14" t="n">
        <v>89965.5391413702</v>
      </c>
      <c r="C877" s="15" t="n">
        <v>0.143566420053981</v>
      </c>
      <c r="D877" s="14" t="n">
        <f aca="false">Summary!$B$5-B877</f>
        <v>10034.4608586298</v>
      </c>
      <c r="E877" s="15" t="n">
        <f aca="false">B877/Summary!$B$5-1</f>
        <v>-0.100344608586298</v>
      </c>
    </row>
    <row r="878" customFormat="false" ht="15" hidden="false" customHeight="false" outlineLevel="0" collapsed="false">
      <c r="A878" s="0" t="n">
        <v>877</v>
      </c>
      <c r="B878" s="14" t="n">
        <v>107386.647657557</v>
      </c>
      <c r="C878" s="15" t="n">
        <v>0.0834092597660979</v>
      </c>
      <c r="D878" s="14" t="n">
        <f aca="false">Summary!$B$5-B878</f>
        <v>-7386.64765755661</v>
      </c>
      <c r="E878" s="15" t="n">
        <f aca="false">B878/Summary!$B$5-1</f>
        <v>0.0738664765755661</v>
      </c>
    </row>
    <row r="879" customFormat="false" ht="15" hidden="false" customHeight="false" outlineLevel="0" collapsed="false">
      <c r="A879" s="0" t="n">
        <v>878</v>
      </c>
      <c r="B879" s="14" t="n">
        <v>105086.965999892</v>
      </c>
      <c r="C879" s="15" t="n">
        <v>0.145053450327831</v>
      </c>
      <c r="D879" s="14" t="n">
        <f aca="false">Summary!$B$5-B879</f>
        <v>-5086.9659998915</v>
      </c>
      <c r="E879" s="15" t="n">
        <f aca="false">B879/Summary!$B$5-1</f>
        <v>0.0508696599989149</v>
      </c>
    </row>
    <row r="880" customFormat="false" ht="15" hidden="false" customHeight="false" outlineLevel="0" collapsed="false">
      <c r="A880" s="0" t="n">
        <v>879</v>
      </c>
      <c r="B880" s="14" t="n">
        <v>109145.451509139</v>
      </c>
      <c r="C880" s="15" t="n">
        <v>0.0769689433022333</v>
      </c>
      <c r="D880" s="14" t="n">
        <f aca="false">Summary!$B$5-B880</f>
        <v>-9145.4515091386</v>
      </c>
      <c r="E880" s="15" t="n">
        <f aca="false">B880/Summary!$B$5-1</f>
        <v>0.0914545150913859</v>
      </c>
    </row>
    <row r="881" customFormat="false" ht="15" hidden="false" customHeight="false" outlineLevel="0" collapsed="false">
      <c r="A881" s="0" t="n">
        <v>880</v>
      </c>
      <c r="B881" s="14" t="n">
        <v>121160.889709246</v>
      </c>
      <c r="C881" s="15" t="n">
        <v>0.0618757486931456</v>
      </c>
      <c r="D881" s="14" t="n">
        <f aca="false">Summary!$B$5-B881</f>
        <v>-21160.8897092458</v>
      </c>
      <c r="E881" s="15" t="n">
        <f aca="false">B881/Summary!$B$5-1</f>
        <v>0.211608897092458</v>
      </c>
    </row>
    <row r="882" customFormat="false" ht="15" hidden="false" customHeight="false" outlineLevel="0" collapsed="false">
      <c r="A882" s="0" t="n">
        <v>881</v>
      </c>
      <c r="B882" s="14" t="n">
        <v>111654.731632576</v>
      </c>
      <c r="C882" s="15" t="n">
        <v>0.0809205662716028</v>
      </c>
      <c r="D882" s="14" t="n">
        <f aca="false">Summary!$B$5-B882</f>
        <v>-11654.7316325758</v>
      </c>
      <c r="E882" s="15" t="n">
        <f aca="false">B882/Summary!$B$5-1</f>
        <v>0.116547316325758</v>
      </c>
    </row>
    <row r="883" customFormat="false" ht="15" hidden="false" customHeight="false" outlineLevel="0" collapsed="false">
      <c r="A883" s="0" t="n">
        <v>882</v>
      </c>
      <c r="B883" s="14" t="n">
        <v>106084.501665632</v>
      </c>
      <c r="C883" s="15" t="n">
        <v>0.0803950635746686</v>
      </c>
      <c r="D883" s="14" t="n">
        <f aca="false">Summary!$B$5-B883</f>
        <v>-6084.5016656317</v>
      </c>
      <c r="E883" s="15" t="n">
        <f aca="false">B883/Summary!$B$5-1</f>
        <v>0.060845016656317</v>
      </c>
    </row>
    <row r="884" customFormat="false" ht="15" hidden="false" customHeight="false" outlineLevel="0" collapsed="false">
      <c r="A884" s="0" t="n">
        <v>883</v>
      </c>
      <c r="B884" s="14" t="n">
        <v>121845.079216059</v>
      </c>
      <c r="C884" s="15" t="n">
        <v>0.0426180178972762</v>
      </c>
      <c r="D884" s="14" t="n">
        <f aca="false">Summary!$B$5-B884</f>
        <v>-21845.0792160594</v>
      </c>
      <c r="E884" s="15" t="n">
        <f aca="false">B884/Summary!$B$5-1</f>
        <v>0.218450792160594</v>
      </c>
    </row>
    <row r="885" customFormat="false" ht="15" hidden="false" customHeight="false" outlineLevel="0" collapsed="false">
      <c r="A885" s="0" t="n">
        <v>884</v>
      </c>
      <c r="B885" s="14" t="n">
        <v>107123.003533239</v>
      </c>
      <c r="C885" s="15" t="n">
        <v>0.0934146325288304</v>
      </c>
      <c r="D885" s="14" t="n">
        <f aca="false">Summary!$B$5-B885</f>
        <v>-7123.0035332385</v>
      </c>
      <c r="E885" s="15" t="n">
        <f aca="false">B885/Summary!$B$5-1</f>
        <v>0.0712300353323849</v>
      </c>
    </row>
    <row r="886" customFormat="false" ht="15" hidden="false" customHeight="false" outlineLevel="0" collapsed="false">
      <c r="A886" s="0" t="n">
        <v>885</v>
      </c>
      <c r="B886" s="14" t="n">
        <v>108373.193594263</v>
      </c>
      <c r="C886" s="15" t="n">
        <v>0.0721885444675724</v>
      </c>
      <c r="D886" s="14" t="n">
        <f aca="false">Summary!$B$5-B886</f>
        <v>-8373.1935942631</v>
      </c>
      <c r="E886" s="15" t="n">
        <f aca="false">B886/Summary!$B$5-1</f>
        <v>0.083731935942631</v>
      </c>
    </row>
    <row r="887" customFormat="false" ht="15" hidden="false" customHeight="false" outlineLevel="0" collapsed="false">
      <c r="A887" s="0" t="n">
        <v>886</v>
      </c>
      <c r="B887" s="14" t="n">
        <v>112791.861320212</v>
      </c>
      <c r="C887" s="15" t="n">
        <v>0.0829050869574697</v>
      </c>
      <c r="D887" s="14" t="n">
        <f aca="false">Summary!$B$5-B887</f>
        <v>-12791.861320212</v>
      </c>
      <c r="E887" s="15" t="n">
        <f aca="false">B887/Summary!$B$5-1</f>
        <v>0.12791861320212</v>
      </c>
    </row>
    <row r="888" customFormat="false" ht="15" hidden="false" customHeight="false" outlineLevel="0" collapsed="false">
      <c r="A888" s="0" t="n">
        <v>887</v>
      </c>
      <c r="B888" s="14" t="n">
        <v>114999.216106005</v>
      </c>
      <c r="C888" s="15" t="n">
        <v>0.0785142904721984</v>
      </c>
      <c r="D888" s="14" t="n">
        <f aca="false">Summary!$B$5-B888</f>
        <v>-14999.2161060054</v>
      </c>
      <c r="E888" s="15" t="n">
        <f aca="false">B888/Summary!$B$5-1</f>
        <v>0.149992161060054</v>
      </c>
    </row>
    <row r="889" customFormat="false" ht="15" hidden="false" customHeight="false" outlineLevel="0" collapsed="false">
      <c r="A889" s="0" t="n">
        <v>888</v>
      </c>
      <c r="B889" s="14" t="n">
        <v>103782.769177925</v>
      </c>
      <c r="C889" s="15" t="n">
        <v>0.0874209254608942</v>
      </c>
      <c r="D889" s="14" t="n">
        <f aca="false">Summary!$B$5-B889</f>
        <v>-3782.7691779251</v>
      </c>
      <c r="E889" s="15" t="n">
        <f aca="false">B889/Summary!$B$5-1</f>
        <v>0.0378276917792511</v>
      </c>
    </row>
    <row r="890" customFormat="false" ht="15" hidden="false" customHeight="false" outlineLevel="0" collapsed="false">
      <c r="A890" s="0" t="n">
        <v>889</v>
      </c>
      <c r="B890" s="14" t="n">
        <v>95545.4041627335</v>
      </c>
      <c r="C890" s="15" t="n">
        <v>0.0967843852642478</v>
      </c>
      <c r="D890" s="14" t="n">
        <f aca="false">Summary!$B$5-B890</f>
        <v>4454.59583726655</v>
      </c>
      <c r="E890" s="15" t="n">
        <f aca="false">B890/Summary!$B$5-1</f>
        <v>-0.0445459583726655</v>
      </c>
    </row>
    <row r="891" customFormat="false" ht="15" hidden="false" customHeight="false" outlineLevel="0" collapsed="false">
      <c r="A891" s="0" t="n">
        <v>890</v>
      </c>
      <c r="B891" s="14" t="n">
        <v>102682.523139364</v>
      </c>
      <c r="C891" s="15" t="n">
        <v>0.0968621533811281</v>
      </c>
      <c r="D891" s="14" t="n">
        <f aca="false">Summary!$B$5-B891</f>
        <v>-2682.52313936441</v>
      </c>
      <c r="E891" s="15" t="n">
        <f aca="false">B891/Summary!$B$5-1</f>
        <v>0.0268252313936441</v>
      </c>
    </row>
    <row r="892" customFormat="false" ht="15" hidden="false" customHeight="false" outlineLevel="0" collapsed="false">
      <c r="A892" s="0" t="n">
        <v>891</v>
      </c>
      <c r="B892" s="14" t="n">
        <v>111460.679132122</v>
      </c>
      <c r="C892" s="15" t="n">
        <v>0.110528740939255</v>
      </c>
      <c r="D892" s="14" t="n">
        <f aca="false">Summary!$B$5-B892</f>
        <v>-11460.6791321218</v>
      </c>
      <c r="E892" s="15" t="n">
        <f aca="false">B892/Summary!$B$5-1</f>
        <v>0.114606791321218</v>
      </c>
    </row>
    <row r="893" customFormat="false" ht="15" hidden="false" customHeight="false" outlineLevel="0" collapsed="false">
      <c r="A893" s="0" t="n">
        <v>892</v>
      </c>
      <c r="B893" s="14" t="n">
        <v>102533.827628144</v>
      </c>
      <c r="C893" s="15" t="n">
        <v>0.0965189554429894</v>
      </c>
      <c r="D893" s="14" t="n">
        <f aca="false">Summary!$B$5-B893</f>
        <v>-2533.82762814419</v>
      </c>
      <c r="E893" s="15" t="n">
        <f aca="false">B893/Summary!$B$5-1</f>
        <v>0.025338276281442</v>
      </c>
    </row>
    <row r="894" customFormat="false" ht="15" hidden="false" customHeight="false" outlineLevel="0" collapsed="false">
      <c r="A894" s="0" t="n">
        <v>893</v>
      </c>
      <c r="B894" s="14" t="n">
        <v>124385.702179693</v>
      </c>
      <c r="C894" s="15" t="n">
        <v>0.0550684804787129</v>
      </c>
      <c r="D894" s="14" t="n">
        <f aca="false">Summary!$B$5-B894</f>
        <v>-24385.7021796928</v>
      </c>
      <c r="E894" s="15" t="n">
        <f aca="false">B894/Summary!$B$5-1</f>
        <v>0.243857021796928</v>
      </c>
    </row>
    <row r="895" customFormat="false" ht="15" hidden="false" customHeight="false" outlineLevel="0" collapsed="false">
      <c r="A895" s="0" t="n">
        <v>894</v>
      </c>
      <c r="B895" s="14" t="n">
        <v>93629.9888552671</v>
      </c>
      <c r="C895" s="15" t="n">
        <v>0.157256427357008</v>
      </c>
      <c r="D895" s="14" t="n">
        <f aca="false">Summary!$B$5-B895</f>
        <v>6370.01114473296</v>
      </c>
      <c r="E895" s="15" t="n">
        <f aca="false">B895/Summary!$B$5-1</f>
        <v>-0.0637001114473296</v>
      </c>
    </row>
    <row r="896" customFormat="false" ht="15" hidden="false" customHeight="false" outlineLevel="0" collapsed="false">
      <c r="A896" s="0" t="n">
        <v>895</v>
      </c>
      <c r="B896" s="14" t="n">
        <v>109838.820929217</v>
      </c>
      <c r="C896" s="15" t="n">
        <v>0.0999469026197757</v>
      </c>
      <c r="D896" s="14" t="n">
        <f aca="false">Summary!$B$5-B896</f>
        <v>-9838.82092921691</v>
      </c>
      <c r="E896" s="15" t="n">
        <f aca="false">B896/Summary!$B$5-1</f>
        <v>0.0983882092921691</v>
      </c>
    </row>
    <row r="897" customFormat="false" ht="15" hidden="false" customHeight="false" outlineLevel="0" collapsed="false">
      <c r="A897" s="0" t="n">
        <v>896</v>
      </c>
      <c r="B897" s="14" t="n">
        <v>129203.76146421</v>
      </c>
      <c r="C897" s="15" t="n">
        <v>0.100516728943933</v>
      </c>
      <c r="D897" s="14" t="n">
        <f aca="false">Summary!$B$5-B897</f>
        <v>-29203.7614642104</v>
      </c>
      <c r="E897" s="15" t="n">
        <f aca="false">B897/Summary!$B$5-1</f>
        <v>0.292037614642104</v>
      </c>
    </row>
    <row r="898" customFormat="false" ht="15" hidden="false" customHeight="false" outlineLevel="0" collapsed="false">
      <c r="A898" s="0" t="n">
        <v>897</v>
      </c>
      <c r="B898" s="14" t="n">
        <v>112903.254578563</v>
      </c>
      <c r="C898" s="15" t="n">
        <v>0.0596788794494512</v>
      </c>
      <c r="D898" s="14" t="n">
        <f aca="false">Summary!$B$5-B898</f>
        <v>-12903.254578563</v>
      </c>
      <c r="E898" s="15" t="n">
        <f aca="false">B898/Summary!$B$5-1</f>
        <v>0.12903254578563</v>
      </c>
    </row>
    <row r="899" customFormat="false" ht="15" hidden="false" customHeight="false" outlineLevel="0" collapsed="false">
      <c r="A899" s="0" t="n">
        <v>898</v>
      </c>
      <c r="B899" s="14" t="n">
        <v>107911.112969986</v>
      </c>
      <c r="C899" s="15" t="n">
        <v>0.108203909920263</v>
      </c>
      <c r="D899" s="14" t="n">
        <f aca="false">Summary!$B$5-B899</f>
        <v>-7911.11296998621</v>
      </c>
      <c r="E899" s="15" t="n">
        <f aca="false">B899/Summary!$B$5-1</f>
        <v>0.0791111296998621</v>
      </c>
    </row>
    <row r="900" customFormat="false" ht="15" hidden="false" customHeight="false" outlineLevel="0" collapsed="false">
      <c r="A900" s="0" t="n">
        <v>899</v>
      </c>
      <c r="B900" s="14" t="n">
        <v>90267.6851464867</v>
      </c>
      <c r="C900" s="15" t="n">
        <v>0.155100047373243</v>
      </c>
      <c r="D900" s="14" t="n">
        <f aca="false">Summary!$B$5-B900</f>
        <v>9732.31485351332</v>
      </c>
      <c r="E900" s="15" t="n">
        <f aca="false">B900/Summary!$B$5-1</f>
        <v>-0.0973231485351332</v>
      </c>
    </row>
    <row r="901" customFormat="false" ht="15" hidden="false" customHeight="false" outlineLevel="0" collapsed="false">
      <c r="A901" s="0" t="n">
        <v>900</v>
      </c>
      <c r="B901" s="14" t="n">
        <v>109584.724390895</v>
      </c>
      <c r="C901" s="15" t="n">
        <v>0.104967202421965</v>
      </c>
      <c r="D901" s="14" t="n">
        <f aca="false">Summary!$B$5-B901</f>
        <v>-9584.7243908954</v>
      </c>
      <c r="E901" s="15" t="n">
        <f aca="false">B901/Summary!$B$5-1</f>
        <v>0.0958472439089539</v>
      </c>
    </row>
    <row r="902" customFormat="false" ht="15" hidden="false" customHeight="false" outlineLevel="0" collapsed="false">
      <c r="A902" s="0" t="n">
        <v>901</v>
      </c>
      <c r="B902" s="14" t="n">
        <v>113119.281761413</v>
      </c>
      <c r="C902" s="15" t="n">
        <v>0.0912685838917084</v>
      </c>
      <c r="D902" s="14" t="n">
        <f aca="false">Summary!$B$5-B902</f>
        <v>-13119.2817614131</v>
      </c>
      <c r="E902" s="15" t="n">
        <f aca="false">B902/Summary!$B$5-1</f>
        <v>0.131192817614131</v>
      </c>
    </row>
    <row r="903" customFormat="false" ht="15" hidden="false" customHeight="false" outlineLevel="0" collapsed="false">
      <c r="A903" s="0" t="n">
        <v>902</v>
      </c>
      <c r="B903" s="14" t="n">
        <v>123128.680074695</v>
      </c>
      <c r="C903" s="15" t="n">
        <v>0.113141425748624</v>
      </c>
      <c r="D903" s="14" t="n">
        <f aca="false">Summary!$B$5-B903</f>
        <v>-23128.6800746946</v>
      </c>
      <c r="E903" s="15" t="n">
        <f aca="false">B903/Summary!$B$5-1</f>
        <v>0.231286800746946</v>
      </c>
    </row>
    <row r="904" customFormat="false" ht="15" hidden="false" customHeight="false" outlineLevel="0" collapsed="false">
      <c r="A904" s="0" t="n">
        <v>903</v>
      </c>
      <c r="B904" s="14" t="n">
        <v>97748.4199974048</v>
      </c>
      <c r="C904" s="15" t="n">
        <v>0.152461826239272</v>
      </c>
      <c r="D904" s="14" t="n">
        <f aca="false">Summary!$B$5-B904</f>
        <v>2251.58000259519</v>
      </c>
      <c r="E904" s="15" t="n">
        <f aca="false">B904/Summary!$B$5-1</f>
        <v>-0.0225158000259519</v>
      </c>
    </row>
    <row r="905" customFormat="false" ht="15" hidden="false" customHeight="false" outlineLevel="0" collapsed="false">
      <c r="A905" s="0" t="n">
        <v>904</v>
      </c>
      <c r="B905" s="14" t="n">
        <v>105390.709547065</v>
      </c>
      <c r="C905" s="15" t="n">
        <v>0.120633200914248</v>
      </c>
      <c r="D905" s="14" t="n">
        <f aca="false">Summary!$B$5-B905</f>
        <v>-5390.70954706481</v>
      </c>
      <c r="E905" s="15" t="n">
        <f aca="false">B905/Summary!$B$5-1</f>
        <v>0.053907095470648</v>
      </c>
    </row>
    <row r="906" customFormat="false" ht="15" hidden="false" customHeight="false" outlineLevel="0" collapsed="false">
      <c r="A906" s="0" t="n">
        <v>905</v>
      </c>
      <c r="B906" s="14" t="n">
        <v>117660.443373919</v>
      </c>
      <c r="C906" s="15" t="n">
        <v>0.060938743844798</v>
      </c>
      <c r="D906" s="14" t="n">
        <f aca="false">Summary!$B$5-B906</f>
        <v>-17660.4433739187</v>
      </c>
      <c r="E906" s="15" t="n">
        <f aca="false">B906/Summary!$B$5-1</f>
        <v>0.176604433739187</v>
      </c>
    </row>
    <row r="907" customFormat="false" ht="15" hidden="false" customHeight="false" outlineLevel="0" collapsed="false">
      <c r="A907" s="0" t="n">
        <v>906</v>
      </c>
      <c r="B907" s="14" t="n">
        <v>119277.763724828</v>
      </c>
      <c r="C907" s="15" t="n">
        <v>0.0484467553621909</v>
      </c>
      <c r="D907" s="14" t="n">
        <f aca="false">Summary!$B$5-B907</f>
        <v>-19277.7637248281</v>
      </c>
      <c r="E907" s="15" t="n">
        <f aca="false">B907/Summary!$B$5-1</f>
        <v>0.192777637248281</v>
      </c>
    </row>
    <row r="908" customFormat="false" ht="15" hidden="false" customHeight="false" outlineLevel="0" collapsed="false">
      <c r="A908" s="0" t="n">
        <v>907</v>
      </c>
      <c r="B908" s="14" t="n">
        <v>95803.0576212255</v>
      </c>
      <c r="C908" s="15" t="n">
        <v>0.0855856658083527</v>
      </c>
      <c r="D908" s="14" t="n">
        <f aca="false">Summary!$B$5-B908</f>
        <v>4196.94237877449</v>
      </c>
      <c r="E908" s="15" t="n">
        <f aca="false">B908/Summary!$B$5-1</f>
        <v>-0.0419694237877449</v>
      </c>
    </row>
    <row r="909" customFormat="false" ht="15" hidden="false" customHeight="false" outlineLevel="0" collapsed="false">
      <c r="A909" s="0" t="n">
        <v>908</v>
      </c>
      <c r="B909" s="14" t="n">
        <v>130461.256136358</v>
      </c>
      <c r="C909" s="15" t="n">
        <v>0.0571736397195223</v>
      </c>
      <c r="D909" s="14" t="n">
        <f aca="false">Summary!$B$5-B909</f>
        <v>-30461.2561363576</v>
      </c>
      <c r="E909" s="15" t="n">
        <f aca="false">B909/Summary!$B$5-1</f>
        <v>0.304612561363576</v>
      </c>
    </row>
    <row r="910" customFormat="false" ht="15" hidden="false" customHeight="false" outlineLevel="0" collapsed="false">
      <c r="A910" s="0" t="n">
        <v>909</v>
      </c>
      <c r="B910" s="14" t="n">
        <v>134443.125679741</v>
      </c>
      <c r="C910" s="15" t="n">
        <v>0.0631120354071877</v>
      </c>
      <c r="D910" s="14" t="n">
        <f aca="false">Summary!$B$5-B910</f>
        <v>-34443.1256797409</v>
      </c>
      <c r="E910" s="15" t="n">
        <f aca="false">B910/Summary!$B$5-1</f>
        <v>0.344431256797409</v>
      </c>
    </row>
    <row r="911" customFormat="false" ht="15" hidden="false" customHeight="false" outlineLevel="0" collapsed="false">
      <c r="A911" s="0" t="n">
        <v>910</v>
      </c>
      <c r="B911" s="14" t="n">
        <v>133468.857853683</v>
      </c>
      <c r="C911" s="15" t="n">
        <v>0.0395494612539235</v>
      </c>
      <c r="D911" s="14" t="n">
        <f aca="false">Summary!$B$5-B911</f>
        <v>-33468.8578536827</v>
      </c>
      <c r="E911" s="15" t="n">
        <f aca="false">B911/Summary!$B$5-1</f>
        <v>0.334688578536827</v>
      </c>
    </row>
    <row r="912" customFormat="false" ht="15" hidden="false" customHeight="false" outlineLevel="0" collapsed="false">
      <c r="A912" s="0" t="n">
        <v>911</v>
      </c>
      <c r="B912" s="14" t="n">
        <v>107011.153510712</v>
      </c>
      <c r="C912" s="15" t="n">
        <v>0.0987837784069547</v>
      </c>
      <c r="D912" s="14" t="n">
        <f aca="false">Summary!$B$5-B912</f>
        <v>-7011.15351071169</v>
      </c>
      <c r="E912" s="15" t="n">
        <f aca="false">B912/Summary!$B$5-1</f>
        <v>0.0701115351071169</v>
      </c>
    </row>
    <row r="913" customFormat="false" ht="15" hidden="false" customHeight="false" outlineLevel="0" collapsed="false">
      <c r="A913" s="0" t="n">
        <v>912</v>
      </c>
      <c r="B913" s="14" t="n">
        <v>115544.874472651</v>
      </c>
      <c r="C913" s="15" t="n">
        <v>0.0550029143643438</v>
      </c>
      <c r="D913" s="14" t="n">
        <f aca="false">Summary!$B$5-B913</f>
        <v>-15544.8744726514</v>
      </c>
      <c r="E913" s="15" t="n">
        <f aca="false">B913/Summary!$B$5-1</f>
        <v>0.155448744726514</v>
      </c>
    </row>
    <row r="914" customFormat="false" ht="15" hidden="false" customHeight="false" outlineLevel="0" collapsed="false">
      <c r="A914" s="0" t="n">
        <v>913</v>
      </c>
      <c r="B914" s="14" t="n">
        <v>139703.161708344</v>
      </c>
      <c r="C914" s="15" t="n">
        <v>0.0702561715960468</v>
      </c>
      <c r="D914" s="14" t="n">
        <f aca="false">Summary!$B$5-B914</f>
        <v>-39703.1617083444</v>
      </c>
      <c r="E914" s="15" t="n">
        <f aca="false">B914/Summary!$B$5-1</f>
        <v>0.397031617083444</v>
      </c>
    </row>
    <row r="915" customFormat="false" ht="15" hidden="false" customHeight="false" outlineLevel="0" collapsed="false">
      <c r="A915" s="0" t="n">
        <v>914</v>
      </c>
      <c r="B915" s="14" t="n">
        <v>110143.454984704</v>
      </c>
      <c r="C915" s="15" t="n">
        <v>0.150566401473069</v>
      </c>
      <c r="D915" s="14" t="n">
        <f aca="false">Summary!$B$5-B915</f>
        <v>-10143.4549847043</v>
      </c>
      <c r="E915" s="15" t="n">
        <f aca="false">B915/Summary!$B$5-1</f>
        <v>0.101434549847043</v>
      </c>
    </row>
    <row r="916" customFormat="false" ht="15" hidden="false" customHeight="false" outlineLevel="0" collapsed="false">
      <c r="A916" s="0" t="n">
        <v>915</v>
      </c>
      <c r="B916" s="14" t="n">
        <v>112866.153200472</v>
      </c>
      <c r="C916" s="15" t="n">
        <v>0.0602696113287532</v>
      </c>
      <c r="D916" s="14" t="n">
        <f aca="false">Summary!$B$5-B916</f>
        <v>-12866.1532004717</v>
      </c>
      <c r="E916" s="15" t="n">
        <f aca="false">B916/Summary!$B$5-1</f>
        <v>0.128661532004717</v>
      </c>
    </row>
    <row r="917" customFormat="false" ht="15" hidden="false" customHeight="false" outlineLevel="0" collapsed="false">
      <c r="A917" s="0" t="n">
        <v>916</v>
      </c>
      <c r="B917" s="14" t="n">
        <v>112003.473410793</v>
      </c>
      <c r="C917" s="15" t="n">
        <v>0.0702156412720451</v>
      </c>
      <c r="D917" s="14" t="n">
        <f aca="false">Summary!$B$5-B917</f>
        <v>-12003.473410793</v>
      </c>
      <c r="E917" s="15" t="n">
        <f aca="false">B917/Summary!$B$5-1</f>
        <v>0.12003473410793</v>
      </c>
    </row>
    <row r="918" customFormat="false" ht="15" hidden="false" customHeight="false" outlineLevel="0" collapsed="false">
      <c r="A918" s="0" t="n">
        <v>917</v>
      </c>
      <c r="B918" s="14" t="n">
        <v>105927.383140845</v>
      </c>
      <c r="C918" s="15" t="n">
        <v>0.126947307721749</v>
      </c>
      <c r="D918" s="14" t="n">
        <f aca="false">Summary!$B$5-B918</f>
        <v>-5927.3831408454</v>
      </c>
      <c r="E918" s="15" t="n">
        <f aca="false">B918/Summary!$B$5-1</f>
        <v>0.059273831408454</v>
      </c>
    </row>
    <row r="919" customFormat="false" ht="15" hidden="false" customHeight="false" outlineLevel="0" collapsed="false">
      <c r="A919" s="0" t="n">
        <v>918</v>
      </c>
      <c r="B919" s="14" t="n">
        <v>117564.550019561</v>
      </c>
      <c r="C919" s="15" t="n">
        <v>0.0703878700538335</v>
      </c>
      <c r="D919" s="14" t="n">
        <f aca="false">Summary!$B$5-B919</f>
        <v>-17564.5500195614</v>
      </c>
      <c r="E919" s="15" t="n">
        <f aca="false">B919/Summary!$B$5-1</f>
        <v>0.175645500195614</v>
      </c>
    </row>
    <row r="920" customFormat="false" ht="15" hidden="false" customHeight="false" outlineLevel="0" collapsed="false">
      <c r="A920" s="0" t="n">
        <v>919</v>
      </c>
      <c r="B920" s="14" t="n">
        <v>120635.976897286</v>
      </c>
      <c r="C920" s="15" t="n">
        <v>0.0722690436067841</v>
      </c>
      <c r="D920" s="14" t="n">
        <f aca="false">Summary!$B$5-B920</f>
        <v>-20635.9768972859</v>
      </c>
      <c r="E920" s="15" t="n">
        <f aca="false">B920/Summary!$B$5-1</f>
        <v>0.206359768972859</v>
      </c>
    </row>
    <row r="921" customFormat="false" ht="15" hidden="false" customHeight="false" outlineLevel="0" collapsed="false">
      <c r="A921" s="0" t="n">
        <v>920</v>
      </c>
      <c r="B921" s="14" t="n">
        <v>137842.696338207</v>
      </c>
      <c r="C921" s="15" t="n">
        <v>0.0823651904922823</v>
      </c>
      <c r="D921" s="14" t="n">
        <f aca="false">Summary!$B$5-B921</f>
        <v>-37842.6963382068</v>
      </c>
      <c r="E921" s="15" t="n">
        <f aca="false">B921/Summary!$B$5-1</f>
        <v>0.378426963382068</v>
      </c>
    </row>
    <row r="922" customFormat="false" ht="15" hidden="false" customHeight="false" outlineLevel="0" collapsed="false">
      <c r="A922" s="0" t="n">
        <v>921</v>
      </c>
      <c r="B922" s="14" t="n">
        <v>112908.551048744</v>
      </c>
      <c r="C922" s="15" t="n">
        <v>0.0656713302004081</v>
      </c>
      <c r="D922" s="14" t="n">
        <f aca="false">Summary!$B$5-B922</f>
        <v>-12908.5510487443</v>
      </c>
      <c r="E922" s="15" t="n">
        <f aca="false">B922/Summary!$B$5-1</f>
        <v>0.129085510487443</v>
      </c>
    </row>
    <row r="923" customFormat="false" ht="15" hidden="false" customHeight="false" outlineLevel="0" collapsed="false">
      <c r="A923" s="0" t="n">
        <v>922</v>
      </c>
      <c r="B923" s="14" t="n">
        <v>122926.624736588</v>
      </c>
      <c r="C923" s="15" t="n">
        <v>0.0503231157760311</v>
      </c>
      <c r="D923" s="14" t="n">
        <f aca="false">Summary!$B$5-B923</f>
        <v>-22926.6247365881</v>
      </c>
      <c r="E923" s="15" t="n">
        <f aca="false">B923/Summary!$B$5-1</f>
        <v>0.229266247365881</v>
      </c>
    </row>
    <row r="924" customFormat="false" ht="15" hidden="false" customHeight="false" outlineLevel="0" collapsed="false">
      <c r="A924" s="0" t="n">
        <v>923</v>
      </c>
      <c r="B924" s="14" t="n">
        <v>105969.79304534</v>
      </c>
      <c r="C924" s="15" t="n">
        <v>0.0881532803240502</v>
      </c>
      <c r="D924" s="14" t="n">
        <f aca="false">Summary!$B$5-B924</f>
        <v>-5969.79304534011</v>
      </c>
      <c r="E924" s="15" t="n">
        <f aca="false">B924/Summary!$B$5-1</f>
        <v>0.0596979304534011</v>
      </c>
    </row>
    <row r="925" customFormat="false" ht="15" hidden="false" customHeight="false" outlineLevel="0" collapsed="false">
      <c r="A925" s="0" t="n">
        <v>924</v>
      </c>
      <c r="B925" s="14" t="n">
        <v>94045.3651107536</v>
      </c>
      <c r="C925" s="15" t="n">
        <v>0.14690255791822</v>
      </c>
      <c r="D925" s="14" t="n">
        <f aca="false">Summary!$B$5-B925</f>
        <v>5954.63488924639</v>
      </c>
      <c r="E925" s="15" t="n">
        <f aca="false">B925/Summary!$B$5-1</f>
        <v>-0.0595463488924639</v>
      </c>
    </row>
    <row r="926" customFormat="false" ht="15" hidden="false" customHeight="false" outlineLevel="0" collapsed="false">
      <c r="A926" s="0" t="n">
        <v>925</v>
      </c>
      <c r="B926" s="14" t="n">
        <v>106790.485443931</v>
      </c>
      <c r="C926" s="15" t="n">
        <v>0.0690996644759218</v>
      </c>
      <c r="D926" s="14" t="n">
        <f aca="false">Summary!$B$5-B926</f>
        <v>-6790.4854439307</v>
      </c>
      <c r="E926" s="15" t="n">
        <f aca="false">B926/Summary!$B$5-1</f>
        <v>0.0679048544393071</v>
      </c>
    </row>
    <row r="927" customFormat="false" ht="15" hidden="false" customHeight="false" outlineLevel="0" collapsed="false">
      <c r="A927" s="0" t="n">
        <v>926</v>
      </c>
      <c r="B927" s="14" t="n">
        <v>104787.334563712</v>
      </c>
      <c r="C927" s="15" t="n">
        <v>0.0765390881057642</v>
      </c>
      <c r="D927" s="14" t="n">
        <f aca="false">Summary!$B$5-B927</f>
        <v>-4787.33456371191</v>
      </c>
      <c r="E927" s="15" t="n">
        <f aca="false">B927/Summary!$B$5-1</f>
        <v>0.047873345637119</v>
      </c>
    </row>
    <row r="928" customFormat="false" ht="15" hidden="false" customHeight="false" outlineLevel="0" collapsed="false">
      <c r="A928" s="0" t="n">
        <v>927</v>
      </c>
      <c r="B928" s="14" t="n">
        <v>109392.02177844</v>
      </c>
      <c r="C928" s="15" t="n">
        <v>0.0754894979646682</v>
      </c>
      <c r="D928" s="14" t="n">
        <f aca="false">Summary!$B$5-B928</f>
        <v>-9392.02177844021</v>
      </c>
      <c r="E928" s="15" t="n">
        <f aca="false">B928/Summary!$B$5-1</f>
        <v>0.0939202177844021</v>
      </c>
    </row>
    <row r="929" customFormat="false" ht="15" hidden="false" customHeight="false" outlineLevel="0" collapsed="false">
      <c r="A929" s="0" t="n">
        <v>928</v>
      </c>
      <c r="B929" s="14" t="n">
        <v>114645.457852384</v>
      </c>
      <c r="C929" s="15" t="n">
        <v>0.0817476378421937</v>
      </c>
      <c r="D929" s="14" t="n">
        <f aca="false">Summary!$B$5-B929</f>
        <v>-14645.4578523842</v>
      </c>
      <c r="E929" s="15" t="n">
        <f aca="false">B929/Summary!$B$5-1</f>
        <v>0.146454578523842</v>
      </c>
    </row>
    <row r="930" customFormat="false" ht="15" hidden="false" customHeight="false" outlineLevel="0" collapsed="false">
      <c r="A930" s="0" t="n">
        <v>929</v>
      </c>
      <c r="B930" s="14" t="n">
        <v>115091.040724115</v>
      </c>
      <c r="C930" s="15" t="n">
        <v>0.104622914332525</v>
      </c>
      <c r="D930" s="14" t="n">
        <f aca="false">Summary!$B$5-B930</f>
        <v>-15091.040724115</v>
      </c>
      <c r="E930" s="15" t="n">
        <f aca="false">B930/Summary!$B$5-1</f>
        <v>0.15091040724115</v>
      </c>
    </row>
    <row r="931" customFormat="false" ht="15" hidden="false" customHeight="false" outlineLevel="0" collapsed="false">
      <c r="A931" s="0" t="n">
        <v>930</v>
      </c>
      <c r="B931" s="14" t="n">
        <v>99712.1807163558</v>
      </c>
      <c r="C931" s="15" t="n">
        <v>0.102329773213608</v>
      </c>
      <c r="D931" s="14" t="n">
        <f aca="false">Summary!$B$5-B931</f>
        <v>287.819283644203</v>
      </c>
      <c r="E931" s="15" t="n">
        <f aca="false">B931/Summary!$B$5-1</f>
        <v>-0.00287819283644208</v>
      </c>
    </row>
    <row r="932" customFormat="false" ht="15" hidden="false" customHeight="false" outlineLevel="0" collapsed="false">
      <c r="A932" s="0" t="n">
        <v>931</v>
      </c>
      <c r="B932" s="14" t="n">
        <v>103673.534844556</v>
      </c>
      <c r="C932" s="15" t="n">
        <v>0.114151271257353</v>
      </c>
      <c r="D932" s="14" t="n">
        <f aca="false">Summary!$B$5-B932</f>
        <v>-3673.5348445563</v>
      </c>
      <c r="E932" s="15" t="n">
        <f aca="false">B932/Summary!$B$5-1</f>
        <v>0.036735348445563</v>
      </c>
    </row>
    <row r="933" customFormat="false" ht="15" hidden="false" customHeight="false" outlineLevel="0" collapsed="false">
      <c r="A933" s="0" t="n">
        <v>932</v>
      </c>
      <c r="B933" s="14" t="n">
        <v>121376.30438406</v>
      </c>
      <c r="C933" s="15" t="n">
        <v>0.0750031353336998</v>
      </c>
      <c r="D933" s="14" t="n">
        <f aca="false">Summary!$B$5-B933</f>
        <v>-21376.3043840602</v>
      </c>
      <c r="E933" s="15" t="n">
        <f aca="false">B933/Summary!$B$5-1</f>
        <v>0.213763043840602</v>
      </c>
    </row>
    <row r="934" customFormat="false" ht="15" hidden="false" customHeight="false" outlineLevel="0" collapsed="false">
      <c r="A934" s="0" t="n">
        <v>933</v>
      </c>
      <c r="B934" s="14" t="n">
        <v>95242.290247501</v>
      </c>
      <c r="C934" s="15" t="n">
        <v>0.111002772901363</v>
      </c>
      <c r="D934" s="14" t="n">
        <f aca="false">Summary!$B$5-B934</f>
        <v>4757.70975249898</v>
      </c>
      <c r="E934" s="15" t="n">
        <f aca="false">B934/Summary!$B$5-1</f>
        <v>-0.0475770975249898</v>
      </c>
    </row>
    <row r="935" customFormat="false" ht="15" hidden="false" customHeight="false" outlineLevel="0" collapsed="false">
      <c r="A935" s="0" t="n">
        <v>934</v>
      </c>
      <c r="B935" s="14" t="n">
        <v>99537.9413907379</v>
      </c>
      <c r="C935" s="15" t="n">
        <v>0.140145752619422</v>
      </c>
      <c r="D935" s="14" t="n">
        <f aca="false">Summary!$B$5-B935</f>
        <v>462.05860926208</v>
      </c>
      <c r="E935" s="15" t="n">
        <f aca="false">B935/Summary!$B$5-1</f>
        <v>-0.00462058609262084</v>
      </c>
    </row>
    <row r="936" customFormat="false" ht="15" hidden="false" customHeight="false" outlineLevel="0" collapsed="false">
      <c r="A936" s="0" t="n">
        <v>935</v>
      </c>
      <c r="B936" s="14" t="n">
        <v>108462.332006027</v>
      </c>
      <c r="C936" s="15" t="n">
        <v>0.0756463646018778</v>
      </c>
      <c r="D936" s="14" t="n">
        <f aca="false">Summary!$B$5-B936</f>
        <v>-8462.3320060273</v>
      </c>
      <c r="E936" s="15" t="n">
        <f aca="false">B936/Summary!$B$5-1</f>
        <v>0.0846233200602731</v>
      </c>
    </row>
    <row r="937" customFormat="false" ht="15" hidden="false" customHeight="false" outlineLevel="0" collapsed="false">
      <c r="A937" s="0" t="n">
        <v>936</v>
      </c>
      <c r="B937" s="14" t="n">
        <v>117193.494062868</v>
      </c>
      <c r="C937" s="15" t="n">
        <v>0.0675229515307949</v>
      </c>
      <c r="D937" s="14" t="n">
        <f aca="false">Summary!$B$5-B937</f>
        <v>-17193.4940628679</v>
      </c>
      <c r="E937" s="15" t="n">
        <f aca="false">B937/Summary!$B$5-1</f>
        <v>0.171934940628679</v>
      </c>
    </row>
    <row r="938" customFormat="false" ht="15" hidden="false" customHeight="false" outlineLevel="0" collapsed="false">
      <c r="A938" s="0" t="n">
        <v>937</v>
      </c>
      <c r="B938" s="14" t="n">
        <v>112125.869557994</v>
      </c>
      <c r="C938" s="15" t="n">
        <v>0.0629320102930613</v>
      </c>
      <c r="D938" s="14" t="n">
        <f aca="false">Summary!$B$5-B938</f>
        <v>-12125.8695579943</v>
      </c>
      <c r="E938" s="15" t="n">
        <f aca="false">B938/Summary!$B$5-1</f>
        <v>0.121258695579943</v>
      </c>
    </row>
    <row r="939" customFormat="false" ht="15" hidden="false" customHeight="false" outlineLevel="0" collapsed="false">
      <c r="A939" s="0" t="n">
        <v>938</v>
      </c>
      <c r="B939" s="14" t="n">
        <v>91169.4970238161</v>
      </c>
      <c r="C939" s="15" t="n">
        <v>0.147418138739745</v>
      </c>
      <c r="D939" s="14" t="n">
        <f aca="false">Summary!$B$5-B939</f>
        <v>8830.5029761839</v>
      </c>
      <c r="E939" s="15" t="n">
        <f aca="false">B939/Summary!$B$5-1</f>
        <v>-0.088305029761839</v>
      </c>
    </row>
    <row r="940" customFormat="false" ht="15" hidden="false" customHeight="false" outlineLevel="0" collapsed="false">
      <c r="A940" s="0" t="n">
        <v>939</v>
      </c>
      <c r="B940" s="14" t="n">
        <v>122608.077025916</v>
      </c>
      <c r="C940" s="15" t="n">
        <v>0.0748499754714548</v>
      </c>
      <c r="D940" s="14" t="n">
        <f aca="false">Summary!$B$5-B940</f>
        <v>-22608.077025916</v>
      </c>
      <c r="E940" s="15" t="n">
        <f aca="false">B940/Summary!$B$5-1</f>
        <v>0.22608077025916</v>
      </c>
    </row>
    <row r="941" customFormat="false" ht="15" hidden="false" customHeight="false" outlineLevel="0" collapsed="false">
      <c r="A941" s="0" t="n">
        <v>940</v>
      </c>
      <c r="B941" s="14" t="n">
        <v>110059.448729808</v>
      </c>
      <c r="C941" s="15" t="n">
        <v>0.114210088510352</v>
      </c>
      <c r="D941" s="14" t="n">
        <f aca="false">Summary!$B$5-B941</f>
        <v>-10059.4487298082</v>
      </c>
      <c r="E941" s="15" t="n">
        <f aca="false">B941/Summary!$B$5-1</f>
        <v>0.100594487298082</v>
      </c>
    </row>
    <row r="942" customFormat="false" ht="15" hidden="false" customHeight="false" outlineLevel="0" collapsed="false">
      <c r="A942" s="0" t="n">
        <v>941</v>
      </c>
      <c r="B942" s="14" t="n">
        <v>103822.989663294</v>
      </c>
      <c r="C942" s="15" t="n">
        <v>0.0973149625624423</v>
      </c>
      <c r="D942" s="14" t="n">
        <f aca="false">Summary!$B$5-B942</f>
        <v>-3822.9896632943</v>
      </c>
      <c r="E942" s="15" t="n">
        <f aca="false">B942/Summary!$B$5-1</f>
        <v>0.0382298966329431</v>
      </c>
    </row>
    <row r="943" customFormat="false" ht="15" hidden="false" customHeight="false" outlineLevel="0" collapsed="false">
      <c r="A943" s="0" t="n">
        <v>942</v>
      </c>
      <c r="B943" s="14" t="n">
        <v>108592.541640741</v>
      </c>
      <c r="C943" s="15" t="n">
        <v>0.126478107597085</v>
      </c>
      <c r="D943" s="14" t="n">
        <f aca="false">Summary!$B$5-B943</f>
        <v>-8592.5416407406</v>
      </c>
      <c r="E943" s="15" t="n">
        <f aca="false">B943/Summary!$B$5-1</f>
        <v>0.0859254164074059</v>
      </c>
    </row>
    <row r="944" customFormat="false" ht="15" hidden="false" customHeight="false" outlineLevel="0" collapsed="false">
      <c r="A944" s="0" t="n">
        <v>943</v>
      </c>
      <c r="B944" s="14" t="n">
        <v>119090.49943256</v>
      </c>
      <c r="C944" s="15" t="n">
        <v>0.0653283991657977</v>
      </c>
      <c r="D944" s="14" t="n">
        <f aca="false">Summary!$B$5-B944</f>
        <v>-19090.49943256</v>
      </c>
      <c r="E944" s="15" t="n">
        <f aca="false">B944/Summary!$B$5-1</f>
        <v>0.1909049943256</v>
      </c>
    </row>
    <row r="945" customFormat="false" ht="15" hidden="false" customHeight="false" outlineLevel="0" collapsed="false">
      <c r="A945" s="0" t="n">
        <v>944</v>
      </c>
      <c r="B945" s="14" t="n">
        <v>97187.8746382568</v>
      </c>
      <c r="C945" s="15" t="n">
        <v>0.0818319708653729</v>
      </c>
      <c r="D945" s="14" t="n">
        <f aca="false">Summary!$B$5-B945</f>
        <v>2812.12536174318</v>
      </c>
      <c r="E945" s="15" t="n">
        <f aca="false">B945/Summary!$B$5-1</f>
        <v>-0.0281212536174318</v>
      </c>
    </row>
    <row r="946" customFormat="false" ht="15" hidden="false" customHeight="false" outlineLevel="0" collapsed="false">
      <c r="A946" s="0" t="n">
        <v>945</v>
      </c>
      <c r="B946" s="14" t="n">
        <v>101941.981480641</v>
      </c>
      <c r="C946" s="15" t="n">
        <v>0.13639121131021</v>
      </c>
      <c r="D946" s="14" t="n">
        <f aca="false">Summary!$B$5-B946</f>
        <v>-1941.981480641</v>
      </c>
      <c r="E946" s="15" t="n">
        <f aca="false">B946/Summary!$B$5-1</f>
        <v>0.01941981480641</v>
      </c>
    </row>
    <row r="947" customFormat="false" ht="15" hidden="false" customHeight="false" outlineLevel="0" collapsed="false">
      <c r="A947" s="0" t="n">
        <v>946</v>
      </c>
      <c r="B947" s="14" t="n">
        <v>116072.967488934</v>
      </c>
      <c r="C947" s="15" t="n">
        <v>0.0597050119370163</v>
      </c>
      <c r="D947" s="14" t="n">
        <f aca="false">Summary!$B$5-B947</f>
        <v>-16072.9674889342</v>
      </c>
      <c r="E947" s="15" t="n">
        <f aca="false">B947/Summary!$B$5-1</f>
        <v>0.160729674889342</v>
      </c>
    </row>
    <row r="948" customFormat="false" ht="15" hidden="false" customHeight="false" outlineLevel="0" collapsed="false">
      <c r="A948" s="0" t="n">
        <v>947</v>
      </c>
      <c r="B948" s="14" t="n">
        <v>105436.303067321</v>
      </c>
      <c r="C948" s="15" t="n">
        <v>0.0993931520310889</v>
      </c>
      <c r="D948" s="14" t="n">
        <f aca="false">Summary!$B$5-B948</f>
        <v>-5436.30306732121</v>
      </c>
      <c r="E948" s="15" t="n">
        <f aca="false">B948/Summary!$B$5-1</f>
        <v>0.0543630306732121</v>
      </c>
    </row>
    <row r="949" customFormat="false" ht="15" hidden="false" customHeight="false" outlineLevel="0" collapsed="false">
      <c r="A949" s="0" t="n">
        <v>948</v>
      </c>
      <c r="B949" s="14" t="n">
        <v>93289.0592523523</v>
      </c>
      <c r="C949" s="15" t="n">
        <v>0.10997091259467</v>
      </c>
      <c r="D949" s="14" t="n">
        <f aca="false">Summary!$B$5-B949</f>
        <v>6710.94074764769</v>
      </c>
      <c r="E949" s="15" t="n">
        <f aca="false">B949/Summary!$B$5-1</f>
        <v>-0.0671094074764769</v>
      </c>
    </row>
    <row r="950" customFormat="false" ht="15" hidden="false" customHeight="false" outlineLevel="0" collapsed="false">
      <c r="A950" s="0" t="n">
        <v>949</v>
      </c>
      <c r="B950" s="14" t="n">
        <v>133209.982208899</v>
      </c>
      <c r="C950" s="15" t="n">
        <v>0.0559866924744663</v>
      </c>
      <c r="D950" s="14" t="n">
        <f aca="false">Summary!$B$5-B950</f>
        <v>-33209.9822088993</v>
      </c>
      <c r="E950" s="15" t="n">
        <f aca="false">B950/Summary!$B$5-1</f>
        <v>0.332099822088993</v>
      </c>
    </row>
    <row r="951" customFormat="false" ht="15" hidden="false" customHeight="false" outlineLevel="0" collapsed="false">
      <c r="A951" s="0" t="n">
        <v>950</v>
      </c>
      <c r="B951" s="14" t="n">
        <v>109817.59263795</v>
      </c>
      <c r="C951" s="15" t="n">
        <v>0.110574393303789</v>
      </c>
      <c r="D951" s="14" t="n">
        <f aca="false">Summary!$B$5-B951</f>
        <v>-9817.5926379497</v>
      </c>
      <c r="E951" s="15" t="n">
        <f aca="false">B951/Summary!$B$5-1</f>
        <v>0.098175926379497</v>
      </c>
    </row>
    <row r="952" customFormat="false" ht="15" hidden="false" customHeight="false" outlineLevel="0" collapsed="false">
      <c r="A952" s="0" t="n">
        <v>951</v>
      </c>
      <c r="B952" s="14" t="n">
        <v>105467.972156029</v>
      </c>
      <c r="C952" s="15" t="n">
        <v>0.10797620437988</v>
      </c>
      <c r="D952" s="14" t="n">
        <f aca="false">Summary!$B$5-B952</f>
        <v>-5467.9721560294</v>
      </c>
      <c r="E952" s="15" t="n">
        <f aca="false">B952/Summary!$B$5-1</f>
        <v>0.0546797215602939</v>
      </c>
    </row>
    <row r="953" customFormat="false" ht="15" hidden="false" customHeight="false" outlineLevel="0" collapsed="false">
      <c r="A953" s="0" t="n">
        <v>952</v>
      </c>
      <c r="B953" s="14" t="n">
        <v>145354.586847938</v>
      </c>
      <c r="C953" s="15" t="n">
        <v>0.0568359862835489</v>
      </c>
      <c r="D953" s="14" t="n">
        <f aca="false">Summary!$B$5-B953</f>
        <v>-45354.586847938</v>
      </c>
      <c r="E953" s="15" t="n">
        <f aca="false">B953/Summary!$B$5-1</f>
        <v>0.45354586847938</v>
      </c>
    </row>
    <row r="954" customFormat="false" ht="15" hidden="false" customHeight="false" outlineLevel="0" collapsed="false">
      <c r="A954" s="0" t="n">
        <v>953</v>
      </c>
      <c r="B954" s="14" t="n">
        <v>130583.250464389</v>
      </c>
      <c r="C954" s="15" t="n">
        <v>0.0497639516783816</v>
      </c>
      <c r="D954" s="14" t="n">
        <f aca="false">Summary!$B$5-B954</f>
        <v>-30583.2504643887</v>
      </c>
      <c r="E954" s="15" t="n">
        <f aca="false">B954/Summary!$B$5-1</f>
        <v>0.305832504643887</v>
      </c>
    </row>
    <row r="955" customFormat="false" ht="15" hidden="false" customHeight="false" outlineLevel="0" collapsed="false">
      <c r="A955" s="0" t="n">
        <v>954</v>
      </c>
      <c r="B955" s="14" t="n">
        <v>109661.043500654</v>
      </c>
      <c r="C955" s="15" t="n">
        <v>0.0645378723974891</v>
      </c>
      <c r="D955" s="14" t="n">
        <f aca="false">Summary!$B$5-B955</f>
        <v>-9661.0435006544</v>
      </c>
      <c r="E955" s="15" t="n">
        <f aca="false">B955/Summary!$B$5-1</f>
        <v>0.096610435006544</v>
      </c>
    </row>
    <row r="956" customFormat="false" ht="15" hidden="false" customHeight="false" outlineLevel="0" collapsed="false">
      <c r="A956" s="0" t="n">
        <v>955</v>
      </c>
      <c r="B956" s="14" t="n">
        <v>111191.732962884</v>
      </c>
      <c r="C956" s="15" t="n">
        <v>0.0512309321565951</v>
      </c>
      <c r="D956" s="14" t="n">
        <f aca="false">Summary!$B$5-B956</f>
        <v>-11191.7329628839</v>
      </c>
      <c r="E956" s="15" t="n">
        <f aca="false">B956/Summary!$B$5-1</f>
        <v>0.111917329628839</v>
      </c>
    </row>
    <row r="957" customFormat="false" ht="15" hidden="false" customHeight="false" outlineLevel="0" collapsed="false">
      <c r="A957" s="0" t="n">
        <v>956</v>
      </c>
      <c r="B957" s="14" t="n">
        <v>120460.626051475</v>
      </c>
      <c r="C957" s="15" t="n">
        <v>0.10702634269175</v>
      </c>
      <c r="D957" s="14" t="n">
        <f aca="false">Summary!$B$5-B957</f>
        <v>-20460.626051475</v>
      </c>
      <c r="E957" s="15" t="n">
        <f aca="false">B957/Summary!$B$5-1</f>
        <v>0.20460626051475</v>
      </c>
    </row>
    <row r="958" customFormat="false" ht="15" hidden="false" customHeight="false" outlineLevel="0" collapsed="false">
      <c r="A958" s="0" t="n">
        <v>957</v>
      </c>
      <c r="B958" s="14" t="n">
        <v>94151.692387803</v>
      </c>
      <c r="C958" s="15" t="n">
        <v>0.197919981659385</v>
      </c>
      <c r="D958" s="14" t="n">
        <f aca="false">Summary!$B$5-B958</f>
        <v>5848.30761219698</v>
      </c>
      <c r="E958" s="15" t="n">
        <f aca="false">B958/Summary!$B$5-1</f>
        <v>-0.0584830761219698</v>
      </c>
    </row>
    <row r="959" customFormat="false" ht="15" hidden="false" customHeight="false" outlineLevel="0" collapsed="false">
      <c r="A959" s="0" t="n">
        <v>958</v>
      </c>
      <c r="B959" s="14" t="n">
        <v>108356.235855</v>
      </c>
      <c r="C959" s="15" t="n">
        <v>0.0883229074361824</v>
      </c>
      <c r="D959" s="14" t="n">
        <f aca="false">Summary!$B$5-B959</f>
        <v>-8356.2358549998</v>
      </c>
      <c r="E959" s="15" t="n">
        <f aca="false">B959/Summary!$B$5-1</f>
        <v>0.0835623585499981</v>
      </c>
    </row>
    <row r="960" customFormat="false" ht="15" hidden="false" customHeight="false" outlineLevel="0" collapsed="false">
      <c r="A960" s="0" t="n">
        <v>959</v>
      </c>
      <c r="B960" s="14" t="n">
        <v>104369.327164721</v>
      </c>
      <c r="C960" s="15" t="n">
        <v>0.122002597086858</v>
      </c>
      <c r="D960" s="14" t="n">
        <f aca="false">Summary!$B$5-B960</f>
        <v>-4369.3271647206</v>
      </c>
      <c r="E960" s="15" t="n">
        <f aca="false">B960/Summary!$B$5-1</f>
        <v>0.043693271647206</v>
      </c>
    </row>
    <row r="961" customFormat="false" ht="15" hidden="false" customHeight="false" outlineLevel="0" collapsed="false">
      <c r="A961" s="0" t="n">
        <v>960</v>
      </c>
      <c r="B961" s="14" t="n">
        <v>102463.771430799</v>
      </c>
      <c r="C961" s="15" t="n">
        <v>0.0689813535604454</v>
      </c>
      <c r="D961" s="14" t="n">
        <f aca="false">Summary!$B$5-B961</f>
        <v>-2463.7714307992</v>
      </c>
      <c r="E961" s="15" t="n">
        <f aca="false">B961/Summary!$B$5-1</f>
        <v>0.0246377143079919</v>
      </c>
    </row>
    <row r="962" customFormat="false" ht="15" hidden="false" customHeight="false" outlineLevel="0" collapsed="false">
      <c r="A962" s="0" t="n">
        <v>961</v>
      </c>
      <c r="B962" s="14" t="n">
        <v>138589.8440601</v>
      </c>
      <c r="C962" s="15" t="n">
        <v>0.0420289695020522</v>
      </c>
      <c r="D962" s="14" t="n">
        <f aca="false">Summary!$B$5-B962</f>
        <v>-38589.8440600998</v>
      </c>
      <c r="E962" s="15" t="n">
        <f aca="false">B962/Summary!$B$5-1</f>
        <v>0.385898440600998</v>
      </c>
    </row>
    <row r="963" customFormat="false" ht="15" hidden="false" customHeight="false" outlineLevel="0" collapsed="false">
      <c r="A963" s="0" t="n">
        <v>962</v>
      </c>
      <c r="B963" s="14" t="n">
        <v>116982.959518028</v>
      </c>
      <c r="C963" s="15" t="n">
        <v>0.0497099982395753</v>
      </c>
      <c r="D963" s="14" t="n">
        <f aca="false">Summary!$B$5-B963</f>
        <v>-16982.9595180283</v>
      </c>
      <c r="E963" s="15" t="n">
        <f aca="false">B963/Summary!$B$5-1</f>
        <v>0.169829595180283</v>
      </c>
    </row>
    <row r="964" customFormat="false" ht="15" hidden="false" customHeight="false" outlineLevel="0" collapsed="false">
      <c r="A964" s="0" t="n">
        <v>963</v>
      </c>
      <c r="B964" s="14" t="n">
        <v>90074.3372897078</v>
      </c>
      <c r="C964" s="15" t="n">
        <v>0.179405386937904</v>
      </c>
      <c r="D964" s="14" t="n">
        <f aca="false">Summary!$B$5-B964</f>
        <v>9925.66271029224</v>
      </c>
      <c r="E964" s="15" t="n">
        <f aca="false">B964/Summary!$B$5-1</f>
        <v>-0.0992566271029224</v>
      </c>
    </row>
    <row r="965" customFormat="false" ht="15" hidden="false" customHeight="false" outlineLevel="0" collapsed="false">
      <c r="A965" s="0" t="n">
        <v>964</v>
      </c>
      <c r="B965" s="14" t="n">
        <v>88624.2377790753</v>
      </c>
      <c r="C965" s="15" t="n">
        <v>0.152398092175015</v>
      </c>
      <c r="D965" s="14" t="n">
        <f aca="false">Summary!$B$5-B965</f>
        <v>11375.7622209247</v>
      </c>
      <c r="E965" s="15" t="n">
        <f aca="false">B965/Summary!$B$5-1</f>
        <v>-0.113757622209247</v>
      </c>
    </row>
    <row r="966" customFormat="false" ht="15" hidden="false" customHeight="false" outlineLevel="0" collapsed="false">
      <c r="A966" s="0" t="n">
        <v>965</v>
      </c>
      <c r="B966" s="14" t="n">
        <v>115563.603869157</v>
      </c>
      <c r="C966" s="15" t="n">
        <v>0.113432111686544</v>
      </c>
      <c r="D966" s="14" t="n">
        <f aca="false">Summary!$B$5-B966</f>
        <v>-15563.6038691565</v>
      </c>
      <c r="E966" s="15" t="n">
        <f aca="false">B966/Summary!$B$5-1</f>
        <v>0.155636038691565</v>
      </c>
    </row>
    <row r="967" customFormat="false" ht="15" hidden="false" customHeight="false" outlineLevel="0" collapsed="false">
      <c r="A967" s="0" t="n">
        <v>966</v>
      </c>
      <c r="B967" s="14" t="n">
        <v>113771.530513785</v>
      </c>
      <c r="C967" s="15" t="n">
        <v>0.0811140213996768</v>
      </c>
      <c r="D967" s="14" t="n">
        <f aca="false">Summary!$B$5-B967</f>
        <v>-13771.5305137853</v>
      </c>
      <c r="E967" s="15" t="n">
        <f aca="false">B967/Summary!$B$5-1</f>
        <v>0.137715305137853</v>
      </c>
    </row>
    <row r="968" customFormat="false" ht="15" hidden="false" customHeight="false" outlineLevel="0" collapsed="false">
      <c r="A968" s="0" t="n">
        <v>967</v>
      </c>
      <c r="B968" s="14" t="n">
        <v>97494.8162376086</v>
      </c>
      <c r="C968" s="15" t="n">
        <v>0.114461094592889</v>
      </c>
      <c r="D968" s="14" t="n">
        <f aca="false">Summary!$B$5-B968</f>
        <v>2505.18376239145</v>
      </c>
      <c r="E968" s="15" t="n">
        <f aca="false">B968/Summary!$B$5-1</f>
        <v>-0.0250518376239145</v>
      </c>
    </row>
    <row r="969" customFormat="false" ht="15" hidden="false" customHeight="false" outlineLevel="0" collapsed="false">
      <c r="A969" s="0" t="n">
        <v>968</v>
      </c>
      <c r="B969" s="14" t="n">
        <v>117884.190792995</v>
      </c>
      <c r="C969" s="15" t="n">
        <v>0.0536301389704843</v>
      </c>
      <c r="D969" s="14" t="n">
        <f aca="false">Summary!$B$5-B969</f>
        <v>-17884.1907929947</v>
      </c>
      <c r="E969" s="15" t="n">
        <f aca="false">B969/Summary!$B$5-1</f>
        <v>0.178841907929947</v>
      </c>
    </row>
    <row r="970" customFormat="false" ht="15" hidden="false" customHeight="false" outlineLevel="0" collapsed="false">
      <c r="A970" s="0" t="n">
        <v>969</v>
      </c>
      <c r="B970" s="14" t="n">
        <v>115177.185165215</v>
      </c>
      <c r="C970" s="15" t="n">
        <v>0.0601008591563707</v>
      </c>
      <c r="D970" s="14" t="n">
        <f aca="false">Summary!$B$5-B970</f>
        <v>-15177.1851652153</v>
      </c>
      <c r="E970" s="15" t="n">
        <f aca="false">B970/Summary!$B$5-1</f>
        <v>0.151771851652153</v>
      </c>
    </row>
    <row r="971" customFormat="false" ht="15" hidden="false" customHeight="false" outlineLevel="0" collapsed="false">
      <c r="A971" s="0" t="n">
        <v>970</v>
      </c>
      <c r="B971" s="14" t="n">
        <v>111480.587705214</v>
      </c>
      <c r="C971" s="15" t="n">
        <v>0.0655732023793461</v>
      </c>
      <c r="D971" s="14" t="n">
        <f aca="false">Summary!$B$5-B971</f>
        <v>-11480.5877052137</v>
      </c>
      <c r="E971" s="15" t="n">
        <f aca="false">B971/Summary!$B$5-1</f>
        <v>0.114805877052137</v>
      </c>
    </row>
    <row r="972" customFormat="false" ht="15" hidden="false" customHeight="false" outlineLevel="0" collapsed="false">
      <c r="A972" s="0" t="n">
        <v>971</v>
      </c>
      <c r="B972" s="14" t="n">
        <v>105459.298637846</v>
      </c>
      <c r="C972" s="15" t="n">
        <v>0.073582828016184</v>
      </c>
      <c r="D972" s="14" t="n">
        <f aca="false">Summary!$B$5-B972</f>
        <v>-5459.29863784619</v>
      </c>
      <c r="E972" s="15" t="n">
        <f aca="false">B972/Summary!$B$5-1</f>
        <v>0.054592986378462</v>
      </c>
    </row>
    <row r="973" customFormat="false" ht="15" hidden="false" customHeight="false" outlineLevel="0" collapsed="false">
      <c r="A973" s="0" t="n">
        <v>972</v>
      </c>
      <c r="B973" s="14" t="n">
        <v>105155.893812648</v>
      </c>
      <c r="C973" s="15" t="n">
        <v>0.0891611203698488</v>
      </c>
      <c r="D973" s="14" t="n">
        <f aca="false">Summary!$B$5-B973</f>
        <v>-5155.8938126477</v>
      </c>
      <c r="E973" s="15" t="n">
        <f aca="false">B973/Summary!$B$5-1</f>
        <v>0.0515589381264769</v>
      </c>
    </row>
    <row r="974" customFormat="false" ht="15" hidden="false" customHeight="false" outlineLevel="0" collapsed="false">
      <c r="A974" s="0" t="n">
        <v>973</v>
      </c>
      <c r="B974" s="14" t="n">
        <v>106281.710001222</v>
      </c>
      <c r="C974" s="15" t="n">
        <v>0.105106842042829</v>
      </c>
      <c r="D974" s="14" t="n">
        <f aca="false">Summary!$B$5-B974</f>
        <v>-6281.7100012218</v>
      </c>
      <c r="E974" s="15" t="n">
        <f aca="false">B974/Summary!$B$5-1</f>
        <v>0.062817100012218</v>
      </c>
    </row>
    <row r="975" customFormat="false" ht="15" hidden="false" customHeight="false" outlineLevel="0" collapsed="false">
      <c r="A975" s="0" t="n">
        <v>974</v>
      </c>
      <c r="B975" s="14" t="n">
        <v>94554.4429015141</v>
      </c>
      <c r="C975" s="15" t="n">
        <v>0.188758234171781</v>
      </c>
      <c r="D975" s="14" t="n">
        <f aca="false">Summary!$B$5-B975</f>
        <v>5445.55709848594</v>
      </c>
      <c r="E975" s="15" t="n">
        <f aca="false">B975/Summary!$B$5-1</f>
        <v>-0.0544555709848593</v>
      </c>
    </row>
    <row r="976" customFormat="false" ht="15" hidden="false" customHeight="false" outlineLevel="0" collapsed="false">
      <c r="A976" s="0" t="n">
        <v>975</v>
      </c>
      <c r="B976" s="14" t="n">
        <v>102252.335497634</v>
      </c>
      <c r="C976" s="15" t="n">
        <v>0.0985197743292738</v>
      </c>
      <c r="D976" s="14" t="n">
        <f aca="false">Summary!$B$5-B976</f>
        <v>-2252.3354976338</v>
      </c>
      <c r="E976" s="15" t="n">
        <f aca="false">B976/Summary!$B$5-1</f>
        <v>0.022523354976338</v>
      </c>
    </row>
    <row r="977" customFormat="false" ht="15" hidden="false" customHeight="false" outlineLevel="0" collapsed="false">
      <c r="A977" s="0" t="n">
        <v>976</v>
      </c>
      <c r="B977" s="14" t="n">
        <v>109160.377690842</v>
      </c>
      <c r="C977" s="15" t="n">
        <v>0.0800163123044997</v>
      </c>
      <c r="D977" s="14" t="n">
        <f aca="false">Summary!$B$5-B977</f>
        <v>-9160.377690842</v>
      </c>
      <c r="E977" s="15" t="n">
        <f aca="false">B977/Summary!$B$5-1</f>
        <v>0.0916037769084199</v>
      </c>
    </row>
    <row r="978" customFormat="false" ht="15" hidden="false" customHeight="false" outlineLevel="0" collapsed="false">
      <c r="A978" s="0" t="n">
        <v>977</v>
      </c>
      <c r="B978" s="14" t="n">
        <v>106274.20860693</v>
      </c>
      <c r="C978" s="15" t="n">
        <v>0.06800656681609</v>
      </c>
      <c r="D978" s="14" t="n">
        <f aca="false">Summary!$B$5-B978</f>
        <v>-6274.2086069295</v>
      </c>
      <c r="E978" s="15" t="n">
        <f aca="false">B978/Summary!$B$5-1</f>
        <v>0.0627420860692951</v>
      </c>
    </row>
    <row r="979" customFormat="false" ht="15" hidden="false" customHeight="false" outlineLevel="0" collapsed="false">
      <c r="A979" s="0" t="n">
        <v>978</v>
      </c>
      <c r="B979" s="14" t="n">
        <v>112890.273786831</v>
      </c>
      <c r="C979" s="15" t="n">
        <v>0.0784114297044961</v>
      </c>
      <c r="D979" s="14" t="n">
        <f aca="false">Summary!$B$5-B979</f>
        <v>-12890.2737868314</v>
      </c>
      <c r="E979" s="15" t="n">
        <f aca="false">B979/Summary!$B$5-1</f>
        <v>0.128902737868314</v>
      </c>
    </row>
    <row r="980" customFormat="false" ht="15" hidden="false" customHeight="false" outlineLevel="0" collapsed="false">
      <c r="A980" s="0" t="n">
        <v>979</v>
      </c>
      <c r="B980" s="14" t="n">
        <v>129527.191918048</v>
      </c>
      <c r="C980" s="15" t="n">
        <v>0.0616758617784282</v>
      </c>
      <c r="D980" s="14" t="n">
        <f aca="false">Summary!$B$5-B980</f>
        <v>-29527.1919180483</v>
      </c>
      <c r="E980" s="15" t="n">
        <f aca="false">B980/Summary!$B$5-1</f>
        <v>0.295271919180483</v>
      </c>
    </row>
    <row r="981" customFormat="false" ht="15" hidden="false" customHeight="false" outlineLevel="0" collapsed="false">
      <c r="A981" s="0" t="n">
        <v>980</v>
      </c>
      <c r="B981" s="14" t="n">
        <v>97528.4841790291</v>
      </c>
      <c r="C981" s="15" t="n">
        <v>0.0970423213921181</v>
      </c>
      <c r="D981" s="14" t="n">
        <f aca="false">Summary!$B$5-B981</f>
        <v>2471.5158209709</v>
      </c>
      <c r="E981" s="15" t="n">
        <f aca="false">B981/Summary!$B$5-1</f>
        <v>-0.024715158209709</v>
      </c>
    </row>
    <row r="982" customFormat="false" ht="15" hidden="false" customHeight="false" outlineLevel="0" collapsed="false">
      <c r="A982" s="0" t="n">
        <v>981</v>
      </c>
      <c r="B982" s="14" t="n">
        <v>101116.16195733</v>
      </c>
      <c r="C982" s="15" t="n">
        <v>0.0907692426242964</v>
      </c>
      <c r="D982" s="14" t="n">
        <f aca="false">Summary!$B$5-B982</f>
        <v>-1116.1619573299</v>
      </c>
      <c r="E982" s="15" t="n">
        <f aca="false">B982/Summary!$B$5-1</f>
        <v>0.0111616195732989</v>
      </c>
    </row>
    <row r="983" customFormat="false" ht="15" hidden="false" customHeight="false" outlineLevel="0" collapsed="false">
      <c r="A983" s="0" t="n">
        <v>982</v>
      </c>
      <c r="B983" s="14" t="n">
        <v>104077.891707858</v>
      </c>
      <c r="C983" s="15" t="n">
        <v>0.136995541431878</v>
      </c>
      <c r="D983" s="14" t="n">
        <f aca="false">Summary!$B$5-B983</f>
        <v>-4077.8917078583</v>
      </c>
      <c r="E983" s="15" t="n">
        <f aca="false">B983/Summary!$B$5-1</f>
        <v>0.0407789170785831</v>
      </c>
    </row>
    <row r="984" customFormat="false" ht="15" hidden="false" customHeight="false" outlineLevel="0" collapsed="false">
      <c r="A984" s="0" t="n">
        <v>983</v>
      </c>
      <c r="B984" s="14" t="n">
        <v>100175.826095854</v>
      </c>
      <c r="C984" s="15" t="n">
        <v>0.092956901532873</v>
      </c>
      <c r="D984" s="14" t="n">
        <f aca="false">Summary!$B$5-B984</f>
        <v>-175.826095854107</v>
      </c>
      <c r="E984" s="15" t="n">
        <f aca="false">B984/Summary!$B$5-1</f>
        <v>0.00175826095854115</v>
      </c>
    </row>
    <row r="985" customFormat="false" ht="15" hidden="false" customHeight="false" outlineLevel="0" collapsed="false">
      <c r="A985" s="0" t="n">
        <v>984</v>
      </c>
      <c r="B985" s="14" t="n">
        <v>116773.581870599</v>
      </c>
      <c r="C985" s="15" t="n">
        <v>0.133281190401212</v>
      </c>
      <c r="D985" s="14" t="n">
        <f aca="false">Summary!$B$5-B985</f>
        <v>-16773.5818705989</v>
      </c>
      <c r="E985" s="15" t="n">
        <f aca="false">B985/Summary!$B$5-1</f>
        <v>0.167735818705989</v>
      </c>
    </row>
    <row r="986" customFormat="false" ht="15" hidden="false" customHeight="false" outlineLevel="0" collapsed="false">
      <c r="A986" s="0" t="n">
        <v>985</v>
      </c>
      <c r="B986" s="14" t="n">
        <v>112352.226092305</v>
      </c>
      <c r="C986" s="15" t="n">
        <v>0.0576206387694946</v>
      </c>
      <c r="D986" s="14" t="n">
        <f aca="false">Summary!$B$5-B986</f>
        <v>-12352.2260923051</v>
      </c>
      <c r="E986" s="15" t="n">
        <f aca="false">B986/Summary!$B$5-1</f>
        <v>0.123522260923051</v>
      </c>
    </row>
    <row r="987" customFormat="false" ht="15" hidden="false" customHeight="false" outlineLevel="0" collapsed="false">
      <c r="A987" s="0" t="n">
        <v>986</v>
      </c>
      <c r="B987" s="14" t="n">
        <v>112313.722844725</v>
      </c>
      <c r="C987" s="15" t="n">
        <v>0.0666365475544682</v>
      </c>
      <c r="D987" s="14" t="n">
        <f aca="false">Summary!$B$5-B987</f>
        <v>-12313.7228447249</v>
      </c>
      <c r="E987" s="15" t="n">
        <f aca="false">B987/Summary!$B$5-1</f>
        <v>0.123137228447249</v>
      </c>
    </row>
    <row r="988" customFormat="false" ht="15" hidden="false" customHeight="false" outlineLevel="0" collapsed="false">
      <c r="A988" s="0" t="n">
        <v>987</v>
      </c>
      <c r="B988" s="14" t="n">
        <v>133401.736889592</v>
      </c>
      <c r="C988" s="15" t="n">
        <v>0.0529881721338144</v>
      </c>
      <c r="D988" s="14" t="n">
        <f aca="false">Summary!$B$5-B988</f>
        <v>-33401.7368895919</v>
      </c>
      <c r="E988" s="15" t="n">
        <f aca="false">B988/Summary!$B$5-1</f>
        <v>0.334017368895919</v>
      </c>
    </row>
    <row r="989" customFormat="false" ht="15" hidden="false" customHeight="false" outlineLevel="0" collapsed="false">
      <c r="A989" s="0" t="n">
        <v>988</v>
      </c>
      <c r="B989" s="14" t="n">
        <v>102919.62035225</v>
      </c>
      <c r="C989" s="15" t="n">
        <v>0.0856144613638373</v>
      </c>
      <c r="D989" s="14" t="n">
        <f aca="false">Summary!$B$5-B989</f>
        <v>-2919.62035225031</v>
      </c>
      <c r="E989" s="15" t="n">
        <f aca="false">B989/Summary!$B$5-1</f>
        <v>0.0291962035225031</v>
      </c>
    </row>
    <row r="990" customFormat="false" ht="15" hidden="false" customHeight="false" outlineLevel="0" collapsed="false">
      <c r="A990" s="0" t="n">
        <v>989</v>
      </c>
      <c r="B990" s="14" t="n">
        <v>119818.422696401</v>
      </c>
      <c r="C990" s="15" t="n">
        <v>0.047601473795607</v>
      </c>
      <c r="D990" s="14" t="n">
        <f aca="false">Summary!$B$5-B990</f>
        <v>-19818.4226964006</v>
      </c>
      <c r="E990" s="15" t="n">
        <f aca="false">B990/Summary!$B$5-1</f>
        <v>0.198184226964006</v>
      </c>
    </row>
    <row r="991" customFormat="false" ht="15" hidden="false" customHeight="false" outlineLevel="0" collapsed="false">
      <c r="A991" s="0" t="n">
        <v>990</v>
      </c>
      <c r="B991" s="14" t="n">
        <v>90581.0950217094</v>
      </c>
      <c r="C991" s="15" t="n">
        <v>0.137124008945596</v>
      </c>
      <c r="D991" s="14" t="n">
        <f aca="false">Summary!$B$5-B991</f>
        <v>9418.90497829058</v>
      </c>
      <c r="E991" s="15" t="n">
        <f aca="false">B991/Summary!$B$5-1</f>
        <v>-0.0941890497829058</v>
      </c>
    </row>
    <row r="992" customFormat="false" ht="15" hidden="false" customHeight="false" outlineLevel="0" collapsed="false">
      <c r="A992" s="0" t="n">
        <v>991</v>
      </c>
      <c r="B992" s="14" t="n">
        <v>114250.241224569</v>
      </c>
      <c r="C992" s="15" t="n">
        <v>0.0839554273028453</v>
      </c>
      <c r="D992" s="14" t="n">
        <f aca="false">Summary!$B$5-B992</f>
        <v>-14250.2412245693</v>
      </c>
      <c r="E992" s="15" t="n">
        <f aca="false">B992/Summary!$B$5-1</f>
        <v>0.142502412245693</v>
      </c>
    </row>
    <row r="993" customFormat="false" ht="15" hidden="false" customHeight="false" outlineLevel="0" collapsed="false">
      <c r="A993" s="0" t="n">
        <v>992</v>
      </c>
      <c r="B993" s="14" t="n">
        <v>91149.0694896728</v>
      </c>
      <c r="C993" s="15" t="n">
        <v>0.105259473441745</v>
      </c>
      <c r="D993" s="14" t="n">
        <f aca="false">Summary!$B$5-B993</f>
        <v>8850.93051032719</v>
      </c>
      <c r="E993" s="15" t="n">
        <f aca="false">B993/Summary!$B$5-1</f>
        <v>-0.0885093051032719</v>
      </c>
    </row>
    <row r="994" customFormat="false" ht="15" hidden="false" customHeight="false" outlineLevel="0" collapsed="false">
      <c r="A994" s="0" t="n">
        <v>993</v>
      </c>
      <c r="B994" s="14" t="n">
        <v>103433.138978673</v>
      </c>
      <c r="C994" s="15" t="n">
        <v>0.0996009396643516</v>
      </c>
      <c r="D994" s="14" t="n">
        <f aca="false">Summary!$B$5-B994</f>
        <v>-3433.13897867341</v>
      </c>
      <c r="E994" s="15" t="n">
        <f aca="false">B994/Summary!$B$5-1</f>
        <v>0.0343313897867341</v>
      </c>
    </row>
    <row r="995" customFormat="false" ht="15" hidden="false" customHeight="false" outlineLevel="0" collapsed="false">
      <c r="A995" s="0" t="n">
        <v>994</v>
      </c>
      <c r="B995" s="14" t="n">
        <v>112148.808420102</v>
      </c>
      <c r="C995" s="15" t="n">
        <v>0.065484174484703</v>
      </c>
      <c r="D995" s="14" t="n">
        <f aca="false">Summary!$B$5-B995</f>
        <v>-12148.8084201019</v>
      </c>
      <c r="E995" s="15" t="n">
        <f aca="false">B995/Summary!$B$5-1</f>
        <v>0.121488084201019</v>
      </c>
    </row>
    <row r="996" customFormat="false" ht="15" hidden="false" customHeight="false" outlineLevel="0" collapsed="false">
      <c r="A996" s="0" t="n">
        <v>995</v>
      </c>
      <c r="B996" s="14" t="n">
        <v>103143.086293918</v>
      </c>
      <c r="C996" s="15" t="n">
        <v>0.0985381141371082</v>
      </c>
      <c r="D996" s="14" t="n">
        <f aca="false">Summary!$B$5-B996</f>
        <v>-3143.0862939176</v>
      </c>
      <c r="E996" s="15" t="n">
        <f aca="false">B996/Summary!$B$5-1</f>
        <v>0.031430862939176</v>
      </c>
    </row>
    <row r="997" customFormat="false" ht="15" hidden="false" customHeight="false" outlineLevel="0" collapsed="false">
      <c r="A997" s="0" t="n">
        <v>996</v>
      </c>
      <c r="B997" s="14" t="n">
        <v>100935.826723312</v>
      </c>
      <c r="C997" s="15" t="n">
        <v>0.0697344407322821</v>
      </c>
      <c r="D997" s="14" t="n">
        <f aca="false">Summary!$B$5-B997</f>
        <v>-935.826723312406</v>
      </c>
      <c r="E997" s="15" t="n">
        <f aca="false">B997/Summary!$B$5-1</f>
        <v>0.00935826723312405</v>
      </c>
    </row>
    <row r="998" customFormat="false" ht="15" hidden="false" customHeight="false" outlineLevel="0" collapsed="false">
      <c r="A998" s="0" t="n">
        <v>997</v>
      </c>
      <c r="B998" s="14" t="n">
        <v>102962.24420319</v>
      </c>
      <c r="C998" s="15" t="n">
        <v>0.079562346604509</v>
      </c>
      <c r="D998" s="14" t="n">
        <f aca="false">Summary!$B$5-B998</f>
        <v>-2962.24420319041</v>
      </c>
      <c r="E998" s="15" t="n">
        <f aca="false">B998/Summary!$B$5-1</f>
        <v>0.029622442031904</v>
      </c>
    </row>
    <row r="999" customFormat="false" ht="15" hidden="false" customHeight="false" outlineLevel="0" collapsed="false">
      <c r="A999" s="0" t="n">
        <v>998</v>
      </c>
      <c r="B999" s="14" t="n">
        <v>114530.545943774</v>
      </c>
      <c r="C999" s="15" t="n">
        <v>0.123856899939144</v>
      </c>
      <c r="D999" s="14" t="n">
        <f aca="false">Summary!$B$5-B999</f>
        <v>-14530.5459437741</v>
      </c>
      <c r="E999" s="15" t="n">
        <f aca="false">B999/Summary!$B$5-1</f>
        <v>0.145305459437741</v>
      </c>
    </row>
    <row r="1000" customFormat="false" ht="15" hidden="false" customHeight="false" outlineLevel="0" collapsed="false">
      <c r="A1000" s="0" t="n">
        <v>999</v>
      </c>
      <c r="B1000" s="14" t="n">
        <v>102387.082836105</v>
      </c>
      <c r="C1000" s="15" t="n">
        <v>0.130214068681235</v>
      </c>
      <c r="D1000" s="14" t="n">
        <f aca="false">Summary!$B$5-B1000</f>
        <v>-2387.08283610499</v>
      </c>
      <c r="E1000" s="15" t="n">
        <f aca="false">B1000/Summary!$B$5-1</f>
        <v>0.02387082836105</v>
      </c>
    </row>
    <row r="1001" customFormat="false" ht="15" hidden="false" customHeight="false" outlineLevel="0" collapsed="false">
      <c r="A1001" s="0" t="n">
        <v>1000</v>
      </c>
      <c r="B1001" s="14" t="n">
        <v>93530.6692564852</v>
      </c>
      <c r="C1001" s="15" t="n">
        <v>0.15929055129443</v>
      </c>
      <c r="D1001" s="14" t="n">
        <f aca="false">Summary!$B$5-B1001</f>
        <v>6469.33074351485</v>
      </c>
      <c r="E1001" s="15" t="n">
        <f aca="false">B1001/Summary!$B$5-1</f>
        <v>-0.0646933074351485</v>
      </c>
    </row>
    <row r="1002" customFormat="false" ht="15" hidden="false" customHeight="false" outlineLevel="0" collapsed="false">
      <c r="A1002" s="0" t="n">
        <v>1001</v>
      </c>
      <c r="B1002" s="14" t="n">
        <v>115271.634577383</v>
      </c>
      <c r="C1002" s="15" t="n">
        <v>0.0513138549187484</v>
      </c>
      <c r="D1002" s="14" t="n">
        <f aca="false">Summary!$B$5-B1002</f>
        <v>-15271.6345773833</v>
      </c>
      <c r="E1002" s="15" t="n">
        <f aca="false">B1002/Summary!$B$5-1</f>
        <v>0.152716345773833</v>
      </c>
    </row>
    <row r="1003" customFormat="false" ht="15" hidden="false" customHeight="false" outlineLevel="0" collapsed="false">
      <c r="A1003" s="0" t="n">
        <v>1002</v>
      </c>
      <c r="B1003" s="14" t="n">
        <v>119706.45138015</v>
      </c>
      <c r="C1003" s="15" t="n">
        <v>0.0777318006682325</v>
      </c>
      <c r="D1003" s="14" t="n">
        <f aca="false">Summary!$B$5-B1003</f>
        <v>-19706.4513801503</v>
      </c>
      <c r="E1003" s="15" t="n">
        <f aca="false">B1003/Summary!$B$5-1</f>
        <v>0.197064513801503</v>
      </c>
    </row>
    <row r="1004" customFormat="false" ht="15" hidden="false" customHeight="false" outlineLevel="0" collapsed="false">
      <c r="A1004" s="0" t="n">
        <v>1003</v>
      </c>
      <c r="B1004" s="14" t="n">
        <v>129781.101037027</v>
      </c>
      <c r="C1004" s="15" t="n">
        <v>0.0817827375904613</v>
      </c>
      <c r="D1004" s="14" t="n">
        <f aca="false">Summary!$B$5-B1004</f>
        <v>-29781.1010370273</v>
      </c>
      <c r="E1004" s="15" t="n">
        <f aca="false">B1004/Summary!$B$5-1</f>
        <v>0.297811010370273</v>
      </c>
    </row>
    <row r="1005" customFormat="false" ht="15" hidden="false" customHeight="false" outlineLevel="0" collapsed="false">
      <c r="A1005" s="0" t="n">
        <v>1004</v>
      </c>
      <c r="B1005" s="14" t="n">
        <v>103994.687165686</v>
      </c>
      <c r="C1005" s="15" t="n">
        <v>0.102526656328161</v>
      </c>
      <c r="D1005" s="14" t="n">
        <f aca="false">Summary!$B$5-B1005</f>
        <v>-3994.68716568621</v>
      </c>
      <c r="E1005" s="15" t="n">
        <f aca="false">B1005/Summary!$B$5-1</f>
        <v>0.0399468716568621</v>
      </c>
    </row>
    <row r="1006" customFormat="false" ht="15" hidden="false" customHeight="false" outlineLevel="0" collapsed="false">
      <c r="A1006" s="0" t="n">
        <v>1005</v>
      </c>
      <c r="B1006" s="14" t="n">
        <v>112133.055176082</v>
      </c>
      <c r="C1006" s="15" t="n">
        <v>0.139709977771799</v>
      </c>
      <c r="D1006" s="14" t="n">
        <f aca="false">Summary!$B$5-B1006</f>
        <v>-12133.0551760824</v>
      </c>
      <c r="E1006" s="15" t="n">
        <f aca="false">B1006/Summary!$B$5-1</f>
        <v>0.121330551760824</v>
      </c>
    </row>
    <row r="1007" customFormat="false" ht="15" hidden="false" customHeight="false" outlineLevel="0" collapsed="false">
      <c r="A1007" s="0" t="n">
        <v>1006</v>
      </c>
      <c r="B1007" s="14" t="n">
        <v>123371.96990562</v>
      </c>
      <c r="C1007" s="15" t="n">
        <v>0.0495422218469629</v>
      </c>
      <c r="D1007" s="14" t="n">
        <f aca="false">Summary!$B$5-B1007</f>
        <v>-23371.9699056197</v>
      </c>
      <c r="E1007" s="15" t="n">
        <f aca="false">B1007/Summary!$B$5-1</f>
        <v>0.233719699056197</v>
      </c>
    </row>
    <row r="1008" customFormat="false" ht="15" hidden="false" customHeight="false" outlineLevel="0" collapsed="false">
      <c r="A1008" s="0" t="n">
        <v>1007</v>
      </c>
      <c r="B1008" s="14" t="n">
        <v>118172.476974127</v>
      </c>
      <c r="C1008" s="15" t="n">
        <v>0.0891663806165283</v>
      </c>
      <c r="D1008" s="14" t="n">
        <f aca="false">Summary!$B$5-B1008</f>
        <v>-18172.4769741267</v>
      </c>
      <c r="E1008" s="15" t="n">
        <f aca="false">B1008/Summary!$B$5-1</f>
        <v>0.181724769741267</v>
      </c>
    </row>
    <row r="1009" customFormat="false" ht="15" hidden="false" customHeight="false" outlineLevel="0" collapsed="false">
      <c r="A1009" s="0" t="n">
        <v>1008</v>
      </c>
      <c r="B1009" s="14" t="n">
        <v>92608.0963400511</v>
      </c>
      <c r="C1009" s="15" t="n">
        <v>0.168708981113241</v>
      </c>
      <c r="D1009" s="14" t="n">
        <f aca="false">Summary!$B$5-B1009</f>
        <v>7391.90365994888</v>
      </c>
      <c r="E1009" s="15" t="n">
        <f aca="false">B1009/Summary!$B$5-1</f>
        <v>-0.0739190365994887</v>
      </c>
    </row>
    <row r="1010" customFormat="false" ht="15" hidden="false" customHeight="false" outlineLevel="0" collapsed="false">
      <c r="A1010" s="0" t="n">
        <v>1009</v>
      </c>
      <c r="B1010" s="14" t="n">
        <v>99847.1930164782</v>
      </c>
      <c r="C1010" s="15" t="n">
        <v>0.120287547287032</v>
      </c>
      <c r="D1010" s="14" t="n">
        <f aca="false">Summary!$B$5-B1010</f>
        <v>152.806983521848</v>
      </c>
      <c r="E1010" s="15" t="n">
        <f aca="false">B1010/Summary!$B$5-1</f>
        <v>-0.00152806983521847</v>
      </c>
    </row>
    <row r="1011" customFormat="false" ht="15" hidden="false" customHeight="false" outlineLevel="0" collapsed="false">
      <c r="A1011" s="0" t="n">
        <v>1010</v>
      </c>
      <c r="B1011" s="14" t="n">
        <v>122378.649499961</v>
      </c>
      <c r="C1011" s="15" t="n">
        <v>0.0569990076673078</v>
      </c>
      <c r="D1011" s="14" t="n">
        <f aca="false">Summary!$B$5-B1011</f>
        <v>-22378.6494999609</v>
      </c>
      <c r="E1011" s="15" t="n">
        <f aca="false">B1011/Summary!$B$5-1</f>
        <v>0.223786494999609</v>
      </c>
    </row>
    <row r="1012" customFormat="false" ht="15" hidden="false" customHeight="false" outlineLevel="0" collapsed="false">
      <c r="A1012" s="0" t="n">
        <v>1011</v>
      </c>
      <c r="B1012" s="14" t="n">
        <v>111306.331960767</v>
      </c>
      <c r="C1012" s="15" t="n">
        <v>0.0971599813603552</v>
      </c>
      <c r="D1012" s="14" t="n">
        <f aca="false">Summary!$B$5-B1012</f>
        <v>-11306.3319607672</v>
      </c>
      <c r="E1012" s="15" t="n">
        <f aca="false">B1012/Summary!$B$5-1</f>
        <v>0.113063319607672</v>
      </c>
    </row>
    <row r="1013" customFormat="false" ht="15" hidden="false" customHeight="false" outlineLevel="0" collapsed="false">
      <c r="A1013" s="0" t="n">
        <v>1012</v>
      </c>
      <c r="B1013" s="14" t="n">
        <v>129955.863572334</v>
      </c>
      <c r="C1013" s="15" t="n">
        <v>0.0546551254251643</v>
      </c>
      <c r="D1013" s="14" t="n">
        <f aca="false">Summary!$B$5-B1013</f>
        <v>-29955.8635723336</v>
      </c>
      <c r="E1013" s="15" t="n">
        <f aca="false">B1013/Summary!$B$5-1</f>
        <v>0.299558635723336</v>
      </c>
    </row>
    <row r="1014" customFormat="false" ht="15" hidden="false" customHeight="false" outlineLevel="0" collapsed="false">
      <c r="A1014" s="0" t="n">
        <v>1013</v>
      </c>
      <c r="B1014" s="14" t="n">
        <v>144188.30546565</v>
      </c>
      <c r="C1014" s="15" t="n">
        <v>0.0613753997462266</v>
      </c>
      <c r="D1014" s="14" t="n">
        <f aca="false">Summary!$B$5-B1014</f>
        <v>-44188.3054656498</v>
      </c>
      <c r="E1014" s="15" t="n">
        <f aca="false">B1014/Summary!$B$5-1</f>
        <v>0.441883054656498</v>
      </c>
    </row>
    <row r="1015" customFormat="false" ht="15" hidden="false" customHeight="false" outlineLevel="0" collapsed="false">
      <c r="A1015" s="0" t="n">
        <v>1014</v>
      </c>
      <c r="B1015" s="14" t="n">
        <v>103616.487511477</v>
      </c>
      <c r="C1015" s="15" t="n">
        <v>0.126956870283642</v>
      </c>
      <c r="D1015" s="14" t="n">
        <f aca="false">Summary!$B$5-B1015</f>
        <v>-3616.48751147679</v>
      </c>
      <c r="E1015" s="15" t="n">
        <f aca="false">B1015/Summary!$B$5-1</f>
        <v>0.0361648751147679</v>
      </c>
    </row>
    <row r="1016" customFormat="false" ht="15" hidden="false" customHeight="false" outlineLevel="0" collapsed="false">
      <c r="A1016" s="0" t="n">
        <v>1015</v>
      </c>
      <c r="B1016" s="14" t="n">
        <v>131492.880638359</v>
      </c>
      <c r="C1016" s="15" t="n">
        <v>0.0338014386401718</v>
      </c>
      <c r="D1016" s="14" t="n">
        <f aca="false">Summary!$B$5-B1016</f>
        <v>-31492.8806383587</v>
      </c>
      <c r="E1016" s="15" t="n">
        <f aca="false">B1016/Summary!$B$5-1</f>
        <v>0.314928806383587</v>
      </c>
    </row>
    <row r="1017" customFormat="false" ht="15" hidden="false" customHeight="false" outlineLevel="0" collapsed="false">
      <c r="A1017" s="0" t="n">
        <v>1016</v>
      </c>
      <c r="B1017" s="14" t="n">
        <v>146736.320093185</v>
      </c>
      <c r="C1017" s="15" t="n">
        <v>0.0506440786005057</v>
      </c>
      <c r="D1017" s="14" t="n">
        <f aca="false">Summary!$B$5-B1017</f>
        <v>-46736.320093185</v>
      </c>
      <c r="E1017" s="15" t="n">
        <f aca="false">B1017/Summary!$B$5-1</f>
        <v>0.46736320093185</v>
      </c>
    </row>
    <row r="1018" customFormat="false" ht="15" hidden="false" customHeight="false" outlineLevel="0" collapsed="false">
      <c r="A1018" s="0" t="n">
        <v>1017</v>
      </c>
      <c r="B1018" s="14" t="n">
        <v>110835.128663895</v>
      </c>
      <c r="C1018" s="15" t="n">
        <v>0.08560437942966</v>
      </c>
      <c r="D1018" s="14" t="n">
        <f aca="false">Summary!$B$5-B1018</f>
        <v>-10835.1286638949</v>
      </c>
      <c r="E1018" s="15" t="n">
        <f aca="false">B1018/Summary!$B$5-1</f>
        <v>0.108351286638949</v>
      </c>
    </row>
    <row r="1019" customFormat="false" ht="15" hidden="false" customHeight="false" outlineLevel="0" collapsed="false">
      <c r="A1019" s="0" t="n">
        <v>1018</v>
      </c>
      <c r="B1019" s="14" t="n">
        <v>103364.43823173</v>
      </c>
      <c r="C1019" s="15" t="n">
        <v>0.0823008877824747</v>
      </c>
      <c r="D1019" s="14" t="n">
        <f aca="false">Summary!$B$5-B1019</f>
        <v>-3364.4382317303</v>
      </c>
      <c r="E1019" s="15" t="n">
        <f aca="false">B1019/Summary!$B$5-1</f>
        <v>0.0336443823173029</v>
      </c>
    </row>
    <row r="1020" customFormat="false" ht="15" hidden="false" customHeight="false" outlineLevel="0" collapsed="false">
      <c r="A1020" s="0" t="n">
        <v>1019</v>
      </c>
      <c r="B1020" s="14" t="n">
        <v>108494.625403782</v>
      </c>
      <c r="C1020" s="15" t="n">
        <v>0.0707096499752079</v>
      </c>
      <c r="D1020" s="14" t="n">
        <f aca="false">Summary!$B$5-B1020</f>
        <v>-8494.625403782</v>
      </c>
      <c r="E1020" s="15" t="n">
        <f aca="false">B1020/Summary!$B$5-1</f>
        <v>0.0849462540378201</v>
      </c>
    </row>
    <row r="1021" customFormat="false" ht="15" hidden="false" customHeight="false" outlineLevel="0" collapsed="false">
      <c r="A1021" s="0" t="n">
        <v>1020</v>
      </c>
      <c r="B1021" s="14" t="n">
        <v>94663.6112130225</v>
      </c>
      <c r="C1021" s="15" t="n">
        <v>0.105058096025783</v>
      </c>
      <c r="D1021" s="14" t="n">
        <f aca="false">Summary!$B$5-B1021</f>
        <v>5336.38878697751</v>
      </c>
      <c r="E1021" s="15" t="n">
        <f aca="false">B1021/Summary!$B$5-1</f>
        <v>-0.0533638878697751</v>
      </c>
    </row>
    <row r="1022" customFormat="false" ht="15" hidden="false" customHeight="false" outlineLevel="0" collapsed="false">
      <c r="A1022" s="0" t="n">
        <v>1021</v>
      </c>
      <c r="B1022" s="14" t="n">
        <v>108981.61241652</v>
      </c>
      <c r="C1022" s="15" t="n">
        <v>0.109006741754855</v>
      </c>
      <c r="D1022" s="14" t="n">
        <f aca="false">Summary!$B$5-B1022</f>
        <v>-8981.6124165204</v>
      </c>
      <c r="E1022" s="15" t="n">
        <f aca="false">B1022/Summary!$B$5-1</f>
        <v>0.089816124165204</v>
      </c>
    </row>
    <row r="1023" customFormat="false" ht="15" hidden="false" customHeight="false" outlineLevel="0" collapsed="false">
      <c r="A1023" s="0" t="n">
        <v>1022</v>
      </c>
      <c r="B1023" s="14" t="n">
        <v>116985.954854407</v>
      </c>
      <c r="C1023" s="15" t="n">
        <v>0.0974383722086446</v>
      </c>
      <c r="D1023" s="14" t="n">
        <f aca="false">Summary!$B$5-B1023</f>
        <v>-16985.9548544071</v>
      </c>
      <c r="E1023" s="15" t="n">
        <f aca="false">B1023/Summary!$B$5-1</f>
        <v>0.169859548544071</v>
      </c>
    </row>
    <row r="1024" customFormat="false" ht="15" hidden="false" customHeight="false" outlineLevel="0" collapsed="false">
      <c r="A1024" s="0" t="n">
        <v>1023</v>
      </c>
      <c r="B1024" s="14" t="n">
        <v>130460.616846146</v>
      </c>
      <c r="C1024" s="15" t="n">
        <v>0.0673206888082726</v>
      </c>
      <c r="D1024" s="14" t="n">
        <f aca="false">Summary!$B$5-B1024</f>
        <v>-30460.6168461461</v>
      </c>
      <c r="E1024" s="15" t="n">
        <f aca="false">B1024/Summary!$B$5-1</f>
        <v>0.304606168461461</v>
      </c>
    </row>
    <row r="1025" customFormat="false" ht="15" hidden="false" customHeight="false" outlineLevel="0" collapsed="false">
      <c r="A1025" s="0" t="n">
        <v>1024</v>
      </c>
      <c r="B1025" s="14" t="n">
        <v>106720.293923057</v>
      </c>
      <c r="C1025" s="15" t="n">
        <v>0.10053639540264</v>
      </c>
      <c r="D1025" s="14" t="n">
        <f aca="false">Summary!$B$5-B1025</f>
        <v>-6720.2939230568</v>
      </c>
      <c r="E1025" s="15" t="n">
        <f aca="false">B1025/Summary!$B$5-1</f>
        <v>0.067202939230568</v>
      </c>
    </row>
    <row r="1026" customFormat="false" ht="15" hidden="false" customHeight="false" outlineLevel="0" collapsed="false">
      <c r="A1026" s="0" t="n">
        <v>1025</v>
      </c>
      <c r="B1026" s="14" t="n">
        <v>84455.0775036583</v>
      </c>
      <c r="C1026" s="15" t="n">
        <v>0.167171264629226</v>
      </c>
      <c r="D1026" s="14" t="n">
        <f aca="false">Summary!$B$5-B1026</f>
        <v>15544.9224963418</v>
      </c>
      <c r="E1026" s="15" t="n">
        <f aca="false">B1026/Summary!$B$5-1</f>
        <v>-0.155449224963418</v>
      </c>
    </row>
    <row r="1027" customFormat="false" ht="15" hidden="false" customHeight="false" outlineLevel="0" collapsed="false">
      <c r="A1027" s="0" t="n">
        <v>1026</v>
      </c>
      <c r="B1027" s="14" t="n">
        <v>103885.480187625</v>
      </c>
      <c r="C1027" s="15" t="n">
        <v>0.123946016992596</v>
      </c>
      <c r="D1027" s="14" t="n">
        <f aca="false">Summary!$B$5-B1027</f>
        <v>-3885.4801876249</v>
      </c>
      <c r="E1027" s="15" t="n">
        <f aca="false">B1027/Summary!$B$5-1</f>
        <v>0.0388548018762489</v>
      </c>
    </row>
    <row r="1028" customFormat="false" ht="15" hidden="false" customHeight="false" outlineLevel="0" collapsed="false">
      <c r="A1028" s="0" t="n">
        <v>1027</v>
      </c>
      <c r="B1028" s="14" t="n">
        <v>105533.563985104</v>
      </c>
      <c r="C1028" s="15" t="n">
        <v>0.136551317976065</v>
      </c>
      <c r="D1028" s="14" t="n">
        <f aca="false">Summary!$B$5-B1028</f>
        <v>-5533.5639851037</v>
      </c>
      <c r="E1028" s="15" t="n">
        <f aca="false">B1028/Summary!$B$5-1</f>
        <v>0.055335639851037</v>
      </c>
    </row>
    <row r="1029" customFormat="false" ht="15" hidden="false" customHeight="false" outlineLevel="0" collapsed="false">
      <c r="A1029" s="0" t="n">
        <v>1028</v>
      </c>
      <c r="B1029" s="14" t="n">
        <v>106642.037974945</v>
      </c>
      <c r="C1029" s="15" t="n">
        <v>0.0974397270326688</v>
      </c>
      <c r="D1029" s="14" t="n">
        <f aca="false">Summary!$B$5-B1029</f>
        <v>-6642.03797494499</v>
      </c>
      <c r="E1029" s="15" t="n">
        <f aca="false">B1029/Summary!$B$5-1</f>
        <v>0.06642037974945</v>
      </c>
    </row>
    <row r="1030" customFormat="false" ht="15" hidden="false" customHeight="false" outlineLevel="0" collapsed="false">
      <c r="A1030" s="0" t="n">
        <v>1029</v>
      </c>
      <c r="B1030" s="14" t="n">
        <v>123290.216347539</v>
      </c>
      <c r="C1030" s="15" t="n">
        <v>0.0651637740065056</v>
      </c>
      <c r="D1030" s="14" t="n">
        <f aca="false">Summary!$B$5-B1030</f>
        <v>-23290.2163475387</v>
      </c>
      <c r="E1030" s="15" t="n">
        <f aca="false">B1030/Summary!$B$5-1</f>
        <v>0.232902163475387</v>
      </c>
    </row>
    <row r="1031" customFormat="false" ht="15" hidden="false" customHeight="false" outlineLevel="0" collapsed="false">
      <c r="A1031" s="0" t="n">
        <v>1030</v>
      </c>
      <c r="B1031" s="14" t="n">
        <v>110636.696711291</v>
      </c>
      <c r="C1031" s="15" t="n">
        <v>0.0709165839694255</v>
      </c>
      <c r="D1031" s="14" t="n">
        <f aca="false">Summary!$B$5-B1031</f>
        <v>-10636.6967112912</v>
      </c>
      <c r="E1031" s="15" t="n">
        <f aca="false">B1031/Summary!$B$5-1</f>
        <v>0.106366967112912</v>
      </c>
    </row>
    <row r="1032" customFormat="false" ht="15" hidden="false" customHeight="false" outlineLevel="0" collapsed="false">
      <c r="A1032" s="0" t="n">
        <v>1031</v>
      </c>
      <c r="B1032" s="14" t="n">
        <v>106019.771598528</v>
      </c>
      <c r="C1032" s="15" t="n">
        <v>0.0970750056733715</v>
      </c>
      <c r="D1032" s="14" t="n">
        <f aca="false">Summary!$B$5-B1032</f>
        <v>-6019.7715985283</v>
      </c>
      <c r="E1032" s="15" t="n">
        <f aca="false">B1032/Summary!$B$5-1</f>
        <v>0.0601977159852829</v>
      </c>
    </row>
    <row r="1033" customFormat="false" ht="15" hidden="false" customHeight="false" outlineLevel="0" collapsed="false">
      <c r="A1033" s="0" t="n">
        <v>1032</v>
      </c>
      <c r="B1033" s="14" t="n">
        <v>99271.2368842971</v>
      </c>
      <c r="C1033" s="15" t="n">
        <v>0.134157953019588</v>
      </c>
      <c r="D1033" s="14" t="n">
        <f aca="false">Summary!$B$5-B1033</f>
        <v>728.763115702895</v>
      </c>
      <c r="E1033" s="15" t="n">
        <f aca="false">B1033/Summary!$B$5-1</f>
        <v>-0.00728763115702891</v>
      </c>
    </row>
    <row r="1034" customFormat="false" ht="15" hidden="false" customHeight="false" outlineLevel="0" collapsed="false">
      <c r="A1034" s="0" t="n">
        <v>1033</v>
      </c>
      <c r="B1034" s="14" t="n">
        <v>124593.109603422</v>
      </c>
      <c r="C1034" s="15" t="n">
        <v>0.0554180023552736</v>
      </c>
      <c r="D1034" s="14" t="n">
        <f aca="false">Summary!$B$5-B1034</f>
        <v>-24593.109603422</v>
      </c>
      <c r="E1034" s="15" t="n">
        <f aca="false">B1034/Summary!$B$5-1</f>
        <v>0.24593109603422</v>
      </c>
    </row>
    <row r="1035" customFormat="false" ht="15" hidden="false" customHeight="false" outlineLevel="0" collapsed="false">
      <c r="A1035" s="0" t="n">
        <v>1034</v>
      </c>
      <c r="B1035" s="14" t="n">
        <v>98727.1707796015</v>
      </c>
      <c r="C1035" s="15" t="n">
        <v>0.110643463530724</v>
      </c>
      <c r="D1035" s="14" t="n">
        <f aca="false">Summary!$B$5-B1035</f>
        <v>1272.82922039853</v>
      </c>
      <c r="E1035" s="15" t="n">
        <f aca="false">B1035/Summary!$B$5-1</f>
        <v>-0.0127282922039853</v>
      </c>
    </row>
    <row r="1036" customFormat="false" ht="15" hidden="false" customHeight="false" outlineLevel="0" collapsed="false">
      <c r="A1036" s="0" t="n">
        <v>1035</v>
      </c>
      <c r="B1036" s="14" t="n">
        <v>100511.183391925</v>
      </c>
      <c r="C1036" s="15" t="n">
        <v>0.0924466623107045</v>
      </c>
      <c r="D1036" s="14" t="n">
        <f aca="false">Summary!$B$5-B1036</f>
        <v>-511.183391924904</v>
      </c>
      <c r="E1036" s="15" t="n">
        <f aca="false">B1036/Summary!$B$5-1</f>
        <v>0.00511183391924908</v>
      </c>
    </row>
    <row r="1037" customFormat="false" ht="15" hidden="false" customHeight="false" outlineLevel="0" collapsed="false">
      <c r="A1037" s="0" t="n">
        <v>1036</v>
      </c>
      <c r="B1037" s="14" t="n">
        <v>113557.266633021</v>
      </c>
      <c r="C1037" s="15" t="n">
        <v>0.0587132688922047</v>
      </c>
      <c r="D1037" s="14" t="n">
        <f aca="false">Summary!$B$5-B1037</f>
        <v>-13557.2666330213</v>
      </c>
      <c r="E1037" s="15" t="n">
        <f aca="false">B1037/Summary!$B$5-1</f>
        <v>0.135572666330213</v>
      </c>
    </row>
    <row r="1038" customFormat="false" ht="15" hidden="false" customHeight="false" outlineLevel="0" collapsed="false">
      <c r="A1038" s="0" t="n">
        <v>1037</v>
      </c>
      <c r="B1038" s="14" t="n">
        <v>103423.237891951</v>
      </c>
      <c r="C1038" s="15" t="n">
        <v>0.183107515009517</v>
      </c>
      <c r="D1038" s="14" t="n">
        <f aca="false">Summary!$B$5-B1038</f>
        <v>-3423.2378919511</v>
      </c>
      <c r="E1038" s="15" t="n">
        <f aca="false">B1038/Summary!$B$5-1</f>
        <v>0.0342323789195109</v>
      </c>
    </row>
    <row r="1039" customFormat="false" ht="15" hidden="false" customHeight="false" outlineLevel="0" collapsed="false">
      <c r="A1039" s="0" t="n">
        <v>1038</v>
      </c>
      <c r="B1039" s="14" t="n">
        <v>124508.282961482</v>
      </c>
      <c r="C1039" s="15" t="n">
        <v>0.0972563878308451</v>
      </c>
      <c r="D1039" s="14" t="n">
        <f aca="false">Summary!$B$5-B1039</f>
        <v>-24508.2829614816</v>
      </c>
      <c r="E1039" s="15" t="n">
        <f aca="false">B1039/Summary!$B$5-1</f>
        <v>0.245082829614816</v>
      </c>
    </row>
    <row r="1040" customFormat="false" ht="15" hidden="false" customHeight="false" outlineLevel="0" collapsed="false">
      <c r="A1040" s="0" t="n">
        <v>1039</v>
      </c>
      <c r="B1040" s="14" t="n">
        <v>114175.903323769</v>
      </c>
      <c r="C1040" s="15" t="n">
        <v>0.0825158979588578</v>
      </c>
      <c r="D1040" s="14" t="n">
        <f aca="false">Summary!$B$5-B1040</f>
        <v>-14175.903323769</v>
      </c>
      <c r="E1040" s="15" t="n">
        <f aca="false">B1040/Summary!$B$5-1</f>
        <v>0.14175903323769</v>
      </c>
    </row>
    <row r="1041" customFormat="false" ht="15" hidden="false" customHeight="false" outlineLevel="0" collapsed="false">
      <c r="A1041" s="0" t="n">
        <v>1040</v>
      </c>
      <c r="B1041" s="14" t="n">
        <v>98449.2029350269</v>
      </c>
      <c r="C1041" s="15" t="n">
        <v>0.0839717487140933</v>
      </c>
      <c r="D1041" s="14" t="n">
        <f aca="false">Summary!$B$5-B1041</f>
        <v>1550.79706497306</v>
      </c>
      <c r="E1041" s="15" t="n">
        <f aca="false">B1041/Summary!$B$5-1</f>
        <v>-0.0155079706497305</v>
      </c>
    </row>
    <row r="1042" customFormat="false" ht="15" hidden="false" customHeight="false" outlineLevel="0" collapsed="false">
      <c r="A1042" s="0" t="n">
        <v>1041</v>
      </c>
      <c r="B1042" s="14" t="n">
        <v>95186.6357397593</v>
      </c>
      <c r="C1042" s="15" t="n">
        <v>0.11908607258582</v>
      </c>
      <c r="D1042" s="14" t="n">
        <f aca="false">Summary!$B$5-B1042</f>
        <v>4813.36426024068</v>
      </c>
      <c r="E1042" s="15" t="n">
        <f aca="false">B1042/Summary!$B$5-1</f>
        <v>-0.0481336426024067</v>
      </c>
    </row>
    <row r="1043" customFormat="false" ht="15" hidden="false" customHeight="false" outlineLevel="0" collapsed="false">
      <c r="A1043" s="0" t="n">
        <v>1042</v>
      </c>
      <c r="B1043" s="14" t="n">
        <v>92417.6451861235</v>
      </c>
      <c r="C1043" s="15" t="n">
        <v>0.201243990392613</v>
      </c>
      <c r="D1043" s="14" t="n">
        <f aca="false">Summary!$B$5-B1043</f>
        <v>7582.35481387653</v>
      </c>
      <c r="E1043" s="15" t="n">
        <f aca="false">B1043/Summary!$B$5-1</f>
        <v>-0.0758235481387654</v>
      </c>
    </row>
    <row r="1044" customFormat="false" ht="15" hidden="false" customHeight="false" outlineLevel="0" collapsed="false">
      <c r="A1044" s="0" t="n">
        <v>1043</v>
      </c>
      <c r="B1044" s="14" t="n">
        <v>97340.3418940468</v>
      </c>
      <c r="C1044" s="15" t="n">
        <v>0.0857134811449068</v>
      </c>
      <c r="D1044" s="14" t="n">
        <f aca="false">Summary!$B$5-B1044</f>
        <v>2659.65810595319</v>
      </c>
      <c r="E1044" s="15" t="n">
        <f aca="false">B1044/Summary!$B$5-1</f>
        <v>-0.0265965810595319</v>
      </c>
    </row>
    <row r="1045" customFormat="false" ht="15" hidden="false" customHeight="false" outlineLevel="0" collapsed="false">
      <c r="A1045" s="0" t="n">
        <v>1044</v>
      </c>
      <c r="B1045" s="14" t="n">
        <v>107558.126977833</v>
      </c>
      <c r="C1045" s="15" t="n">
        <v>0.106209406411411</v>
      </c>
      <c r="D1045" s="14" t="n">
        <f aca="false">Summary!$B$5-B1045</f>
        <v>-7558.1269778326</v>
      </c>
      <c r="E1045" s="15" t="n">
        <f aca="false">B1045/Summary!$B$5-1</f>
        <v>0.075581269778326</v>
      </c>
    </row>
    <row r="1046" customFormat="false" ht="15" hidden="false" customHeight="false" outlineLevel="0" collapsed="false">
      <c r="A1046" s="0" t="n">
        <v>1045</v>
      </c>
      <c r="B1046" s="14" t="n">
        <v>109895.523785435</v>
      </c>
      <c r="C1046" s="15" t="n">
        <v>0.0918480486720538</v>
      </c>
      <c r="D1046" s="14" t="n">
        <f aca="false">Summary!$B$5-B1046</f>
        <v>-9895.5237854352</v>
      </c>
      <c r="E1046" s="15" t="n">
        <f aca="false">B1046/Summary!$B$5-1</f>
        <v>0.0989552378543521</v>
      </c>
    </row>
    <row r="1047" customFormat="false" ht="15" hidden="false" customHeight="false" outlineLevel="0" collapsed="false">
      <c r="A1047" s="0" t="n">
        <v>1046</v>
      </c>
      <c r="B1047" s="14" t="n">
        <v>97333.4384414896</v>
      </c>
      <c r="C1047" s="15" t="n">
        <v>0.154175245151809</v>
      </c>
      <c r="D1047" s="14" t="n">
        <f aca="false">Summary!$B$5-B1047</f>
        <v>2666.56155851045</v>
      </c>
      <c r="E1047" s="15" t="n">
        <f aca="false">B1047/Summary!$B$5-1</f>
        <v>-0.0266656155851045</v>
      </c>
    </row>
    <row r="1048" customFormat="false" ht="15" hidden="false" customHeight="false" outlineLevel="0" collapsed="false">
      <c r="A1048" s="0" t="n">
        <v>1047</v>
      </c>
      <c r="B1048" s="14" t="n">
        <v>95946.1342652907</v>
      </c>
      <c r="C1048" s="15" t="n">
        <v>0.120935550879603</v>
      </c>
      <c r="D1048" s="14" t="n">
        <f aca="false">Summary!$B$5-B1048</f>
        <v>4053.86573470935</v>
      </c>
      <c r="E1048" s="15" t="n">
        <f aca="false">B1048/Summary!$B$5-1</f>
        <v>-0.0405386573470935</v>
      </c>
    </row>
    <row r="1049" customFormat="false" ht="15" hidden="false" customHeight="false" outlineLevel="0" collapsed="false">
      <c r="A1049" s="0" t="n">
        <v>1048</v>
      </c>
      <c r="B1049" s="14" t="n">
        <v>120509.654159824</v>
      </c>
      <c r="C1049" s="15" t="n">
        <v>0.0845588519002939</v>
      </c>
      <c r="D1049" s="14" t="n">
        <f aca="false">Summary!$B$5-B1049</f>
        <v>-20509.6541598243</v>
      </c>
      <c r="E1049" s="15" t="n">
        <f aca="false">B1049/Summary!$B$5-1</f>
        <v>0.205096541598243</v>
      </c>
    </row>
    <row r="1050" customFormat="false" ht="15" hidden="false" customHeight="false" outlineLevel="0" collapsed="false">
      <c r="A1050" s="0" t="n">
        <v>1049</v>
      </c>
      <c r="B1050" s="14" t="n">
        <v>132006.971112559</v>
      </c>
      <c r="C1050" s="15" t="n">
        <v>0.0628776958184545</v>
      </c>
      <c r="D1050" s="14" t="n">
        <f aca="false">Summary!$B$5-B1050</f>
        <v>-32006.9711125593</v>
      </c>
      <c r="E1050" s="15" t="n">
        <f aca="false">B1050/Summary!$B$5-1</f>
        <v>0.320069711125593</v>
      </c>
    </row>
    <row r="1051" customFormat="false" ht="15" hidden="false" customHeight="false" outlineLevel="0" collapsed="false">
      <c r="A1051" s="0" t="n">
        <v>1050</v>
      </c>
      <c r="B1051" s="14" t="n">
        <v>102418.558033665</v>
      </c>
      <c r="C1051" s="15" t="n">
        <v>0.062803694520285</v>
      </c>
      <c r="D1051" s="14" t="n">
        <f aca="false">Summary!$B$5-B1051</f>
        <v>-2418.558033665</v>
      </c>
      <c r="E1051" s="15" t="n">
        <f aca="false">B1051/Summary!$B$5-1</f>
        <v>0.02418558033665</v>
      </c>
    </row>
    <row r="1052" customFormat="false" ht="15" hidden="false" customHeight="false" outlineLevel="0" collapsed="false">
      <c r="A1052" s="0" t="n">
        <v>1051</v>
      </c>
      <c r="B1052" s="14" t="n">
        <v>142555.023839816</v>
      </c>
      <c r="C1052" s="15" t="n">
        <v>0.0499567626970353</v>
      </c>
      <c r="D1052" s="14" t="n">
        <f aca="false">Summary!$B$5-B1052</f>
        <v>-42555.0238398161</v>
      </c>
      <c r="E1052" s="15" t="n">
        <f aca="false">B1052/Summary!$B$5-1</f>
        <v>0.425550238398161</v>
      </c>
    </row>
    <row r="1053" customFormat="false" ht="15" hidden="false" customHeight="false" outlineLevel="0" collapsed="false">
      <c r="A1053" s="0" t="n">
        <v>1052</v>
      </c>
      <c r="B1053" s="14" t="n">
        <v>130818.601949237</v>
      </c>
      <c r="C1053" s="15" t="n">
        <v>0.0708741842024067</v>
      </c>
      <c r="D1053" s="14" t="n">
        <f aca="false">Summary!$B$5-B1053</f>
        <v>-30818.6019492366</v>
      </c>
      <c r="E1053" s="15" t="n">
        <f aca="false">B1053/Summary!$B$5-1</f>
        <v>0.308186019492366</v>
      </c>
    </row>
    <row r="1054" customFormat="false" ht="15" hidden="false" customHeight="false" outlineLevel="0" collapsed="false">
      <c r="A1054" s="0" t="n">
        <v>1053</v>
      </c>
      <c r="B1054" s="14" t="n">
        <v>106088.517880583</v>
      </c>
      <c r="C1054" s="15" t="n">
        <v>0.0872498920072385</v>
      </c>
      <c r="D1054" s="14" t="n">
        <f aca="false">Summary!$B$5-B1054</f>
        <v>-6088.5178805834</v>
      </c>
      <c r="E1054" s="15" t="n">
        <f aca="false">B1054/Summary!$B$5-1</f>
        <v>0.060885178805834</v>
      </c>
    </row>
    <row r="1055" customFormat="false" ht="15" hidden="false" customHeight="false" outlineLevel="0" collapsed="false">
      <c r="A1055" s="0" t="n">
        <v>1054</v>
      </c>
      <c r="B1055" s="14" t="n">
        <v>117994.714674775</v>
      </c>
      <c r="C1055" s="15" t="n">
        <v>0.0645624130549213</v>
      </c>
      <c r="D1055" s="14" t="n">
        <f aca="false">Summary!$B$5-B1055</f>
        <v>-17994.7146747752</v>
      </c>
      <c r="E1055" s="15" t="n">
        <f aca="false">B1055/Summary!$B$5-1</f>
        <v>0.179947146747752</v>
      </c>
    </row>
    <row r="1056" customFormat="false" ht="15" hidden="false" customHeight="false" outlineLevel="0" collapsed="false">
      <c r="A1056" s="0" t="n">
        <v>1055</v>
      </c>
      <c r="B1056" s="14" t="n">
        <v>117945.207530862</v>
      </c>
      <c r="C1056" s="15" t="n">
        <v>0.0719164662328763</v>
      </c>
      <c r="D1056" s="14" t="n">
        <f aca="false">Summary!$B$5-B1056</f>
        <v>-17945.2075308618</v>
      </c>
      <c r="E1056" s="15" t="n">
        <f aca="false">B1056/Summary!$B$5-1</f>
        <v>0.179452075308618</v>
      </c>
    </row>
    <row r="1057" customFormat="false" ht="15" hidden="false" customHeight="false" outlineLevel="0" collapsed="false">
      <c r="A1057" s="0" t="n">
        <v>1056</v>
      </c>
      <c r="B1057" s="14" t="n">
        <v>114175.491064636</v>
      </c>
      <c r="C1057" s="15" t="n">
        <v>0.0963427094158256</v>
      </c>
      <c r="D1057" s="14" t="n">
        <f aca="false">Summary!$B$5-B1057</f>
        <v>-14175.4910646356</v>
      </c>
      <c r="E1057" s="15" t="n">
        <f aca="false">B1057/Summary!$B$5-1</f>
        <v>0.141754910646356</v>
      </c>
    </row>
    <row r="1058" customFormat="false" ht="15" hidden="false" customHeight="false" outlineLevel="0" collapsed="false">
      <c r="A1058" s="0" t="n">
        <v>1057</v>
      </c>
      <c r="B1058" s="14" t="n">
        <v>94129.8395255451</v>
      </c>
      <c r="C1058" s="15" t="n">
        <v>0.158969681262127</v>
      </c>
      <c r="D1058" s="14" t="n">
        <f aca="false">Summary!$B$5-B1058</f>
        <v>5870.1604744549</v>
      </c>
      <c r="E1058" s="15" t="n">
        <f aca="false">B1058/Summary!$B$5-1</f>
        <v>-0.058701604744549</v>
      </c>
    </row>
    <row r="1059" customFormat="false" ht="15" hidden="false" customHeight="false" outlineLevel="0" collapsed="false">
      <c r="A1059" s="0" t="n">
        <v>1058</v>
      </c>
      <c r="B1059" s="14" t="n">
        <v>116685.366539204</v>
      </c>
      <c r="C1059" s="15" t="n">
        <v>0.110916174688785</v>
      </c>
      <c r="D1059" s="14" t="n">
        <f aca="false">Summary!$B$5-B1059</f>
        <v>-16685.3665392043</v>
      </c>
      <c r="E1059" s="15" t="n">
        <f aca="false">B1059/Summary!$B$5-1</f>
        <v>0.166853665392043</v>
      </c>
    </row>
    <row r="1060" customFormat="false" ht="15" hidden="false" customHeight="false" outlineLevel="0" collapsed="false">
      <c r="A1060" s="0" t="n">
        <v>1059</v>
      </c>
      <c r="B1060" s="14" t="n">
        <v>113830.908820851</v>
      </c>
      <c r="C1060" s="15" t="n">
        <v>0.13506702256744</v>
      </c>
      <c r="D1060" s="14" t="n">
        <f aca="false">Summary!$B$5-B1060</f>
        <v>-13830.9088208512</v>
      </c>
      <c r="E1060" s="15" t="n">
        <f aca="false">B1060/Summary!$B$5-1</f>
        <v>0.138309088208512</v>
      </c>
    </row>
    <row r="1061" customFormat="false" ht="15" hidden="false" customHeight="false" outlineLevel="0" collapsed="false">
      <c r="A1061" s="0" t="n">
        <v>1060</v>
      </c>
      <c r="B1061" s="14" t="n">
        <v>84710.8236715241</v>
      </c>
      <c r="C1061" s="15" t="n">
        <v>0.208335760551615</v>
      </c>
      <c r="D1061" s="14" t="n">
        <f aca="false">Summary!$B$5-B1061</f>
        <v>15289.1763284759</v>
      </c>
      <c r="E1061" s="15" t="n">
        <f aca="false">B1061/Summary!$B$5-1</f>
        <v>-0.152891763284759</v>
      </c>
    </row>
    <row r="1062" customFormat="false" ht="15" hidden="false" customHeight="false" outlineLevel="0" collapsed="false">
      <c r="A1062" s="0" t="n">
        <v>1061</v>
      </c>
      <c r="B1062" s="14" t="n">
        <v>122936.548562571</v>
      </c>
      <c r="C1062" s="15" t="n">
        <v>0.08004575221349</v>
      </c>
      <c r="D1062" s="14" t="n">
        <f aca="false">Summary!$B$5-B1062</f>
        <v>-22936.5485625706</v>
      </c>
      <c r="E1062" s="15" t="n">
        <f aca="false">B1062/Summary!$B$5-1</f>
        <v>0.229365485625706</v>
      </c>
    </row>
    <row r="1063" customFormat="false" ht="15" hidden="false" customHeight="false" outlineLevel="0" collapsed="false">
      <c r="A1063" s="0" t="n">
        <v>1062</v>
      </c>
      <c r="B1063" s="14" t="n">
        <v>101783.944882497</v>
      </c>
      <c r="C1063" s="15" t="n">
        <v>0.0964794306248105</v>
      </c>
      <c r="D1063" s="14" t="n">
        <f aca="false">Summary!$B$5-B1063</f>
        <v>-1783.944882497</v>
      </c>
      <c r="E1063" s="15" t="n">
        <f aca="false">B1063/Summary!$B$5-1</f>
        <v>0.01783944882497</v>
      </c>
    </row>
    <row r="1064" customFormat="false" ht="15" hidden="false" customHeight="false" outlineLevel="0" collapsed="false">
      <c r="A1064" s="0" t="n">
        <v>1063</v>
      </c>
      <c r="B1064" s="14" t="n">
        <v>91181.2409013772</v>
      </c>
      <c r="C1064" s="15" t="n">
        <v>0.181598394837845</v>
      </c>
      <c r="D1064" s="14" t="n">
        <f aca="false">Summary!$B$5-B1064</f>
        <v>8818.7590986228</v>
      </c>
      <c r="E1064" s="15" t="n">
        <f aca="false">B1064/Summary!$B$5-1</f>
        <v>-0.088187590986228</v>
      </c>
    </row>
    <row r="1065" customFormat="false" ht="15" hidden="false" customHeight="false" outlineLevel="0" collapsed="false">
      <c r="A1065" s="0" t="n">
        <v>1064</v>
      </c>
      <c r="B1065" s="14" t="n">
        <v>102596.018655979</v>
      </c>
      <c r="C1065" s="15" t="n">
        <v>0.0872875605678533</v>
      </c>
      <c r="D1065" s="14" t="n">
        <f aca="false">Summary!$B$5-B1065</f>
        <v>-2596.01865597929</v>
      </c>
      <c r="E1065" s="15" t="n">
        <f aca="false">B1065/Summary!$B$5-1</f>
        <v>0.0259601865597929</v>
      </c>
    </row>
    <row r="1066" customFormat="false" ht="15" hidden="false" customHeight="false" outlineLevel="0" collapsed="false">
      <c r="A1066" s="0" t="n">
        <v>1065</v>
      </c>
      <c r="B1066" s="14" t="n">
        <v>125235.095221795</v>
      </c>
      <c r="C1066" s="15" t="n">
        <v>0.0739366131247907</v>
      </c>
      <c r="D1066" s="14" t="n">
        <f aca="false">Summary!$B$5-B1066</f>
        <v>-25235.0952217951</v>
      </c>
      <c r="E1066" s="15" t="n">
        <f aca="false">B1066/Summary!$B$5-1</f>
        <v>0.252350952217951</v>
      </c>
    </row>
    <row r="1067" customFormat="false" ht="15" hidden="false" customHeight="false" outlineLevel="0" collapsed="false">
      <c r="A1067" s="0" t="n">
        <v>1066</v>
      </c>
      <c r="B1067" s="14" t="n">
        <v>116656.632912741</v>
      </c>
      <c r="C1067" s="15" t="n">
        <v>0.0623712405465013</v>
      </c>
      <c r="D1067" s="14" t="n">
        <f aca="false">Summary!$B$5-B1067</f>
        <v>-16656.632912741</v>
      </c>
      <c r="E1067" s="15" t="n">
        <f aca="false">B1067/Summary!$B$5-1</f>
        <v>0.16656632912741</v>
      </c>
    </row>
    <row r="1068" customFormat="false" ht="15" hidden="false" customHeight="false" outlineLevel="0" collapsed="false">
      <c r="A1068" s="0" t="n">
        <v>1067</v>
      </c>
      <c r="B1068" s="14" t="n">
        <v>133610.872453195</v>
      </c>
      <c r="C1068" s="15" t="n">
        <v>0.0699890127249657</v>
      </c>
      <c r="D1068" s="14" t="n">
        <f aca="false">Summary!$B$5-B1068</f>
        <v>-33610.8724531952</v>
      </c>
      <c r="E1068" s="15" t="n">
        <f aca="false">B1068/Summary!$B$5-1</f>
        <v>0.336108724531952</v>
      </c>
    </row>
    <row r="1069" customFormat="false" ht="15" hidden="false" customHeight="false" outlineLevel="0" collapsed="false">
      <c r="A1069" s="0" t="n">
        <v>1068</v>
      </c>
      <c r="B1069" s="14" t="n">
        <v>104904.469650141</v>
      </c>
      <c r="C1069" s="15" t="n">
        <v>0.125616088158395</v>
      </c>
      <c r="D1069" s="14" t="n">
        <f aca="false">Summary!$B$5-B1069</f>
        <v>-4904.4696501412</v>
      </c>
      <c r="E1069" s="15" t="n">
        <f aca="false">B1069/Summary!$B$5-1</f>
        <v>0.049044696501412</v>
      </c>
    </row>
    <row r="1070" customFormat="false" ht="15" hidden="false" customHeight="false" outlineLevel="0" collapsed="false">
      <c r="A1070" s="0" t="n">
        <v>1069</v>
      </c>
      <c r="B1070" s="14" t="n">
        <v>102272.615774324</v>
      </c>
      <c r="C1070" s="15" t="n">
        <v>0.130486041080142</v>
      </c>
      <c r="D1070" s="14" t="n">
        <f aca="false">Summary!$B$5-B1070</f>
        <v>-2272.61577432429</v>
      </c>
      <c r="E1070" s="15" t="n">
        <f aca="false">B1070/Summary!$B$5-1</f>
        <v>0.0227261577432429</v>
      </c>
    </row>
    <row r="1071" customFormat="false" ht="15" hidden="false" customHeight="false" outlineLevel="0" collapsed="false">
      <c r="A1071" s="0" t="n">
        <v>1070</v>
      </c>
      <c r="B1071" s="14" t="n">
        <v>102046.645975223</v>
      </c>
      <c r="C1071" s="15" t="n">
        <v>0.190986326113328</v>
      </c>
      <c r="D1071" s="14" t="n">
        <f aca="false">Summary!$B$5-B1071</f>
        <v>-2046.6459752232</v>
      </c>
      <c r="E1071" s="15" t="n">
        <f aca="false">B1071/Summary!$B$5-1</f>
        <v>0.0204664597522319</v>
      </c>
    </row>
    <row r="1072" customFormat="false" ht="15" hidden="false" customHeight="false" outlineLevel="0" collapsed="false">
      <c r="A1072" s="0" t="n">
        <v>1071</v>
      </c>
      <c r="B1072" s="14" t="n">
        <v>104895.209220885</v>
      </c>
      <c r="C1072" s="15" t="n">
        <v>0.100640097566965</v>
      </c>
      <c r="D1072" s="14" t="n">
        <f aca="false">Summary!$B$5-B1072</f>
        <v>-4895.20922088499</v>
      </c>
      <c r="E1072" s="15" t="n">
        <f aca="false">B1072/Summary!$B$5-1</f>
        <v>0.04895209220885</v>
      </c>
    </row>
    <row r="1073" customFormat="false" ht="15" hidden="false" customHeight="false" outlineLevel="0" collapsed="false">
      <c r="A1073" s="0" t="n">
        <v>1072</v>
      </c>
      <c r="B1073" s="14" t="n">
        <v>84652.7568424095</v>
      </c>
      <c r="C1073" s="15" t="n">
        <v>0.229615327454506</v>
      </c>
      <c r="D1073" s="14" t="n">
        <f aca="false">Summary!$B$5-B1073</f>
        <v>15347.2431575905</v>
      </c>
      <c r="E1073" s="15" t="n">
        <f aca="false">B1073/Summary!$B$5-1</f>
        <v>-0.153472431575905</v>
      </c>
    </row>
    <row r="1074" customFormat="false" ht="15" hidden="false" customHeight="false" outlineLevel="0" collapsed="false">
      <c r="A1074" s="0" t="n">
        <v>1073</v>
      </c>
      <c r="B1074" s="14" t="n">
        <v>101643.542485533</v>
      </c>
      <c r="C1074" s="15" t="n">
        <v>0.128538518700524</v>
      </c>
      <c r="D1074" s="14" t="n">
        <f aca="false">Summary!$B$5-B1074</f>
        <v>-1643.54248553309</v>
      </c>
      <c r="E1074" s="15" t="n">
        <f aca="false">B1074/Summary!$B$5-1</f>
        <v>0.0164354248553309</v>
      </c>
    </row>
    <row r="1075" customFormat="false" ht="15" hidden="false" customHeight="false" outlineLevel="0" collapsed="false">
      <c r="A1075" s="0" t="n">
        <v>1074</v>
      </c>
      <c r="B1075" s="14" t="n">
        <v>149282.163366006</v>
      </c>
      <c r="C1075" s="15" t="n">
        <v>0.0518761088063836</v>
      </c>
      <c r="D1075" s="14" t="n">
        <f aca="false">Summary!$B$5-B1075</f>
        <v>-49282.1633660059</v>
      </c>
      <c r="E1075" s="15" t="n">
        <f aca="false">B1075/Summary!$B$5-1</f>
        <v>0.492821633660059</v>
      </c>
    </row>
    <row r="1076" customFormat="false" ht="15" hidden="false" customHeight="false" outlineLevel="0" collapsed="false">
      <c r="A1076" s="0" t="n">
        <v>1075</v>
      </c>
      <c r="B1076" s="14" t="n">
        <v>79035.9494518187</v>
      </c>
      <c r="C1076" s="15" t="n">
        <v>0.259105016321784</v>
      </c>
      <c r="D1076" s="14" t="n">
        <f aca="false">Summary!$B$5-B1076</f>
        <v>20964.0505481813</v>
      </c>
      <c r="E1076" s="15" t="n">
        <f aca="false">B1076/Summary!$B$5-1</f>
        <v>-0.209640505481813</v>
      </c>
    </row>
    <row r="1077" customFormat="false" ht="15" hidden="false" customHeight="false" outlineLevel="0" collapsed="false">
      <c r="A1077" s="0" t="n">
        <v>1076</v>
      </c>
      <c r="B1077" s="14" t="n">
        <v>83926.0342018433</v>
      </c>
      <c r="C1077" s="15" t="n">
        <v>0.204087406323385</v>
      </c>
      <c r="D1077" s="14" t="n">
        <f aca="false">Summary!$B$5-B1077</f>
        <v>16073.9657981567</v>
      </c>
      <c r="E1077" s="15" t="n">
        <f aca="false">B1077/Summary!$B$5-1</f>
        <v>-0.160739657981567</v>
      </c>
    </row>
    <row r="1078" customFormat="false" ht="15" hidden="false" customHeight="false" outlineLevel="0" collapsed="false">
      <c r="A1078" s="0" t="n">
        <v>1077</v>
      </c>
      <c r="B1078" s="14" t="n">
        <v>86373.4314876788</v>
      </c>
      <c r="C1078" s="15" t="n">
        <v>0.136265685123212</v>
      </c>
      <c r="D1078" s="14" t="n">
        <f aca="false">Summary!$B$5-B1078</f>
        <v>13626.5685123212</v>
      </c>
      <c r="E1078" s="15" t="n">
        <f aca="false">B1078/Summary!$B$5-1</f>
        <v>-0.136265685123212</v>
      </c>
    </row>
    <row r="1079" customFormat="false" ht="15" hidden="false" customHeight="false" outlineLevel="0" collapsed="false">
      <c r="A1079" s="0" t="n">
        <v>1078</v>
      </c>
      <c r="B1079" s="14" t="n">
        <v>109304.291648913</v>
      </c>
      <c r="C1079" s="15" t="n">
        <v>0.147682843484569</v>
      </c>
      <c r="D1079" s="14" t="n">
        <f aca="false">Summary!$B$5-B1079</f>
        <v>-9304.29164891339</v>
      </c>
      <c r="E1079" s="15" t="n">
        <f aca="false">B1079/Summary!$B$5-1</f>
        <v>0.093042916489134</v>
      </c>
    </row>
    <row r="1080" customFormat="false" ht="15" hidden="false" customHeight="false" outlineLevel="0" collapsed="false">
      <c r="A1080" s="0" t="n">
        <v>1079</v>
      </c>
      <c r="B1080" s="14" t="n">
        <v>97032.1108103394</v>
      </c>
      <c r="C1080" s="15" t="n">
        <v>0.0818464960991124</v>
      </c>
      <c r="D1080" s="14" t="n">
        <f aca="false">Summary!$B$5-B1080</f>
        <v>2967.88918966064</v>
      </c>
      <c r="E1080" s="15" t="n">
        <f aca="false">B1080/Summary!$B$5-1</f>
        <v>-0.0296788918966063</v>
      </c>
    </row>
    <row r="1081" customFormat="false" ht="15" hidden="false" customHeight="false" outlineLevel="0" collapsed="false">
      <c r="A1081" s="0" t="n">
        <v>1080</v>
      </c>
      <c r="B1081" s="14" t="n">
        <v>81134.089394995</v>
      </c>
      <c r="C1081" s="15" t="n">
        <v>0.210102511510217</v>
      </c>
      <c r="D1081" s="14" t="n">
        <f aca="false">Summary!$B$5-B1081</f>
        <v>18865.910605005</v>
      </c>
      <c r="E1081" s="15" t="n">
        <f aca="false">B1081/Summary!$B$5-1</f>
        <v>-0.18865910605005</v>
      </c>
    </row>
    <row r="1082" customFormat="false" ht="15" hidden="false" customHeight="false" outlineLevel="0" collapsed="false">
      <c r="A1082" s="0" t="n">
        <v>1081</v>
      </c>
      <c r="B1082" s="14" t="n">
        <v>94526.9256875928</v>
      </c>
      <c r="C1082" s="15" t="n">
        <v>0.150387468255661</v>
      </c>
      <c r="D1082" s="14" t="n">
        <f aca="false">Summary!$B$5-B1082</f>
        <v>5473.07431240723</v>
      </c>
      <c r="E1082" s="15" t="n">
        <f aca="false">B1082/Summary!$B$5-1</f>
        <v>-0.0547307431240723</v>
      </c>
    </row>
    <row r="1083" customFormat="false" ht="15" hidden="false" customHeight="false" outlineLevel="0" collapsed="false">
      <c r="A1083" s="0" t="n">
        <v>1082</v>
      </c>
      <c r="B1083" s="14" t="n">
        <v>110397.987898008</v>
      </c>
      <c r="C1083" s="15" t="n">
        <v>0.070450128917546</v>
      </c>
      <c r="D1083" s="14" t="n">
        <f aca="false">Summary!$B$5-B1083</f>
        <v>-10397.9878980079</v>
      </c>
      <c r="E1083" s="15" t="n">
        <f aca="false">B1083/Summary!$B$5-1</f>
        <v>0.103979878980079</v>
      </c>
    </row>
    <row r="1084" customFormat="false" ht="15" hidden="false" customHeight="false" outlineLevel="0" collapsed="false">
      <c r="A1084" s="0" t="n">
        <v>1083</v>
      </c>
      <c r="B1084" s="14" t="n">
        <v>90400.2656216994</v>
      </c>
      <c r="C1084" s="15" t="n">
        <v>0.154983632150002</v>
      </c>
      <c r="D1084" s="14" t="n">
        <f aca="false">Summary!$B$5-B1084</f>
        <v>9599.73437830064</v>
      </c>
      <c r="E1084" s="15" t="n">
        <f aca="false">B1084/Summary!$B$5-1</f>
        <v>-0.0959973437830064</v>
      </c>
    </row>
    <row r="1085" customFormat="false" ht="15" hidden="false" customHeight="false" outlineLevel="0" collapsed="false">
      <c r="A1085" s="0" t="n">
        <v>1084</v>
      </c>
      <c r="B1085" s="14" t="n">
        <v>120485.032586124</v>
      </c>
      <c r="C1085" s="15" t="n">
        <v>0.115684291415216</v>
      </c>
      <c r="D1085" s="14" t="n">
        <f aca="false">Summary!$B$5-B1085</f>
        <v>-20485.0325861237</v>
      </c>
      <c r="E1085" s="15" t="n">
        <f aca="false">B1085/Summary!$B$5-1</f>
        <v>0.204850325861237</v>
      </c>
    </row>
    <row r="1086" customFormat="false" ht="15" hidden="false" customHeight="false" outlineLevel="0" collapsed="false">
      <c r="A1086" s="0" t="n">
        <v>1085</v>
      </c>
      <c r="B1086" s="14" t="n">
        <v>120506.433100289</v>
      </c>
      <c r="C1086" s="15" t="n">
        <v>0.0858181127175763</v>
      </c>
      <c r="D1086" s="14" t="n">
        <f aca="false">Summary!$B$5-B1086</f>
        <v>-20506.4331002892</v>
      </c>
      <c r="E1086" s="15" t="n">
        <f aca="false">B1086/Summary!$B$5-1</f>
        <v>0.205064331002892</v>
      </c>
    </row>
    <row r="1087" customFormat="false" ht="15" hidden="false" customHeight="false" outlineLevel="0" collapsed="false">
      <c r="A1087" s="0" t="n">
        <v>1086</v>
      </c>
      <c r="B1087" s="14" t="n">
        <v>98944.7733442224</v>
      </c>
      <c r="C1087" s="15" t="n">
        <v>0.0990779280368409</v>
      </c>
      <c r="D1087" s="14" t="n">
        <f aca="false">Summary!$B$5-B1087</f>
        <v>1055.22665577759</v>
      </c>
      <c r="E1087" s="15" t="n">
        <f aca="false">B1087/Summary!$B$5-1</f>
        <v>-0.0105522665577759</v>
      </c>
    </row>
    <row r="1088" customFormat="false" ht="15" hidden="false" customHeight="false" outlineLevel="0" collapsed="false">
      <c r="A1088" s="0" t="n">
        <v>1087</v>
      </c>
      <c r="B1088" s="14" t="n">
        <v>105909.443573363</v>
      </c>
      <c r="C1088" s="15" t="n">
        <v>0.102300088887035</v>
      </c>
      <c r="D1088" s="14" t="n">
        <f aca="false">Summary!$B$5-B1088</f>
        <v>-5909.44357336291</v>
      </c>
      <c r="E1088" s="15" t="n">
        <f aca="false">B1088/Summary!$B$5-1</f>
        <v>0.0590944357336292</v>
      </c>
    </row>
    <row r="1089" customFormat="false" ht="15" hidden="false" customHeight="false" outlineLevel="0" collapsed="false">
      <c r="A1089" s="0" t="n">
        <v>1088</v>
      </c>
      <c r="B1089" s="14" t="n">
        <v>135372.410158437</v>
      </c>
      <c r="C1089" s="15" t="n">
        <v>0.0439523932132299</v>
      </c>
      <c r="D1089" s="14" t="n">
        <f aca="false">Summary!$B$5-B1089</f>
        <v>-35372.4101584369</v>
      </c>
      <c r="E1089" s="15" t="n">
        <f aca="false">B1089/Summary!$B$5-1</f>
        <v>0.353724101584369</v>
      </c>
    </row>
    <row r="1090" customFormat="false" ht="15" hidden="false" customHeight="false" outlineLevel="0" collapsed="false">
      <c r="A1090" s="0" t="n">
        <v>1089</v>
      </c>
      <c r="B1090" s="14" t="n">
        <v>109753.988889753</v>
      </c>
      <c r="C1090" s="15" t="n">
        <v>0.0509464554613746</v>
      </c>
      <c r="D1090" s="14" t="n">
        <f aca="false">Summary!$B$5-B1090</f>
        <v>-9753.9888897526</v>
      </c>
      <c r="E1090" s="15" t="n">
        <f aca="false">B1090/Summary!$B$5-1</f>
        <v>0.0975398888975261</v>
      </c>
    </row>
    <row r="1091" customFormat="false" ht="15" hidden="false" customHeight="false" outlineLevel="0" collapsed="false">
      <c r="A1091" s="0" t="n">
        <v>1090</v>
      </c>
      <c r="B1091" s="14" t="n">
        <v>84681.5741700402</v>
      </c>
      <c r="C1091" s="15" t="n">
        <v>0.224973333579089</v>
      </c>
      <c r="D1091" s="14" t="n">
        <f aca="false">Summary!$B$5-B1091</f>
        <v>15318.4258299598</v>
      </c>
      <c r="E1091" s="15" t="n">
        <f aca="false">B1091/Summary!$B$5-1</f>
        <v>-0.153184258299598</v>
      </c>
    </row>
    <row r="1092" customFormat="false" ht="15" hidden="false" customHeight="false" outlineLevel="0" collapsed="false">
      <c r="A1092" s="0" t="n">
        <v>1091</v>
      </c>
      <c r="B1092" s="14" t="n">
        <v>116379.208806974</v>
      </c>
      <c r="C1092" s="15" t="n">
        <v>0.0637647621894157</v>
      </c>
      <c r="D1092" s="14" t="n">
        <f aca="false">Summary!$B$5-B1092</f>
        <v>-16379.2088069742</v>
      </c>
      <c r="E1092" s="15" t="n">
        <f aca="false">B1092/Summary!$B$5-1</f>
        <v>0.163792088069742</v>
      </c>
    </row>
    <row r="1093" customFormat="false" ht="15" hidden="false" customHeight="false" outlineLevel="0" collapsed="false">
      <c r="A1093" s="0" t="n">
        <v>1092</v>
      </c>
      <c r="B1093" s="14" t="n">
        <v>99723.8708122345</v>
      </c>
      <c r="C1093" s="15" t="n">
        <v>0.10222189074547</v>
      </c>
      <c r="D1093" s="14" t="n">
        <f aca="false">Summary!$B$5-B1093</f>
        <v>276.129187765473</v>
      </c>
      <c r="E1093" s="15" t="n">
        <f aca="false">B1093/Summary!$B$5-1</f>
        <v>-0.00276129187765473</v>
      </c>
    </row>
    <row r="1094" customFormat="false" ht="15" hidden="false" customHeight="false" outlineLevel="0" collapsed="false">
      <c r="A1094" s="0" t="n">
        <v>1093</v>
      </c>
      <c r="B1094" s="14" t="n">
        <v>106385.021817793</v>
      </c>
      <c r="C1094" s="15" t="n">
        <v>0.150939089996608</v>
      </c>
      <c r="D1094" s="14" t="n">
        <f aca="false">Summary!$B$5-B1094</f>
        <v>-6385.02181779299</v>
      </c>
      <c r="E1094" s="15" t="n">
        <f aca="false">B1094/Summary!$B$5-1</f>
        <v>0.0638502181779299</v>
      </c>
    </row>
    <row r="1095" customFormat="false" ht="15" hidden="false" customHeight="false" outlineLevel="0" collapsed="false">
      <c r="A1095" s="0" t="n">
        <v>1094</v>
      </c>
      <c r="B1095" s="14" t="n">
        <v>114364.384232701</v>
      </c>
      <c r="C1095" s="15" t="n">
        <v>0.079772443434919</v>
      </c>
      <c r="D1095" s="14" t="n">
        <f aca="false">Summary!$B$5-B1095</f>
        <v>-14364.3842327005</v>
      </c>
      <c r="E1095" s="15" t="n">
        <f aca="false">B1095/Summary!$B$5-1</f>
        <v>0.143643842327005</v>
      </c>
    </row>
    <row r="1096" customFormat="false" ht="15" hidden="false" customHeight="false" outlineLevel="0" collapsed="false">
      <c r="A1096" s="0" t="n">
        <v>1095</v>
      </c>
      <c r="B1096" s="14" t="n">
        <v>120295.478948224</v>
      </c>
      <c r="C1096" s="15" t="n">
        <v>0.0884580601355245</v>
      </c>
      <c r="D1096" s="14" t="n">
        <f aca="false">Summary!$B$5-B1096</f>
        <v>-20295.4789482238</v>
      </c>
      <c r="E1096" s="15" t="n">
        <f aca="false">B1096/Summary!$B$5-1</f>
        <v>0.202954789482238</v>
      </c>
    </row>
    <row r="1097" customFormat="false" ht="15" hidden="false" customHeight="false" outlineLevel="0" collapsed="false">
      <c r="A1097" s="0" t="n">
        <v>1096</v>
      </c>
      <c r="B1097" s="14" t="n">
        <v>117424.064775453</v>
      </c>
      <c r="C1097" s="15" t="n">
        <v>0.0991851560715029</v>
      </c>
      <c r="D1097" s="14" t="n">
        <f aca="false">Summary!$B$5-B1097</f>
        <v>-17424.064775453</v>
      </c>
      <c r="E1097" s="15" t="n">
        <f aca="false">B1097/Summary!$B$5-1</f>
        <v>0.17424064775453</v>
      </c>
    </row>
    <row r="1098" customFormat="false" ht="15" hidden="false" customHeight="false" outlineLevel="0" collapsed="false">
      <c r="A1098" s="0" t="n">
        <v>1097</v>
      </c>
      <c r="B1098" s="14" t="n">
        <v>101548.410772116</v>
      </c>
      <c r="C1098" s="15" t="n">
        <v>0.125984951577369</v>
      </c>
      <c r="D1098" s="14" t="n">
        <f aca="false">Summary!$B$5-B1098</f>
        <v>-1548.410772116</v>
      </c>
      <c r="E1098" s="15" t="n">
        <f aca="false">B1098/Summary!$B$5-1</f>
        <v>0.01548410772116</v>
      </c>
    </row>
    <row r="1099" customFormat="false" ht="15" hidden="false" customHeight="false" outlineLevel="0" collapsed="false">
      <c r="A1099" s="0" t="n">
        <v>1098</v>
      </c>
      <c r="B1099" s="14" t="n">
        <v>120450.460282184</v>
      </c>
      <c r="C1099" s="15" t="n">
        <v>0.0454877514916171</v>
      </c>
      <c r="D1099" s="14" t="n">
        <f aca="false">Summary!$B$5-B1099</f>
        <v>-20450.4602821838</v>
      </c>
      <c r="E1099" s="15" t="n">
        <f aca="false">B1099/Summary!$B$5-1</f>
        <v>0.204504602821838</v>
      </c>
    </row>
    <row r="1100" customFormat="false" ht="15" hidden="false" customHeight="false" outlineLevel="0" collapsed="false">
      <c r="A1100" s="0" t="n">
        <v>1099</v>
      </c>
      <c r="B1100" s="14" t="n">
        <v>134092.263033677</v>
      </c>
      <c r="C1100" s="15" t="n">
        <v>0.0747261531097289</v>
      </c>
      <c r="D1100" s="14" t="n">
        <f aca="false">Summary!$B$5-B1100</f>
        <v>-34092.2630336772</v>
      </c>
      <c r="E1100" s="15" t="n">
        <f aca="false">B1100/Summary!$B$5-1</f>
        <v>0.340922630336772</v>
      </c>
    </row>
    <row r="1101" customFormat="false" ht="15" hidden="false" customHeight="false" outlineLevel="0" collapsed="false">
      <c r="A1101" s="0" t="n">
        <v>1100</v>
      </c>
      <c r="B1101" s="14" t="n">
        <v>137640.305303742</v>
      </c>
      <c r="C1101" s="15" t="n">
        <v>0.071219901576989</v>
      </c>
      <c r="D1101" s="14" t="n">
        <f aca="false">Summary!$B$5-B1101</f>
        <v>-37640.3053037424</v>
      </c>
      <c r="E1101" s="15" t="n">
        <f aca="false">B1101/Summary!$B$5-1</f>
        <v>0.376403053037424</v>
      </c>
    </row>
    <row r="1102" customFormat="false" ht="15" hidden="false" customHeight="false" outlineLevel="0" collapsed="false">
      <c r="A1102" s="0" t="n">
        <v>1101</v>
      </c>
      <c r="B1102" s="14" t="n">
        <v>110481.874120038</v>
      </c>
      <c r="C1102" s="15" t="n">
        <v>0.1314239310308</v>
      </c>
      <c r="D1102" s="14" t="n">
        <f aca="false">Summary!$B$5-B1102</f>
        <v>-10481.8741200382</v>
      </c>
      <c r="E1102" s="15" t="n">
        <f aca="false">B1102/Summary!$B$5-1</f>
        <v>0.104818741200382</v>
      </c>
    </row>
    <row r="1103" customFormat="false" ht="15" hidden="false" customHeight="false" outlineLevel="0" collapsed="false">
      <c r="A1103" s="0" t="n">
        <v>1102</v>
      </c>
      <c r="B1103" s="14" t="n">
        <v>106230.697768565</v>
      </c>
      <c r="C1103" s="15" t="n">
        <v>0.126281259881631</v>
      </c>
      <c r="D1103" s="14" t="n">
        <f aca="false">Summary!$B$5-B1103</f>
        <v>-6230.6977685647</v>
      </c>
      <c r="E1103" s="15" t="n">
        <f aca="false">B1103/Summary!$B$5-1</f>
        <v>0.0623069776856471</v>
      </c>
    </row>
    <row r="1104" customFormat="false" ht="15" hidden="false" customHeight="false" outlineLevel="0" collapsed="false">
      <c r="A1104" s="0" t="n">
        <v>1103</v>
      </c>
      <c r="B1104" s="14" t="n">
        <v>87557.0059029942</v>
      </c>
      <c r="C1104" s="15" t="n">
        <v>0.170904480367745</v>
      </c>
      <c r="D1104" s="14" t="n">
        <f aca="false">Summary!$B$5-B1104</f>
        <v>12442.9940970058</v>
      </c>
      <c r="E1104" s="15" t="n">
        <f aca="false">B1104/Summary!$B$5-1</f>
        <v>-0.124429940970058</v>
      </c>
    </row>
    <row r="1105" customFormat="false" ht="15" hidden="false" customHeight="false" outlineLevel="0" collapsed="false">
      <c r="A1105" s="0" t="n">
        <v>1104</v>
      </c>
      <c r="B1105" s="14" t="n">
        <v>96444.8200664621</v>
      </c>
      <c r="C1105" s="15" t="n">
        <v>0.0818062620145648</v>
      </c>
      <c r="D1105" s="14" t="n">
        <f aca="false">Summary!$B$5-B1105</f>
        <v>3555.17993353787</v>
      </c>
      <c r="E1105" s="15" t="n">
        <f aca="false">B1105/Summary!$B$5-1</f>
        <v>-0.0355517993353788</v>
      </c>
    </row>
    <row r="1106" customFormat="false" ht="15" hidden="false" customHeight="false" outlineLevel="0" collapsed="false">
      <c r="A1106" s="0" t="n">
        <v>1105</v>
      </c>
      <c r="B1106" s="14" t="n">
        <v>101563.959202754</v>
      </c>
      <c r="C1106" s="15" t="n">
        <v>0.112670013917833</v>
      </c>
      <c r="D1106" s="14" t="n">
        <f aca="false">Summary!$B$5-B1106</f>
        <v>-1563.9592027538</v>
      </c>
      <c r="E1106" s="15" t="n">
        <f aca="false">B1106/Summary!$B$5-1</f>
        <v>0.0156395920275381</v>
      </c>
    </row>
    <row r="1107" customFormat="false" ht="15" hidden="false" customHeight="false" outlineLevel="0" collapsed="false">
      <c r="A1107" s="0" t="n">
        <v>1106</v>
      </c>
      <c r="B1107" s="14" t="n">
        <v>123497.906771952</v>
      </c>
      <c r="C1107" s="15" t="n">
        <v>0.0438432660346211</v>
      </c>
      <c r="D1107" s="14" t="n">
        <f aca="false">Summary!$B$5-B1107</f>
        <v>-23497.9067719524</v>
      </c>
      <c r="E1107" s="15" t="n">
        <f aca="false">B1107/Summary!$B$5-1</f>
        <v>0.234979067719524</v>
      </c>
    </row>
    <row r="1108" customFormat="false" ht="15" hidden="false" customHeight="false" outlineLevel="0" collapsed="false">
      <c r="A1108" s="0" t="n">
        <v>1107</v>
      </c>
      <c r="B1108" s="14" t="n">
        <v>125574.755745487</v>
      </c>
      <c r="C1108" s="15" t="n">
        <v>0.09203006893712</v>
      </c>
      <c r="D1108" s="14" t="n">
        <f aca="false">Summary!$B$5-B1108</f>
        <v>-25574.755745487</v>
      </c>
      <c r="E1108" s="15" t="n">
        <f aca="false">B1108/Summary!$B$5-1</f>
        <v>0.25574755745487</v>
      </c>
    </row>
    <row r="1109" customFormat="false" ht="15" hidden="false" customHeight="false" outlineLevel="0" collapsed="false">
      <c r="A1109" s="0" t="n">
        <v>1108</v>
      </c>
      <c r="B1109" s="14" t="n">
        <v>95103.9921874881</v>
      </c>
      <c r="C1109" s="15" t="n">
        <v>0.147272466415138</v>
      </c>
      <c r="D1109" s="14" t="n">
        <f aca="false">Summary!$B$5-B1109</f>
        <v>4896.00781251193</v>
      </c>
      <c r="E1109" s="15" t="n">
        <f aca="false">B1109/Summary!$B$5-1</f>
        <v>-0.0489600781251194</v>
      </c>
    </row>
    <row r="1110" customFormat="false" ht="15" hidden="false" customHeight="false" outlineLevel="0" collapsed="false">
      <c r="A1110" s="0" t="n">
        <v>1109</v>
      </c>
      <c r="B1110" s="14" t="n">
        <v>118449.187456131</v>
      </c>
      <c r="C1110" s="15" t="n">
        <v>0.112520237559045</v>
      </c>
      <c r="D1110" s="14" t="n">
        <f aca="false">Summary!$B$5-B1110</f>
        <v>-18449.1874561305</v>
      </c>
      <c r="E1110" s="15" t="n">
        <f aca="false">B1110/Summary!$B$5-1</f>
        <v>0.184491874561305</v>
      </c>
    </row>
    <row r="1111" customFormat="false" ht="15" hidden="false" customHeight="false" outlineLevel="0" collapsed="false">
      <c r="A1111" s="0" t="n">
        <v>1110</v>
      </c>
      <c r="B1111" s="14" t="n">
        <v>96323.9487580299</v>
      </c>
      <c r="C1111" s="15" t="n">
        <v>0.17752528762885</v>
      </c>
      <c r="D1111" s="14" t="n">
        <f aca="false">Summary!$B$5-B1111</f>
        <v>3676.05124197013</v>
      </c>
      <c r="E1111" s="15" t="n">
        <f aca="false">B1111/Summary!$B$5-1</f>
        <v>-0.0367605124197012</v>
      </c>
    </row>
    <row r="1112" customFormat="false" ht="15" hidden="false" customHeight="false" outlineLevel="0" collapsed="false">
      <c r="A1112" s="0" t="n">
        <v>1111</v>
      </c>
      <c r="B1112" s="14" t="n">
        <v>93873.8708232268</v>
      </c>
      <c r="C1112" s="15" t="n">
        <v>0.135948883890447</v>
      </c>
      <c r="D1112" s="14" t="n">
        <f aca="false">Summary!$B$5-B1112</f>
        <v>6126.12917677318</v>
      </c>
      <c r="E1112" s="15" t="n">
        <f aca="false">B1112/Summary!$B$5-1</f>
        <v>-0.0612612917677318</v>
      </c>
    </row>
    <row r="1113" customFormat="false" ht="15" hidden="false" customHeight="false" outlineLevel="0" collapsed="false">
      <c r="A1113" s="0" t="n">
        <v>1112</v>
      </c>
      <c r="B1113" s="14" t="n">
        <v>112458.572522181</v>
      </c>
      <c r="C1113" s="15" t="n">
        <v>0.088326616121521</v>
      </c>
      <c r="D1113" s="14" t="n">
        <f aca="false">Summary!$B$5-B1113</f>
        <v>-12458.5725221809</v>
      </c>
      <c r="E1113" s="15" t="n">
        <f aca="false">B1113/Summary!$B$5-1</f>
        <v>0.124585725221809</v>
      </c>
    </row>
    <row r="1114" customFormat="false" ht="15" hidden="false" customHeight="false" outlineLevel="0" collapsed="false">
      <c r="A1114" s="0" t="n">
        <v>1113</v>
      </c>
      <c r="B1114" s="14" t="n">
        <v>115204.834794081</v>
      </c>
      <c r="C1114" s="15" t="n">
        <v>0.0725578176323894</v>
      </c>
      <c r="D1114" s="14" t="n">
        <f aca="false">Summary!$B$5-B1114</f>
        <v>-15204.8347940812</v>
      </c>
      <c r="E1114" s="15" t="n">
        <f aca="false">B1114/Summary!$B$5-1</f>
        <v>0.152048347940812</v>
      </c>
    </row>
    <row r="1115" customFormat="false" ht="15" hidden="false" customHeight="false" outlineLevel="0" collapsed="false">
      <c r="A1115" s="0" t="n">
        <v>1114</v>
      </c>
      <c r="B1115" s="14" t="n">
        <v>119275.649909982</v>
      </c>
      <c r="C1115" s="15" t="n">
        <v>0.0873996214097456</v>
      </c>
      <c r="D1115" s="14" t="n">
        <f aca="false">Summary!$B$5-B1115</f>
        <v>-19275.6499099818</v>
      </c>
      <c r="E1115" s="15" t="n">
        <f aca="false">B1115/Summary!$B$5-1</f>
        <v>0.192756499099818</v>
      </c>
    </row>
    <row r="1116" customFormat="false" ht="15" hidden="false" customHeight="false" outlineLevel="0" collapsed="false">
      <c r="A1116" s="0" t="n">
        <v>1115</v>
      </c>
      <c r="B1116" s="14" t="n">
        <v>155624.469006978</v>
      </c>
      <c r="C1116" s="15" t="n">
        <v>0.053475858710201</v>
      </c>
      <c r="D1116" s="14" t="n">
        <f aca="false">Summary!$B$5-B1116</f>
        <v>-55624.4690069783</v>
      </c>
      <c r="E1116" s="15" t="n">
        <f aca="false">B1116/Summary!$B$5-1</f>
        <v>0.556244690069783</v>
      </c>
    </row>
    <row r="1117" customFormat="false" ht="15" hidden="false" customHeight="false" outlineLevel="0" collapsed="false">
      <c r="A1117" s="0" t="n">
        <v>1116</v>
      </c>
      <c r="B1117" s="14" t="n">
        <v>117184.241723291</v>
      </c>
      <c r="C1117" s="15" t="n">
        <v>0.072532652435743</v>
      </c>
      <c r="D1117" s="14" t="n">
        <f aca="false">Summary!$B$5-B1117</f>
        <v>-17184.241723291</v>
      </c>
      <c r="E1117" s="15" t="n">
        <f aca="false">B1117/Summary!$B$5-1</f>
        <v>0.17184241723291</v>
      </c>
    </row>
    <row r="1118" customFormat="false" ht="15" hidden="false" customHeight="false" outlineLevel="0" collapsed="false">
      <c r="A1118" s="0" t="n">
        <v>1117</v>
      </c>
      <c r="B1118" s="14" t="n">
        <v>98656.6150610846</v>
      </c>
      <c r="C1118" s="15" t="n">
        <v>0.132116165170103</v>
      </c>
      <c r="D1118" s="14" t="n">
        <f aca="false">Summary!$B$5-B1118</f>
        <v>1343.38493891538</v>
      </c>
      <c r="E1118" s="15" t="n">
        <f aca="false">B1118/Summary!$B$5-1</f>
        <v>-0.0134338493891538</v>
      </c>
    </row>
    <row r="1119" customFormat="false" ht="15" hidden="false" customHeight="false" outlineLevel="0" collapsed="false">
      <c r="A1119" s="0" t="n">
        <v>1118</v>
      </c>
      <c r="B1119" s="14" t="n">
        <v>136018.122109613</v>
      </c>
      <c r="C1119" s="15" t="n">
        <v>0.0707329271733354</v>
      </c>
      <c r="D1119" s="14" t="n">
        <f aca="false">Summary!$B$5-B1119</f>
        <v>-36018.1221096134</v>
      </c>
      <c r="E1119" s="15" t="n">
        <f aca="false">B1119/Summary!$B$5-1</f>
        <v>0.360181221096134</v>
      </c>
    </row>
    <row r="1120" customFormat="false" ht="15" hidden="false" customHeight="false" outlineLevel="0" collapsed="false">
      <c r="A1120" s="0" t="n">
        <v>1119</v>
      </c>
      <c r="B1120" s="14" t="n">
        <v>89507.694924153</v>
      </c>
      <c r="C1120" s="15" t="n">
        <v>0.158640097611884</v>
      </c>
      <c r="D1120" s="14" t="n">
        <f aca="false">Summary!$B$5-B1120</f>
        <v>10492.305075847</v>
      </c>
      <c r="E1120" s="15" t="n">
        <f aca="false">B1120/Summary!$B$5-1</f>
        <v>-0.10492305075847</v>
      </c>
    </row>
    <row r="1121" customFormat="false" ht="15" hidden="false" customHeight="false" outlineLevel="0" collapsed="false">
      <c r="A1121" s="0" t="n">
        <v>1120</v>
      </c>
      <c r="B1121" s="14" t="n">
        <v>102496.056301071</v>
      </c>
      <c r="C1121" s="15" t="n">
        <v>0.108957946322248</v>
      </c>
      <c r="D1121" s="14" t="n">
        <f aca="false">Summary!$B$5-B1121</f>
        <v>-2496.05630107049</v>
      </c>
      <c r="E1121" s="15" t="n">
        <f aca="false">B1121/Summary!$B$5-1</f>
        <v>0.024960563010705</v>
      </c>
    </row>
    <row r="1122" customFormat="false" ht="15" hidden="false" customHeight="false" outlineLevel="0" collapsed="false">
      <c r="A1122" s="0" t="n">
        <v>1121</v>
      </c>
      <c r="B1122" s="14" t="n">
        <v>148485.240872149</v>
      </c>
      <c r="C1122" s="15" t="n">
        <v>0.0580145349680967</v>
      </c>
      <c r="D1122" s="14" t="n">
        <f aca="false">Summary!$B$5-B1122</f>
        <v>-48485.2408721485</v>
      </c>
      <c r="E1122" s="15" t="n">
        <f aca="false">B1122/Summary!$B$5-1</f>
        <v>0.484852408721485</v>
      </c>
    </row>
    <row r="1123" customFormat="false" ht="15" hidden="false" customHeight="false" outlineLevel="0" collapsed="false">
      <c r="A1123" s="0" t="n">
        <v>1122</v>
      </c>
      <c r="B1123" s="14" t="n">
        <v>113227.568263026</v>
      </c>
      <c r="C1123" s="15" t="n">
        <v>0.0685706673443107</v>
      </c>
      <c r="D1123" s="14" t="n">
        <f aca="false">Summary!$B$5-B1123</f>
        <v>-13227.5682630259</v>
      </c>
      <c r="E1123" s="15" t="n">
        <f aca="false">B1123/Summary!$B$5-1</f>
        <v>0.132275682630259</v>
      </c>
    </row>
    <row r="1124" customFormat="false" ht="15" hidden="false" customHeight="false" outlineLevel="0" collapsed="false">
      <c r="A1124" s="0" t="n">
        <v>1123</v>
      </c>
      <c r="B1124" s="14" t="n">
        <v>132765.538354888</v>
      </c>
      <c r="C1124" s="15" t="n">
        <v>0.0847793358319333</v>
      </c>
      <c r="D1124" s="14" t="n">
        <f aca="false">Summary!$B$5-B1124</f>
        <v>-32765.5383548879</v>
      </c>
      <c r="E1124" s="15" t="n">
        <f aca="false">B1124/Summary!$B$5-1</f>
        <v>0.327655383548879</v>
      </c>
    </row>
    <row r="1125" customFormat="false" ht="15" hidden="false" customHeight="false" outlineLevel="0" collapsed="false">
      <c r="A1125" s="0" t="n">
        <v>1124</v>
      </c>
      <c r="B1125" s="14" t="n">
        <v>92386.5093265054</v>
      </c>
      <c r="C1125" s="15" t="n">
        <v>0.162811102700097</v>
      </c>
      <c r="D1125" s="14" t="n">
        <f aca="false">Summary!$B$5-B1125</f>
        <v>7613.49067349458</v>
      </c>
      <c r="E1125" s="15" t="n">
        <f aca="false">B1125/Summary!$B$5-1</f>
        <v>-0.0761349067349458</v>
      </c>
    </row>
    <row r="1126" customFormat="false" ht="15" hidden="false" customHeight="false" outlineLevel="0" collapsed="false">
      <c r="A1126" s="0" t="n">
        <v>1125</v>
      </c>
      <c r="B1126" s="14" t="n">
        <v>113096.639293283</v>
      </c>
      <c r="C1126" s="15" t="n">
        <v>0.0745823636589417</v>
      </c>
      <c r="D1126" s="14" t="n">
        <f aca="false">Summary!$B$5-B1126</f>
        <v>-13096.6392932831</v>
      </c>
      <c r="E1126" s="15" t="n">
        <f aca="false">B1126/Summary!$B$5-1</f>
        <v>0.130966392932831</v>
      </c>
    </row>
    <row r="1127" customFormat="false" ht="15" hidden="false" customHeight="false" outlineLevel="0" collapsed="false">
      <c r="A1127" s="0" t="n">
        <v>1126</v>
      </c>
      <c r="B1127" s="14" t="n">
        <v>119235.785628688</v>
      </c>
      <c r="C1127" s="15" t="n">
        <v>0.09401666515411</v>
      </c>
      <c r="D1127" s="14" t="n">
        <f aca="false">Summary!$B$5-B1127</f>
        <v>-19235.7856286883</v>
      </c>
      <c r="E1127" s="15" t="n">
        <f aca="false">B1127/Summary!$B$5-1</f>
        <v>0.192357856286883</v>
      </c>
    </row>
    <row r="1128" customFormat="false" ht="15" hidden="false" customHeight="false" outlineLevel="0" collapsed="false">
      <c r="A1128" s="0" t="n">
        <v>1127</v>
      </c>
      <c r="B1128" s="14" t="n">
        <v>99410.8752335171</v>
      </c>
      <c r="C1128" s="15" t="n">
        <v>0.0785669315556006</v>
      </c>
      <c r="D1128" s="14" t="n">
        <f aca="false">Summary!$B$5-B1128</f>
        <v>589.124766482913</v>
      </c>
      <c r="E1128" s="15" t="n">
        <f aca="false">B1128/Summary!$B$5-1</f>
        <v>-0.00589124766482918</v>
      </c>
    </row>
    <row r="1129" customFormat="false" ht="15" hidden="false" customHeight="false" outlineLevel="0" collapsed="false">
      <c r="A1129" s="0" t="n">
        <v>1128</v>
      </c>
      <c r="B1129" s="14" t="n">
        <v>135871.613131257</v>
      </c>
      <c r="C1129" s="15" t="n">
        <v>0.0610627813555223</v>
      </c>
      <c r="D1129" s="14" t="n">
        <f aca="false">Summary!$B$5-B1129</f>
        <v>-35871.6131312573</v>
      </c>
      <c r="E1129" s="15" t="n">
        <f aca="false">B1129/Summary!$B$5-1</f>
        <v>0.358716131312573</v>
      </c>
    </row>
    <row r="1130" customFormat="false" ht="15" hidden="false" customHeight="false" outlineLevel="0" collapsed="false">
      <c r="A1130" s="0" t="n">
        <v>1129</v>
      </c>
      <c r="B1130" s="14" t="n">
        <v>98052.0199061923</v>
      </c>
      <c r="C1130" s="15" t="n">
        <v>0.129119344995038</v>
      </c>
      <c r="D1130" s="14" t="n">
        <f aca="false">Summary!$B$5-B1130</f>
        <v>1947.98009380768</v>
      </c>
      <c r="E1130" s="15" t="n">
        <f aca="false">B1130/Summary!$B$5-1</f>
        <v>-0.0194798009380768</v>
      </c>
    </row>
    <row r="1131" customFormat="false" ht="15" hidden="false" customHeight="false" outlineLevel="0" collapsed="false">
      <c r="A1131" s="0" t="n">
        <v>1130</v>
      </c>
      <c r="B1131" s="14" t="n">
        <v>117167.243471501</v>
      </c>
      <c r="C1131" s="15" t="n">
        <v>0.0943335010837419</v>
      </c>
      <c r="D1131" s="14" t="n">
        <f aca="false">Summary!$B$5-B1131</f>
        <v>-17167.2434715011</v>
      </c>
      <c r="E1131" s="15" t="n">
        <f aca="false">B1131/Summary!$B$5-1</f>
        <v>0.171672434715011</v>
      </c>
    </row>
    <row r="1132" customFormat="false" ht="15" hidden="false" customHeight="false" outlineLevel="0" collapsed="false">
      <c r="A1132" s="0" t="n">
        <v>1131</v>
      </c>
      <c r="B1132" s="14" t="n">
        <v>99370.6769285714</v>
      </c>
      <c r="C1132" s="15" t="n">
        <v>0.102417883645</v>
      </c>
      <c r="D1132" s="14" t="n">
        <f aca="false">Summary!$B$5-B1132</f>
        <v>629.323071428647</v>
      </c>
      <c r="E1132" s="15" t="n">
        <f aca="false">B1132/Summary!$B$5-1</f>
        <v>-0.00629323071428645</v>
      </c>
    </row>
    <row r="1133" customFormat="false" ht="15" hidden="false" customHeight="false" outlineLevel="0" collapsed="false">
      <c r="A1133" s="0" t="n">
        <v>1132</v>
      </c>
      <c r="B1133" s="14" t="n">
        <v>115120.650307538</v>
      </c>
      <c r="C1133" s="15" t="n">
        <v>0.0571445834775198</v>
      </c>
      <c r="D1133" s="14" t="n">
        <f aca="false">Summary!$B$5-B1133</f>
        <v>-15120.6503075378</v>
      </c>
      <c r="E1133" s="15" t="n">
        <f aca="false">B1133/Summary!$B$5-1</f>
        <v>0.151206503075378</v>
      </c>
    </row>
    <row r="1134" customFormat="false" ht="15" hidden="false" customHeight="false" outlineLevel="0" collapsed="false">
      <c r="A1134" s="0" t="n">
        <v>1133</v>
      </c>
      <c r="B1134" s="14" t="n">
        <v>151136.567708327</v>
      </c>
      <c r="C1134" s="15" t="n">
        <v>0.0379027417111926</v>
      </c>
      <c r="D1134" s="14" t="n">
        <f aca="false">Summary!$B$5-B1134</f>
        <v>-51136.5677083271</v>
      </c>
      <c r="E1134" s="15" t="n">
        <f aca="false">B1134/Summary!$B$5-1</f>
        <v>0.511365677083271</v>
      </c>
    </row>
    <row r="1135" customFormat="false" ht="15" hidden="false" customHeight="false" outlineLevel="0" collapsed="false">
      <c r="A1135" s="0" t="n">
        <v>1134</v>
      </c>
      <c r="B1135" s="14" t="n">
        <v>128869.439823151</v>
      </c>
      <c r="C1135" s="15" t="n">
        <v>0.0682475044585619</v>
      </c>
      <c r="D1135" s="14" t="n">
        <f aca="false">Summary!$B$5-B1135</f>
        <v>-28869.4398231512</v>
      </c>
      <c r="E1135" s="15" t="n">
        <f aca="false">B1135/Summary!$B$5-1</f>
        <v>0.288694398231512</v>
      </c>
    </row>
    <row r="1136" customFormat="false" ht="15" hidden="false" customHeight="false" outlineLevel="0" collapsed="false">
      <c r="A1136" s="0" t="n">
        <v>1135</v>
      </c>
      <c r="B1136" s="14" t="n">
        <v>91684.4017561556</v>
      </c>
      <c r="C1136" s="15" t="n">
        <v>0.146473063689679</v>
      </c>
      <c r="D1136" s="14" t="n">
        <f aca="false">Summary!$B$5-B1136</f>
        <v>8315.5982438444</v>
      </c>
      <c r="E1136" s="15" t="n">
        <f aca="false">B1136/Summary!$B$5-1</f>
        <v>-0.083155982438444</v>
      </c>
    </row>
    <row r="1137" customFormat="false" ht="15" hidden="false" customHeight="false" outlineLevel="0" collapsed="false">
      <c r="A1137" s="0" t="n">
        <v>1136</v>
      </c>
      <c r="B1137" s="14" t="n">
        <v>114797.107910094</v>
      </c>
      <c r="C1137" s="15" t="n">
        <v>0.0758209337601754</v>
      </c>
      <c r="D1137" s="14" t="n">
        <f aca="false">Summary!$B$5-B1137</f>
        <v>-14797.1079100939</v>
      </c>
      <c r="E1137" s="15" t="n">
        <f aca="false">B1137/Summary!$B$5-1</f>
        <v>0.147971079100939</v>
      </c>
    </row>
    <row r="1138" customFormat="false" ht="15" hidden="false" customHeight="false" outlineLevel="0" collapsed="false">
      <c r="A1138" s="0" t="n">
        <v>1137</v>
      </c>
      <c r="B1138" s="14" t="n">
        <v>104109.039971608</v>
      </c>
      <c r="C1138" s="15" t="n">
        <v>0.065658158403531</v>
      </c>
      <c r="D1138" s="14" t="n">
        <f aca="false">Summary!$B$5-B1138</f>
        <v>-4109.03997160831</v>
      </c>
      <c r="E1138" s="15" t="n">
        <f aca="false">B1138/Summary!$B$5-1</f>
        <v>0.041090399716083</v>
      </c>
    </row>
    <row r="1139" customFormat="false" ht="15" hidden="false" customHeight="false" outlineLevel="0" collapsed="false">
      <c r="A1139" s="0" t="n">
        <v>1138</v>
      </c>
      <c r="B1139" s="14" t="n">
        <v>105985.790327435</v>
      </c>
      <c r="C1139" s="15" t="n">
        <v>0.0885837026775345</v>
      </c>
      <c r="D1139" s="14" t="n">
        <f aca="false">Summary!$B$5-B1139</f>
        <v>-5985.7903274352</v>
      </c>
      <c r="E1139" s="15" t="n">
        <f aca="false">B1139/Summary!$B$5-1</f>
        <v>0.059857903274352</v>
      </c>
    </row>
    <row r="1140" customFormat="false" ht="15" hidden="false" customHeight="false" outlineLevel="0" collapsed="false">
      <c r="A1140" s="0" t="n">
        <v>1139</v>
      </c>
      <c r="B1140" s="14" t="n">
        <v>97198.9957592715</v>
      </c>
      <c r="C1140" s="15" t="n">
        <v>0.105953980659538</v>
      </c>
      <c r="D1140" s="14" t="n">
        <f aca="false">Summary!$B$5-B1140</f>
        <v>2801.00424072854</v>
      </c>
      <c r="E1140" s="15" t="n">
        <f aca="false">B1140/Summary!$B$5-1</f>
        <v>-0.0280100424072853</v>
      </c>
    </row>
    <row r="1141" customFormat="false" ht="15" hidden="false" customHeight="false" outlineLevel="0" collapsed="false">
      <c r="A1141" s="0" t="n">
        <v>1140</v>
      </c>
      <c r="B1141" s="14" t="n">
        <v>112719.573387092</v>
      </c>
      <c r="C1141" s="15" t="n">
        <v>0.0577727511118824</v>
      </c>
      <c r="D1141" s="14" t="n">
        <f aca="false">Summary!$B$5-B1141</f>
        <v>-12719.5733870923</v>
      </c>
      <c r="E1141" s="15" t="n">
        <f aca="false">B1141/Summary!$B$5-1</f>
        <v>0.127195733870923</v>
      </c>
    </row>
    <row r="1142" customFormat="false" ht="15" hidden="false" customHeight="false" outlineLevel="0" collapsed="false">
      <c r="A1142" s="0" t="n">
        <v>1141</v>
      </c>
      <c r="B1142" s="14" t="n">
        <v>121159.270158593</v>
      </c>
      <c r="C1142" s="15" t="n">
        <v>0.0952789591377106</v>
      </c>
      <c r="D1142" s="14" t="n">
        <f aca="false">Summary!$B$5-B1142</f>
        <v>-21159.2701585926</v>
      </c>
      <c r="E1142" s="15" t="n">
        <f aca="false">B1142/Summary!$B$5-1</f>
        <v>0.211592701585926</v>
      </c>
    </row>
    <row r="1143" customFormat="false" ht="15" hidden="false" customHeight="false" outlineLevel="0" collapsed="false">
      <c r="A1143" s="0" t="n">
        <v>1142</v>
      </c>
      <c r="B1143" s="14" t="n">
        <v>96171.4638882016</v>
      </c>
      <c r="C1143" s="15" t="n">
        <v>0.119439713419268</v>
      </c>
      <c r="D1143" s="14" t="n">
        <f aca="false">Summary!$B$5-B1143</f>
        <v>3828.53611179844</v>
      </c>
      <c r="E1143" s="15" t="n">
        <f aca="false">B1143/Summary!$B$5-1</f>
        <v>-0.0382853611179844</v>
      </c>
    </row>
    <row r="1144" customFormat="false" ht="15" hidden="false" customHeight="false" outlineLevel="0" collapsed="false">
      <c r="A1144" s="0" t="n">
        <v>1143</v>
      </c>
      <c r="B1144" s="14" t="n">
        <v>118337.260346071</v>
      </c>
      <c r="C1144" s="15" t="n">
        <v>0.0815969509898207</v>
      </c>
      <c r="D1144" s="14" t="n">
        <f aca="false">Summary!$B$5-B1144</f>
        <v>-18337.260346071</v>
      </c>
      <c r="E1144" s="15" t="n">
        <f aca="false">B1144/Summary!$B$5-1</f>
        <v>0.18337260346071</v>
      </c>
    </row>
    <row r="1145" customFormat="false" ht="15" hidden="false" customHeight="false" outlineLevel="0" collapsed="false">
      <c r="A1145" s="0" t="n">
        <v>1144</v>
      </c>
      <c r="B1145" s="14" t="n">
        <v>110186.998816339</v>
      </c>
      <c r="C1145" s="15" t="n">
        <v>0.0838346567116337</v>
      </c>
      <c r="D1145" s="14" t="n">
        <f aca="false">Summary!$B$5-B1145</f>
        <v>-10186.9988163391</v>
      </c>
      <c r="E1145" s="15" t="n">
        <f aca="false">B1145/Summary!$B$5-1</f>
        <v>0.101869988163391</v>
      </c>
    </row>
    <row r="1146" customFormat="false" ht="15" hidden="false" customHeight="false" outlineLevel="0" collapsed="false">
      <c r="A1146" s="0" t="n">
        <v>1145</v>
      </c>
      <c r="B1146" s="14" t="n">
        <v>96539.207838769</v>
      </c>
      <c r="C1146" s="15" t="n">
        <v>0.0815006301368629</v>
      </c>
      <c r="D1146" s="14" t="n">
        <f aca="false">Summary!$B$5-B1146</f>
        <v>3460.79216123105</v>
      </c>
      <c r="E1146" s="15" t="n">
        <f aca="false">B1146/Summary!$B$5-1</f>
        <v>-0.0346079216123104</v>
      </c>
    </row>
    <row r="1147" customFormat="false" ht="15" hidden="false" customHeight="false" outlineLevel="0" collapsed="false">
      <c r="A1147" s="0" t="n">
        <v>1146</v>
      </c>
      <c r="B1147" s="14" t="n">
        <v>100960.862260311</v>
      </c>
      <c r="C1147" s="15" t="n">
        <v>0.0970368329334098</v>
      </c>
      <c r="D1147" s="14" t="n">
        <f aca="false">Summary!$B$5-B1147</f>
        <v>-960.862260311202</v>
      </c>
      <c r="E1147" s="15" t="n">
        <f aca="false">B1147/Summary!$B$5-1</f>
        <v>0.00960862260311202</v>
      </c>
    </row>
    <row r="1148" customFormat="false" ht="15" hidden="false" customHeight="false" outlineLevel="0" collapsed="false">
      <c r="A1148" s="0" t="n">
        <v>1147</v>
      </c>
      <c r="B1148" s="14" t="n">
        <v>104828.780163503</v>
      </c>
      <c r="C1148" s="15" t="n">
        <v>0.145352786507847</v>
      </c>
      <c r="D1148" s="14" t="n">
        <f aca="false">Summary!$B$5-B1148</f>
        <v>-4828.7801635025</v>
      </c>
      <c r="E1148" s="15" t="n">
        <f aca="false">B1148/Summary!$B$5-1</f>
        <v>0.048287801635025</v>
      </c>
    </row>
    <row r="1149" customFormat="false" ht="15" hidden="false" customHeight="false" outlineLevel="0" collapsed="false">
      <c r="A1149" s="0" t="n">
        <v>1148</v>
      </c>
      <c r="B1149" s="14" t="n">
        <v>128490.964149059</v>
      </c>
      <c r="C1149" s="15" t="n">
        <v>0.0745221857375185</v>
      </c>
      <c r="D1149" s="14" t="n">
        <f aca="false">Summary!$B$5-B1149</f>
        <v>-28490.9641490588</v>
      </c>
      <c r="E1149" s="15" t="n">
        <f aca="false">B1149/Summary!$B$5-1</f>
        <v>0.284909641490588</v>
      </c>
    </row>
    <row r="1150" customFormat="false" ht="15" hidden="false" customHeight="false" outlineLevel="0" collapsed="false">
      <c r="A1150" s="0" t="n">
        <v>1149</v>
      </c>
      <c r="B1150" s="14" t="n">
        <v>102429.890492187</v>
      </c>
      <c r="C1150" s="15" t="n">
        <v>0.0717603881579605</v>
      </c>
      <c r="D1150" s="14" t="n">
        <f aca="false">Summary!$B$5-B1150</f>
        <v>-2429.8904921872</v>
      </c>
      <c r="E1150" s="15" t="n">
        <f aca="false">B1150/Summary!$B$5-1</f>
        <v>0.024298904921872</v>
      </c>
    </row>
    <row r="1151" customFormat="false" ht="15" hidden="false" customHeight="false" outlineLevel="0" collapsed="false">
      <c r="A1151" s="0" t="n">
        <v>1150</v>
      </c>
      <c r="B1151" s="14" t="n">
        <v>112039.777052379</v>
      </c>
      <c r="C1151" s="15" t="n">
        <v>0.0773301992209233</v>
      </c>
      <c r="D1151" s="14" t="n">
        <f aca="false">Summary!$B$5-B1151</f>
        <v>-12039.7770523792</v>
      </c>
      <c r="E1151" s="15" t="n">
        <f aca="false">B1151/Summary!$B$5-1</f>
        <v>0.120397770523792</v>
      </c>
    </row>
    <row r="1152" customFormat="false" ht="15" hidden="false" customHeight="false" outlineLevel="0" collapsed="false">
      <c r="A1152" s="0" t="n">
        <v>1151</v>
      </c>
      <c r="B1152" s="14" t="n">
        <v>101619.994792852</v>
      </c>
      <c r="C1152" s="15" t="n">
        <v>0.0757247992596944</v>
      </c>
      <c r="D1152" s="14" t="n">
        <f aca="false">Summary!$B$5-B1152</f>
        <v>-1619.9947928522</v>
      </c>
      <c r="E1152" s="15" t="n">
        <f aca="false">B1152/Summary!$B$5-1</f>
        <v>0.016199947928522</v>
      </c>
    </row>
    <row r="1153" customFormat="false" ht="15" hidden="false" customHeight="false" outlineLevel="0" collapsed="false">
      <c r="A1153" s="0" t="n">
        <v>1152</v>
      </c>
      <c r="B1153" s="14" t="n">
        <v>111640.179422792</v>
      </c>
      <c r="C1153" s="15" t="n">
        <v>0.131622757558256</v>
      </c>
      <c r="D1153" s="14" t="n">
        <f aca="false">Summary!$B$5-B1153</f>
        <v>-11640.1794227924</v>
      </c>
      <c r="E1153" s="15" t="n">
        <f aca="false">B1153/Summary!$B$5-1</f>
        <v>0.116401794227924</v>
      </c>
    </row>
    <row r="1154" customFormat="false" ht="15" hidden="false" customHeight="false" outlineLevel="0" collapsed="false">
      <c r="A1154" s="0" t="n">
        <v>1153</v>
      </c>
      <c r="B1154" s="14" t="n">
        <v>100196.808186776</v>
      </c>
      <c r="C1154" s="15" t="n">
        <v>0.163466376564414</v>
      </c>
      <c r="D1154" s="14" t="n">
        <f aca="false">Summary!$B$5-B1154</f>
        <v>-196.808186775495</v>
      </c>
      <c r="E1154" s="15" t="n">
        <f aca="false">B1154/Summary!$B$5-1</f>
        <v>0.00196808186775499</v>
      </c>
    </row>
    <row r="1155" customFormat="false" ht="15" hidden="false" customHeight="false" outlineLevel="0" collapsed="false">
      <c r="A1155" s="0" t="n">
        <v>1154</v>
      </c>
      <c r="B1155" s="14" t="n">
        <v>106193.772037239</v>
      </c>
      <c r="C1155" s="15" t="n">
        <v>0.148692462543363</v>
      </c>
      <c r="D1155" s="14" t="n">
        <f aca="false">Summary!$B$5-B1155</f>
        <v>-6193.772037239</v>
      </c>
      <c r="E1155" s="15" t="n">
        <f aca="false">B1155/Summary!$B$5-1</f>
        <v>0.0619377203723901</v>
      </c>
    </row>
    <row r="1156" customFormat="false" ht="15" hidden="false" customHeight="false" outlineLevel="0" collapsed="false">
      <c r="A1156" s="0" t="n">
        <v>1155</v>
      </c>
      <c r="B1156" s="14" t="n">
        <v>100502.186167999</v>
      </c>
      <c r="C1156" s="15" t="n">
        <v>0.0785337101233194</v>
      </c>
      <c r="D1156" s="14" t="n">
        <f aca="false">Summary!$B$5-B1156</f>
        <v>-502.186167998603</v>
      </c>
      <c r="E1156" s="15" t="n">
        <f aca="false">B1156/Summary!$B$5-1</f>
        <v>0.00502186167998597</v>
      </c>
    </row>
    <row r="1157" customFormat="false" ht="15" hidden="false" customHeight="false" outlineLevel="0" collapsed="false">
      <c r="A1157" s="0" t="n">
        <v>1156</v>
      </c>
      <c r="B1157" s="14" t="n">
        <v>102440.381684354</v>
      </c>
      <c r="C1157" s="15" t="n">
        <v>0.0724705229569332</v>
      </c>
      <c r="D1157" s="14" t="n">
        <f aca="false">Summary!$B$5-B1157</f>
        <v>-2440.3816843544</v>
      </c>
      <c r="E1157" s="15" t="n">
        <f aca="false">B1157/Summary!$B$5-1</f>
        <v>0.0244038168435441</v>
      </c>
    </row>
    <row r="1158" customFormat="false" ht="15" hidden="false" customHeight="false" outlineLevel="0" collapsed="false">
      <c r="A1158" s="0" t="n">
        <v>1157</v>
      </c>
      <c r="B1158" s="14" t="n">
        <v>108164.836092985</v>
      </c>
      <c r="C1158" s="15" t="n">
        <v>0.0807363557364601</v>
      </c>
      <c r="D1158" s="14" t="n">
        <f aca="false">Summary!$B$5-B1158</f>
        <v>-8164.8360929847</v>
      </c>
      <c r="E1158" s="15" t="n">
        <f aca="false">B1158/Summary!$B$5-1</f>
        <v>0.0816483609298471</v>
      </c>
    </row>
    <row r="1159" customFormat="false" ht="15" hidden="false" customHeight="false" outlineLevel="0" collapsed="false">
      <c r="A1159" s="0" t="n">
        <v>1158</v>
      </c>
      <c r="B1159" s="14" t="n">
        <v>130480.483985138</v>
      </c>
      <c r="C1159" s="15" t="n">
        <v>0.0498521031860343</v>
      </c>
      <c r="D1159" s="14" t="n">
        <f aca="false">Summary!$B$5-B1159</f>
        <v>-30480.483985138</v>
      </c>
      <c r="E1159" s="15" t="n">
        <f aca="false">B1159/Summary!$B$5-1</f>
        <v>0.30480483985138</v>
      </c>
    </row>
    <row r="1160" customFormat="false" ht="15" hidden="false" customHeight="false" outlineLevel="0" collapsed="false">
      <c r="A1160" s="0" t="n">
        <v>1159</v>
      </c>
      <c r="B1160" s="14" t="n">
        <v>124357.756144188</v>
      </c>
      <c r="C1160" s="15" t="n">
        <v>0.0622984388789862</v>
      </c>
      <c r="D1160" s="14" t="n">
        <f aca="false">Summary!$B$5-B1160</f>
        <v>-24357.7561441877</v>
      </c>
      <c r="E1160" s="15" t="n">
        <f aca="false">B1160/Summary!$B$5-1</f>
        <v>0.243577561441877</v>
      </c>
    </row>
    <row r="1161" customFormat="false" ht="15" hidden="false" customHeight="false" outlineLevel="0" collapsed="false">
      <c r="A1161" s="0" t="n">
        <v>1160</v>
      </c>
      <c r="B1161" s="14" t="n">
        <v>91139.461634479</v>
      </c>
      <c r="C1161" s="15" t="n">
        <v>0.162438920208323</v>
      </c>
      <c r="D1161" s="14" t="n">
        <f aca="false">Summary!$B$5-B1161</f>
        <v>8860.53836552097</v>
      </c>
      <c r="E1161" s="15" t="n">
        <f aca="false">B1161/Summary!$B$5-1</f>
        <v>-0.0886053836552098</v>
      </c>
    </row>
    <row r="1162" customFormat="false" ht="15" hidden="false" customHeight="false" outlineLevel="0" collapsed="false">
      <c r="A1162" s="0" t="n">
        <v>1161</v>
      </c>
      <c r="B1162" s="14" t="n">
        <v>93099.8182699947</v>
      </c>
      <c r="C1162" s="15" t="n">
        <v>0.113377358409503</v>
      </c>
      <c r="D1162" s="14" t="n">
        <f aca="false">Summary!$B$5-B1162</f>
        <v>6900.18173000531</v>
      </c>
      <c r="E1162" s="15" t="n">
        <f aca="false">B1162/Summary!$B$5-1</f>
        <v>-0.0690018173000531</v>
      </c>
    </row>
    <row r="1163" customFormat="false" ht="15" hidden="false" customHeight="false" outlineLevel="0" collapsed="false">
      <c r="A1163" s="0" t="n">
        <v>1162</v>
      </c>
      <c r="B1163" s="14" t="n">
        <v>105730.057909879</v>
      </c>
      <c r="C1163" s="15" t="n">
        <v>0.0706691660694773</v>
      </c>
      <c r="D1163" s="14" t="n">
        <f aca="false">Summary!$B$5-B1163</f>
        <v>-5730.0579098786</v>
      </c>
      <c r="E1163" s="15" t="n">
        <f aca="false">B1163/Summary!$B$5-1</f>
        <v>0.0573005790987859</v>
      </c>
    </row>
    <row r="1164" customFormat="false" ht="15" hidden="false" customHeight="false" outlineLevel="0" collapsed="false">
      <c r="A1164" s="0" t="n">
        <v>1163</v>
      </c>
      <c r="B1164" s="14" t="n">
        <v>108837.710105008</v>
      </c>
      <c r="C1164" s="15" t="n">
        <v>0.0745831605526398</v>
      </c>
      <c r="D1164" s="14" t="n">
        <f aca="false">Summary!$B$5-B1164</f>
        <v>-8837.7101050076</v>
      </c>
      <c r="E1164" s="15" t="n">
        <f aca="false">B1164/Summary!$B$5-1</f>
        <v>0.088377101050076</v>
      </c>
    </row>
    <row r="1165" customFormat="false" ht="15" hidden="false" customHeight="false" outlineLevel="0" collapsed="false">
      <c r="A1165" s="0" t="n">
        <v>1164</v>
      </c>
      <c r="B1165" s="14" t="n">
        <v>104420.709032343</v>
      </c>
      <c r="C1165" s="15" t="n">
        <v>0.0820600109775852</v>
      </c>
      <c r="D1165" s="14" t="n">
        <f aca="false">Summary!$B$5-B1165</f>
        <v>-4420.7090323427</v>
      </c>
      <c r="E1165" s="15" t="n">
        <f aca="false">B1165/Summary!$B$5-1</f>
        <v>0.0442070903234271</v>
      </c>
    </row>
    <row r="1166" customFormat="false" ht="15" hidden="false" customHeight="false" outlineLevel="0" collapsed="false">
      <c r="A1166" s="0" t="n">
        <v>1165</v>
      </c>
      <c r="B1166" s="14" t="n">
        <v>109553.253694027</v>
      </c>
      <c r="C1166" s="15" t="n">
        <v>0.101218887552697</v>
      </c>
      <c r="D1166" s="14" t="n">
        <f aca="false">Summary!$B$5-B1166</f>
        <v>-9553.2536940265</v>
      </c>
      <c r="E1166" s="15" t="n">
        <f aca="false">B1166/Summary!$B$5-1</f>
        <v>0.0955325369402651</v>
      </c>
    </row>
    <row r="1167" customFormat="false" ht="15" hidden="false" customHeight="false" outlineLevel="0" collapsed="false">
      <c r="A1167" s="0" t="n">
        <v>1166</v>
      </c>
      <c r="B1167" s="14" t="n">
        <v>112640.507716181</v>
      </c>
      <c r="C1167" s="15" t="n">
        <v>0.0534083863222006</v>
      </c>
      <c r="D1167" s="14" t="n">
        <f aca="false">Summary!$B$5-B1167</f>
        <v>-12640.5077161811</v>
      </c>
      <c r="E1167" s="15" t="n">
        <f aca="false">B1167/Summary!$B$5-1</f>
        <v>0.126405077161811</v>
      </c>
    </row>
    <row r="1168" customFormat="false" ht="15" hidden="false" customHeight="false" outlineLevel="0" collapsed="false">
      <c r="A1168" s="0" t="n">
        <v>1167</v>
      </c>
      <c r="B1168" s="14" t="n">
        <v>101319.181797066</v>
      </c>
      <c r="C1168" s="15" t="n">
        <v>0.0987677773749929</v>
      </c>
      <c r="D1168" s="14" t="n">
        <f aca="false">Summary!$B$5-B1168</f>
        <v>-1319.18179706601</v>
      </c>
      <c r="E1168" s="15" t="n">
        <f aca="false">B1168/Summary!$B$5-1</f>
        <v>0.01319181797066</v>
      </c>
    </row>
    <row r="1169" customFormat="false" ht="15" hidden="false" customHeight="false" outlineLevel="0" collapsed="false">
      <c r="A1169" s="0" t="n">
        <v>1168</v>
      </c>
      <c r="B1169" s="14" t="n">
        <v>128407.08446595</v>
      </c>
      <c r="C1169" s="15" t="n">
        <v>0.0672721340259985</v>
      </c>
      <c r="D1169" s="14" t="n">
        <f aca="false">Summary!$B$5-B1169</f>
        <v>-28407.0844659501</v>
      </c>
      <c r="E1169" s="15" t="n">
        <f aca="false">B1169/Summary!$B$5-1</f>
        <v>0.284070844659501</v>
      </c>
    </row>
    <row r="1170" customFormat="false" ht="15" hidden="false" customHeight="false" outlineLevel="0" collapsed="false">
      <c r="A1170" s="0" t="n">
        <v>1169</v>
      </c>
      <c r="B1170" s="14" t="n">
        <v>111816.31850414</v>
      </c>
      <c r="C1170" s="15" t="n">
        <v>0.0792441496839154</v>
      </c>
      <c r="D1170" s="14" t="n">
        <f aca="false">Summary!$B$5-B1170</f>
        <v>-11816.3185041401</v>
      </c>
      <c r="E1170" s="15" t="n">
        <f aca="false">B1170/Summary!$B$5-1</f>
        <v>0.118163185041401</v>
      </c>
    </row>
    <row r="1171" customFormat="false" ht="15" hidden="false" customHeight="false" outlineLevel="0" collapsed="false">
      <c r="A1171" s="0" t="n">
        <v>1170</v>
      </c>
      <c r="B1171" s="14" t="n">
        <v>127640.219323344</v>
      </c>
      <c r="C1171" s="15" t="n">
        <v>0.0482466074633621</v>
      </c>
      <c r="D1171" s="14" t="n">
        <f aca="false">Summary!$B$5-B1171</f>
        <v>-27640.2193233436</v>
      </c>
      <c r="E1171" s="15" t="n">
        <f aca="false">B1171/Summary!$B$5-1</f>
        <v>0.276402193233436</v>
      </c>
    </row>
    <row r="1172" customFormat="false" ht="15" hidden="false" customHeight="false" outlineLevel="0" collapsed="false">
      <c r="A1172" s="0" t="n">
        <v>1171</v>
      </c>
      <c r="B1172" s="14" t="n">
        <v>111195.293902346</v>
      </c>
      <c r="C1172" s="15" t="n">
        <v>0.0901740209216917</v>
      </c>
      <c r="D1172" s="14" t="n">
        <f aca="false">Summary!$B$5-B1172</f>
        <v>-11195.2939023461</v>
      </c>
      <c r="E1172" s="15" t="n">
        <f aca="false">B1172/Summary!$B$5-1</f>
        <v>0.111952939023461</v>
      </c>
    </row>
    <row r="1173" customFormat="false" ht="15" hidden="false" customHeight="false" outlineLevel="0" collapsed="false">
      <c r="A1173" s="0" t="n">
        <v>1172</v>
      </c>
      <c r="B1173" s="14" t="n">
        <v>111276.975719748</v>
      </c>
      <c r="C1173" s="15" t="n">
        <v>0.0902868195425625</v>
      </c>
      <c r="D1173" s="14" t="n">
        <f aca="false">Summary!$B$5-B1173</f>
        <v>-11276.9757197477</v>
      </c>
      <c r="E1173" s="15" t="n">
        <f aca="false">B1173/Summary!$B$5-1</f>
        <v>0.112769757197477</v>
      </c>
    </row>
    <row r="1174" customFormat="false" ht="15" hidden="false" customHeight="false" outlineLevel="0" collapsed="false">
      <c r="A1174" s="0" t="n">
        <v>1173</v>
      </c>
      <c r="B1174" s="14" t="n">
        <v>99635.9147203317</v>
      </c>
      <c r="C1174" s="15" t="n">
        <v>0.111441319858433</v>
      </c>
      <c r="D1174" s="14" t="n">
        <f aca="false">Summary!$B$5-B1174</f>
        <v>364.085279668332</v>
      </c>
      <c r="E1174" s="15" t="n">
        <f aca="false">B1174/Summary!$B$5-1</f>
        <v>-0.00364085279668336</v>
      </c>
    </row>
    <row r="1175" customFormat="false" ht="15" hidden="false" customHeight="false" outlineLevel="0" collapsed="false">
      <c r="A1175" s="0" t="n">
        <v>1174</v>
      </c>
      <c r="B1175" s="14" t="n">
        <v>108000.846576706</v>
      </c>
      <c r="C1175" s="15" t="n">
        <v>0.123601874241715</v>
      </c>
      <c r="D1175" s="14" t="n">
        <f aca="false">Summary!$B$5-B1175</f>
        <v>-8000.84657670571</v>
      </c>
      <c r="E1175" s="15" t="n">
        <f aca="false">B1175/Summary!$B$5-1</f>
        <v>0.080008465767057</v>
      </c>
    </row>
    <row r="1176" customFormat="false" ht="15" hidden="false" customHeight="false" outlineLevel="0" collapsed="false">
      <c r="A1176" s="0" t="n">
        <v>1175</v>
      </c>
      <c r="B1176" s="14" t="n">
        <v>113841.195845497</v>
      </c>
      <c r="C1176" s="15" t="n">
        <v>0.0762441663402981</v>
      </c>
      <c r="D1176" s="14" t="n">
        <f aca="false">Summary!$B$5-B1176</f>
        <v>-13841.1958454974</v>
      </c>
      <c r="E1176" s="15" t="n">
        <f aca="false">B1176/Summary!$B$5-1</f>
        <v>0.138411958454974</v>
      </c>
    </row>
    <row r="1177" customFormat="false" ht="15" hidden="false" customHeight="false" outlineLevel="0" collapsed="false">
      <c r="A1177" s="0" t="n">
        <v>1176</v>
      </c>
      <c r="B1177" s="14" t="n">
        <v>94271.5411765962</v>
      </c>
      <c r="C1177" s="15" t="n">
        <v>0.111816512676705</v>
      </c>
      <c r="D1177" s="14" t="n">
        <f aca="false">Summary!$B$5-B1177</f>
        <v>5728.45882340378</v>
      </c>
      <c r="E1177" s="15" t="n">
        <f aca="false">B1177/Summary!$B$5-1</f>
        <v>-0.0572845882340378</v>
      </c>
    </row>
    <row r="1178" customFormat="false" ht="15" hidden="false" customHeight="false" outlineLevel="0" collapsed="false">
      <c r="A1178" s="0" t="n">
        <v>1177</v>
      </c>
      <c r="B1178" s="14" t="n">
        <v>111843.07080453</v>
      </c>
      <c r="C1178" s="15" t="n">
        <v>0.110963483277075</v>
      </c>
      <c r="D1178" s="14" t="n">
        <f aca="false">Summary!$B$5-B1178</f>
        <v>-11843.0708045296</v>
      </c>
      <c r="E1178" s="15" t="n">
        <f aca="false">B1178/Summary!$B$5-1</f>
        <v>0.118430708045296</v>
      </c>
    </row>
    <row r="1179" customFormat="false" ht="15" hidden="false" customHeight="false" outlineLevel="0" collapsed="false">
      <c r="A1179" s="0" t="n">
        <v>1178</v>
      </c>
      <c r="B1179" s="14" t="n">
        <v>90522.9125190938</v>
      </c>
      <c r="C1179" s="15" t="n">
        <v>0.126513580060423</v>
      </c>
      <c r="D1179" s="14" t="n">
        <f aca="false">Summary!$B$5-B1179</f>
        <v>9477.08748090622</v>
      </c>
      <c r="E1179" s="15" t="n">
        <f aca="false">B1179/Summary!$B$5-1</f>
        <v>-0.0947708748090622</v>
      </c>
    </row>
    <row r="1180" customFormat="false" ht="15" hidden="false" customHeight="false" outlineLevel="0" collapsed="false">
      <c r="A1180" s="0" t="n">
        <v>1179</v>
      </c>
      <c r="B1180" s="14" t="n">
        <v>91171.2592286402</v>
      </c>
      <c r="C1180" s="15" t="n">
        <v>0.152401062786044</v>
      </c>
      <c r="D1180" s="14" t="n">
        <f aca="false">Summary!$B$5-B1180</f>
        <v>8828.74077135984</v>
      </c>
      <c r="E1180" s="15" t="n">
        <f aca="false">B1180/Summary!$B$5-1</f>
        <v>-0.0882874077135983</v>
      </c>
    </row>
    <row r="1181" customFormat="false" ht="15" hidden="false" customHeight="false" outlineLevel="0" collapsed="false">
      <c r="A1181" s="0" t="n">
        <v>1180</v>
      </c>
      <c r="B1181" s="14" t="n">
        <v>104119.301879702</v>
      </c>
      <c r="C1181" s="15" t="n">
        <v>0.117068927664198</v>
      </c>
      <c r="D1181" s="14" t="n">
        <f aca="false">Summary!$B$5-B1181</f>
        <v>-4119.3018797016</v>
      </c>
      <c r="E1181" s="15" t="n">
        <f aca="false">B1181/Summary!$B$5-1</f>
        <v>0.041193018797016</v>
      </c>
    </row>
    <row r="1182" customFormat="false" ht="15" hidden="false" customHeight="false" outlineLevel="0" collapsed="false">
      <c r="A1182" s="0" t="n">
        <v>1181</v>
      </c>
      <c r="B1182" s="14" t="n">
        <v>121507.320195938</v>
      </c>
      <c r="C1182" s="15" t="n">
        <v>0.0586158779491715</v>
      </c>
      <c r="D1182" s="14" t="n">
        <f aca="false">Summary!$B$5-B1182</f>
        <v>-21507.3201959382</v>
      </c>
      <c r="E1182" s="15" t="n">
        <f aca="false">B1182/Summary!$B$5-1</f>
        <v>0.215073201959382</v>
      </c>
    </row>
    <row r="1183" customFormat="false" ht="15" hidden="false" customHeight="false" outlineLevel="0" collapsed="false">
      <c r="A1183" s="0" t="n">
        <v>1182</v>
      </c>
      <c r="B1183" s="14" t="n">
        <v>106282.948163007</v>
      </c>
      <c r="C1183" s="15" t="n">
        <v>0.0794750925676426</v>
      </c>
      <c r="D1183" s="14" t="n">
        <f aca="false">Summary!$B$5-B1183</f>
        <v>-6282.9481630068</v>
      </c>
      <c r="E1183" s="15" t="n">
        <f aca="false">B1183/Summary!$B$5-1</f>
        <v>0.0628294816300681</v>
      </c>
    </row>
    <row r="1184" customFormat="false" ht="15" hidden="false" customHeight="false" outlineLevel="0" collapsed="false">
      <c r="A1184" s="0" t="n">
        <v>1183</v>
      </c>
      <c r="B1184" s="14" t="n">
        <v>121308.370728993</v>
      </c>
      <c r="C1184" s="15" t="n">
        <v>0.100066777982706</v>
      </c>
      <c r="D1184" s="14" t="n">
        <f aca="false">Summary!$B$5-B1184</f>
        <v>-21308.3707289926</v>
      </c>
      <c r="E1184" s="15" t="n">
        <f aca="false">B1184/Summary!$B$5-1</f>
        <v>0.213083707289926</v>
      </c>
    </row>
    <row r="1185" customFormat="false" ht="15" hidden="false" customHeight="false" outlineLevel="0" collapsed="false">
      <c r="A1185" s="0" t="n">
        <v>1184</v>
      </c>
      <c r="B1185" s="14" t="n">
        <v>122689.815258604</v>
      </c>
      <c r="C1185" s="15" t="n">
        <v>0.0563416129839232</v>
      </c>
      <c r="D1185" s="14" t="n">
        <f aca="false">Summary!$B$5-B1185</f>
        <v>-22689.8152586036</v>
      </c>
      <c r="E1185" s="15" t="n">
        <f aca="false">B1185/Summary!$B$5-1</f>
        <v>0.226898152586036</v>
      </c>
    </row>
    <row r="1186" customFormat="false" ht="15" hidden="false" customHeight="false" outlineLevel="0" collapsed="false">
      <c r="A1186" s="0" t="n">
        <v>1185</v>
      </c>
      <c r="B1186" s="14" t="n">
        <v>103393.196157046</v>
      </c>
      <c r="C1186" s="15" t="n">
        <v>0.0878541924023012</v>
      </c>
      <c r="D1186" s="14" t="n">
        <f aca="false">Summary!$B$5-B1186</f>
        <v>-3393.19615704571</v>
      </c>
      <c r="E1186" s="15" t="n">
        <f aca="false">B1186/Summary!$B$5-1</f>
        <v>0.033931961570457</v>
      </c>
    </row>
    <row r="1187" customFormat="false" ht="15" hidden="false" customHeight="false" outlineLevel="0" collapsed="false">
      <c r="A1187" s="0" t="n">
        <v>1186</v>
      </c>
      <c r="B1187" s="14" t="n">
        <v>108603.173317339</v>
      </c>
      <c r="C1187" s="15" t="n">
        <v>0.0906554550797064</v>
      </c>
      <c r="D1187" s="14" t="n">
        <f aca="false">Summary!$B$5-B1187</f>
        <v>-8603.1733173387</v>
      </c>
      <c r="E1187" s="15" t="n">
        <f aca="false">B1187/Summary!$B$5-1</f>
        <v>0.0860317331733871</v>
      </c>
    </row>
    <row r="1188" customFormat="false" ht="15" hidden="false" customHeight="false" outlineLevel="0" collapsed="false">
      <c r="A1188" s="0" t="n">
        <v>1187</v>
      </c>
      <c r="B1188" s="14" t="n">
        <v>121051.649567014</v>
      </c>
      <c r="C1188" s="15" t="n">
        <v>0.0654223431614665</v>
      </c>
      <c r="D1188" s="14" t="n">
        <f aca="false">Summary!$B$5-B1188</f>
        <v>-21051.6495670141</v>
      </c>
      <c r="E1188" s="15" t="n">
        <f aca="false">B1188/Summary!$B$5-1</f>
        <v>0.210516495670141</v>
      </c>
    </row>
    <row r="1189" customFormat="false" ht="15" hidden="false" customHeight="false" outlineLevel="0" collapsed="false">
      <c r="A1189" s="0" t="n">
        <v>1188</v>
      </c>
      <c r="B1189" s="14" t="n">
        <v>145651.511616195</v>
      </c>
      <c r="C1189" s="15" t="n">
        <v>0.0521808098934571</v>
      </c>
      <c r="D1189" s="14" t="n">
        <f aca="false">Summary!$B$5-B1189</f>
        <v>-45651.5116161947</v>
      </c>
      <c r="E1189" s="15" t="n">
        <f aca="false">B1189/Summary!$B$5-1</f>
        <v>0.456515116161947</v>
      </c>
    </row>
    <row r="1190" customFormat="false" ht="15" hidden="false" customHeight="false" outlineLevel="0" collapsed="false">
      <c r="A1190" s="0" t="n">
        <v>1189</v>
      </c>
      <c r="B1190" s="14" t="n">
        <v>109282.484974816</v>
      </c>
      <c r="C1190" s="15" t="n">
        <v>0.0780590126610167</v>
      </c>
      <c r="D1190" s="14" t="n">
        <f aca="false">Summary!$B$5-B1190</f>
        <v>-9282.4849748156</v>
      </c>
      <c r="E1190" s="15" t="n">
        <f aca="false">B1190/Summary!$B$5-1</f>
        <v>0.0928248497481561</v>
      </c>
    </row>
    <row r="1191" customFormat="false" ht="15" hidden="false" customHeight="false" outlineLevel="0" collapsed="false">
      <c r="A1191" s="0" t="n">
        <v>1190</v>
      </c>
      <c r="B1191" s="14" t="n">
        <v>120070.091428021</v>
      </c>
      <c r="C1191" s="15" t="n">
        <v>0.0607646953544409</v>
      </c>
      <c r="D1191" s="14" t="n">
        <f aca="false">Summary!$B$5-B1191</f>
        <v>-20070.0914280214</v>
      </c>
      <c r="E1191" s="15" t="n">
        <f aca="false">B1191/Summary!$B$5-1</f>
        <v>0.200700914280214</v>
      </c>
    </row>
    <row r="1192" customFormat="false" ht="15" hidden="false" customHeight="false" outlineLevel="0" collapsed="false">
      <c r="A1192" s="0" t="n">
        <v>1191</v>
      </c>
      <c r="B1192" s="14" t="n">
        <v>101254.467055388</v>
      </c>
      <c r="C1192" s="15" t="n">
        <v>0.0634876965690719</v>
      </c>
      <c r="D1192" s="14" t="n">
        <f aca="false">Summary!$B$5-B1192</f>
        <v>-1254.4670553882</v>
      </c>
      <c r="E1192" s="15" t="n">
        <f aca="false">B1192/Summary!$B$5-1</f>
        <v>0.0125446705538821</v>
      </c>
    </row>
    <row r="1193" customFormat="false" ht="15" hidden="false" customHeight="false" outlineLevel="0" collapsed="false">
      <c r="A1193" s="0" t="n">
        <v>1192</v>
      </c>
      <c r="B1193" s="14" t="n">
        <v>130519.083844253</v>
      </c>
      <c r="C1193" s="15" t="n">
        <v>0.0694893318621513</v>
      </c>
      <c r="D1193" s="14" t="n">
        <f aca="false">Summary!$B$5-B1193</f>
        <v>-30519.0838442534</v>
      </c>
      <c r="E1193" s="15" t="n">
        <f aca="false">B1193/Summary!$B$5-1</f>
        <v>0.305190838442534</v>
      </c>
    </row>
    <row r="1194" customFormat="false" ht="15" hidden="false" customHeight="false" outlineLevel="0" collapsed="false">
      <c r="A1194" s="0" t="n">
        <v>1193</v>
      </c>
      <c r="B1194" s="14" t="n">
        <v>88033.5696490489</v>
      </c>
      <c r="C1194" s="15" t="n">
        <v>0.172202445656666</v>
      </c>
      <c r="D1194" s="14" t="n">
        <f aca="false">Summary!$B$5-B1194</f>
        <v>11966.4303509511</v>
      </c>
      <c r="E1194" s="15" t="n">
        <f aca="false">B1194/Summary!$B$5-1</f>
        <v>-0.119664303509511</v>
      </c>
    </row>
    <row r="1195" customFormat="false" ht="15" hidden="false" customHeight="false" outlineLevel="0" collapsed="false">
      <c r="A1195" s="0" t="n">
        <v>1194</v>
      </c>
      <c r="B1195" s="14" t="n">
        <v>105553.361043815</v>
      </c>
      <c r="C1195" s="15" t="n">
        <v>0.130140869213727</v>
      </c>
      <c r="D1195" s="14" t="n">
        <f aca="false">Summary!$B$5-B1195</f>
        <v>-5553.36104381509</v>
      </c>
      <c r="E1195" s="15" t="n">
        <f aca="false">B1195/Summary!$B$5-1</f>
        <v>0.055533610438151</v>
      </c>
    </row>
    <row r="1196" customFormat="false" ht="15" hidden="false" customHeight="false" outlineLevel="0" collapsed="false">
      <c r="A1196" s="0" t="n">
        <v>1195</v>
      </c>
      <c r="B1196" s="14" t="n">
        <v>113355.554975034</v>
      </c>
      <c r="C1196" s="15" t="n">
        <v>0.068897590162345</v>
      </c>
      <c r="D1196" s="14" t="n">
        <f aca="false">Summary!$B$5-B1196</f>
        <v>-13355.5549750339</v>
      </c>
      <c r="E1196" s="15" t="n">
        <f aca="false">B1196/Summary!$B$5-1</f>
        <v>0.133555549750339</v>
      </c>
    </row>
    <row r="1197" customFormat="false" ht="15" hidden="false" customHeight="false" outlineLevel="0" collapsed="false">
      <c r="A1197" s="0" t="n">
        <v>1196</v>
      </c>
      <c r="B1197" s="14" t="n">
        <v>115816.538305574</v>
      </c>
      <c r="C1197" s="15" t="n">
        <v>0.104871037326968</v>
      </c>
      <c r="D1197" s="14" t="n">
        <f aca="false">Summary!$B$5-B1197</f>
        <v>-15816.5383055738</v>
      </c>
      <c r="E1197" s="15" t="n">
        <f aca="false">B1197/Summary!$B$5-1</f>
        <v>0.158165383055738</v>
      </c>
    </row>
    <row r="1198" customFormat="false" ht="15" hidden="false" customHeight="false" outlineLevel="0" collapsed="false">
      <c r="A1198" s="0" t="n">
        <v>1197</v>
      </c>
      <c r="B1198" s="14" t="n">
        <v>103684.629622897</v>
      </c>
      <c r="C1198" s="15" t="n">
        <v>0.102397938548732</v>
      </c>
      <c r="D1198" s="14" t="n">
        <f aca="false">Summary!$B$5-B1198</f>
        <v>-3684.6296228971</v>
      </c>
      <c r="E1198" s="15" t="n">
        <f aca="false">B1198/Summary!$B$5-1</f>
        <v>0.0368462962289711</v>
      </c>
    </row>
    <row r="1199" customFormat="false" ht="15" hidden="false" customHeight="false" outlineLevel="0" collapsed="false">
      <c r="A1199" s="0" t="n">
        <v>1198</v>
      </c>
      <c r="B1199" s="14" t="n">
        <v>101261.976737566</v>
      </c>
      <c r="C1199" s="15" t="n">
        <v>0.0764145006856561</v>
      </c>
      <c r="D1199" s="14" t="n">
        <f aca="false">Summary!$B$5-B1199</f>
        <v>-1261.97673756631</v>
      </c>
      <c r="E1199" s="15" t="n">
        <f aca="false">B1199/Summary!$B$5-1</f>
        <v>0.0126197673756632</v>
      </c>
    </row>
    <row r="1200" customFormat="false" ht="15" hidden="false" customHeight="false" outlineLevel="0" collapsed="false">
      <c r="A1200" s="0" t="n">
        <v>1199</v>
      </c>
      <c r="B1200" s="14" t="n">
        <v>134139.543070227</v>
      </c>
      <c r="C1200" s="15" t="n">
        <v>0.112801301679343</v>
      </c>
      <c r="D1200" s="14" t="n">
        <f aca="false">Summary!$B$5-B1200</f>
        <v>-34139.5430702268</v>
      </c>
      <c r="E1200" s="15" t="n">
        <f aca="false">B1200/Summary!$B$5-1</f>
        <v>0.341395430702268</v>
      </c>
    </row>
    <row r="1201" customFormat="false" ht="15" hidden="false" customHeight="false" outlineLevel="0" collapsed="false">
      <c r="A1201" s="0" t="n">
        <v>1200</v>
      </c>
      <c r="B1201" s="14" t="n">
        <v>90883.9810904087</v>
      </c>
      <c r="C1201" s="15" t="n">
        <v>0.156712839615397</v>
      </c>
      <c r="D1201" s="14" t="n">
        <f aca="false">Summary!$B$5-B1201</f>
        <v>9116.01890959131</v>
      </c>
      <c r="E1201" s="15" t="n">
        <f aca="false">B1201/Summary!$B$5-1</f>
        <v>-0.0911601890959131</v>
      </c>
    </row>
    <row r="1202" customFormat="false" ht="15" hidden="false" customHeight="false" outlineLevel="0" collapsed="false">
      <c r="A1202" s="0" t="n">
        <v>1201</v>
      </c>
      <c r="B1202" s="14" t="n">
        <v>110597.999167807</v>
      </c>
      <c r="C1202" s="15" t="n">
        <v>0.0871061774966976</v>
      </c>
      <c r="D1202" s="14" t="n">
        <f aca="false">Summary!$B$5-B1202</f>
        <v>-10597.9991678071</v>
      </c>
      <c r="E1202" s="15" t="n">
        <f aca="false">B1202/Summary!$B$5-1</f>
        <v>0.105979991678071</v>
      </c>
    </row>
    <row r="1203" customFormat="false" ht="15" hidden="false" customHeight="false" outlineLevel="0" collapsed="false">
      <c r="A1203" s="0" t="n">
        <v>1202</v>
      </c>
      <c r="B1203" s="14" t="n">
        <v>149396.321014147</v>
      </c>
      <c r="C1203" s="15" t="n">
        <v>0.0392600972646759</v>
      </c>
      <c r="D1203" s="14" t="n">
        <f aca="false">Summary!$B$5-B1203</f>
        <v>-49396.3210141467</v>
      </c>
      <c r="E1203" s="15" t="n">
        <f aca="false">B1203/Summary!$B$5-1</f>
        <v>0.493963210141467</v>
      </c>
    </row>
    <row r="1204" customFormat="false" ht="15" hidden="false" customHeight="false" outlineLevel="0" collapsed="false">
      <c r="A1204" s="0" t="n">
        <v>1203</v>
      </c>
      <c r="B1204" s="14" t="n">
        <v>94208.8215531407</v>
      </c>
      <c r="C1204" s="15" t="n">
        <v>0.179455108229246</v>
      </c>
      <c r="D1204" s="14" t="n">
        <f aca="false">Summary!$B$5-B1204</f>
        <v>5791.17844685933</v>
      </c>
      <c r="E1204" s="15" t="n">
        <f aca="false">B1204/Summary!$B$5-1</f>
        <v>-0.0579117844685932</v>
      </c>
    </row>
    <row r="1205" customFormat="false" ht="15" hidden="false" customHeight="false" outlineLevel="0" collapsed="false">
      <c r="A1205" s="0" t="n">
        <v>1204</v>
      </c>
      <c r="B1205" s="14" t="n">
        <v>95511.8057810555</v>
      </c>
      <c r="C1205" s="15" t="n">
        <v>0.127461798204003</v>
      </c>
      <c r="D1205" s="14" t="n">
        <f aca="false">Summary!$B$5-B1205</f>
        <v>4488.1942189445</v>
      </c>
      <c r="E1205" s="15" t="n">
        <f aca="false">B1205/Summary!$B$5-1</f>
        <v>-0.044881942189445</v>
      </c>
    </row>
    <row r="1206" customFormat="false" ht="15" hidden="false" customHeight="false" outlineLevel="0" collapsed="false">
      <c r="A1206" s="0" t="n">
        <v>1205</v>
      </c>
      <c r="B1206" s="14" t="n">
        <v>112436.736126859</v>
      </c>
      <c r="C1206" s="15" t="n">
        <v>0.0840332399877114</v>
      </c>
      <c r="D1206" s="14" t="n">
        <f aca="false">Summary!$B$5-B1206</f>
        <v>-12436.736126859</v>
      </c>
      <c r="E1206" s="15" t="n">
        <f aca="false">B1206/Summary!$B$5-1</f>
        <v>0.12436736126859</v>
      </c>
    </row>
    <row r="1207" customFormat="false" ht="15" hidden="false" customHeight="false" outlineLevel="0" collapsed="false">
      <c r="A1207" s="0" t="n">
        <v>1206</v>
      </c>
      <c r="B1207" s="14" t="n">
        <v>93091.2555275101</v>
      </c>
      <c r="C1207" s="15" t="n">
        <v>0.135729555743345</v>
      </c>
      <c r="D1207" s="14" t="n">
        <f aca="false">Summary!$B$5-B1207</f>
        <v>6908.74447248994</v>
      </c>
      <c r="E1207" s="15" t="n">
        <f aca="false">B1207/Summary!$B$5-1</f>
        <v>-0.0690874447248994</v>
      </c>
    </row>
    <row r="1208" customFormat="false" ht="15" hidden="false" customHeight="false" outlineLevel="0" collapsed="false">
      <c r="A1208" s="0" t="n">
        <v>1207</v>
      </c>
      <c r="B1208" s="14" t="n">
        <v>133068.455623051</v>
      </c>
      <c r="C1208" s="15" t="n">
        <v>0.0340416938043427</v>
      </c>
      <c r="D1208" s="14" t="n">
        <f aca="false">Summary!$B$5-B1208</f>
        <v>-33068.4556230505</v>
      </c>
      <c r="E1208" s="15" t="n">
        <f aca="false">B1208/Summary!$B$5-1</f>
        <v>0.330684556230505</v>
      </c>
    </row>
    <row r="1209" customFormat="false" ht="15" hidden="false" customHeight="false" outlineLevel="0" collapsed="false">
      <c r="A1209" s="0" t="n">
        <v>1208</v>
      </c>
      <c r="B1209" s="14" t="n">
        <v>95371.3778555762</v>
      </c>
      <c r="C1209" s="15" t="n">
        <v>0.163327837462122</v>
      </c>
      <c r="D1209" s="14" t="n">
        <f aca="false">Summary!$B$5-B1209</f>
        <v>4628.6221444238</v>
      </c>
      <c r="E1209" s="15" t="n">
        <f aca="false">B1209/Summary!$B$5-1</f>
        <v>-0.046286221444238</v>
      </c>
    </row>
    <row r="1210" customFormat="false" ht="15" hidden="false" customHeight="false" outlineLevel="0" collapsed="false">
      <c r="A1210" s="0" t="n">
        <v>1209</v>
      </c>
      <c r="B1210" s="14" t="n">
        <v>94912.4201671366</v>
      </c>
      <c r="C1210" s="15" t="n">
        <v>0.113144178148378</v>
      </c>
      <c r="D1210" s="14" t="n">
        <f aca="false">Summary!$B$5-B1210</f>
        <v>5087.5798328634</v>
      </c>
      <c r="E1210" s="15" t="n">
        <f aca="false">B1210/Summary!$B$5-1</f>
        <v>-0.050875798328634</v>
      </c>
    </row>
    <row r="1211" customFormat="false" ht="15" hidden="false" customHeight="false" outlineLevel="0" collapsed="false">
      <c r="A1211" s="0" t="n">
        <v>1210</v>
      </c>
      <c r="B1211" s="14" t="n">
        <v>96664.6650789625</v>
      </c>
      <c r="C1211" s="15" t="n">
        <v>0.123482751034564</v>
      </c>
      <c r="D1211" s="14" t="n">
        <f aca="false">Summary!$B$5-B1211</f>
        <v>3335.33492103755</v>
      </c>
      <c r="E1211" s="15" t="n">
        <f aca="false">B1211/Summary!$B$5-1</f>
        <v>-0.0333533492103755</v>
      </c>
    </row>
    <row r="1212" customFormat="false" ht="15" hidden="false" customHeight="false" outlineLevel="0" collapsed="false">
      <c r="A1212" s="0" t="n">
        <v>1211</v>
      </c>
      <c r="B1212" s="14" t="n">
        <v>114850.616385315</v>
      </c>
      <c r="C1212" s="15" t="n">
        <v>0.0546545283391118</v>
      </c>
      <c r="D1212" s="14" t="n">
        <f aca="false">Summary!$B$5-B1212</f>
        <v>-14850.616385315</v>
      </c>
      <c r="E1212" s="15" t="n">
        <f aca="false">B1212/Summary!$B$5-1</f>
        <v>0.14850616385315</v>
      </c>
    </row>
    <row r="1213" customFormat="false" ht="15" hidden="false" customHeight="false" outlineLevel="0" collapsed="false">
      <c r="A1213" s="0" t="n">
        <v>1212</v>
      </c>
      <c r="B1213" s="14" t="n">
        <v>138926.609318587</v>
      </c>
      <c r="C1213" s="15" t="n">
        <v>0.0547926428158575</v>
      </c>
      <c r="D1213" s="14" t="n">
        <f aca="false">Summary!$B$5-B1213</f>
        <v>-38926.6093185871</v>
      </c>
      <c r="E1213" s="15" t="n">
        <f aca="false">B1213/Summary!$B$5-1</f>
        <v>0.389266093185871</v>
      </c>
    </row>
    <row r="1214" customFormat="false" ht="15" hidden="false" customHeight="false" outlineLevel="0" collapsed="false">
      <c r="A1214" s="0" t="n">
        <v>1213</v>
      </c>
      <c r="B1214" s="14" t="n">
        <v>109816.012943976</v>
      </c>
      <c r="C1214" s="15" t="n">
        <v>0.0647343433286666</v>
      </c>
      <c r="D1214" s="14" t="n">
        <f aca="false">Summary!$B$5-B1214</f>
        <v>-9816.0129439762</v>
      </c>
      <c r="E1214" s="15" t="n">
        <f aca="false">B1214/Summary!$B$5-1</f>
        <v>0.098160129439762</v>
      </c>
    </row>
    <row r="1215" customFormat="false" ht="15" hidden="false" customHeight="false" outlineLevel="0" collapsed="false">
      <c r="A1215" s="0" t="n">
        <v>1214</v>
      </c>
      <c r="B1215" s="14" t="n">
        <v>107703.891182447</v>
      </c>
      <c r="C1215" s="15" t="n">
        <v>0.093531010566526</v>
      </c>
      <c r="D1215" s="14" t="n">
        <f aca="false">Summary!$B$5-B1215</f>
        <v>-7703.89118244661</v>
      </c>
      <c r="E1215" s="15" t="n">
        <f aca="false">B1215/Summary!$B$5-1</f>
        <v>0.0770389118244661</v>
      </c>
    </row>
    <row r="1216" customFormat="false" ht="15" hidden="false" customHeight="false" outlineLevel="0" collapsed="false">
      <c r="A1216" s="0" t="n">
        <v>1215</v>
      </c>
      <c r="B1216" s="14" t="n">
        <v>109711.939173879</v>
      </c>
      <c r="C1216" s="15" t="n">
        <v>0.171696983850552</v>
      </c>
      <c r="D1216" s="14" t="n">
        <f aca="false">Summary!$B$5-B1216</f>
        <v>-9711.93917387861</v>
      </c>
      <c r="E1216" s="15" t="n">
        <f aca="false">B1216/Summary!$B$5-1</f>
        <v>0.097119391738786</v>
      </c>
    </row>
    <row r="1217" customFormat="false" ht="15" hidden="false" customHeight="false" outlineLevel="0" collapsed="false">
      <c r="A1217" s="0" t="n">
        <v>1216</v>
      </c>
      <c r="B1217" s="14" t="n">
        <v>111131.382220086</v>
      </c>
      <c r="C1217" s="15" t="n">
        <v>0.0874555047422657</v>
      </c>
      <c r="D1217" s="14" t="n">
        <f aca="false">Summary!$B$5-B1217</f>
        <v>-11131.382220086</v>
      </c>
      <c r="E1217" s="15" t="n">
        <f aca="false">B1217/Summary!$B$5-1</f>
        <v>0.11131382220086</v>
      </c>
    </row>
    <row r="1218" customFormat="false" ht="15" hidden="false" customHeight="false" outlineLevel="0" collapsed="false">
      <c r="A1218" s="0" t="n">
        <v>1217</v>
      </c>
      <c r="B1218" s="14" t="n">
        <v>110405.778245592</v>
      </c>
      <c r="C1218" s="15" t="n">
        <v>0.0824405729677985</v>
      </c>
      <c r="D1218" s="14" t="n">
        <f aca="false">Summary!$B$5-B1218</f>
        <v>-10405.7782455916</v>
      </c>
      <c r="E1218" s="15" t="n">
        <f aca="false">B1218/Summary!$B$5-1</f>
        <v>0.104057782455916</v>
      </c>
    </row>
    <row r="1219" customFormat="false" ht="15" hidden="false" customHeight="false" outlineLevel="0" collapsed="false">
      <c r="A1219" s="0" t="n">
        <v>1218</v>
      </c>
      <c r="B1219" s="14" t="n">
        <v>113051.631913396</v>
      </c>
      <c r="C1219" s="15" t="n">
        <v>0.0809775953633208</v>
      </c>
      <c r="D1219" s="14" t="n">
        <f aca="false">Summary!$B$5-B1219</f>
        <v>-13051.6319133958</v>
      </c>
      <c r="E1219" s="15" t="n">
        <f aca="false">B1219/Summary!$B$5-1</f>
        <v>0.130516319133958</v>
      </c>
    </row>
    <row r="1220" customFormat="false" ht="15" hidden="false" customHeight="false" outlineLevel="0" collapsed="false">
      <c r="A1220" s="0" t="n">
        <v>1219</v>
      </c>
      <c r="B1220" s="14" t="n">
        <v>84186.9711898424</v>
      </c>
      <c r="C1220" s="15" t="n">
        <v>0.199832906939801</v>
      </c>
      <c r="D1220" s="14" t="n">
        <f aca="false">Summary!$B$5-B1220</f>
        <v>15813.0288101576</v>
      </c>
      <c r="E1220" s="15" t="n">
        <f aca="false">B1220/Summary!$B$5-1</f>
        <v>-0.158130288101576</v>
      </c>
    </row>
    <row r="1221" customFormat="false" ht="15" hidden="false" customHeight="false" outlineLevel="0" collapsed="false">
      <c r="A1221" s="0" t="n">
        <v>1220</v>
      </c>
      <c r="B1221" s="14" t="n">
        <v>101997.879596401</v>
      </c>
      <c r="C1221" s="15" t="n">
        <v>0.108232178799954</v>
      </c>
      <c r="D1221" s="14" t="n">
        <f aca="false">Summary!$B$5-B1221</f>
        <v>-1997.8795964006</v>
      </c>
      <c r="E1221" s="15" t="n">
        <f aca="false">B1221/Summary!$B$5-1</f>
        <v>0.0199787959640061</v>
      </c>
    </row>
    <row r="1222" customFormat="false" ht="15" hidden="false" customHeight="false" outlineLevel="0" collapsed="false">
      <c r="A1222" s="0" t="n">
        <v>1221</v>
      </c>
      <c r="B1222" s="14" t="n">
        <v>95828.2842293624</v>
      </c>
      <c r="C1222" s="15" t="n">
        <v>0.13480206780741</v>
      </c>
      <c r="D1222" s="14" t="n">
        <f aca="false">Summary!$B$5-B1222</f>
        <v>4171.71577063756</v>
      </c>
      <c r="E1222" s="15" t="n">
        <f aca="false">B1222/Summary!$B$5-1</f>
        <v>-0.0417171577063756</v>
      </c>
    </row>
    <row r="1223" customFormat="false" ht="15" hidden="false" customHeight="false" outlineLevel="0" collapsed="false">
      <c r="A1223" s="0" t="n">
        <v>1222</v>
      </c>
      <c r="B1223" s="14" t="n">
        <v>87095.0893165657</v>
      </c>
      <c r="C1223" s="15" t="n">
        <v>0.144233206900716</v>
      </c>
      <c r="D1223" s="14" t="n">
        <f aca="false">Summary!$B$5-B1223</f>
        <v>12904.9106834343</v>
      </c>
      <c r="E1223" s="15" t="n">
        <f aca="false">B1223/Summary!$B$5-1</f>
        <v>-0.129049106834343</v>
      </c>
    </row>
    <row r="1224" customFormat="false" ht="15" hidden="false" customHeight="false" outlineLevel="0" collapsed="false">
      <c r="A1224" s="0" t="n">
        <v>1223</v>
      </c>
      <c r="B1224" s="14" t="n">
        <v>115594.703258302</v>
      </c>
      <c r="C1224" s="15" t="n">
        <v>0.10990989897641</v>
      </c>
      <c r="D1224" s="14" t="n">
        <f aca="false">Summary!$B$5-B1224</f>
        <v>-15594.7032583022</v>
      </c>
      <c r="E1224" s="15" t="n">
        <f aca="false">B1224/Summary!$B$5-1</f>
        <v>0.155947032583022</v>
      </c>
    </row>
    <row r="1225" customFormat="false" ht="15" hidden="false" customHeight="false" outlineLevel="0" collapsed="false">
      <c r="A1225" s="0" t="n">
        <v>1224</v>
      </c>
      <c r="B1225" s="14" t="n">
        <v>99175.3242081596</v>
      </c>
      <c r="C1225" s="15" t="n">
        <v>0.0855416563157667</v>
      </c>
      <c r="D1225" s="14" t="n">
        <f aca="false">Summary!$B$5-B1225</f>
        <v>824.675791840375</v>
      </c>
      <c r="E1225" s="15" t="n">
        <f aca="false">B1225/Summary!$B$5-1</f>
        <v>-0.00824675791840379</v>
      </c>
    </row>
    <row r="1226" customFormat="false" ht="15" hidden="false" customHeight="false" outlineLevel="0" collapsed="false">
      <c r="A1226" s="0" t="n">
        <v>1225</v>
      </c>
      <c r="B1226" s="14" t="n">
        <v>91275.1187454146</v>
      </c>
      <c r="C1226" s="15" t="n">
        <v>0.165505641127459</v>
      </c>
      <c r="D1226" s="14" t="n">
        <f aca="false">Summary!$B$5-B1226</f>
        <v>8724.8812545854</v>
      </c>
      <c r="E1226" s="15" t="n">
        <f aca="false">B1226/Summary!$B$5-1</f>
        <v>-0.087248812545854</v>
      </c>
    </row>
    <row r="1227" customFormat="false" ht="15" hidden="false" customHeight="false" outlineLevel="0" collapsed="false">
      <c r="A1227" s="0" t="n">
        <v>1226</v>
      </c>
      <c r="B1227" s="14" t="n">
        <v>114149.649976326</v>
      </c>
      <c r="C1227" s="15" t="n">
        <v>0.0667433866994734</v>
      </c>
      <c r="D1227" s="14" t="n">
        <f aca="false">Summary!$B$5-B1227</f>
        <v>-14149.6499763255</v>
      </c>
      <c r="E1227" s="15" t="n">
        <f aca="false">B1227/Summary!$B$5-1</f>
        <v>0.141496499763255</v>
      </c>
    </row>
    <row r="1228" customFormat="false" ht="15" hidden="false" customHeight="false" outlineLevel="0" collapsed="false">
      <c r="A1228" s="0" t="n">
        <v>1227</v>
      </c>
      <c r="B1228" s="14" t="n">
        <v>98679.013665634</v>
      </c>
      <c r="C1228" s="15" t="n">
        <v>0.138179020659552</v>
      </c>
      <c r="D1228" s="14" t="n">
        <f aca="false">Summary!$B$5-B1228</f>
        <v>1320.98633436605</v>
      </c>
      <c r="E1228" s="15" t="n">
        <f aca="false">B1228/Summary!$B$5-1</f>
        <v>-0.0132098633436606</v>
      </c>
    </row>
    <row r="1229" customFormat="false" ht="15" hidden="false" customHeight="false" outlineLevel="0" collapsed="false">
      <c r="A1229" s="0" t="n">
        <v>1228</v>
      </c>
      <c r="B1229" s="14" t="n">
        <v>101891.055241848</v>
      </c>
      <c r="C1229" s="15" t="n">
        <v>0.0601360189575668</v>
      </c>
      <c r="D1229" s="14" t="n">
        <f aca="false">Summary!$B$5-B1229</f>
        <v>-1891.0552418475</v>
      </c>
      <c r="E1229" s="15" t="n">
        <f aca="false">B1229/Summary!$B$5-1</f>
        <v>0.0189105524184749</v>
      </c>
    </row>
    <row r="1230" customFormat="false" ht="15" hidden="false" customHeight="false" outlineLevel="0" collapsed="false">
      <c r="A1230" s="0" t="n">
        <v>1229</v>
      </c>
      <c r="B1230" s="14" t="n">
        <v>100643.677222979</v>
      </c>
      <c r="C1230" s="15" t="n">
        <v>0.12348747055302</v>
      </c>
      <c r="D1230" s="14" t="n">
        <f aca="false">Summary!$B$5-B1230</f>
        <v>-643.677222979095</v>
      </c>
      <c r="E1230" s="15" t="n">
        <f aca="false">B1230/Summary!$B$5-1</f>
        <v>0.00643677222979089</v>
      </c>
    </row>
    <row r="1231" customFormat="false" ht="15" hidden="false" customHeight="false" outlineLevel="0" collapsed="false">
      <c r="A1231" s="0" t="n">
        <v>1230</v>
      </c>
      <c r="B1231" s="14" t="n">
        <v>96910.6505363984</v>
      </c>
      <c r="C1231" s="15" t="n">
        <v>0.0949939092443662</v>
      </c>
      <c r="D1231" s="14" t="n">
        <f aca="false">Summary!$B$5-B1231</f>
        <v>3089.34946360166</v>
      </c>
      <c r="E1231" s="15" t="n">
        <f aca="false">B1231/Summary!$B$5-1</f>
        <v>-0.0308934946360165</v>
      </c>
    </row>
    <row r="1232" customFormat="false" ht="15" hidden="false" customHeight="false" outlineLevel="0" collapsed="false">
      <c r="A1232" s="0" t="n">
        <v>1231</v>
      </c>
      <c r="B1232" s="14" t="n">
        <v>90827.1709032817</v>
      </c>
      <c r="C1232" s="15" t="n">
        <v>0.12860869253281</v>
      </c>
      <c r="D1232" s="14" t="n">
        <f aca="false">Summary!$B$5-B1232</f>
        <v>9172.82909671828</v>
      </c>
      <c r="E1232" s="15" t="n">
        <f aca="false">B1232/Summary!$B$5-1</f>
        <v>-0.0917282909671828</v>
      </c>
    </row>
    <row r="1233" customFormat="false" ht="15" hidden="false" customHeight="false" outlineLevel="0" collapsed="false">
      <c r="A1233" s="0" t="n">
        <v>1232</v>
      </c>
      <c r="B1233" s="14" t="n">
        <v>100698.568423221</v>
      </c>
      <c r="C1233" s="15" t="n">
        <v>0.0778126348143423</v>
      </c>
      <c r="D1233" s="14" t="n">
        <f aca="false">Summary!$B$5-B1233</f>
        <v>-698.568423221004</v>
      </c>
      <c r="E1233" s="15" t="n">
        <f aca="false">B1233/Summary!$B$5-1</f>
        <v>0.00698568423221002</v>
      </c>
    </row>
    <row r="1234" customFormat="false" ht="15" hidden="false" customHeight="false" outlineLevel="0" collapsed="false">
      <c r="A1234" s="0" t="n">
        <v>1233</v>
      </c>
      <c r="B1234" s="14" t="n">
        <v>128274.595959164</v>
      </c>
      <c r="C1234" s="15" t="n">
        <v>0.0468470630326731</v>
      </c>
      <c r="D1234" s="14" t="n">
        <f aca="false">Summary!$B$5-B1234</f>
        <v>-28274.5959591636</v>
      </c>
      <c r="E1234" s="15" t="n">
        <f aca="false">B1234/Summary!$B$5-1</f>
        <v>0.282745959591636</v>
      </c>
    </row>
    <row r="1235" customFormat="false" ht="15" hidden="false" customHeight="false" outlineLevel="0" collapsed="false">
      <c r="A1235" s="0" t="n">
        <v>1234</v>
      </c>
      <c r="B1235" s="14" t="n">
        <v>128016.933546529</v>
      </c>
      <c r="C1235" s="15" t="n">
        <v>0.0788980261509855</v>
      </c>
      <c r="D1235" s="14" t="n">
        <f aca="false">Summary!$B$5-B1235</f>
        <v>-28016.9335465287</v>
      </c>
      <c r="E1235" s="15" t="n">
        <f aca="false">B1235/Summary!$B$5-1</f>
        <v>0.280169335465287</v>
      </c>
    </row>
    <row r="1236" customFormat="false" ht="15" hidden="false" customHeight="false" outlineLevel="0" collapsed="false">
      <c r="A1236" s="0" t="n">
        <v>1235</v>
      </c>
      <c r="B1236" s="14" t="n">
        <v>132867.291500342</v>
      </c>
      <c r="C1236" s="15" t="n">
        <v>0.0567835207221672</v>
      </c>
      <c r="D1236" s="14" t="n">
        <f aca="false">Summary!$B$5-B1236</f>
        <v>-32867.2915003421</v>
      </c>
      <c r="E1236" s="15" t="n">
        <f aca="false">B1236/Summary!$B$5-1</f>
        <v>0.328672915003421</v>
      </c>
    </row>
    <row r="1237" customFormat="false" ht="15" hidden="false" customHeight="false" outlineLevel="0" collapsed="false">
      <c r="A1237" s="0" t="n">
        <v>1236</v>
      </c>
      <c r="B1237" s="14" t="n">
        <v>105301.061737436</v>
      </c>
      <c r="C1237" s="15" t="n">
        <v>0.110533415223929</v>
      </c>
      <c r="D1237" s="14" t="n">
        <f aca="false">Summary!$B$5-B1237</f>
        <v>-5301.06173743551</v>
      </c>
      <c r="E1237" s="15" t="n">
        <f aca="false">B1237/Summary!$B$5-1</f>
        <v>0.053010617374355</v>
      </c>
    </row>
    <row r="1238" customFormat="false" ht="15" hidden="false" customHeight="false" outlineLevel="0" collapsed="false">
      <c r="A1238" s="0" t="n">
        <v>1237</v>
      </c>
      <c r="B1238" s="14" t="n">
        <v>109529.870249524</v>
      </c>
      <c r="C1238" s="15" t="n">
        <v>0.090873802468158</v>
      </c>
      <c r="D1238" s="14" t="n">
        <f aca="false">Summary!$B$5-B1238</f>
        <v>-9529.87024952369</v>
      </c>
      <c r="E1238" s="15" t="n">
        <f aca="false">B1238/Summary!$B$5-1</f>
        <v>0.095298702495237</v>
      </c>
    </row>
    <row r="1239" customFormat="false" ht="15" hidden="false" customHeight="false" outlineLevel="0" collapsed="false">
      <c r="A1239" s="0" t="n">
        <v>1238</v>
      </c>
      <c r="B1239" s="14" t="n">
        <v>113216.876067088</v>
      </c>
      <c r="C1239" s="15" t="n">
        <v>0.0739395570912694</v>
      </c>
      <c r="D1239" s="14" t="n">
        <f aca="false">Summary!$B$5-B1239</f>
        <v>-13216.8760670875</v>
      </c>
      <c r="E1239" s="15" t="n">
        <f aca="false">B1239/Summary!$B$5-1</f>
        <v>0.132168760670875</v>
      </c>
    </row>
    <row r="1240" customFormat="false" ht="15" hidden="false" customHeight="false" outlineLevel="0" collapsed="false">
      <c r="A1240" s="0" t="n">
        <v>1239</v>
      </c>
      <c r="B1240" s="14" t="n">
        <v>119977.413943543</v>
      </c>
      <c r="C1240" s="15" t="n">
        <v>0.061179792271019</v>
      </c>
      <c r="D1240" s="14" t="n">
        <f aca="false">Summary!$B$5-B1240</f>
        <v>-19977.4139435426</v>
      </c>
      <c r="E1240" s="15" t="n">
        <f aca="false">B1240/Summary!$B$5-1</f>
        <v>0.199774139435426</v>
      </c>
    </row>
    <row r="1241" customFormat="false" ht="15" hidden="false" customHeight="false" outlineLevel="0" collapsed="false">
      <c r="A1241" s="0" t="n">
        <v>1240</v>
      </c>
      <c r="B1241" s="14" t="n">
        <v>101264.732686875</v>
      </c>
      <c r="C1241" s="15" t="n">
        <v>0.0804408782794217</v>
      </c>
      <c r="D1241" s="14" t="n">
        <f aca="false">Summary!$B$5-B1241</f>
        <v>-1264.7326868751</v>
      </c>
      <c r="E1241" s="15" t="n">
        <f aca="false">B1241/Summary!$B$5-1</f>
        <v>0.012647326868751</v>
      </c>
    </row>
    <row r="1242" customFormat="false" ht="15" hidden="false" customHeight="false" outlineLevel="0" collapsed="false">
      <c r="A1242" s="0" t="n">
        <v>1241</v>
      </c>
      <c r="B1242" s="14" t="n">
        <v>90642.5541998151</v>
      </c>
      <c r="C1242" s="15" t="n">
        <v>0.155734809099616</v>
      </c>
      <c r="D1242" s="14" t="n">
        <f aca="false">Summary!$B$5-B1242</f>
        <v>9357.44580018491</v>
      </c>
      <c r="E1242" s="15" t="n">
        <f aca="false">B1242/Summary!$B$5-1</f>
        <v>-0.0935744580018492</v>
      </c>
    </row>
    <row r="1243" customFormat="false" ht="15" hidden="false" customHeight="false" outlineLevel="0" collapsed="false">
      <c r="A1243" s="0" t="n">
        <v>1242</v>
      </c>
      <c r="B1243" s="14" t="n">
        <v>132802.288366717</v>
      </c>
      <c r="C1243" s="15" t="n">
        <v>0.0628388506424213</v>
      </c>
      <c r="D1243" s="14" t="n">
        <f aca="false">Summary!$B$5-B1243</f>
        <v>-32802.2883667167</v>
      </c>
      <c r="E1243" s="15" t="n">
        <f aca="false">B1243/Summary!$B$5-1</f>
        <v>0.328022883667167</v>
      </c>
    </row>
    <row r="1244" customFormat="false" ht="15" hidden="false" customHeight="false" outlineLevel="0" collapsed="false">
      <c r="A1244" s="0" t="n">
        <v>1243</v>
      </c>
      <c r="B1244" s="14" t="n">
        <v>110440.866110977</v>
      </c>
      <c r="C1244" s="15" t="n">
        <v>0.0783417419369031</v>
      </c>
      <c r="D1244" s="14" t="n">
        <f aca="false">Summary!$B$5-B1244</f>
        <v>-10440.8661109766</v>
      </c>
      <c r="E1244" s="15" t="n">
        <f aca="false">B1244/Summary!$B$5-1</f>
        <v>0.104408661109766</v>
      </c>
    </row>
    <row r="1245" customFormat="false" ht="15" hidden="false" customHeight="false" outlineLevel="0" collapsed="false">
      <c r="A1245" s="0" t="n">
        <v>1244</v>
      </c>
      <c r="B1245" s="14" t="n">
        <v>97634.6786039477</v>
      </c>
      <c r="C1245" s="15" t="n">
        <v>0.0989030596805752</v>
      </c>
      <c r="D1245" s="14" t="n">
        <f aca="false">Summary!$B$5-B1245</f>
        <v>2365.32139605234</v>
      </c>
      <c r="E1245" s="15" t="n">
        <f aca="false">B1245/Summary!$B$5-1</f>
        <v>-0.0236532139605234</v>
      </c>
    </row>
    <row r="1246" customFormat="false" ht="15" hidden="false" customHeight="false" outlineLevel="0" collapsed="false">
      <c r="A1246" s="0" t="n">
        <v>1245</v>
      </c>
      <c r="B1246" s="14" t="n">
        <v>123686.773901646</v>
      </c>
      <c r="C1246" s="15" t="n">
        <v>0.0692770629626949</v>
      </c>
      <c r="D1246" s="14" t="n">
        <f aca="false">Summary!$B$5-B1246</f>
        <v>-23686.7739016461</v>
      </c>
      <c r="E1246" s="15" t="n">
        <f aca="false">B1246/Summary!$B$5-1</f>
        <v>0.236867739016461</v>
      </c>
    </row>
    <row r="1247" customFormat="false" ht="15" hidden="false" customHeight="false" outlineLevel="0" collapsed="false">
      <c r="A1247" s="0" t="n">
        <v>1246</v>
      </c>
      <c r="B1247" s="14" t="n">
        <v>110450.677020484</v>
      </c>
      <c r="C1247" s="15" t="n">
        <v>0.102127999192826</v>
      </c>
      <c r="D1247" s="14" t="n">
        <f aca="false">Summary!$B$5-B1247</f>
        <v>-10450.6770204841</v>
      </c>
      <c r="E1247" s="15" t="n">
        <f aca="false">B1247/Summary!$B$5-1</f>
        <v>0.104506770204841</v>
      </c>
    </row>
    <row r="1248" customFormat="false" ht="15" hidden="false" customHeight="false" outlineLevel="0" collapsed="false">
      <c r="A1248" s="0" t="n">
        <v>1247</v>
      </c>
      <c r="B1248" s="14" t="n">
        <v>92461.4781377325</v>
      </c>
      <c r="C1248" s="15" t="n">
        <v>0.146070118161623</v>
      </c>
      <c r="D1248" s="14" t="n">
        <f aca="false">Summary!$B$5-B1248</f>
        <v>7538.52186226752</v>
      </c>
      <c r="E1248" s="15" t="n">
        <f aca="false">B1248/Summary!$B$5-1</f>
        <v>-0.0753852186226752</v>
      </c>
    </row>
    <row r="1249" customFormat="false" ht="15" hidden="false" customHeight="false" outlineLevel="0" collapsed="false">
      <c r="A1249" s="0" t="n">
        <v>1248</v>
      </c>
      <c r="B1249" s="14" t="n">
        <v>109986.489991298</v>
      </c>
      <c r="C1249" s="15" t="n">
        <v>0.0889854263047643</v>
      </c>
      <c r="D1249" s="14" t="n">
        <f aca="false">Summary!$B$5-B1249</f>
        <v>-9986.48999129749</v>
      </c>
      <c r="E1249" s="15" t="n">
        <f aca="false">B1249/Summary!$B$5-1</f>
        <v>0.099864899912975</v>
      </c>
    </row>
    <row r="1250" customFormat="false" ht="15" hidden="false" customHeight="false" outlineLevel="0" collapsed="false">
      <c r="A1250" s="0" t="n">
        <v>1249</v>
      </c>
      <c r="B1250" s="14" t="n">
        <v>99165.6110991961</v>
      </c>
      <c r="C1250" s="15" t="n">
        <v>0.130024247310794</v>
      </c>
      <c r="D1250" s="14" t="n">
        <f aca="false">Summary!$B$5-B1250</f>
        <v>834.388900803926</v>
      </c>
      <c r="E1250" s="15" t="n">
        <f aca="false">B1250/Summary!$B$5-1</f>
        <v>-0.00834388900803929</v>
      </c>
    </row>
    <row r="1251" customFormat="false" ht="15" hidden="false" customHeight="false" outlineLevel="0" collapsed="false">
      <c r="A1251" s="0" t="n">
        <v>1250</v>
      </c>
      <c r="B1251" s="14" t="n">
        <v>102460.465052749</v>
      </c>
      <c r="C1251" s="15" t="n">
        <v>0.142976186534658</v>
      </c>
      <c r="D1251" s="14" t="n">
        <f aca="false">Summary!$B$5-B1251</f>
        <v>-2460.46505274939</v>
      </c>
      <c r="E1251" s="15" t="n">
        <f aca="false">B1251/Summary!$B$5-1</f>
        <v>0.0246046505274939</v>
      </c>
    </row>
    <row r="1252" customFormat="false" ht="15" hidden="false" customHeight="false" outlineLevel="0" collapsed="false">
      <c r="A1252" s="0" t="n">
        <v>1251</v>
      </c>
      <c r="B1252" s="14" t="n">
        <v>91236.5155861265</v>
      </c>
      <c r="C1252" s="15" t="n">
        <v>0.128608781538478</v>
      </c>
      <c r="D1252" s="14" t="n">
        <f aca="false">Summary!$B$5-B1252</f>
        <v>8763.48441387354</v>
      </c>
      <c r="E1252" s="15" t="n">
        <f aca="false">B1252/Summary!$B$5-1</f>
        <v>-0.0876348441387354</v>
      </c>
    </row>
    <row r="1253" customFormat="false" ht="15" hidden="false" customHeight="false" outlineLevel="0" collapsed="false">
      <c r="A1253" s="0" t="n">
        <v>1252</v>
      </c>
      <c r="B1253" s="14" t="n">
        <v>107912.766795687</v>
      </c>
      <c r="C1253" s="15" t="n">
        <v>0.091147467460884</v>
      </c>
      <c r="D1253" s="14" t="n">
        <f aca="false">Summary!$B$5-B1253</f>
        <v>-7912.7667956869</v>
      </c>
      <c r="E1253" s="15" t="n">
        <f aca="false">B1253/Summary!$B$5-1</f>
        <v>0.0791276679568689</v>
      </c>
    </row>
    <row r="1254" customFormat="false" ht="15" hidden="false" customHeight="false" outlineLevel="0" collapsed="false">
      <c r="A1254" s="0" t="n">
        <v>1253</v>
      </c>
      <c r="B1254" s="14" t="n">
        <v>117650.917015257</v>
      </c>
      <c r="C1254" s="15" t="n">
        <v>0.10174344817479</v>
      </c>
      <c r="D1254" s="14" t="n">
        <f aca="false">Summary!$B$5-B1254</f>
        <v>-17650.917015257</v>
      </c>
      <c r="E1254" s="15" t="n">
        <f aca="false">B1254/Summary!$B$5-1</f>
        <v>0.17650917015257</v>
      </c>
    </row>
    <row r="1255" customFormat="false" ht="15" hidden="false" customHeight="false" outlineLevel="0" collapsed="false">
      <c r="A1255" s="0" t="n">
        <v>1254</v>
      </c>
      <c r="B1255" s="14" t="n">
        <v>119737.368024556</v>
      </c>
      <c r="C1255" s="15" t="n">
        <v>0.0708187925031492</v>
      </c>
      <c r="D1255" s="14" t="n">
        <f aca="false">Summary!$B$5-B1255</f>
        <v>-19737.3680245555</v>
      </c>
      <c r="E1255" s="15" t="n">
        <f aca="false">B1255/Summary!$B$5-1</f>
        <v>0.197373680245555</v>
      </c>
    </row>
    <row r="1256" customFormat="false" ht="15" hidden="false" customHeight="false" outlineLevel="0" collapsed="false">
      <c r="A1256" s="0" t="n">
        <v>1255</v>
      </c>
      <c r="B1256" s="14" t="n">
        <v>102584.00989436</v>
      </c>
      <c r="C1256" s="15" t="n">
        <v>0.150672621775958</v>
      </c>
      <c r="D1256" s="14" t="n">
        <f aca="false">Summary!$B$5-B1256</f>
        <v>-2584.0098943598</v>
      </c>
      <c r="E1256" s="15" t="n">
        <f aca="false">B1256/Summary!$B$5-1</f>
        <v>0.0258400989435981</v>
      </c>
    </row>
    <row r="1257" customFormat="false" ht="15" hidden="false" customHeight="false" outlineLevel="0" collapsed="false">
      <c r="A1257" s="0" t="n">
        <v>1256</v>
      </c>
      <c r="B1257" s="14" t="n">
        <v>120276.32668277</v>
      </c>
      <c r="C1257" s="15" t="n">
        <v>0.0507289288840037</v>
      </c>
      <c r="D1257" s="14" t="n">
        <f aca="false">Summary!$B$5-B1257</f>
        <v>-20276.32668277</v>
      </c>
      <c r="E1257" s="15" t="n">
        <f aca="false">B1257/Summary!$B$5-1</f>
        <v>0.2027632668277</v>
      </c>
    </row>
    <row r="1258" customFormat="false" ht="15" hidden="false" customHeight="false" outlineLevel="0" collapsed="false">
      <c r="A1258" s="0" t="n">
        <v>1257</v>
      </c>
      <c r="B1258" s="14" t="n">
        <v>112025.451718779</v>
      </c>
      <c r="C1258" s="15" t="n">
        <v>0.0504523580600395</v>
      </c>
      <c r="D1258" s="14" t="n">
        <f aca="false">Summary!$B$5-B1258</f>
        <v>-12025.451718779</v>
      </c>
      <c r="E1258" s="15" t="n">
        <f aca="false">B1258/Summary!$B$5-1</f>
        <v>0.12025451718779</v>
      </c>
    </row>
    <row r="1259" customFormat="false" ht="15" hidden="false" customHeight="false" outlineLevel="0" collapsed="false">
      <c r="A1259" s="0" t="n">
        <v>1258</v>
      </c>
      <c r="B1259" s="14" t="n">
        <v>86307.5898527908</v>
      </c>
      <c r="C1259" s="15" t="n">
        <v>0.207203466300468</v>
      </c>
      <c r="D1259" s="14" t="n">
        <f aca="false">Summary!$B$5-B1259</f>
        <v>13692.4101472092</v>
      </c>
      <c r="E1259" s="15" t="n">
        <f aca="false">B1259/Summary!$B$5-1</f>
        <v>-0.136924101472092</v>
      </c>
    </row>
    <row r="1260" customFormat="false" ht="15" hidden="false" customHeight="false" outlineLevel="0" collapsed="false">
      <c r="A1260" s="0" t="n">
        <v>1259</v>
      </c>
      <c r="B1260" s="14" t="n">
        <v>82504.2381774963</v>
      </c>
      <c r="C1260" s="15" t="n">
        <v>0.203872692950415</v>
      </c>
      <c r="D1260" s="14" t="n">
        <f aca="false">Summary!$B$5-B1260</f>
        <v>17495.7618225037</v>
      </c>
      <c r="E1260" s="15" t="n">
        <f aca="false">B1260/Summary!$B$5-1</f>
        <v>-0.174957618225037</v>
      </c>
    </row>
    <row r="1261" customFormat="false" ht="15" hidden="false" customHeight="false" outlineLevel="0" collapsed="false">
      <c r="A1261" s="0" t="n">
        <v>1260</v>
      </c>
      <c r="B1261" s="14" t="n">
        <v>95205.3901017511</v>
      </c>
      <c r="C1261" s="15" t="n">
        <v>0.157446667415197</v>
      </c>
      <c r="D1261" s="14" t="n">
        <f aca="false">Summary!$B$5-B1261</f>
        <v>4794.60989824888</v>
      </c>
      <c r="E1261" s="15" t="n">
        <f aca="false">B1261/Summary!$B$5-1</f>
        <v>-0.0479460989824888</v>
      </c>
    </row>
    <row r="1262" customFormat="false" ht="15" hidden="false" customHeight="false" outlineLevel="0" collapsed="false">
      <c r="A1262" s="0" t="n">
        <v>1261</v>
      </c>
      <c r="B1262" s="14" t="n">
        <v>90756.5928864933</v>
      </c>
      <c r="C1262" s="15" t="n">
        <v>0.13946377339996</v>
      </c>
      <c r="D1262" s="14" t="n">
        <f aca="false">Summary!$B$5-B1262</f>
        <v>9243.40711350674</v>
      </c>
      <c r="E1262" s="15" t="n">
        <f aca="false">B1262/Summary!$B$5-1</f>
        <v>-0.0924340711350673</v>
      </c>
    </row>
    <row r="1263" customFormat="false" ht="15" hidden="false" customHeight="false" outlineLevel="0" collapsed="false">
      <c r="A1263" s="0" t="n">
        <v>1262</v>
      </c>
      <c r="B1263" s="14" t="n">
        <v>97911.1034374443</v>
      </c>
      <c r="C1263" s="15" t="n">
        <v>0.0886074580171042</v>
      </c>
      <c r="D1263" s="14" t="n">
        <f aca="false">Summary!$B$5-B1263</f>
        <v>2088.89656255566</v>
      </c>
      <c r="E1263" s="15" t="n">
        <f aca="false">B1263/Summary!$B$5-1</f>
        <v>-0.0208889656255566</v>
      </c>
    </row>
    <row r="1264" customFormat="false" ht="15" hidden="false" customHeight="false" outlineLevel="0" collapsed="false">
      <c r="A1264" s="0" t="n">
        <v>1263</v>
      </c>
      <c r="B1264" s="14" t="n">
        <v>122939.687086406</v>
      </c>
      <c r="C1264" s="15" t="n">
        <v>0.0794376696352295</v>
      </c>
      <c r="D1264" s="14" t="n">
        <f aca="false">Summary!$B$5-B1264</f>
        <v>-22939.6870864064</v>
      </c>
      <c r="E1264" s="15" t="n">
        <f aca="false">B1264/Summary!$B$5-1</f>
        <v>0.229396870864064</v>
      </c>
    </row>
    <row r="1265" customFormat="false" ht="15" hidden="false" customHeight="false" outlineLevel="0" collapsed="false">
      <c r="A1265" s="0" t="n">
        <v>1264</v>
      </c>
      <c r="B1265" s="14" t="n">
        <v>136728.132450069</v>
      </c>
      <c r="C1265" s="15" t="n">
        <v>0.041030546627692</v>
      </c>
      <c r="D1265" s="14" t="n">
        <f aca="false">Summary!$B$5-B1265</f>
        <v>-36728.1324500692</v>
      </c>
      <c r="E1265" s="15" t="n">
        <f aca="false">B1265/Summary!$B$5-1</f>
        <v>0.367281324500692</v>
      </c>
    </row>
    <row r="1266" customFormat="false" ht="15" hidden="false" customHeight="false" outlineLevel="0" collapsed="false">
      <c r="A1266" s="0" t="n">
        <v>1265</v>
      </c>
      <c r="B1266" s="14" t="n">
        <v>109950.333648176</v>
      </c>
      <c r="C1266" s="15" t="n">
        <v>0.0961691238048773</v>
      </c>
      <c r="D1266" s="14" t="n">
        <f aca="false">Summary!$B$5-B1266</f>
        <v>-9950.3336481759</v>
      </c>
      <c r="E1266" s="15" t="n">
        <f aca="false">B1266/Summary!$B$5-1</f>
        <v>0.099503336481759</v>
      </c>
    </row>
    <row r="1267" customFormat="false" ht="15" hidden="false" customHeight="false" outlineLevel="0" collapsed="false">
      <c r="A1267" s="0" t="n">
        <v>1266</v>
      </c>
      <c r="B1267" s="14" t="n">
        <v>111745.325778549</v>
      </c>
      <c r="C1267" s="15" t="n">
        <v>0.0939240839896792</v>
      </c>
      <c r="D1267" s="14" t="n">
        <f aca="false">Summary!$B$5-B1267</f>
        <v>-11745.325778549</v>
      </c>
      <c r="E1267" s="15" t="n">
        <f aca="false">B1267/Summary!$B$5-1</f>
        <v>0.11745325778549</v>
      </c>
    </row>
    <row r="1268" customFormat="false" ht="15" hidden="false" customHeight="false" outlineLevel="0" collapsed="false">
      <c r="A1268" s="0" t="n">
        <v>1267</v>
      </c>
      <c r="B1268" s="14" t="n">
        <v>107902.202805754</v>
      </c>
      <c r="C1268" s="15" t="n">
        <v>0.0779567857385628</v>
      </c>
      <c r="D1268" s="14" t="n">
        <f aca="false">Summary!$B$5-B1268</f>
        <v>-7902.20280575421</v>
      </c>
      <c r="E1268" s="15" t="n">
        <f aca="false">B1268/Summary!$B$5-1</f>
        <v>0.079022028057542</v>
      </c>
    </row>
    <row r="1269" customFormat="false" ht="15" hidden="false" customHeight="false" outlineLevel="0" collapsed="false">
      <c r="A1269" s="0" t="n">
        <v>1268</v>
      </c>
      <c r="B1269" s="14" t="n">
        <v>131555.234584489</v>
      </c>
      <c r="C1269" s="15" t="n">
        <v>0.10338817831636</v>
      </c>
      <c r="D1269" s="14" t="n">
        <f aca="false">Summary!$B$5-B1269</f>
        <v>-31555.2345844888</v>
      </c>
      <c r="E1269" s="15" t="n">
        <f aca="false">B1269/Summary!$B$5-1</f>
        <v>0.315552345844888</v>
      </c>
    </row>
    <row r="1270" customFormat="false" ht="15" hidden="false" customHeight="false" outlineLevel="0" collapsed="false">
      <c r="A1270" s="0" t="n">
        <v>1269</v>
      </c>
      <c r="B1270" s="14" t="n">
        <v>117373.783386502</v>
      </c>
      <c r="C1270" s="15" t="n">
        <v>0.0793680722405706</v>
      </c>
      <c r="D1270" s="14" t="n">
        <f aca="false">Summary!$B$5-B1270</f>
        <v>-17373.7833865016</v>
      </c>
      <c r="E1270" s="15" t="n">
        <f aca="false">B1270/Summary!$B$5-1</f>
        <v>0.173737833865016</v>
      </c>
    </row>
    <row r="1271" customFormat="false" ht="15" hidden="false" customHeight="false" outlineLevel="0" collapsed="false">
      <c r="A1271" s="0" t="n">
        <v>1270</v>
      </c>
      <c r="B1271" s="14" t="n">
        <v>90381.5432904246</v>
      </c>
      <c r="C1271" s="15" t="n">
        <v>0.145068658801152</v>
      </c>
      <c r="D1271" s="14" t="n">
        <f aca="false">Summary!$B$5-B1271</f>
        <v>9618.45670957545</v>
      </c>
      <c r="E1271" s="15" t="n">
        <f aca="false">B1271/Summary!$B$5-1</f>
        <v>-0.0961845670957545</v>
      </c>
    </row>
    <row r="1272" customFormat="false" ht="15" hidden="false" customHeight="false" outlineLevel="0" collapsed="false">
      <c r="A1272" s="0" t="n">
        <v>1271</v>
      </c>
      <c r="B1272" s="14" t="n">
        <v>105699.78866692</v>
      </c>
      <c r="C1272" s="15" t="n">
        <v>0.107697779919639</v>
      </c>
      <c r="D1272" s="14" t="n">
        <f aca="false">Summary!$B$5-B1272</f>
        <v>-5699.7886669201</v>
      </c>
      <c r="E1272" s="15" t="n">
        <f aca="false">B1272/Summary!$B$5-1</f>
        <v>0.0569978866692009</v>
      </c>
    </row>
    <row r="1273" customFormat="false" ht="15" hidden="false" customHeight="false" outlineLevel="0" collapsed="false">
      <c r="A1273" s="0" t="n">
        <v>1272</v>
      </c>
      <c r="B1273" s="14" t="n">
        <v>96404.7422567925</v>
      </c>
      <c r="C1273" s="15" t="n">
        <v>0.130329268861121</v>
      </c>
      <c r="D1273" s="14" t="n">
        <f aca="false">Summary!$B$5-B1273</f>
        <v>3595.25774320749</v>
      </c>
      <c r="E1273" s="15" t="n">
        <f aca="false">B1273/Summary!$B$5-1</f>
        <v>-0.0359525774320749</v>
      </c>
    </row>
    <row r="1274" customFormat="false" ht="15" hidden="false" customHeight="false" outlineLevel="0" collapsed="false">
      <c r="A1274" s="0" t="n">
        <v>1273</v>
      </c>
      <c r="B1274" s="14" t="n">
        <v>108123.724280684</v>
      </c>
      <c r="C1274" s="15" t="n">
        <v>0.105585369659161</v>
      </c>
      <c r="D1274" s="14" t="n">
        <f aca="false">Summary!$B$5-B1274</f>
        <v>-8123.7242806842</v>
      </c>
      <c r="E1274" s="15" t="n">
        <f aca="false">B1274/Summary!$B$5-1</f>
        <v>0.081237242806842</v>
      </c>
    </row>
    <row r="1275" customFormat="false" ht="15" hidden="false" customHeight="false" outlineLevel="0" collapsed="false">
      <c r="A1275" s="0" t="n">
        <v>1274</v>
      </c>
      <c r="B1275" s="14" t="n">
        <v>131014.052094321</v>
      </c>
      <c r="C1275" s="15" t="n">
        <v>0.0713804226323709</v>
      </c>
      <c r="D1275" s="14" t="n">
        <f aca="false">Summary!$B$5-B1275</f>
        <v>-31014.0520943209</v>
      </c>
      <c r="E1275" s="15" t="n">
        <f aca="false">B1275/Summary!$B$5-1</f>
        <v>0.310140520943209</v>
      </c>
    </row>
    <row r="1276" customFormat="false" ht="15" hidden="false" customHeight="false" outlineLevel="0" collapsed="false">
      <c r="A1276" s="0" t="n">
        <v>1275</v>
      </c>
      <c r="B1276" s="14" t="n">
        <v>111991.122174335</v>
      </c>
      <c r="C1276" s="15" t="n">
        <v>0.051140229002137</v>
      </c>
      <c r="D1276" s="14" t="n">
        <f aca="false">Summary!$B$5-B1276</f>
        <v>-11991.1221743351</v>
      </c>
      <c r="E1276" s="15" t="n">
        <f aca="false">B1276/Summary!$B$5-1</f>
        <v>0.119911221743351</v>
      </c>
    </row>
    <row r="1277" customFormat="false" ht="15" hidden="false" customHeight="false" outlineLevel="0" collapsed="false">
      <c r="A1277" s="0" t="n">
        <v>1276</v>
      </c>
      <c r="B1277" s="14" t="n">
        <v>108221.381884172</v>
      </c>
      <c r="C1277" s="15" t="n">
        <v>0.0939712551297509</v>
      </c>
      <c r="D1277" s="14" t="n">
        <f aca="false">Summary!$B$5-B1277</f>
        <v>-8221.38188417201</v>
      </c>
      <c r="E1277" s="15" t="n">
        <f aca="false">B1277/Summary!$B$5-1</f>
        <v>0.0822138188417201</v>
      </c>
    </row>
    <row r="1278" customFormat="false" ht="15" hidden="false" customHeight="false" outlineLevel="0" collapsed="false">
      <c r="A1278" s="0" t="n">
        <v>1277</v>
      </c>
      <c r="B1278" s="14" t="n">
        <v>124181.164732927</v>
      </c>
      <c r="C1278" s="15" t="n">
        <v>0.0466192365965185</v>
      </c>
      <c r="D1278" s="14" t="n">
        <f aca="false">Summary!$B$5-B1278</f>
        <v>-24181.1647329265</v>
      </c>
      <c r="E1278" s="15" t="n">
        <f aca="false">B1278/Summary!$B$5-1</f>
        <v>0.241811647329265</v>
      </c>
    </row>
    <row r="1279" customFormat="false" ht="15" hidden="false" customHeight="false" outlineLevel="0" collapsed="false">
      <c r="A1279" s="0" t="n">
        <v>1278</v>
      </c>
      <c r="B1279" s="14" t="n">
        <v>95396.9564172239</v>
      </c>
      <c r="C1279" s="15" t="n">
        <v>0.0833938062272929</v>
      </c>
      <c r="D1279" s="14" t="n">
        <f aca="false">Summary!$B$5-B1279</f>
        <v>4603.04358277613</v>
      </c>
      <c r="E1279" s="15" t="n">
        <f aca="false">B1279/Summary!$B$5-1</f>
        <v>-0.0460304358277612</v>
      </c>
    </row>
    <row r="1280" customFormat="false" ht="15" hidden="false" customHeight="false" outlineLevel="0" collapsed="false">
      <c r="A1280" s="0" t="n">
        <v>1279</v>
      </c>
      <c r="B1280" s="14" t="n">
        <v>95543.7068654739</v>
      </c>
      <c r="C1280" s="15" t="n">
        <v>0.0756168034527048</v>
      </c>
      <c r="D1280" s="14" t="n">
        <f aca="false">Summary!$B$5-B1280</f>
        <v>4456.29313452606</v>
      </c>
      <c r="E1280" s="15" t="n">
        <f aca="false">B1280/Summary!$B$5-1</f>
        <v>-0.0445629313452606</v>
      </c>
    </row>
    <row r="1281" customFormat="false" ht="15" hidden="false" customHeight="false" outlineLevel="0" collapsed="false">
      <c r="A1281" s="0" t="n">
        <v>1280</v>
      </c>
      <c r="B1281" s="14" t="n">
        <v>112355.24987956</v>
      </c>
      <c r="C1281" s="15" t="n">
        <v>0.0803744541691334</v>
      </c>
      <c r="D1281" s="14" t="n">
        <f aca="false">Summary!$B$5-B1281</f>
        <v>-12355.2498795601</v>
      </c>
      <c r="E1281" s="15" t="n">
        <f aca="false">B1281/Summary!$B$5-1</f>
        <v>0.123552498795601</v>
      </c>
    </row>
    <row r="1282" customFormat="false" ht="15" hidden="false" customHeight="false" outlineLevel="0" collapsed="false">
      <c r="A1282" s="0" t="n">
        <v>1281</v>
      </c>
      <c r="B1282" s="14" t="n">
        <v>121400.970384949</v>
      </c>
      <c r="C1282" s="15" t="n">
        <v>0.0605808333887393</v>
      </c>
      <c r="D1282" s="14" t="n">
        <f aca="false">Summary!$B$5-B1282</f>
        <v>-21400.9703849487</v>
      </c>
      <c r="E1282" s="15" t="n">
        <f aca="false">B1282/Summary!$B$5-1</f>
        <v>0.214009703849487</v>
      </c>
    </row>
    <row r="1283" customFormat="false" ht="15" hidden="false" customHeight="false" outlineLevel="0" collapsed="false">
      <c r="A1283" s="0" t="n">
        <v>1282</v>
      </c>
      <c r="B1283" s="14" t="n">
        <v>113327.479851591</v>
      </c>
      <c r="C1283" s="15" t="n">
        <v>0.171049638860629</v>
      </c>
      <c r="D1283" s="14" t="n">
        <f aca="false">Summary!$B$5-B1283</f>
        <v>-13327.479851591</v>
      </c>
      <c r="E1283" s="15" t="n">
        <f aca="false">B1283/Summary!$B$5-1</f>
        <v>0.13327479851591</v>
      </c>
    </row>
    <row r="1284" customFormat="false" ht="15" hidden="false" customHeight="false" outlineLevel="0" collapsed="false">
      <c r="A1284" s="0" t="n">
        <v>1283</v>
      </c>
      <c r="B1284" s="14" t="n">
        <v>118636.386508502</v>
      </c>
      <c r="C1284" s="15" t="n">
        <v>0.0530509066564736</v>
      </c>
      <c r="D1284" s="14" t="n">
        <f aca="false">Summary!$B$5-B1284</f>
        <v>-18636.3865085017</v>
      </c>
      <c r="E1284" s="15" t="n">
        <f aca="false">B1284/Summary!$B$5-1</f>
        <v>0.186363865085017</v>
      </c>
    </row>
    <row r="1285" customFormat="false" ht="15" hidden="false" customHeight="false" outlineLevel="0" collapsed="false">
      <c r="A1285" s="0" t="n">
        <v>1284</v>
      </c>
      <c r="B1285" s="14" t="n">
        <v>123787.104163345</v>
      </c>
      <c r="C1285" s="15" t="n">
        <v>0.0663831054244031</v>
      </c>
      <c r="D1285" s="14" t="n">
        <f aca="false">Summary!$B$5-B1285</f>
        <v>-23787.1041633448</v>
      </c>
      <c r="E1285" s="15" t="n">
        <f aca="false">B1285/Summary!$B$5-1</f>
        <v>0.237871041633448</v>
      </c>
    </row>
    <row r="1286" customFormat="false" ht="15" hidden="false" customHeight="false" outlineLevel="0" collapsed="false">
      <c r="A1286" s="0" t="n">
        <v>1285</v>
      </c>
      <c r="B1286" s="14" t="n">
        <v>144539.506655665</v>
      </c>
      <c r="C1286" s="15" t="n">
        <v>0.0532779594338571</v>
      </c>
      <c r="D1286" s="14" t="n">
        <f aca="false">Summary!$B$5-B1286</f>
        <v>-44539.5066556653</v>
      </c>
      <c r="E1286" s="15" t="n">
        <f aca="false">B1286/Summary!$B$5-1</f>
        <v>0.445395066556653</v>
      </c>
    </row>
    <row r="1287" customFormat="false" ht="15" hidden="false" customHeight="false" outlineLevel="0" collapsed="false">
      <c r="A1287" s="0" t="n">
        <v>1286</v>
      </c>
      <c r="B1287" s="14" t="n">
        <v>106674.927284701</v>
      </c>
      <c r="C1287" s="15" t="n">
        <v>0.0587838607270452</v>
      </c>
      <c r="D1287" s="14" t="n">
        <f aca="false">Summary!$B$5-B1287</f>
        <v>-6674.92728470131</v>
      </c>
      <c r="E1287" s="15" t="n">
        <f aca="false">B1287/Summary!$B$5-1</f>
        <v>0.0667492728470132</v>
      </c>
    </row>
    <row r="1288" customFormat="false" ht="15" hidden="false" customHeight="false" outlineLevel="0" collapsed="false">
      <c r="A1288" s="0" t="n">
        <v>1287</v>
      </c>
      <c r="B1288" s="14" t="n">
        <v>95454.5129090146</v>
      </c>
      <c r="C1288" s="15" t="n">
        <v>0.136933784882428</v>
      </c>
      <c r="D1288" s="14" t="n">
        <f aca="false">Summary!$B$5-B1288</f>
        <v>4545.48709098545</v>
      </c>
      <c r="E1288" s="15" t="n">
        <f aca="false">B1288/Summary!$B$5-1</f>
        <v>-0.0454548709098546</v>
      </c>
    </row>
    <row r="1289" customFormat="false" ht="15" hidden="false" customHeight="false" outlineLevel="0" collapsed="false">
      <c r="A1289" s="0" t="n">
        <v>1288</v>
      </c>
      <c r="B1289" s="14" t="n">
        <v>91454.3789183623</v>
      </c>
      <c r="C1289" s="15" t="n">
        <v>0.140656966375175</v>
      </c>
      <c r="D1289" s="14" t="n">
        <f aca="false">Summary!$B$5-B1289</f>
        <v>8545.62108163774</v>
      </c>
      <c r="E1289" s="15" t="n">
        <f aca="false">B1289/Summary!$B$5-1</f>
        <v>-0.0854562108163774</v>
      </c>
    </row>
    <row r="1290" customFormat="false" ht="15" hidden="false" customHeight="false" outlineLevel="0" collapsed="false">
      <c r="A1290" s="0" t="n">
        <v>1289</v>
      </c>
      <c r="B1290" s="14" t="n">
        <v>102123.609204197</v>
      </c>
      <c r="C1290" s="15" t="n">
        <v>0.111670823707482</v>
      </c>
      <c r="D1290" s="14" t="n">
        <f aca="false">Summary!$B$5-B1290</f>
        <v>-2123.6092041965</v>
      </c>
      <c r="E1290" s="15" t="n">
        <f aca="false">B1290/Summary!$B$5-1</f>
        <v>0.021236092041965</v>
      </c>
    </row>
    <row r="1291" customFormat="false" ht="15" hidden="false" customHeight="false" outlineLevel="0" collapsed="false">
      <c r="A1291" s="0" t="n">
        <v>1290</v>
      </c>
      <c r="B1291" s="14" t="n">
        <v>90403.4760353415</v>
      </c>
      <c r="C1291" s="15" t="n">
        <v>0.15244545938232</v>
      </c>
      <c r="D1291" s="14" t="n">
        <f aca="false">Summary!$B$5-B1291</f>
        <v>9596.52396465853</v>
      </c>
      <c r="E1291" s="15" t="n">
        <f aca="false">B1291/Summary!$B$5-1</f>
        <v>-0.0959652396465852</v>
      </c>
    </row>
    <row r="1292" customFormat="false" ht="15" hidden="false" customHeight="false" outlineLevel="0" collapsed="false">
      <c r="A1292" s="0" t="n">
        <v>1291</v>
      </c>
      <c r="B1292" s="14" t="n">
        <v>125058.366170747</v>
      </c>
      <c r="C1292" s="15" t="n">
        <v>0.0835996856566172</v>
      </c>
      <c r="D1292" s="14" t="n">
        <f aca="false">Summary!$B$5-B1292</f>
        <v>-25058.3661707468</v>
      </c>
      <c r="E1292" s="15" t="n">
        <f aca="false">B1292/Summary!$B$5-1</f>
        <v>0.250583661707468</v>
      </c>
    </row>
    <row r="1293" customFormat="false" ht="15" hidden="false" customHeight="false" outlineLevel="0" collapsed="false">
      <c r="A1293" s="0" t="n">
        <v>1292</v>
      </c>
      <c r="B1293" s="14" t="n">
        <v>130169.975657497</v>
      </c>
      <c r="C1293" s="15" t="n">
        <v>0.0541469615206042</v>
      </c>
      <c r="D1293" s="14" t="n">
        <f aca="false">Summary!$B$5-B1293</f>
        <v>-30169.975657497</v>
      </c>
      <c r="E1293" s="15" t="n">
        <f aca="false">B1293/Summary!$B$5-1</f>
        <v>0.30169975657497</v>
      </c>
    </row>
    <row r="1294" customFormat="false" ht="15" hidden="false" customHeight="false" outlineLevel="0" collapsed="false">
      <c r="A1294" s="0" t="n">
        <v>1293</v>
      </c>
      <c r="B1294" s="14" t="n">
        <v>93041.9388930825</v>
      </c>
      <c r="C1294" s="15" t="n">
        <v>0.133599103482899</v>
      </c>
      <c r="D1294" s="14" t="n">
        <f aca="false">Summary!$B$5-B1294</f>
        <v>6958.06110691748</v>
      </c>
      <c r="E1294" s="15" t="n">
        <f aca="false">B1294/Summary!$B$5-1</f>
        <v>-0.0695806110691748</v>
      </c>
    </row>
    <row r="1295" customFormat="false" ht="15" hidden="false" customHeight="false" outlineLevel="0" collapsed="false">
      <c r="A1295" s="0" t="n">
        <v>1294</v>
      </c>
      <c r="B1295" s="14" t="n">
        <v>108038.61479556</v>
      </c>
      <c r="C1295" s="15" t="n">
        <v>0.0826578833863201</v>
      </c>
      <c r="D1295" s="14" t="n">
        <f aca="false">Summary!$B$5-B1295</f>
        <v>-8038.6147955601</v>
      </c>
      <c r="E1295" s="15" t="n">
        <f aca="false">B1295/Summary!$B$5-1</f>
        <v>0.080386147955601</v>
      </c>
    </row>
    <row r="1296" customFormat="false" ht="15" hidden="false" customHeight="false" outlineLevel="0" collapsed="false">
      <c r="A1296" s="0" t="n">
        <v>1295</v>
      </c>
      <c r="B1296" s="14" t="n">
        <v>101822.95321633</v>
      </c>
      <c r="C1296" s="15" t="n">
        <v>0.0884852593366049</v>
      </c>
      <c r="D1296" s="14" t="n">
        <f aca="false">Summary!$B$5-B1296</f>
        <v>-1822.95321633021</v>
      </c>
      <c r="E1296" s="15" t="n">
        <f aca="false">B1296/Summary!$B$5-1</f>
        <v>0.0182295321633021</v>
      </c>
    </row>
    <row r="1297" customFormat="false" ht="15" hidden="false" customHeight="false" outlineLevel="0" collapsed="false">
      <c r="A1297" s="0" t="n">
        <v>1296</v>
      </c>
      <c r="B1297" s="14" t="n">
        <v>106363.325810957</v>
      </c>
      <c r="C1297" s="15" t="n">
        <v>0.0713999495570312</v>
      </c>
      <c r="D1297" s="14" t="n">
        <f aca="false">Summary!$B$5-B1297</f>
        <v>-6363.3258109569</v>
      </c>
      <c r="E1297" s="15" t="n">
        <f aca="false">B1297/Summary!$B$5-1</f>
        <v>0.0636332581095691</v>
      </c>
    </row>
    <row r="1298" customFormat="false" ht="15" hidden="false" customHeight="false" outlineLevel="0" collapsed="false">
      <c r="A1298" s="0" t="n">
        <v>1297</v>
      </c>
      <c r="B1298" s="14" t="n">
        <v>100178.788749442</v>
      </c>
      <c r="C1298" s="15" t="n">
        <v>0.0813312664372233</v>
      </c>
      <c r="D1298" s="14" t="n">
        <f aca="false">Summary!$B$5-B1298</f>
        <v>-178.788749441606</v>
      </c>
      <c r="E1298" s="15" t="n">
        <f aca="false">B1298/Summary!$B$5-1</f>
        <v>0.00178788749441616</v>
      </c>
    </row>
    <row r="1299" customFormat="false" ht="15" hidden="false" customHeight="false" outlineLevel="0" collapsed="false">
      <c r="A1299" s="0" t="n">
        <v>1298</v>
      </c>
      <c r="B1299" s="14" t="n">
        <v>95744.0806545674</v>
      </c>
      <c r="C1299" s="15" t="n">
        <v>0.106680591535424</v>
      </c>
      <c r="D1299" s="14" t="n">
        <f aca="false">Summary!$B$5-B1299</f>
        <v>4255.91934543256</v>
      </c>
      <c r="E1299" s="15" t="n">
        <f aca="false">B1299/Summary!$B$5-1</f>
        <v>-0.0425591934543256</v>
      </c>
    </row>
    <row r="1300" customFormat="false" ht="15" hidden="false" customHeight="false" outlineLevel="0" collapsed="false">
      <c r="A1300" s="0" t="n">
        <v>1299</v>
      </c>
      <c r="B1300" s="14" t="n">
        <v>124463.965316231</v>
      </c>
      <c r="C1300" s="15" t="n">
        <v>0.0639772286871144</v>
      </c>
      <c r="D1300" s="14" t="n">
        <f aca="false">Summary!$B$5-B1300</f>
        <v>-24463.965316231</v>
      </c>
      <c r="E1300" s="15" t="n">
        <f aca="false">B1300/Summary!$B$5-1</f>
        <v>0.24463965316231</v>
      </c>
    </row>
    <row r="1301" customFormat="false" ht="15" hidden="false" customHeight="false" outlineLevel="0" collapsed="false">
      <c r="A1301" s="0" t="n">
        <v>1300</v>
      </c>
      <c r="B1301" s="14" t="n">
        <v>111018.477407065</v>
      </c>
      <c r="C1301" s="15" t="n">
        <v>0.114694918928323</v>
      </c>
      <c r="D1301" s="14" t="n">
        <f aca="false">Summary!$B$5-B1301</f>
        <v>-11018.477407065</v>
      </c>
      <c r="E1301" s="15" t="n">
        <f aca="false">B1301/Summary!$B$5-1</f>
        <v>0.11018477407065</v>
      </c>
    </row>
    <row r="1302" customFormat="false" ht="15" hidden="false" customHeight="false" outlineLevel="0" collapsed="false">
      <c r="A1302" s="0" t="n">
        <v>1301</v>
      </c>
      <c r="B1302" s="14" t="n">
        <v>100894.836910116</v>
      </c>
      <c r="C1302" s="15" t="n">
        <v>0.123366593995258</v>
      </c>
      <c r="D1302" s="14" t="n">
        <f aca="false">Summary!$B$5-B1302</f>
        <v>-894.836910116399</v>
      </c>
      <c r="E1302" s="15" t="n">
        <f aca="false">B1302/Summary!$B$5-1</f>
        <v>0.00894836910116403</v>
      </c>
    </row>
    <row r="1303" customFormat="false" ht="15" hidden="false" customHeight="false" outlineLevel="0" collapsed="false">
      <c r="A1303" s="0" t="n">
        <v>1302</v>
      </c>
      <c r="B1303" s="14" t="n">
        <v>89179.996867636</v>
      </c>
      <c r="C1303" s="15" t="n">
        <v>0.13402462849568</v>
      </c>
      <c r="D1303" s="14" t="n">
        <f aca="false">Summary!$B$5-B1303</f>
        <v>10820.003132364</v>
      </c>
      <c r="E1303" s="15" t="n">
        <f aca="false">B1303/Summary!$B$5-1</f>
        <v>-0.10820003132364</v>
      </c>
    </row>
    <row r="1304" customFormat="false" ht="15" hidden="false" customHeight="false" outlineLevel="0" collapsed="false">
      <c r="A1304" s="0" t="n">
        <v>1303</v>
      </c>
      <c r="B1304" s="14" t="n">
        <v>101228.839292068</v>
      </c>
      <c r="C1304" s="15" t="n">
        <v>0.0973981889405464</v>
      </c>
      <c r="D1304" s="14" t="n">
        <f aca="false">Summary!$B$5-B1304</f>
        <v>-1228.8392920683</v>
      </c>
      <c r="E1304" s="15" t="n">
        <f aca="false">B1304/Summary!$B$5-1</f>
        <v>0.012288392920683</v>
      </c>
    </row>
    <row r="1305" customFormat="false" ht="15" hidden="false" customHeight="false" outlineLevel="0" collapsed="false">
      <c r="A1305" s="0" t="n">
        <v>1304</v>
      </c>
      <c r="B1305" s="14" t="n">
        <v>99140.932589033</v>
      </c>
      <c r="C1305" s="15" t="n">
        <v>0.114025312495056</v>
      </c>
      <c r="D1305" s="14" t="n">
        <f aca="false">Summary!$B$5-B1305</f>
        <v>859.067410966964</v>
      </c>
      <c r="E1305" s="15" t="n">
        <f aca="false">B1305/Summary!$B$5-1</f>
        <v>-0.00859067410966963</v>
      </c>
    </row>
    <row r="1306" customFormat="false" ht="15" hidden="false" customHeight="false" outlineLevel="0" collapsed="false">
      <c r="A1306" s="0" t="n">
        <v>1305</v>
      </c>
      <c r="B1306" s="14" t="n">
        <v>106618.085318008</v>
      </c>
      <c r="C1306" s="15" t="n">
        <v>0.100720428833083</v>
      </c>
      <c r="D1306" s="14" t="n">
        <f aca="false">Summary!$B$5-B1306</f>
        <v>-6618.08531800759</v>
      </c>
      <c r="E1306" s="15" t="n">
        <f aca="false">B1306/Summary!$B$5-1</f>
        <v>0.0661808531800758</v>
      </c>
    </row>
    <row r="1307" customFormat="false" ht="15" hidden="false" customHeight="false" outlineLevel="0" collapsed="false">
      <c r="A1307" s="0" t="n">
        <v>1306</v>
      </c>
      <c r="B1307" s="14" t="n">
        <v>86712.8809947877</v>
      </c>
      <c r="C1307" s="15" t="n">
        <v>0.237977475446682</v>
      </c>
      <c r="D1307" s="14" t="n">
        <f aca="false">Summary!$B$5-B1307</f>
        <v>13287.1190052123</v>
      </c>
      <c r="E1307" s="15" t="n">
        <f aca="false">B1307/Summary!$B$5-1</f>
        <v>-0.132871190052123</v>
      </c>
    </row>
    <row r="1308" customFormat="false" ht="15" hidden="false" customHeight="false" outlineLevel="0" collapsed="false">
      <c r="A1308" s="0" t="n">
        <v>1307</v>
      </c>
      <c r="B1308" s="14" t="n">
        <v>110403.515347696</v>
      </c>
      <c r="C1308" s="15" t="n">
        <v>0.0723338951192818</v>
      </c>
      <c r="D1308" s="14" t="n">
        <f aca="false">Summary!$B$5-B1308</f>
        <v>-10403.5153476958</v>
      </c>
      <c r="E1308" s="15" t="n">
        <f aca="false">B1308/Summary!$B$5-1</f>
        <v>0.104035153476958</v>
      </c>
    </row>
    <row r="1309" customFormat="false" ht="15" hidden="false" customHeight="false" outlineLevel="0" collapsed="false">
      <c r="A1309" s="0" t="n">
        <v>1308</v>
      </c>
      <c r="B1309" s="14" t="n">
        <v>89188.9325578232</v>
      </c>
      <c r="C1309" s="15" t="n">
        <v>0.187116906779344</v>
      </c>
      <c r="D1309" s="14" t="n">
        <f aca="false">Summary!$B$5-B1309</f>
        <v>10811.0674421768</v>
      </c>
      <c r="E1309" s="15" t="n">
        <f aca="false">B1309/Summary!$B$5-1</f>
        <v>-0.108110674421768</v>
      </c>
    </row>
    <row r="1310" customFormat="false" ht="15" hidden="false" customHeight="false" outlineLevel="0" collapsed="false">
      <c r="A1310" s="0" t="n">
        <v>1309</v>
      </c>
      <c r="B1310" s="14" t="n">
        <v>103457.834762432</v>
      </c>
      <c r="C1310" s="15" t="n">
        <v>0.11197213345665</v>
      </c>
      <c r="D1310" s="14" t="n">
        <f aca="false">Summary!$B$5-B1310</f>
        <v>-3457.8347624318</v>
      </c>
      <c r="E1310" s="15" t="n">
        <f aca="false">B1310/Summary!$B$5-1</f>
        <v>0.034578347624318</v>
      </c>
    </row>
    <row r="1311" customFormat="false" ht="15" hidden="false" customHeight="false" outlineLevel="0" collapsed="false">
      <c r="A1311" s="0" t="n">
        <v>1310</v>
      </c>
      <c r="B1311" s="14" t="n">
        <v>111336.138094213</v>
      </c>
      <c r="C1311" s="15" t="n">
        <v>0.0969878550235908</v>
      </c>
      <c r="D1311" s="14" t="n">
        <f aca="false">Summary!$B$5-B1311</f>
        <v>-11336.1380942133</v>
      </c>
      <c r="E1311" s="15" t="n">
        <f aca="false">B1311/Summary!$B$5-1</f>
        <v>0.113361380942133</v>
      </c>
    </row>
    <row r="1312" customFormat="false" ht="15" hidden="false" customHeight="false" outlineLevel="0" collapsed="false">
      <c r="A1312" s="0" t="n">
        <v>1311</v>
      </c>
      <c r="B1312" s="14" t="n">
        <v>106457.232679777</v>
      </c>
      <c r="C1312" s="15" t="n">
        <v>0.110422927158935</v>
      </c>
      <c r="D1312" s="14" t="n">
        <f aca="false">Summary!$B$5-B1312</f>
        <v>-6457.2326797772</v>
      </c>
      <c r="E1312" s="15" t="n">
        <f aca="false">B1312/Summary!$B$5-1</f>
        <v>0.064572326797772</v>
      </c>
    </row>
    <row r="1313" customFormat="false" ht="15" hidden="false" customHeight="false" outlineLevel="0" collapsed="false">
      <c r="A1313" s="0" t="n">
        <v>1312</v>
      </c>
      <c r="B1313" s="14" t="n">
        <v>116964.532171192</v>
      </c>
      <c r="C1313" s="15" t="n">
        <v>0.069097589149545</v>
      </c>
      <c r="D1313" s="14" t="n">
        <f aca="false">Summary!$B$5-B1313</f>
        <v>-16964.5321711923</v>
      </c>
      <c r="E1313" s="15" t="n">
        <f aca="false">B1313/Summary!$B$5-1</f>
        <v>0.169645321711923</v>
      </c>
    </row>
    <row r="1314" customFormat="false" ht="15" hidden="false" customHeight="false" outlineLevel="0" collapsed="false">
      <c r="A1314" s="0" t="n">
        <v>1313</v>
      </c>
      <c r="B1314" s="14" t="n">
        <v>135536.254732024</v>
      </c>
      <c r="C1314" s="15" t="n">
        <v>0.0888558192328722</v>
      </c>
      <c r="D1314" s="14" t="n">
        <f aca="false">Summary!$B$5-B1314</f>
        <v>-35536.2547320239</v>
      </c>
      <c r="E1314" s="15" t="n">
        <f aca="false">B1314/Summary!$B$5-1</f>
        <v>0.355362547320239</v>
      </c>
    </row>
    <row r="1315" customFormat="false" ht="15" hidden="false" customHeight="false" outlineLevel="0" collapsed="false">
      <c r="A1315" s="0" t="n">
        <v>1314</v>
      </c>
      <c r="B1315" s="14" t="n">
        <v>116495.370330475</v>
      </c>
      <c r="C1315" s="15" t="n">
        <v>0.0768303528634281</v>
      </c>
      <c r="D1315" s="14" t="n">
        <f aca="false">Summary!$B$5-B1315</f>
        <v>-16495.3703304752</v>
      </c>
      <c r="E1315" s="15" t="n">
        <f aca="false">B1315/Summary!$B$5-1</f>
        <v>0.164953703304752</v>
      </c>
    </row>
    <row r="1316" customFormat="false" ht="15" hidden="false" customHeight="false" outlineLevel="0" collapsed="false">
      <c r="A1316" s="0" t="n">
        <v>1315</v>
      </c>
      <c r="B1316" s="14" t="n">
        <v>121861.805618838</v>
      </c>
      <c r="C1316" s="15" t="n">
        <v>0.0548948771711099</v>
      </c>
      <c r="D1316" s="14" t="n">
        <f aca="false">Summary!$B$5-B1316</f>
        <v>-21861.8056188383</v>
      </c>
      <c r="E1316" s="15" t="n">
        <f aca="false">B1316/Summary!$B$5-1</f>
        <v>0.218618056188383</v>
      </c>
    </row>
    <row r="1317" customFormat="false" ht="15" hidden="false" customHeight="false" outlineLevel="0" collapsed="false">
      <c r="A1317" s="0" t="n">
        <v>1316</v>
      </c>
      <c r="B1317" s="14" t="n">
        <v>114815.270033489</v>
      </c>
      <c r="C1317" s="15" t="n">
        <v>0.0578176759228708</v>
      </c>
      <c r="D1317" s="14" t="n">
        <f aca="false">Summary!$B$5-B1317</f>
        <v>-14815.2700334887</v>
      </c>
      <c r="E1317" s="15" t="n">
        <f aca="false">B1317/Summary!$B$5-1</f>
        <v>0.148152700334887</v>
      </c>
    </row>
    <row r="1318" customFormat="false" ht="15" hidden="false" customHeight="false" outlineLevel="0" collapsed="false">
      <c r="A1318" s="0" t="n">
        <v>1317</v>
      </c>
      <c r="B1318" s="14" t="n">
        <v>94976.8479317579</v>
      </c>
      <c r="C1318" s="15" t="n">
        <v>0.118148792167498</v>
      </c>
      <c r="D1318" s="14" t="n">
        <f aca="false">Summary!$B$5-B1318</f>
        <v>5023.15206824211</v>
      </c>
      <c r="E1318" s="15" t="n">
        <f aca="false">B1318/Summary!$B$5-1</f>
        <v>-0.0502315206824211</v>
      </c>
    </row>
    <row r="1319" customFormat="false" ht="15" hidden="false" customHeight="false" outlineLevel="0" collapsed="false">
      <c r="A1319" s="0" t="n">
        <v>1318</v>
      </c>
      <c r="B1319" s="14" t="n">
        <v>109678.079038959</v>
      </c>
      <c r="C1319" s="15" t="n">
        <v>0.100688216451222</v>
      </c>
      <c r="D1319" s="14" t="n">
        <f aca="false">Summary!$B$5-B1319</f>
        <v>-9678.0790389594</v>
      </c>
      <c r="E1319" s="15" t="n">
        <f aca="false">B1319/Summary!$B$5-1</f>
        <v>0.0967807903895941</v>
      </c>
    </row>
    <row r="1320" customFormat="false" ht="15" hidden="false" customHeight="false" outlineLevel="0" collapsed="false">
      <c r="A1320" s="0" t="n">
        <v>1319</v>
      </c>
      <c r="B1320" s="14" t="n">
        <v>98255.7621966076</v>
      </c>
      <c r="C1320" s="15" t="n">
        <v>0.107677427172817</v>
      </c>
      <c r="D1320" s="14" t="n">
        <f aca="false">Summary!$B$5-B1320</f>
        <v>1744.2378033924</v>
      </c>
      <c r="E1320" s="15" t="n">
        <f aca="false">B1320/Summary!$B$5-1</f>
        <v>-0.017442378033924</v>
      </c>
    </row>
    <row r="1321" customFormat="false" ht="15" hidden="false" customHeight="false" outlineLevel="0" collapsed="false">
      <c r="A1321" s="0" t="n">
        <v>1320</v>
      </c>
      <c r="B1321" s="14" t="n">
        <v>115618.867478141</v>
      </c>
      <c r="C1321" s="15" t="n">
        <v>0.0501491548988053</v>
      </c>
      <c r="D1321" s="14" t="n">
        <f aca="false">Summary!$B$5-B1321</f>
        <v>-15618.8674781408</v>
      </c>
      <c r="E1321" s="15" t="n">
        <f aca="false">B1321/Summary!$B$5-1</f>
        <v>0.156188674781408</v>
      </c>
    </row>
    <row r="1322" customFormat="false" ht="15" hidden="false" customHeight="false" outlineLevel="0" collapsed="false">
      <c r="A1322" s="0" t="n">
        <v>1321</v>
      </c>
      <c r="B1322" s="14" t="n">
        <v>109173.27397872</v>
      </c>
      <c r="C1322" s="15" t="n">
        <v>0.0591134603345568</v>
      </c>
      <c r="D1322" s="14" t="n">
        <f aca="false">Summary!$B$5-B1322</f>
        <v>-9173.2739787196</v>
      </c>
      <c r="E1322" s="15" t="n">
        <f aca="false">B1322/Summary!$B$5-1</f>
        <v>0.0917327397871961</v>
      </c>
    </row>
    <row r="1323" customFormat="false" ht="15" hidden="false" customHeight="false" outlineLevel="0" collapsed="false">
      <c r="A1323" s="0" t="n">
        <v>1322</v>
      </c>
      <c r="B1323" s="14" t="n">
        <v>94932.5713859776</v>
      </c>
      <c r="C1323" s="15" t="n">
        <v>0.105024710585317</v>
      </c>
      <c r="D1323" s="14" t="n">
        <f aca="false">Summary!$B$5-B1323</f>
        <v>5067.42861402239</v>
      </c>
      <c r="E1323" s="15" t="n">
        <f aca="false">B1323/Summary!$B$5-1</f>
        <v>-0.0506742861402238</v>
      </c>
    </row>
    <row r="1324" customFormat="false" ht="15" hidden="false" customHeight="false" outlineLevel="0" collapsed="false">
      <c r="A1324" s="0" t="n">
        <v>1323</v>
      </c>
      <c r="B1324" s="14" t="n">
        <v>101113.784648641</v>
      </c>
      <c r="C1324" s="15" t="n">
        <v>0.133061502862209</v>
      </c>
      <c r="D1324" s="14" t="n">
        <f aca="false">Summary!$B$5-B1324</f>
        <v>-1113.7846486413</v>
      </c>
      <c r="E1324" s="15" t="n">
        <f aca="false">B1324/Summary!$B$5-1</f>
        <v>0.0111378464864131</v>
      </c>
    </row>
    <row r="1325" customFormat="false" ht="15" hidden="false" customHeight="false" outlineLevel="0" collapsed="false">
      <c r="A1325" s="0" t="n">
        <v>1324</v>
      </c>
      <c r="B1325" s="14" t="n">
        <v>123296.778876009</v>
      </c>
      <c r="C1325" s="15" t="n">
        <v>0.040637690143928</v>
      </c>
      <c r="D1325" s="14" t="n">
        <f aca="false">Summary!$B$5-B1325</f>
        <v>-23296.7788760089</v>
      </c>
      <c r="E1325" s="15" t="n">
        <f aca="false">B1325/Summary!$B$5-1</f>
        <v>0.232967788760089</v>
      </c>
    </row>
    <row r="1326" customFormat="false" ht="15" hidden="false" customHeight="false" outlineLevel="0" collapsed="false">
      <c r="A1326" s="0" t="n">
        <v>1325</v>
      </c>
      <c r="B1326" s="14" t="n">
        <v>101458.6986385</v>
      </c>
      <c r="C1326" s="15" t="n">
        <v>0.154849606967306</v>
      </c>
      <c r="D1326" s="14" t="n">
        <f aca="false">Summary!$B$5-B1326</f>
        <v>-1458.69863850001</v>
      </c>
      <c r="E1326" s="15" t="n">
        <f aca="false">B1326/Summary!$B$5-1</f>
        <v>0.0145869863850001</v>
      </c>
    </row>
    <row r="1327" customFormat="false" ht="15" hidden="false" customHeight="false" outlineLevel="0" collapsed="false">
      <c r="A1327" s="0" t="n">
        <v>1326</v>
      </c>
      <c r="B1327" s="14" t="n">
        <v>110492.510361084</v>
      </c>
      <c r="C1327" s="15" t="n">
        <v>0.0824514398017666</v>
      </c>
      <c r="D1327" s="14" t="n">
        <f aca="false">Summary!$B$5-B1327</f>
        <v>-10492.5103610841</v>
      </c>
      <c r="E1327" s="15" t="n">
        <f aca="false">B1327/Summary!$B$5-1</f>
        <v>0.104925103610841</v>
      </c>
    </row>
    <row r="1328" customFormat="false" ht="15" hidden="false" customHeight="false" outlineLevel="0" collapsed="false">
      <c r="A1328" s="0" t="n">
        <v>1327</v>
      </c>
      <c r="B1328" s="14" t="n">
        <v>106417.896155716</v>
      </c>
      <c r="C1328" s="15" t="n">
        <v>0.117101130249877</v>
      </c>
      <c r="D1328" s="14" t="n">
        <f aca="false">Summary!$B$5-B1328</f>
        <v>-6417.8961557161</v>
      </c>
      <c r="E1328" s="15" t="n">
        <f aca="false">B1328/Summary!$B$5-1</f>
        <v>0.0641789615571609</v>
      </c>
    </row>
    <row r="1329" customFormat="false" ht="15" hidden="false" customHeight="false" outlineLevel="0" collapsed="false">
      <c r="A1329" s="0" t="n">
        <v>1328</v>
      </c>
      <c r="B1329" s="14" t="n">
        <v>99519.9152763423</v>
      </c>
      <c r="C1329" s="15" t="n">
        <v>0.110889801072842</v>
      </c>
      <c r="D1329" s="14" t="n">
        <f aca="false">Summary!$B$5-B1329</f>
        <v>480.084723657725</v>
      </c>
      <c r="E1329" s="15" t="n">
        <f aca="false">B1329/Summary!$B$5-1</f>
        <v>-0.00480084723657726</v>
      </c>
    </row>
    <row r="1330" customFormat="false" ht="15" hidden="false" customHeight="false" outlineLevel="0" collapsed="false">
      <c r="A1330" s="0" t="n">
        <v>1329</v>
      </c>
      <c r="B1330" s="14" t="n">
        <v>88382.8609517676</v>
      </c>
      <c r="C1330" s="15" t="n">
        <v>0.145465562884311</v>
      </c>
      <c r="D1330" s="14" t="n">
        <f aca="false">Summary!$B$5-B1330</f>
        <v>11617.1390482324</v>
      </c>
      <c r="E1330" s="15" t="n">
        <f aca="false">B1330/Summary!$B$5-1</f>
        <v>-0.116171390482324</v>
      </c>
    </row>
    <row r="1331" customFormat="false" ht="15" hidden="false" customHeight="false" outlineLevel="0" collapsed="false">
      <c r="A1331" s="0" t="n">
        <v>1330</v>
      </c>
      <c r="B1331" s="14" t="n">
        <v>114403.200143528</v>
      </c>
      <c r="C1331" s="15" t="n">
        <v>0.0718061750268099</v>
      </c>
      <c r="D1331" s="14" t="n">
        <f aca="false">Summary!$B$5-B1331</f>
        <v>-14403.2001435277</v>
      </c>
      <c r="E1331" s="15" t="n">
        <f aca="false">B1331/Summary!$B$5-1</f>
        <v>0.144032001435277</v>
      </c>
    </row>
    <row r="1332" customFormat="false" ht="15" hidden="false" customHeight="false" outlineLevel="0" collapsed="false">
      <c r="A1332" s="0" t="n">
        <v>1331</v>
      </c>
      <c r="B1332" s="14" t="n">
        <v>117829.934809341</v>
      </c>
      <c r="C1332" s="15" t="n">
        <v>0.0636476215845443</v>
      </c>
      <c r="D1332" s="14" t="n">
        <f aca="false">Summary!$B$5-B1332</f>
        <v>-17829.9348093413</v>
      </c>
      <c r="E1332" s="15" t="n">
        <f aca="false">B1332/Summary!$B$5-1</f>
        <v>0.178299348093413</v>
      </c>
    </row>
    <row r="1333" customFormat="false" ht="15" hidden="false" customHeight="false" outlineLevel="0" collapsed="false">
      <c r="A1333" s="0" t="n">
        <v>1332</v>
      </c>
      <c r="B1333" s="14" t="n">
        <v>86759.7329904658</v>
      </c>
      <c r="C1333" s="15" t="n">
        <v>0.153435105617258</v>
      </c>
      <c r="D1333" s="14" t="n">
        <f aca="false">Summary!$B$5-B1333</f>
        <v>13240.2670095342</v>
      </c>
      <c r="E1333" s="15" t="n">
        <f aca="false">B1333/Summary!$B$5-1</f>
        <v>-0.132402670095342</v>
      </c>
    </row>
    <row r="1334" customFormat="false" ht="15" hidden="false" customHeight="false" outlineLevel="0" collapsed="false">
      <c r="A1334" s="0" t="n">
        <v>1333</v>
      </c>
      <c r="B1334" s="14" t="n">
        <v>91689.4671985623</v>
      </c>
      <c r="C1334" s="15" t="n">
        <v>0.167391074834876</v>
      </c>
      <c r="D1334" s="14" t="n">
        <f aca="false">Summary!$B$5-B1334</f>
        <v>8310.53280143772</v>
      </c>
      <c r="E1334" s="15" t="n">
        <f aca="false">B1334/Summary!$B$5-1</f>
        <v>-0.0831053280143772</v>
      </c>
    </row>
    <row r="1335" customFormat="false" ht="15" hidden="false" customHeight="false" outlineLevel="0" collapsed="false">
      <c r="A1335" s="0" t="n">
        <v>1334</v>
      </c>
      <c r="B1335" s="14" t="n">
        <v>110450.094769223</v>
      </c>
      <c r="C1335" s="15" t="n">
        <v>0.0684792799718388</v>
      </c>
      <c r="D1335" s="14" t="n">
        <f aca="false">Summary!$B$5-B1335</f>
        <v>-10450.0947692228</v>
      </c>
      <c r="E1335" s="15" t="n">
        <f aca="false">B1335/Summary!$B$5-1</f>
        <v>0.104500947692228</v>
      </c>
    </row>
    <row r="1336" customFormat="false" ht="15" hidden="false" customHeight="false" outlineLevel="0" collapsed="false">
      <c r="A1336" s="0" t="n">
        <v>1335</v>
      </c>
      <c r="B1336" s="14" t="n">
        <v>105135.201163027</v>
      </c>
      <c r="C1336" s="15" t="n">
        <v>0.117305353178159</v>
      </c>
      <c r="D1336" s="14" t="n">
        <f aca="false">Summary!$B$5-B1336</f>
        <v>-5135.2011630271</v>
      </c>
      <c r="E1336" s="15" t="n">
        <f aca="false">B1336/Summary!$B$5-1</f>
        <v>0.051352011630271</v>
      </c>
    </row>
    <row r="1337" customFormat="false" ht="15" hidden="false" customHeight="false" outlineLevel="0" collapsed="false">
      <c r="A1337" s="0" t="n">
        <v>1336</v>
      </c>
      <c r="B1337" s="14" t="n">
        <v>91426.3423979458</v>
      </c>
      <c r="C1337" s="15" t="n">
        <v>0.163877662112922</v>
      </c>
      <c r="D1337" s="14" t="n">
        <f aca="false">Summary!$B$5-B1337</f>
        <v>8573.65760205417</v>
      </c>
      <c r="E1337" s="15" t="n">
        <f aca="false">B1337/Summary!$B$5-1</f>
        <v>-0.0857365760205416</v>
      </c>
    </row>
    <row r="1338" customFormat="false" ht="15" hidden="false" customHeight="false" outlineLevel="0" collapsed="false">
      <c r="A1338" s="0" t="n">
        <v>1337</v>
      </c>
      <c r="B1338" s="14" t="n">
        <v>106957.518038959</v>
      </c>
      <c r="C1338" s="15" t="n">
        <v>0.116407444321566</v>
      </c>
      <c r="D1338" s="14" t="n">
        <f aca="false">Summary!$B$5-B1338</f>
        <v>-6957.5180389592</v>
      </c>
      <c r="E1338" s="15" t="n">
        <f aca="false">B1338/Summary!$B$5-1</f>
        <v>0.0695751803895921</v>
      </c>
    </row>
    <row r="1339" customFormat="false" ht="15" hidden="false" customHeight="false" outlineLevel="0" collapsed="false">
      <c r="A1339" s="0" t="n">
        <v>1338</v>
      </c>
      <c r="B1339" s="14" t="n">
        <v>101177.471611484</v>
      </c>
      <c r="C1339" s="15" t="n">
        <v>0.091068126907347</v>
      </c>
      <c r="D1339" s="14" t="n">
        <f aca="false">Summary!$B$5-B1339</f>
        <v>-1177.4716114836</v>
      </c>
      <c r="E1339" s="15" t="n">
        <f aca="false">B1339/Summary!$B$5-1</f>
        <v>0.011774716114836</v>
      </c>
    </row>
    <row r="1340" customFormat="false" ht="15" hidden="false" customHeight="false" outlineLevel="0" collapsed="false">
      <c r="A1340" s="0" t="n">
        <v>1339</v>
      </c>
      <c r="B1340" s="14" t="n">
        <v>114116.985563998</v>
      </c>
      <c r="C1340" s="15" t="n">
        <v>0.0869765807845786</v>
      </c>
      <c r="D1340" s="14" t="n">
        <f aca="false">Summary!$B$5-B1340</f>
        <v>-14116.9855639975</v>
      </c>
      <c r="E1340" s="15" t="n">
        <f aca="false">B1340/Summary!$B$5-1</f>
        <v>0.141169855639975</v>
      </c>
    </row>
    <row r="1341" customFormat="false" ht="15" hidden="false" customHeight="false" outlineLevel="0" collapsed="false">
      <c r="A1341" s="0" t="n">
        <v>1340</v>
      </c>
      <c r="B1341" s="14" t="n">
        <v>92754.5342646079</v>
      </c>
      <c r="C1341" s="15" t="n">
        <v>0.146122632912146</v>
      </c>
      <c r="D1341" s="14" t="n">
        <f aca="false">Summary!$B$5-B1341</f>
        <v>7245.46573539215</v>
      </c>
      <c r="E1341" s="15" t="n">
        <f aca="false">B1341/Summary!$B$5-1</f>
        <v>-0.0724546573539215</v>
      </c>
    </row>
    <row r="1342" customFormat="false" ht="15" hidden="false" customHeight="false" outlineLevel="0" collapsed="false">
      <c r="A1342" s="0" t="n">
        <v>1341</v>
      </c>
      <c r="B1342" s="14" t="n">
        <v>105692.77069193</v>
      </c>
      <c r="C1342" s="15" t="n">
        <v>0.114230873315055</v>
      </c>
      <c r="D1342" s="14" t="n">
        <f aca="false">Summary!$B$5-B1342</f>
        <v>-5692.77069192971</v>
      </c>
      <c r="E1342" s="15" t="n">
        <f aca="false">B1342/Summary!$B$5-1</f>
        <v>0.0569277069192971</v>
      </c>
    </row>
    <row r="1343" customFormat="false" ht="15" hidden="false" customHeight="false" outlineLevel="0" collapsed="false">
      <c r="A1343" s="0" t="n">
        <v>1342</v>
      </c>
      <c r="B1343" s="14" t="n">
        <v>107254.410025101</v>
      </c>
      <c r="C1343" s="15" t="n">
        <v>0.0559948747075325</v>
      </c>
      <c r="D1343" s="14" t="n">
        <f aca="false">Summary!$B$5-B1343</f>
        <v>-7254.4100251007</v>
      </c>
      <c r="E1343" s="15" t="n">
        <f aca="false">B1343/Summary!$B$5-1</f>
        <v>0.072544100251007</v>
      </c>
    </row>
    <row r="1344" customFormat="false" ht="15" hidden="false" customHeight="false" outlineLevel="0" collapsed="false">
      <c r="A1344" s="0" t="n">
        <v>1343</v>
      </c>
      <c r="B1344" s="14" t="n">
        <v>89263.1536955103</v>
      </c>
      <c r="C1344" s="15" t="n">
        <v>0.140300825933756</v>
      </c>
      <c r="D1344" s="14" t="n">
        <f aca="false">Summary!$B$5-B1344</f>
        <v>10736.8463044897</v>
      </c>
      <c r="E1344" s="15" t="n">
        <f aca="false">B1344/Summary!$B$5-1</f>
        <v>-0.107368463044897</v>
      </c>
    </row>
    <row r="1345" customFormat="false" ht="15" hidden="false" customHeight="false" outlineLevel="0" collapsed="false">
      <c r="A1345" s="0" t="n">
        <v>1344</v>
      </c>
      <c r="B1345" s="14" t="n">
        <v>116168.104817215</v>
      </c>
      <c r="C1345" s="15" t="n">
        <v>0.0887055855649255</v>
      </c>
      <c r="D1345" s="14" t="n">
        <f aca="false">Summary!$B$5-B1345</f>
        <v>-16168.1048172148</v>
      </c>
      <c r="E1345" s="15" t="n">
        <f aca="false">B1345/Summary!$B$5-1</f>
        <v>0.161681048172148</v>
      </c>
    </row>
    <row r="1346" customFormat="false" ht="15" hidden="false" customHeight="false" outlineLevel="0" collapsed="false">
      <c r="A1346" s="0" t="n">
        <v>1345</v>
      </c>
      <c r="B1346" s="14" t="n">
        <v>108005.783786811</v>
      </c>
      <c r="C1346" s="15" t="n">
        <v>0.116041375414695</v>
      </c>
      <c r="D1346" s="14" t="n">
        <f aca="false">Summary!$B$5-B1346</f>
        <v>-8005.7837868108</v>
      </c>
      <c r="E1346" s="15" t="n">
        <f aca="false">B1346/Summary!$B$5-1</f>
        <v>0.0800578378681081</v>
      </c>
    </row>
    <row r="1347" customFormat="false" ht="15" hidden="false" customHeight="false" outlineLevel="0" collapsed="false">
      <c r="A1347" s="0" t="n">
        <v>1346</v>
      </c>
      <c r="B1347" s="14" t="n">
        <v>109634.596277022</v>
      </c>
      <c r="C1347" s="15" t="n">
        <v>0.11531242805535</v>
      </c>
      <c r="D1347" s="14" t="n">
        <f aca="false">Summary!$B$5-B1347</f>
        <v>-9634.59627702191</v>
      </c>
      <c r="E1347" s="15" t="n">
        <f aca="false">B1347/Summary!$B$5-1</f>
        <v>0.096345962770219</v>
      </c>
    </row>
    <row r="1348" customFormat="false" ht="15" hidden="false" customHeight="false" outlineLevel="0" collapsed="false">
      <c r="A1348" s="0" t="n">
        <v>1347</v>
      </c>
      <c r="B1348" s="14" t="n">
        <v>98583.7410395054</v>
      </c>
      <c r="C1348" s="15" t="n">
        <v>0.0935101024394032</v>
      </c>
      <c r="D1348" s="14" t="n">
        <f aca="false">Summary!$B$5-B1348</f>
        <v>1416.25896049458</v>
      </c>
      <c r="E1348" s="15" t="n">
        <f aca="false">B1348/Summary!$B$5-1</f>
        <v>-0.0141625896049459</v>
      </c>
    </row>
    <row r="1349" customFormat="false" ht="15" hidden="false" customHeight="false" outlineLevel="0" collapsed="false">
      <c r="A1349" s="0" t="n">
        <v>1348</v>
      </c>
      <c r="B1349" s="14" t="n">
        <v>99191.8850830804</v>
      </c>
      <c r="C1349" s="15" t="n">
        <v>0.112666108245244</v>
      </c>
      <c r="D1349" s="14" t="n">
        <f aca="false">Summary!$B$5-B1349</f>
        <v>808.114916919614</v>
      </c>
      <c r="E1349" s="15" t="n">
        <f aca="false">B1349/Summary!$B$5-1</f>
        <v>-0.00808114916919611</v>
      </c>
    </row>
    <row r="1350" customFormat="false" ht="15" hidden="false" customHeight="false" outlineLevel="0" collapsed="false">
      <c r="A1350" s="0" t="n">
        <v>1349</v>
      </c>
      <c r="B1350" s="14" t="n">
        <v>113099.371979862</v>
      </c>
      <c r="C1350" s="15" t="n">
        <v>0.0750465861393671</v>
      </c>
      <c r="D1350" s="14" t="n">
        <f aca="false">Summary!$B$5-B1350</f>
        <v>-13099.3719798617</v>
      </c>
      <c r="E1350" s="15" t="n">
        <f aca="false">B1350/Summary!$B$5-1</f>
        <v>0.130993719798617</v>
      </c>
    </row>
    <row r="1351" customFormat="false" ht="15" hidden="false" customHeight="false" outlineLevel="0" collapsed="false">
      <c r="A1351" s="0" t="n">
        <v>1350</v>
      </c>
      <c r="B1351" s="14" t="n">
        <v>124025.545732665</v>
      </c>
      <c r="C1351" s="15" t="n">
        <v>0.0832114239623266</v>
      </c>
      <c r="D1351" s="14" t="n">
        <f aca="false">Summary!$B$5-B1351</f>
        <v>-24025.5457326652</v>
      </c>
      <c r="E1351" s="15" t="n">
        <f aca="false">B1351/Summary!$B$5-1</f>
        <v>0.240255457326652</v>
      </c>
    </row>
    <row r="1352" customFormat="false" ht="15" hidden="false" customHeight="false" outlineLevel="0" collapsed="false">
      <c r="A1352" s="0" t="n">
        <v>1351</v>
      </c>
      <c r="B1352" s="14" t="n">
        <v>96443.1607273402</v>
      </c>
      <c r="C1352" s="15" t="n">
        <v>0.129713558204098</v>
      </c>
      <c r="D1352" s="14" t="n">
        <f aca="false">Summary!$B$5-B1352</f>
        <v>3556.83927265983</v>
      </c>
      <c r="E1352" s="15" t="n">
        <f aca="false">B1352/Summary!$B$5-1</f>
        <v>-0.0355683927265983</v>
      </c>
    </row>
    <row r="1353" customFormat="false" ht="15" hidden="false" customHeight="false" outlineLevel="0" collapsed="false">
      <c r="A1353" s="0" t="n">
        <v>1352</v>
      </c>
      <c r="B1353" s="14" t="n">
        <v>101887.61342522</v>
      </c>
      <c r="C1353" s="15" t="n">
        <v>0.12981824785268</v>
      </c>
      <c r="D1353" s="14" t="n">
        <f aca="false">Summary!$B$5-B1353</f>
        <v>-1887.6134252198</v>
      </c>
      <c r="E1353" s="15" t="n">
        <f aca="false">B1353/Summary!$B$5-1</f>
        <v>0.0188761342521979</v>
      </c>
    </row>
    <row r="1354" customFormat="false" ht="15" hidden="false" customHeight="false" outlineLevel="0" collapsed="false">
      <c r="A1354" s="0" t="n">
        <v>1353</v>
      </c>
      <c r="B1354" s="14" t="n">
        <v>107812.883614062</v>
      </c>
      <c r="C1354" s="15" t="n">
        <v>0.116826708592714</v>
      </c>
      <c r="D1354" s="14" t="n">
        <f aca="false">Summary!$B$5-B1354</f>
        <v>-7812.8836140616</v>
      </c>
      <c r="E1354" s="15" t="n">
        <f aca="false">B1354/Summary!$B$5-1</f>
        <v>0.0781288361406161</v>
      </c>
    </row>
    <row r="1355" customFormat="false" ht="15" hidden="false" customHeight="false" outlineLevel="0" collapsed="false">
      <c r="A1355" s="0" t="n">
        <v>1354</v>
      </c>
      <c r="B1355" s="14" t="n">
        <v>91041.1682135369</v>
      </c>
      <c r="C1355" s="15" t="n">
        <v>0.173204379203483</v>
      </c>
      <c r="D1355" s="14" t="n">
        <f aca="false">Summary!$B$5-B1355</f>
        <v>8958.83178646307</v>
      </c>
      <c r="E1355" s="15" t="n">
        <f aca="false">B1355/Summary!$B$5-1</f>
        <v>-0.0895883178646306</v>
      </c>
    </row>
    <row r="1356" customFormat="false" ht="15" hidden="false" customHeight="false" outlineLevel="0" collapsed="false">
      <c r="A1356" s="0" t="n">
        <v>1355</v>
      </c>
      <c r="B1356" s="14" t="n">
        <v>109329.887792756</v>
      </c>
      <c r="C1356" s="15" t="n">
        <v>0.11288436566208</v>
      </c>
      <c r="D1356" s="14" t="n">
        <f aca="false">Summary!$B$5-B1356</f>
        <v>-9329.88779275581</v>
      </c>
      <c r="E1356" s="15" t="n">
        <f aca="false">B1356/Summary!$B$5-1</f>
        <v>0.0932988779275581</v>
      </c>
    </row>
    <row r="1357" customFormat="false" ht="15" hidden="false" customHeight="false" outlineLevel="0" collapsed="false">
      <c r="A1357" s="0" t="n">
        <v>1356</v>
      </c>
      <c r="B1357" s="14" t="n">
        <v>108250.588751568</v>
      </c>
      <c r="C1357" s="15" t="n">
        <v>0.10623138242499</v>
      </c>
      <c r="D1357" s="14" t="n">
        <f aca="false">Summary!$B$5-B1357</f>
        <v>-8250.5887515676</v>
      </c>
      <c r="E1357" s="15" t="n">
        <f aca="false">B1357/Summary!$B$5-1</f>
        <v>0.0825058875156761</v>
      </c>
    </row>
    <row r="1358" customFormat="false" ht="15" hidden="false" customHeight="false" outlineLevel="0" collapsed="false">
      <c r="A1358" s="0" t="n">
        <v>1357</v>
      </c>
      <c r="B1358" s="14" t="n">
        <v>107672.977344627</v>
      </c>
      <c r="C1358" s="15" t="n">
        <v>0.111464640353011</v>
      </c>
      <c r="D1358" s="14" t="n">
        <f aca="false">Summary!$B$5-B1358</f>
        <v>-7672.97734462671</v>
      </c>
      <c r="E1358" s="15" t="n">
        <f aca="false">B1358/Summary!$B$5-1</f>
        <v>0.0767297734462671</v>
      </c>
    </row>
    <row r="1359" customFormat="false" ht="15" hidden="false" customHeight="false" outlineLevel="0" collapsed="false">
      <c r="A1359" s="0" t="n">
        <v>1358</v>
      </c>
      <c r="B1359" s="14" t="n">
        <v>124746.347069111</v>
      </c>
      <c r="C1359" s="15" t="n">
        <v>0.068074307898006</v>
      </c>
      <c r="D1359" s="14" t="n">
        <f aca="false">Summary!$B$5-B1359</f>
        <v>-24746.3470691114</v>
      </c>
      <c r="E1359" s="15" t="n">
        <f aca="false">B1359/Summary!$B$5-1</f>
        <v>0.247463470691114</v>
      </c>
    </row>
    <row r="1360" customFormat="false" ht="15" hidden="false" customHeight="false" outlineLevel="0" collapsed="false">
      <c r="A1360" s="0" t="n">
        <v>1359</v>
      </c>
      <c r="B1360" s="14" t="n">
        <v>104777.071114432</v>
      </c>
      <c r="C1360" s="15" t="n">
        <v>0.131227957800486</v>
      </c>
      <c r="D1360" s="14" t="n">
        <f aca="false">Summary!$B$5-B1360</f>
        <v>-4777.07111443199</v>
      </c>
      <c r="E1360" s="15" t="n">
        <f aca="false">B1360/Summary!$B$5-1</f>
        <v>0.04777071114432</v>
      </c>
    </row>
    <row r="1361" customFormat="false" ht="15" hidden="false" customHeight="false" outlineLevel="0" collapsed="false">
      <c r="A1361" s="0" t="n">
        <v>1360</v>
      </c>
      <c r="B1361" s="14" t="n">
        <v>104017.855038735</v>
      </c>
      <c r="C1361" s="15" t="n">
        <v>0.0910106152052647</v>
      </c>
      <c r="D1361" s="14" t="n">
        <f aca="false">Summary!$B$5-B1361</f>
        <v>-4017.85503873479</v>
      </c>
      <c r="E1361" s="15" t="n">
        <f aca="false">B1361/Summary!$B$5-1</f>
        <v>0.040178550387348</v>
      </c>
    </row>
    <row r="1362" customFormat="false" ht="15" hidden="false" customHeight="false" outlineLevel="0" collapsed="false">
      <c r="A1362" s="0" t="n">
        <v>1361</v>
      </c>
      <c r="B1362" s="14" t="n">
        <v>103527.743269934</v>
      </c>
      <c r="C1362" s="15" t="n">
        <v>0.115357525647877</v>
      </c>
      <c r="D1362" s="14" t="n">
        <f aca="false">Summary!$B$5-B1362</f>
        <v>-3527.74326993369</v>
      </c>
      <c r="E1362" s="15" t="n">
        <f aca="false">B1362/Summary!$B$5-1</f>
        <v>0.035277432699337</v>
      </c>
    </row>
    <row r="1363" customFormat="false" ht="15" hidden="false" customHeight="false" outlineLevel="0" collapsed="false">
      <c r="A1363" s="0" t="n">
        <v>1362</v>
      </c>
      <c r="B1363" s="14" t="n">
        <v>113208.837274285</v>
      </c>
      <c r="C1363" s="15" t="n">
        <v>0.0617914230486502</v>
      </c>
      <c r="D1363" s="14" t="n">
        <f aca="false">Summary!$B$5-B1363</f>
        <v>-13208.8372742848</v>
      </c>
      <c r="E1363" s="15" t="n">
        <f aca="false">B1363/Summary!$B$5-1</f>
        <v>0.132088372742848</v>
      </c>
    </row>
    <row r="1364" customFormat="false" ht="15" hidden="false" customHeight="false" outlineLevel="0" collapsed="false">
      <c r="A1364" s="0" t="n">
        <v>1363</v>
      </c>
      <c r="B1364" s="14" t="n">
        <v>91294.0903291624</v>
      </c>
      <c r="C1364" s="15" t="n">
        <v>0.139254050255551</v>
      </c>
      <c r="D1364" s="14" t="n">
        <f aca="false">Summary!$B$5-B1364</f>
        <v>8705.90967083763</v>
      </c>
      <c r="E1364" s="15" t="n">
        <f aca="false">B1364/Summary!$B$5-1</f>
        <v>-0.0870590967083763</v>
      </c>
    </row>
    <row r="1365" customFormat="false" ht="15" hidden="false" customHeight="false" outlineLevel="0" collapsed="false">
      <c r="A1365" s="0" t="n">
        <v>1364</v>
      </c>
      <c r="B1365" s="14" t="n">
        <v>124109.804303336</v>
      </c>
      <c r="C1365" s="15" t="n">
        <v>0.0917281522185569</v>
      </c>
      <c r="D1365" s="14" t="n">
        <f aca="false">Summary!$B$5-B1365</f>
        <v>-24109.804303336</v>
      </c>
      <c r="E1365" s="15" t="n">
        <f aca="false">B1365/Summary!$B$5-1</f>
        <v>0.24109804303336</v>
      </c>
    </row>
    <row r="1366" customFormat="false" ht="15" hidden="false" customHeight="false" outlineLevel="0" collapsed="false">
      <c r="A1366" s="0" t="n">
        <v>1365</v>
      </c>
      <c r="B1366" s="14" t="n">
        <v>97094.7167566755</v>
      </c>
      <c r="C1366" s="15" t="n">
        <v>0.103238049981214</v>
      </c>
      <c r="D1366" s="14" t="n">
        <f aca="false">Summary!$B$5-B1366</f>
        <v>2905.28324332455</v>
      </c>
      <c r="E1366" s="15" t="n">
        <f aca="false">B1366/Summary!$B$5-1</f>
        <v>-0.0290528324332455</v>
      </c>
    </row>
    <row r="1367" customFormat="false" ht="15" hidden="false" customHeight="false" outlineLevel="0" collapsed="false">
      <c r="A1367" s="0" t="n">
        <v>1366</v>
      </c>
      <c r="B1367" s="14" t="n">
        <v>91963.929549289</v>
      </c>
      <c r="C1367" s="15" t="n">
        <v>0.139054709134546</v>
      </c>
      <c r="D1367" s="14" t="n">
        <f aca="false">Summary!$B$5-B1367</f>
        <v>8036.07045071096</v>
      </c>
      <c r="E1367" s="15" t="n">
        <f aca="false">B1367/Summary!$B$5-1</f>
        <v>-0.0803607045071096</v>
      </c>
    </row>
    <row r="1368" customFormat="false" ht="15" hidden="false" customHeight="false" outlineLevel="0" collapsed="false">
      <c r="A1368" s="0" t="n">
        <v>1367</v>
      </c>
      <c r="B1368" s="14" t="n">
        <v>94721.2272573026</v>
      </c>
      <c r="C1368" s="15" t="n">
        <v>0.120137679744592</v>
      </c>
      <c r="D1368" s="14" t="n">
        <f aca="false">Summary!$B$5-B1368</f>
        <v>5278.77274269742</v>
      </c>
      <c r="E1368" s="15" t="n">
        <f aca="false">B1368/Summary!$B$5-1</f>
        <v>-0.0527877274269741</v>
      </c>
    </row>
    <row r="1369" customFormat="false" ht="15" hidden="false" customHeight="false" outlineLevel="0" collapsed="false">
      <c r="A1369" s="0" t="n">
        <v>1368</v>
      </c>
      <c r="B1369" s="14" t="n">
        <v>95931.8120192473</v>
      </c>
      <c r="C1369" s="15" t="n">
        <v>0.0799141391402539</v>
      </c>
      <c r="D1369" s="14" t="n">
        <f aca="false">Summary!$B$5-B1369</f>
        <v>4068.18798075266</v>
      </c>
      <c r="E1369" s="15" t="n">
        <f aca="false">B1369/Summary!$B$5-1</f>
        <v>-0.0406818798075266</v>
      </c>
    </row>
    <row r="1370" customFormat="false" ht="15" hidden="false" customHeight="false" outlineLevel="0" collapsed="false">
      <c r="A1370" s="0" t="n">
        <v>1369</v>
      </c>
      <c r="B1370" s="14" t="n">
        <v>117988.96115421</v>
      </c>
      <c r="C1370" s="15" t="n">
        <v>0.0509454608125632</v>
      </c>
      <c r="D1370" s="14" t="n">
        <f aca="false">Summary!$B$5-B1370</f>
        <v>-17988.9611542099</v>
      </c>
      <c r="E1370" s="15" t="n">
        <f aca="false">B1370/Summary!$B$5-1</f>
        <v>0.179889611542099</v>
      </c>
    </row>
    <row r="1371" customFormat="false" ht="15" hidden="false" customHeight="false" outlineLevel="0" collapsed="false">
      <c r="A1371" s="0" t="n">
        <v>1370</v>
      </c>
      <c r="B1371" s="14" t="n">
        <v>113491.617402225</v>
      </c>
      <c r="C1371" s="15" t="n">
        <v>0.121713604367098</v>
      </c>
      <c r="D1371" s="14" t="n">
        <f aca="false">Summary!$B$5-B1371</f>
        <v>-13491.6174022245</v>
      </c>
      <c r="E1371" s="15" t="n">
        <f aca="false">B1371/Summary!$B$5-1</f>
        <v>0.134916174022245</v>
      </c>
    </row>
    <row r="1372" customFormat="false" ht="15" hidden="false" customHeight="false" outlineLevel="0" collapsed="false">
      <c r="A1372" s="0" t="n">
        <v>1371</v>
      </c>
      <c r="B1372" s="14" t="n">
        <v>94800.4222656494</v>
      </c>
      <c r="C1372" s="15" t="n">
        <v>0.123343686421931</v>
      </c>
      <c r="D1372" s="14" t="n">
        <f aca="false">Summary!$B$5-B1372</f>
        <v>5199.57773435056</v>
      </c>
      <c r="E1372" s="15" t="n">
        <f aca="false">B1372/Summary!$B$5-1</f>
        <v>-0.0519957773435056</v>
      </c>
    </row>
    <row r="1373" customFormat="false" ht="15" hidden="false" customHeight="false" outlineLevel="0" collapsed="false">
      <c r="A1373" s="0" t="n">
        <v>1372</v>
      </c>
      <c r="B1373" s="14" t="n">
        <v>113048.675071117</v>
      </c>
      <c r="C1373" s="15" t="n">
        <v>0.178112325863737</v>
      </c>
      <c r="D1373" s="14" t="n">
        <f aca="false">Summary!$B$5-B1373</f>
        <v>-13048.6750711167</v>
      </c>
      <c r="E1373" s="15" t="n">
        <f aca="false">B1373/Summary!$B$5-1</f>
        <v>0.130486750711167</v>
      </c>
    </row>
    <row r="1374" customFormat="false" ht="15" hidden="false" customHeight="false" outlineLevel="0" collapsed="false">
      <c r="A1374" s="0" t="n">
        <v>1373</v>
      </c>
      <c r="B1374" s="14" t="n">
        <v>132246.278816405</v>
      </c>
      <c r="C1374" s="15" t="n">
        <v>0.0652687804849876</v>
      </c>
      <c r="D1374" s="14" t="n">
        <f aca="false">Summary!$B$5-B1374</f>
        <v>-32246.2788164045</v>
      </c>
      <c r="E1374" s="15" t="n">
        <f aca="false">B1374/Summary!$B$5-1</f>
        <v>0.322462788164045</v>
      </c>
    </row>
    <row r="1375" customFormat="false" ht="15" hidden="false" customHeight="false" outlineLevel="0" collapsed="false">
      <c r="A1375" s="0" t="n">
        <v>1374</v>
      </c>
      <c r="B1375" s="14" t="n">
        <v>115585.116591998</v>
      </c>
      <c r="C1375" s="15" t="n">
        <v>0.0568695705650761</v>
      </c>
      <c r="D1375" s="14" t="n">
        <f aca="false">Summary!$B$5-B1375</f>
        <v>-15585.1165919977</v>
      </c>
      <c r="E1375" s="15" t="n">
        <f aca="false">B1375/Summary!$B$5-1</f>
        <v>0.155851165919977</v>
      </c>
    </row>
    <row r="1376" customFormat="false" ht="15" hidden="false" customHeight="false" outlineLevel="0" collapsed="false">
      <c r="A1376" s="0" t="n">
        <v>1375</v>
      </c>
      <c r="B1376" s="14" t="n">
        <v>100109.126347959</v>
      </c>
      <c r="C1376" s="15" t="n">
        <v>0.112928246388495</v>
      </c>
      <c r="D1376" s="14" t="n">
        <f aca="false">Summary!$B$5-B1376</f>
        <v>-109.1263479591</v>
      </c>
      <c r="E1376" s="15" t="n">
        <f aca="false">B1376/Summary!$B$5-1</f>
        <v>0.00109126347959099</v>
      </c>
    </row>
    <row r="1377" customFormat="false" ht="15" hidden="false" customHeight="false" outlineLevel="0" collapsed="false">
      <c r="A1377" s="0" t="n">
        <v>1376</v>
      </c>
      <c r="B1377" s="14" t="n">
        <v>127037.807431743</v>
      </c>
      <c r="C1377" s="15" t="n">
        <v>0.0584456589028968</v>
      </c>
      <c r="D1377" s="14" t="n">
        <f aca="false">Summary!$B$5-B1377</f>
        <v>-27037.8074317427</v>
      </c>
      <c r="E1377" s="15" t="n">
        <f aca="false">B1377/Summary!$B$5-1</f>
        <v>0.270378074317427</v>
      </c>
    </row>
    <row r="1378" customFormat="false" ht="15" hidden="false" customHeight="false" outlineLevel="0" collapsed="false">
      <c r="A1378" s="0" t="n">
        <v>1377</v>
      </c>
      <c r="B1378" s="14" t="n">
        <v>96685.8782523013</v>
      </c>
      <c r="C1378" s="15" t="n">
        <v>0.144483154207345</v>
      </c>
      <c r="D1378" s="14" t="n">
        <f aca="false">Summary!$B$5-B1378</f>
        <v>3314.12174769869</v>
      </c>
      <c r="E1378" s="15" t="n">
        <f aca="false">B1378/Summary!$B$5-1</f>
        <v>-0.033141217476987</v>
      </c>
    </row>
    <row r="1379" customFormat="false" ht="15" hidden="false" customHeight="false" outlineLevel="0" collapsed="false">
      <c r="A1379" s="0" t="n">
        <v>1378</v>
      </c>
      <c r="B1379" s="14" t="n">
        <v>110911.10433228</v>
      </c>
      <c r="C1379" s="15" t="n">
        <v>0.109004556885036</v>
      </c>
      <c r="D1379" s="14" t="n">
        <f aca="false">Summary!$B$5-B1379</f>
        <v>-10911.1043322797</v>
      </c>
      <c r="E1379" s="15" t="n">
        <f aca="false">B1379/Summary!$B$5-1</f>
        <v>0.109111043322797</v>
      </c>
    </row>
    <row r="1380" customFormat="false" ht="15" hidden="false" customHeight="false" outlineLevel="0" collapsed="false">
      <c r="A1380" s="0" t="n">
        <v>1379</v>
      </c>
      <c r="B1380" s="14" t="n">
        <v>111837.231387645</v>
      </c>
      <c r="C1380" s="15" t="n">
        <v>0.087726573367848</v>
      </c>
      <c r="D1380" s="14" t="n">
        <f aca="false">Summary!$B$5-B1380</f>
        <v>-11837.2313876446</v>
      </c>
      <c r="E1380" s="15" t="n">
        <f aca="false">B1380/Summary!$B$5-1</f>
        <v>0.118372313876446</v>
      </c>
    </row>
    <row r="1381" customFormat="false" ht="15" hidden="false" customHeight="false" outlineLevel="0" collapsed="false">
      <c r="A1381" s="0" t="n">
        <v>1380</v>
      </c>
      <c r="B1381" s="14" t="n">
        <v>118473.779560304</v>
      </c>
      <c r="C1381" s="15" t="n">
        <v>0.0596611600133071</v>
      </c>
      <c r="D1381" s="14" t="n">
        <f aca="false">Summary!$B$5-B1381</f>
        <v>-18473.7795603041</v>
      </c>
      <c r="E1381" s="15" t="n">
        <f aca="false">B1381/Summary!$B$5-1</f>
        <v>0.184737795603041</v>
      </c>
    </row>
    <row r="1382" customFormat="false" ht="15" hidden="false" customHeight="false" outlineLevel="0" collapsed="false">
      <c r="A1382" s="0" t="n">
        <v>1381</v>
      </c>
      <c r="B1382" s="14" t="n">
        <v>80859.4013263518</v>
      </c>
      <c r="C1382" s="15" t="n">
        <v>0.204643648064352</v>
      </c>
      <c r="D1382" s="14" t="n">
        <f aca="false">Summary!$B$5-B1382</f>
        <v>19140.5986736482</v>
      </c>
      <c r="E1382" s="15" t="n">
        <f aca="false">B1382/Summary!$B$5-1</f>
        <v>-0.191405986736482</v>
      </c>
    </row>
    <row r="1383" customFormat="false" ht="15" hidden="false" customHeight="false" outlineLevel="0" collapsed="false">
      <c r="A1383" s="0" t="n">
        <v>1382</v>
      </c>
      <c r="B1383" s="14" t="n">
        <v>111444.073298716</v>
      </c>
      <c r="C1383" s="15" t="n">
        <v>0.0529568666427585</v>
      </c>
      <c r="D1383" s="14" t="n">
        <f aca="false">Summary!$B$5-B1383</f>
        <v>-11444.0732987163</v>
      </c>
      <c r="E1383" s="15" t="n">
        <f aca="false">B1383/Summary!$B$5-1</f>
        <v>0.114440732987163</v>
      </c>
    </row>
    <row r="1384" customFormat="false" ht="15" hidden="false" customHeight="false" outlineLevel="0" collapsed="false">
      <c r="A1384" s="0" t="n">
        <v>1383</v>
      </c>
      <c r="B1384" s="14" t="n">
        <v>99328.0207219824</v>
      </c>
      <c r="C1384" s="15" t="n">
        <v>0.0811809076526001</v>
      </c>
      <c r="D1384" s="14" t="n">
        <f aca="false">Summary!$B$5-B1384</f>
        <v>671.979278017563</v>
      </c>
      <c r="E1384" s="15" t="n">
        <f aca="false">B1384/Summary!$B$5-1</f>
        <v>-0.00671979278017565</v>
      </c>
    </row>
    <row r="1385" customFormat="false" ht="15" hidden="false" customHeight="false" outlineLevel="0" collapsed="false">
      <c r="A1385" s="0" t="n">
        <v>1384</v>
      </c>
      <c r="B1385" s="14" t="n">
        <v>115208.93042258</v>
      </c>
      <c r="C1385" s="15" t="n">
        <v>0.0582563035156143</v>
      </c>
      <c r="D1385" s="14" t="n">
        <f aca="false">Summary!$B$5-B1385</f>
        <v>-15208.93042258</v>
      </c>
      <c r="E1385" s="15" t="n">
        <f aca="false">B1385/Summary!$B$5-1</f>
        <v>0.1520893042258</v>
      </c>
    </row>
    <row r="1386" customFormat="false" ht="15" hidden="false" customHeight="false" outlineLevel="0" collapsed="false">
      <c r="A1386" s="0" t="n">
        <v>1385</v>
      </c>
      <c r="B1386" s="14" t="n">
        <v>102193.382388842</v>
      </c>
      <c r="C1386" s="15" t="n">
        <v>0.0890607949080138</v>
      </c>
      <c r="D1386" s="14" t="n">
        <f aca="false">Summary!$B$5-B1386</f>
        <v>-2193.38238884221</v>
      </c>
      <c r="E1386" s="15" t="n">
        <f aca="false">B1386/Summary!$B$5-1</f>
        <v>0.0219338238884221</v>
      </c>
    </row>
    <row r="1387" customFormat="false" ht="15" hidden="false" customHeight="false" outlineLevel="0" collapsed="false">
      <c r="A1387" s="0" t="n">
        <v>1386</v>
      </c>
      <c r="B1387" s="14" t="n">
        <v>101070.861018373</v>
      </c>
      <c r="C1387" s="15" t="n">
        <v>0.0872681957983347</v>
      </c>
      <c r="D1387" s="14" t="n">
        <f aca="false">Summary!$B$5-B1387</f>
        <v>-1070.86101837301</v>
      </c>
      <c r="E1387" s="15" t="n">
        <f aca="false">B1387/Summary!$B$5-1</f>
        <v>0.0107086101837302</v>
      </c>
    </row>
    <row r="1388" customFormat="false" ht="15" hidden="false" customHeight="false" outlineLevel="0" collapsed="false">
      <c r="A1388" s="0" t="n">
        <v>1387</v>
      </c>
      <c r="B1388" s="14" t="n">
        <v>88172.4584839866</v>
      </c>
      <c r="C1388" s="15" t="n">
        <v>0.197017849151485</v>
      </c>
      <c r="D1388" s="14" t="n">
        <f aca="false">Summary!$B$5-B1388</f>
        <v>11827.5415160134</v>
      </c>
      <c r="E1388" s="15" t="n">
        <f aca="false">B1388/Summary!$B$5-1</f>
        <v>-0.118275415160134</v>
      </c>
    </row>
    <row r="1389" customFormat="false" ht="15" hidden="false" customHeight="false" outlineLevel="0" collapsed="false">
      <c r="A1389" s="0" t="n">
        <v>1388</v>
      </c>
      <c r="B1389" s="14" t="n">
        <v>127347.531812437</v>
      </c>
      <c r="C1389" s="15" t="n">
        <v>0.0944471784669227</v>
      </c>
      <c r="D1389" s="14" t="n">
        <f aca="false">Summary!$B$5-B1389</f>
        <v>-27347.5318124365</v>
      </c>
      <c r="E1389" s="15" t="n">
        <f aca="false">B1389/Summary!$B$5-1</f>
        <v>0.273475318124365</v>
      </c>
    </row>
    <row r="1390" customFormat="false" ht="15" hidden="false" customHeight="false" outlineLevel="0" collapsed="false">
      <c r="A1390" s="0" t="n">
        <v>1389</v>
      </c>
      <c r="B1390" s="14" t="n">
        <v>101292.924061278</v>
      </c>
      <c r="C1390" s="15" t="n">
        <v>0.118901776381621</v>
      </c>
      <c r="D1390" s="14" t="n">
        <f aca="false">Summary!$B$5-B1390</f>
        <v>-1292.9240612782</v>
      </c>
      <c r="E1390" s="15" t="n">
        <f aca="false">B1390/Summary!$B$5-1</f>
        <v>0.0129292406127821</v>
      </c>
    </row>
    <row r="1391" customFormat="false" ht="15" hidden="false" customHeight="false" outlineLevel="0" collapsed="false">
      <c r="A1391" s="0" t="n">
        <v>1390</v>
      </c>
      <c r="B1391" s="14" t="n">
        <v>127899.932301484</v>
      </c>
      <c r="C1391" s="15" t="n">
        <v>0.0979631061566134</v>
      </c>
      <c r="D1391" s="14" t="n">
        <f aca="false">Summary!$B$5-B1391</f>
        <v>-27899.9323014841</v>
      </c>
      <c r="E1391" s="15" t="n">
        <f aca="false">B1391/Summary!$B$5-1</f>
        <v>0.278999323014841</v>
      </c>
    </row>
    <row r="1392" customFormat="false" ht="15" hidden="false" customHeight="false" outlineLevel="0" collapsed="false">
      <c r="A1392" s="0" t="n">
        <v>1391</v>
      </c>
      <c r="B1392" s="14" t="n">
        <v>134089.15766214</v>
      </c>
      <c r="C1392" s="15" t="n">
        <v>0.0801314299123183</v>
      </c>
      <c r="D1392" s="14" t="n">
        <f aca="false">Summary!$B$5-B1392</f>
        <v>-34089.1576621403</v>
      </c>
      <c r="E1392" s="15" t="n">
        <f aca="false">B1392/Summary!$B$5-1</f>
        <v>0.340891576621403</v>
      </c>
    </row>
    <row r="1393" customFormat="false" ht="15" hidden="false" customHeight="false" outlineLevel="0" collapsed="false">
      <c r="A1393" s="0" t="n">
        <v>1392</v>
      </c>
      <c r="B1393" s="14" t="n">
        <v>125022.075392446</v>
      </c>
      <c r="C1393" s="15" t="n">
        <v>0.0960374026828333</v>
      </c>
      <c r="D1393" s="14" t="n">
        <f aca="false">Summary!$B$5-B1393</f>
        <v>-25022.0753924458</v>
      </c>
      <c r="E1393" s="15" t="n">
        <f aca="false">B1393/Summary!$B$5-1</f>
        <v>0.250220753924458</v>
      </c>
    </row>
    <row r="1394" customFormat="false" ht="15" hidden="false" customHeight="false" outlineLevel="0" collapsed="false">
      <c r="A1394" s="0" t="n">
        <v>1393</v>
      </c>
      <c r="B1394" s="14" t="n">
        <v>97231.8079759118</v>
      </c>
      <c r="C1394" s="15" t="n">
        <v>0.111871459251987</v>
      </c>
      <c r="D1394" s="14" t="n">
        <f aca="false">Summary!$B$5-B1394</f>
        <v>2768.1920240882</v>
      </c>
      <c r="E1394" s="15" t="n">
        <f aca="false">B1394/Summary!$B$5-1</f>
        <v>-0.027681920240882</v>
      </c>
    </row>
    <row r="1395" customFormat="false" ht="15" hidden="false" customHeight="false" outlineLevel="0" collapsed="false">
      <c r="A1395" s="0" t="n">
        <v>1394</v>
      </c>
      <c r="B1395" s="14" t="n">
        <v>110070.755252092</v>
      </c>
      <c r="C1395" s="15" t="n">
        <v>0.0811509775734529</v>
      </c>
      <c r="D1395" s="14" t="n">
        <f aca="false">Summary!$B$5-B1395</f>
        <v>-10070.7552520923</v>
      </c>
      <c r="E1395" s="15" t="n">
        <f aca="false">B1395/Summary!$B$5-1</f>
        <v>0.100707552520923</v>
      </c>
    </row>
    <row r="1396" customFormat="false" ht="15" hidden="false" customHeight="false" outlineLevel="0" collapsed="false">
      <c r="A1396" s="0" t="n">
        <v>1395</v>
      </c>
      <c r="B1396" s="14" t="n">
        <v>94049.2110673947</v>
      </c>
      <c r="C1396" s="15" t="n">
        <v>0.153823583490698</v>
      </c>
      <c r="D1396" s="14" t="n">
        <f aca="false">Summary!$B$5-B1396</f>
        <v>5950.7889326053</v>
      </c>
      <c r="E1396" s="15" t="n">
        <f aca="false">B1396/Summary!$B$5-1</f>
        <v>-0.059507889326053</v>
      </c>
    </row>
    <row r="1397" customFormat="false" ht="15" hidden="false" customHeight="false" outlineLevel="0" collapsed="false">
      <c r="A1397" s="0" t="n">
        <v>1396</v>
      </c>
      <c r="B1397" s="14" t="n">
        <v>96591.0325569226</v>
      </c>
      <c r="C1397" s="15" t="n">
        <v>0.147562764796376</v>
      </c>
      <c r="D1397" s="14" t="n">
        <f aca="false">Summary!$B$5-B1397</f>
        <v>3408.96744307745</v>
      </c>
      <c r="E1397" s="15" t="n">
        <f aca="false">B1397/Summary!$B$5-1</f>
        <v>-0.0340896744307745</v>
      </c>
    </row>
    <row r="1398" customFormat="false" ht="15" hidden="false" customHeight="false" outlineLevel="0" collapsed="false">
      <c r="A1398" s="0" t="n">
        <v>1397</v>
      </c>
      <c r="B1398" s="14" t="n">
        <v>99146.7929395526</v>
      </c>
      <c r="C1398" s="15" t="n">
        <v>0.130805385835323</v>
      </c>
      <c r="D1398" s="14" t="n">
        <f aca="false">Summary!$B$5-B1398</f>
        <v>853.207060447428</v>
      </c>
      <c r="E1398" s="15" t="n">
        <f aca="false">B1398/Summary!$B$5-1</f>
        <v>-0.00853207060447425</v>
      </c>
    </row>
    <row r="1399" customFormat="false" ht="15" hidden="false" customHeight="false" outlineLevel="0" collapsed="false">
      <c r="A1399" s="0" t="n">
        <v>1398</v>
      </c>
      <c r="B1399" s="14" t="n">
        <v>110463.492575997</v>
      </c>
      <c r="C1399" s="15" t="n">
        <v>0.0865200204936916</v>
      </c>
      <c r="D1399" s="14" t="n">
        <f aca="false">Summary!$B$5-B1399</f>
        <v>-10463.4925759969</v>
      </c>
      <c r="E1399" s="15" t="n">
        <f aca="false">B1399/Summary!$B$5-1</f>
        <v>0.104634925759969</v>
      </c>
    </row>
    <row r="1400" customFormat="false" ht="15" hidden="false" customHeight="false" outlineLevel="0" collapsed="false">
      <c r="A1400" s="0" t="n">
        <v>1399</v>
      </c>
      <c r="B1400" s="14" t="n">
        <v>111970.522405563</v>
      </c>
      <c r="C1400" s="15" t="n">
        <v>0.115739244119384</v>
      </c>
      <c r="D1400" s="14" t="n">
        <f aca="false">Summary!$B$5-B1400</f>
        <v>-11970.5224055631</v>
      </c>
      <c r="E1400" s="15" t="n">
        <f aca="false">B1400/Summary!$B$5-1</f>
        <v>0.119705224055631</v>
      </c>
    </row>
    <row r="1401" customFormat="false" ht="15" hidden="false" customHeight="false" outlineLevel="0" collapsed="false">
      <c r="A1401" s="0" t="n">
        <v>1400</v>
      </c>
      <c r="B1401" s="14" t="n">
        <v>116321.827553825</v>
      </c>
      <c r="C1401" s="15" t="n">
        <v>0.122728670663859</v>
      </c>
      <c r="D1401" s="14" t="n">
        <f aca="false">Summary!$B$5-B1401</f>
        <v>-16321.8275538251</v>
      </c>
      <c r="E1401" s="15" t="n">
        <f aca="false">B1401/Summary!$B$5-1</f>
        <v>0.163218275538251</v>
      </c>
    </row>
    <row r="1402" customFormat="false" ht="15" hidden="false" customHeight="false" outlineLevel="0" collapsed="false">
      <c r="A1402" s="0" t="n">
        <v>1401</v>
      </c>
      <c r="B1402" s="14" t="n">
        <v>106381.559518036</v>
      </c>
      <c r="C1402" s="15" t="n">
        <v>0.110511310112304</v>
      </c>
      <c r="D1402" s="14" t="n">
        <f aca="false">Summary!$B$5-B1402</f>
        <v>-6381.55951803581</v>
      </c>
      <c r="E1402" s="15" t="n">
        <f aca="false">B1402/Summary!$B$5-1</f>
        <v>0.0638155951803581</v>
      </c>
    </row>
    <row r="1403" customFormat="false" ht="15" hidden="false" customHeight="false" outlineLevel="0" collapsed="false">
      <c r="A1403" s="0" t="n">
        <v>1402</v>
      </c>
      <c r="B1403" s="14" t="n">
        <v>151538.427951285</v>
      </c>
      <c r="C1403" s="15" t="n">
        <v>0.0472338493965852</v>
      </c>
      <c r="D1403" s="14" t="n">
        <f aca="false">Summary!$B$5-B1403</f>
        <v>-51538.4279512852</v>
      </c>
      <c r="E1403" s="15" t="n">
        <f aca="false">B1403/Summary!$B$5-1</f>
        <v>0.515384279512852</v>
      </c>
    </row>
    <row r="1404" customFormat="false" ht="15" hidden="false" customHeight="false" outlineLevel="0" collapsed="false">
      <c r="A1404" s="0" t="n">
        <v>1403</v>
      </c>
      <c r="B1404" s="14" t="n">
        <v>96360.0262405505</v>
      </c>
      <c r="C1404" s="15" t="n">
        <v>0.104108052389557</v>
      </c>
      <c r="D1404" s="14" t="n">
        <f aca="false">Summary!$B$5-B1404</f>
        <v>3639.97375944947</v>
      </c>
      <c r="E1404" s="15" t="n">
        <f aca="false">B1404/Summary!$B$5-1</f>
        <v>-0.0363997375944947</v>
      </c>
    </row>
    <row r="1405" customFormat="false" ht="15" hidden="false" customHeight="false" outlineLevel="0" collapsed="false">
      <c r="A1405" s="0" t="n">
        <v>1404</v>
      </c>
      <c r="B1405" s="14" t="n">
        <v>104028.344643069</v>
      </c>
      <c r="C1405" s="15" t="n">
        <v>0.0825136472521826</v>
      </c>
      <c r="D1405" s="14" t="n">
        <f aca="false">Summary!$B$5-B1405</f>
        <v>-4028.3446430691</v>
      </c>
      <c r="E1405" s="15" t="n">
        <f aca="false">B1405/Summary!$B$5-1</f>
        <v>0.0402834464306909</v>
      </c>
    </row>
    <row r="1406" customFormat="false" ht="15" hidden="false" customHeight="false" outlineLevel="0" collapsed="false">
      <c r="A1406" s="0" t="n">
        <v>1405</v>
      </c>
      <c r="B1406" s="14" t="n">
        <v>118776.169620685</v>
      </c>
      <c r="C1406" s="15" t="n">
        <v>0.0743297611737446</v>
      </c>
      <c r="D1406" s="14" t="n">
        <f aca="false">Summary!$B$5-B1406</f>
        <v>-18776.1696206845</v>
      </c>
      <c r="E1406" s="15" t="n">
        <f aca="false">B1406/Summary!$B$5-1</f>
        <v>0.187761696206845</v>
      </c>
    </row>
    <row r="1407" customFormat="false" ht="15" hidden="false" customHeight="false" outlineLevel="0" collapsed="false">
      <c r="A1407" s="0" t="n">
        <v>1406</v>
      </c>
      <c r="B1407" s="14" t="n">
        <v>95852.3004396519</v>
      </c>
      <c r="C1407" s="15" t="n">
        <v>0.145006237399342</v>
      </c>
      <c r="D1407" s="14" t="n">
        <f aca="false">Summary!$B$5-B1407</f>
        <v>4147.69956034809</v>
      </c>
      <c r="E1407" s="15" t="n">
        <f aca="false">B1407/Summary!$B$5-1</f>
        <v>-0.041476995603481</v>
      </c>
    </row>
    <row r="1408" customFormat="false" ht="15" hidden="false" customHeight="false" outlineLevel="0" collapsed="false">
      <c r="A1408" s="0" t="n">
        <v>1407</v>
      </c>
      <c r="B1408" s="14" t="n">
        <v>106328.188241045</v>
      </c>
      <c r="C1408" s="15" t="n">
        <v>0.077285375662777</v>
      </c>
      <c r="D1408" s="14" t="n">
        <f aca="false">Summary!$B$5-B1408</f>
        <v>-6328.1882410449</v>
      </c>
      <c r="E1408" s="15" t="n">
        <f aca="false">B1408/Summary!$B$5-1</f>
        <v>0.0632818824104491</v>
      </c>
    </row>
    <row r="1409" customFormat="false" ht="15" hidden="false" customHeight="false" outlineLevel="0" collapsed="false">
      <c r="A1409" s="0" t="n">
        <v>1408</v>
      </c>
      <c r="B1409" s="14" t="n">
        <v>103481.57676841</v>
      </c>
      <c r="C1409" s="15" t="n">
        <v>0.0875766226294057</v>
      </c>
      <c r="D1409" s="14" t="n">
        <f aca="false">Summary!$B$5-B1409</f>
        <v>-3481.57676840961</v>
      </c>
      <c r="E1409" s="15" t="n">
        <f aca="false">B1409/Summary!$B$5-1</f>
        <v>0.0348157676840961</v>
      </c>
    </row>
    <row r="1410" customFormat="false" ht="15" hidden="false" customHeight="false" outlineLevel="0" collapsed="false">
      <c r="A1410" s="0" t="n">
        <v>1409</v>
      </c>
      <c r="B1410" s="14" t="n">
        <v>105334.259822776</v>
      </c>
      <c r="C1410" s="15" t="n">
        <v>0.136510356680297</v>
      </c>
      <c r="D1410" s="14" t="n">
        <f aca="false">Summary!$B$5-B1410</f>
        <v>-5334.25982277629</v>
      </c>
      <c r="E1410" s="15" t="n">
        <f aca="false">B1410/Summary!$B$5-1</f>
        <v>0.0533425982277629</v>
      </c>
    </row>
    <row r="1411" customFormat="false" ht="15" hidden="false" customHeight="false" outlineLevel="0" collapsed="false">
      <c r="A1411" s="0" t="n">
        <v>1410</v>
      </c>
      <c r="B1411" s="14" t="n">
        <v>124604.911515463</v>
      </c>
      <c r="C1411" s="15" t="n">
        <v>0.0685820295054684</v>
      </c>
      <c r="D1411" s="14" t="n">
        <f aca="false">Summary!$B$5-B1411</f>
        <v>-24604.9115154631</v>
      </c>
      <c r="E1411" s="15" t="n">
        <f aca="false">B1411/Summary!$B$5-1</f>
        <v>0.246049115154631</v>
      </c>
    </row>
    <row r="1412" customFormat="false" ht="15" hidden="false" customHeight="false" outlineLevel="0" collapsed="false">
      <c r="A1412" s="0" t="n">
        <v>1411</v>
      </c>
      <c r="B1412" s="14" t="n">
        <v>93829.3357813023</v>
      </c>
      <c r="C1412" s="15" t="n">
        <v>0.143585808703165</v>
      </c>
      <c r="D1412" s="14" t="n">
        <f aca="false">Summary!$B$5-B1412</f>
        <v>6170.66421869773</v>
      </c>
      <c r="E1412" s="15" t="n">
        <f aca="false">B1412/Summary!$B$5-1</f>
        <v>-0.0617066421869773</v>
      </c>
    </row>
    <row r="1413" customFormat="false" ht="15" hidden="false" customHeight="false" outlineLevel="0" collapsed="false">
      <c r="A1413" s="0" t="n">
        <v>1412</v>
      </c>
      <c r="B1413" s="14" t="n">
        <v>100623.436496272</v>
      </c>
      <c r="C1413" s="15" t="n">
        <v>0.138754301955531</v>
      </c>
      <c r="D1413" s="14" t="n">
        <f aca="false">Summary!$B$5-B1413</f>
        <v>-623.436496271796</v>
      </c>
      <c r="E1413" s="15" t="n">
        <f aca="false">B1413/Summary!$B$5-1</f>
        <v>0.0062343649627179</v>
      </c>
    </row>
    <row r="1414" customFormat="false" ht="15" hidden="false" customHeight="false" outlineLevel="0" collapsed="false">
      <c r="A1414" s="0" t="n">
        <v>1413</v>
      </c>
      <c r="B1414" s="14" t="n">
        <v>107625.650563806</v>
      </c>
      <c r="C1414" s="15" t="n">
        <v>0.109713095229901</v>
      </c>
      <c r="D1414" s="14" t="n">
        <f aca="false">Summary!$B$5-B1414</f>
        <v>-7625.6505638064</v>
      </c>
      <c r="E1414" s="15" t="n">
        <f aca="false">B1414/Summary!$B$5-1</f>
        <v>0.076256505638064</v>
      </c>
    </row>
    <row r="1415" customFormat="false" ht="15" hidden="false" customHeight="false" outlineLevel="0" collapsed="false">
      <c r="A1415" s="0" t="n">
        <v>1414</v>
      </c>
      <c r="B1415" s="14" t="n">
        <v>110734.623641547</v>
      </c>
      <c r="C1415" s="15" t="n">
        <v>0.0929970580943659</v>
      </c>
      <c r="D1415" s="14" t="n">
        <f aca="false">Summary!$B$5-B1415</f>
        <v>-10734.6236415474</v>
      </c>
      <c r="E1415" s="15" t="n">
        <f aca="false">B1415/Summary!$B$5-1</f>
        <v>0.107346236415474</v>
      </c>
    </row>
    <row r="1416" customFormat="false" ht="15" hidden="false" customHeight="false" outlineLevel="0" collapsed="false">
      <c r="A1416" s="0" t="n">
        <v>1415</v>
      </c>
      <c r="B1416" s="14" t="n">
        <v>108191.684113233</v>
      </c>
      <c r="C1416" s="15" t="n">
        <v>0.0794502136354912</v>
      </c>
      <c r="D1416" s="14" t="n">
        <f aca="false">Summary!$B$5-B1416</f>
        <v>-8191.68411323321</v>
      </c>
      <c r="E1416" s="15" t="n">
        <f aca="false">B1416/Summary!$B$5-1</f>
        <v>0.0819168411323321</v>
      </c>
    </row>
    <row r="1417" customFormat="false" ht="15" hidden="false" customHeight="false" outlineLevel="0" collapsed="false">
      <c r="A1417" s="0" t="n">
        <v>1416</v>
      </c>
      <c r="B1417" s="14" t="n">
        <v>114255.409352292</v>
      </c>
      <c r="C1417" s="15" t="n">
        <v>0.063727664108188</v>
      </c>
      <c r="D1417" s="14" t="n">
        <f aca="false">Summary!$B$5-B1417</f>
        <v>-14255.4093522918</v>
      </c>
      <c r="E1417" s="15" t="n">
        <f aca="false">B1417/Summary!$B$5-1</f>
        <v>0.142554093522918</v>
      </c>
    </row>
    <row r="1418" customFormat="false" ht="15" hidden="false" customHeight="false" outlineLevel="0" collapsed="false">
      <c r="A1418" s="0" t="n">
        <v>1417</v>
      </c>
      <c r="B1418" s="14" t="n">
        <v>112650.553964559</v>
      </c>
      <c r="C1418" s="15" t="n">
        <v>0.0710468299750464</v>
      </c>
      <c r="D1418" s="14" t="n">
        <f aca="false">Summary!$B$5-B1418</f>
        <v>-12650.553964559</v>
      </c>
      <c r="E1418" s="15" t="n">
        <f aca="false">B1418/Summary!$B$5-1</f>
        <v>0.12650553964559</v>
      </c>
    </row>
    <row r="1419" customFormat="false" ht="15" hidden="false" customHeight="false" outlineLevel="0" collapsed="false">
      <c r="A1419" s="0" t="n">
        <v>1418</v>
      </c>
      <c r="B1419" s="14" t="n">
        <v>99507.9359736693</v>
      </c>
      <c r="C1419" s="15" t="n">
        <v>0.0998439017426055</v>
      </c>
      <c r="D1419" s="14" t="n">
        <f aca="false">Summary!$B$5-B1419</f>
        <v>492.064026330714</v>
      </c>
      <c r="E1419" s="15" t="n">
        <f aca="false">B1419/Summary!$B$5-1</f>
        <v>-0.00492064026330719</v>
      </c>
    </row>
    <row r="1420" customFormat="false" ht="15" hidden="false" customHeight="false" outlineLevel="0" collapsed="false">
      <c r="A1420" s="0" t="n">
        <v>1419</v>
      </c>
      <c r="B1420" s="14" t="n">
        <v>83543.6665547003</v>
      </c>
      <c r="C1420" s="15" t="n">
        <v>0.189239006416895</v>
      </c>
      <c r="D1420" s="14" t="n">
        <f aca="false">Summary!$B$5-B1420</f>
        <v>16456.3334452997</v>
      </c>
      <c r="E1420" s="15" t="n">
        <f aca="false">B1420/Summary!$B$5-1</f>
        <v>-0.164563334452997</v>
      </c>
    </row>
    <row r="1421" customFormat="false" ht="15" hidden="false" customHeight="false" outlineLevel="0" collapsed="false">
      <c r="A1421" s="0" t="n">
        <v>1420</v>
      </c>
      <c r="B1421" s="14" t="n">
        <v>107554.192415907</v>
      </c>
      <c r="C1421" s="15" t="n">
        <v>0.104587621012171</v>
      </c>
      <c r="D1421" s="14" t="n">
        <f aca="false">Summary!$B$5-B1421</f>
        <v>-7554.1924159068</v>
      </c>
      <c r="E1421" s="15" t="n">
        <f aca="false">B1421/Summary!$B$5-1</f>
        <v>0.075541924159068</v>
      </c>
    </row>
    <row r="1422" customFormat="false" ht="15" hidden="false" customHeight="false" outlineLevel="0" collapsed="false">
      <c r="A1422" s="0" t="n">
        <v>1421</v>
      </c>
      <c r="B1422" s="14" t="n">
        <v>105739.288990321</v>
      </c>
      <c r="C1422" s="15" t="n">
        <v>0.0983702022522158</v>
      </c>
      <c r="D1422" s="14" t="n">
        <f aca="false">Summary!$B$5-B1422</f>
        <v>-5739.2889903208</v>
      </c>
      <c r="E1422" s="15" t="n">
        <f aca="false">B1422/Summary!$B$5-1</f>
        <v>0.0573928899032079</v>
      </c>
    </row>
    <row r="1423" customFormat="false" ht="15" hidden="false" customHeight="false" outlineLevel="0" collapsed="false">
      <c r="A1423" s="0" t="n">
        <v>1422</v>
      </c>
      <c r="B1423" s="14" t="n">
        <v>93485.1242155061</v>
      </c>
      <c r="C1423" s="15" t="n">
        <v>0.105506017846778</v>
      </c>
      <c r="D1423" s="14" t="n">
        <f aca="false">Summary!$B$5-B1423</f>
        <v>6514.87578449395</v>
      </c>
      <c r="E1423" s="15" t="n">
        <f aca="false">B1423/Summary!$B$5-1</f>
        <v>-0.0651487578449396</v>
      </c>
    </row>
    <row r="1424" customFormat="false" ht="15" hidden="false" customHeight="false" outlineLevel="0" collapsed="false">
      <c r="A1424" s="0" t="n">
        <v>1423</v>
      </c>
      <c r="B1424" s="14" t="n">
        <v>110163.991996404</v>
      </c>
      <c r="C1424" s="15" t="n">
        <v>0.0502102597616914</v>
      </c>
      <c r="D1424" s="14" t="n">
        <f aca="false">Summary!$B$5-B1424</f>
        <v>-10163.9919964044</v>
      </c>
      <c r="E1424" s="15" t="n">
        <f aca="false">B1424/Summary!$B$5-1</f>
        <v>0.101639919964044</v>
      </c>
    </row>
    <row r="1425" customFormat="false" ht="15" hidden="false" customHeight="false" outlineLevel="0" collapsed="false">
      <c r="A1425" s="0" t="n">
        <v>1424</v>
      </c>
      <c r="B1425" s="14" t="n">
        <v>105133.325460419</v>
      </c>
      <c r="C1425" s="15" t="n">
        <v>0.0916813631291396</v>
      </c>
      <c r="D1425" s="14" t="n">
        <f aca="false">Summary!$B$5-B1425</f>
        <v>-5133.32546041931</v>
      </c>
      <c r="E1425" s="15" t="n">
        <f aca="false">B1425/Summary!$B$5-1</f>
        <v>0.0513332546041931</v>
      </c>
    </row>
    <row r="1426" customFormat="false" ht="15" hidden="false" customHeight="false" outlineLevel="0" collapsed="false">
      <c r="A1426" s="0" t="n">
        <v>1425</v>
      </c>
      <c r="B1426" s="14" t="n">
        <v>117666.043163139</v>
      </c>
      <c r="C1426" s="15" t="n">
        <v>0.0779806778822111</v>
      </c>
      <c r="D1426" s="14" t="n">
        <f aca="false">Summary!$B$5-B1426</f>
        <v>-17666.0431631391</v>
      </c>
      <c r="E1426" s="15" t="n">
        <f aca="false">B1426/Summary!$B$5-1</f>
        <v>0.176660431631391</v>
      </c>
    </row>
    <row r="1427" customFormat="false" ht="15" hidden="false" customHeight="false" outlineLevel="0" collapsed="false">
      <c r="A1427" s="0" t="n">
        <v>1426</v>
      </c>
      <c r="B1427" s="14" t="n">
        <v>93023.2389476078</v>
      </c>
      <c r="C1427" s="15" t="n">
        <v>0.121180483717178</v>
      </c>
      <c r="D1427" s="14" t="n">
        <f aca="false">Summary!$B$5-B1427</f>
        <v>6976.76105239225</v>
      </c>
      <c r="E1427" s="15" t="n">
        <f aca="false">B1427/Summary!$B$5-1</f>
        <v>-0.0697676105239224</v>
      </c>
    </row>
    <row r="1428" customFormat="false" ht="15" hidden="false" customHeight="false" outlineLevel="0" collapsed="false">
      <c r="A1428" s="0" t="n">
        <v>1427</v>
      </c>
      <c r="B1428" s="14" t="n">
        <v>90822.5550044193</v>
      </c>
      <c r="C1428" s="15" t="n">
        <v>0.185454650570409</v>
      </c>
      <c r="D1428" s="14" t="n">
        <f aca="false">Summary!$B$5-B1428</f>
        <v>9177.44499558071</v>
      </c>
      <c r="E1428" s="15" t="n">
        <f aca="false">B1428/Summary!$B$5-1</f>
        <v>-0.0917744499558071</v>
      </c>
    </row>
    <row r="1429" customFormat="false" ht="15" hidden="false" customHeight="false" outlineLevel="0" collapsed="false">
      <c r="A1429" s="0" t="n">
        <v>1428</v>
      </c>
      <c r="B1429" s="14" t="n">
        <v>102153.65394151</v>
      </c>
      <c r="C1429" s="15" t="n">
        <v>0.106745436049928</v>
      </c>
      <c r="D1429" s="14" t="n">
        <f aca="false">Summary!$B$5-B1429</f>
        <v>-2153.65394151</v>
      </c>
      <c r="E1429" s="15" t="n">
        <f aca="false">B1429/Summary!$B$5-1</f>
        <v>0.0215365394150999</v>
      </c>
    </row>
    <row r="1430" customFormat="false" ht="15" hidden="false" customHeight="false" outlineLevel="0" collapsed="false">
      <c r="A1430" s="0" t="n">
        <v>1429</v>
      </c>
      <c r="B1430" s="14" t="n">
        <v>104165.327771111</v>
      </c>
      <c r="C1430" s="15" t="n">
        <v>0.0645380921384897</v>
      </c>
      <c r="D1430" s="14" t="n">
        <f aca="false">Summary!$B$5-B1430</f>
        <v>-4165.3277711111</v>
      </c>
      <c r="E1430" s="15" t="n">
        <f aca="false">B1430/Summary!$B$5-1</f>
        <v>0.0416532777111109</v>
      </c>
    </row>
    <row r="1431" customFormat="false" ht="15" hidden="false" customHeight="false" outlineLevel="0" collapsed="false">
      <c r="A1431" s="0" t="n">
        <v>1430</v>
      </c>
      <c r="B1431" s="14" t="n">
        <v>116981.254890179</v>
      </c>
      <c r="C1431" s="15" t="n">
        <v>0.123609824136671</v>
      </c>
      <c r="D1431" s="14" t="n">
        <f aca="false">Summary!$B$5-B1431</f>
        <v>-16981.254890179</v>
      </c>
      <c r="E1431" s="15" t="n">
        <f aca="false">B1431/Summary!$B$5-1</f>
        <v>0.16981254890179</v>
      </c>
    </row>
    <row r="1432" customFormat="false" ht="15" hidden="false" customHeight="false" outlineLevel="0" collapsed="false">
      <c r="A1432" s="0" t="n">
        <v>1431</v>
      </c>
      <c r="B1432" s="14" t="n">
        <v>87682.1791464123</v>
      </c>
      <c r="C1432" s="15" t="n">
        <v>0.177895792464583</v>
      </c>
      <c r="D1432" s="14" t="n">
        <f aca="false">Summary!$B$5-B1432</f>
        <v>12317.8208535878</v>
      </c>
      <c r="E1432" s="15" t="n">
        <f aca="false">B1432/Summary!$B$5-1</f>
        <v>-0.123178208535877</v>
      </c>
    </row>
    <row r="1433" customFormat="false" ht="15" hidden="false" customHeight="false" outlineLevel="0" collapsed="false">
      <c r="A1433" s="0" t="n">
        <v>1432</v>
      </c>
      <c r="B1433" s="14" t="n">
        <v>102841.760194307</v>
      </c>
      <c r="C1433" s="15" t="n">
        <v>0.0800780502829199</v>
      </c>
      <c r="D1433" s="14" t="n">
        <f aca="false">Summary!$B$5-B1433</f>
        <v>-2841.7601943067</v>
      </c>
      <c r="E1433" s="15" t="n">
        <f aca="false">B1433/Summary!$B$5-1</f>
        <v>0.0284176019430671</v>
      </c>
    </row>
    <row r="1434" customFormat="false" ht="15" hidden="false" customHeight="false" outlineLevel="0" collapsed="false">
      <c r="A1434" s="0" t="n">
        <v>1433</v>
      </c>
      <c r="B1434" s="14" t="n">
        <v>112100.787408312</v>
      </c>
      <c r="C1434" s="15" t="n">
        <v>0.0761825162441652</v>
      </c>
      <c r="D1434" s="14" t="n">
        <f aca="false">Summary!$B$5-B1434</f>
        <v>-12100.7874083116</v>
      </c>
      <c r="E1434" s="15" t="n">
        <f aca="false">B1434/Summary!$B$5-1</f>
        <v>0.121007874083116</v>
      </c>
    </row>
    <row r="1435" customFormat="false" ht="15" hidden="false" customHeight="false" outlineLevel="0" collapsed="false">
      <c r="A1435" s="0" t="n">
        <v>1434</v>
      </c>
      <c r="B1435" s="14" t="n">
        <v>114657.017986236</v>
      </c>
      <c r="C1435" s="15" t="n">
        <v>0.0769589205213429</v>
      </c>
      <c r="D1435" s="14" t="n">
        <f aca="false">Summary!$B$5-B1435</f>
        <v>-14657.0179862358</v>
      </c>
      <c r="E1435" s="15" t="n">
        <f aca="false">B1435/Summary!$B$5-1</f>
        <v>0.146570179862358</v>
      </c>
    </row>
    <row r="1436" customFormat="false" ht="15" hidden="false" customHeight="false" outlineLevel="0" collapsed="false">
      <c r="A1436" s="0" t="n">
        <v>1435</v>
      </c>
      <c r="B1436" s="14" t="n">
        <v>135328.584042917</v>
      </c>
      <c r="C1436" s="15" t="n">
        <v>0.0784771199095792</v>
      </c>
      <c r="D1436" s="14" t="n">
        <f aca="false">Summary!$B$5-B1436</f>
        <v>-35328.584042917</v>
      </c>
      <c r="E1436" s="15" t="n">
        <f aca="false">B1436/Summary!$B$5-1</f>
        <v>0.35328584042917</v>
      </c>
    </row>
    <row r="1437" customFormat="false" ht="15" hidden="false" customHeight="false" outlineLevel="0" collapsed="false">
      <c r="A1437" s="0" t="n">
        <v>1436</v>
      </c>
      <c r="B1437" s="14" t="n">
        <v>118022.887116458</v>
      </c>
      <c r="C1437" s="15" t="n">
        <v>0.0506879494250508</v>
      </c>
      <c r="D1437" s="14" t="n">
        <f aca="false">Summary!$B$5-B1437</f>
        <v>-18022.8871164576</v>
      </c>
      <c r="E1437" s="15" t="n">
        <f aca="false">B1437/Summary!$B$5-1</f>
        <v>0.180228871164576</v>
      </c>
    </row>
    <row r="1438" customFormat="false" ht="15" hidden="false" customHeight="false" outlineLevel="0" collapsed="false">
      <c r="A1438" s="0" t="n">
        <v>1437</v>
      </c>
      <c r="B1438" s="14" t="n">
        <v>120426.848881048</v>
      </c>
      <c r="C1438" s="15" t="n">
        <v>0.0655716938039962</v>
      </c>
      <c r="D1438" s="14" t="n">
        <f aca="false">Summary!$B$5-B1438</f>
        <v>-20426.8488810484</v>
      </c>
      <c r="E1438" s="15" t="n">
        <f aca="false">B1438/Summary!$B$5-1</f>
        <v>0.204268488810484</v>
      </c>
    </row>
    <row r="1439" customFormat="false" ht="15" hidden="false" customHeight="false" outlineLevel="0" collapsed="false">
      <c r="A1439" s="0" t="n">
        <v>1438</v>
      </c>
      <c r="B1439" s="14" t="n">
        <v>114704.231790883</v>
      </c>
      <c r="C1439" s="15" t="n">
        <v>0.0829823827360233</v>
      </c>
      <c r="D1439" s="14" t="n">
        <f aca="false">Summary!$B$5-B1439</f>
        <v>-14704.2317908829</v>
      </c>
      <c r="E1439" s="15" t="n">
        <f aca="false">B1439/Summary!$B$5-1</f>
        <v>0.147042317908829</v>
      </c>
    </row>
    <row r="1440" customFormat="false" ht="15" hidden="false" customHeight="false" outlineLevel="0" collapsed="false">
      <c r="A1440" s="0" t="n">
        <v>1439</v>
      </c>
      <c r="B1440" s="14" t="n">
        <v>105981.422219445</v>
      </c>
      <c r="C1440" s="15" t="n">
        <v>0.0608793733390073</v>
      </c>
      <c r="D1440" s="14" t="n">
        <f aca="false">Summary!$B$5-B1440</f>
        <v>-5981.4222194451</v>
      </c>
      <c r="E1440" s="15" t="n">
        <f aca="false">B1440/Summary!$B$5-1</f>
        <v>0.0598142221944511</v>
      </c>
    </row>
    <row r="1441" customFormat="false" ht="15" hidden="false" customHeight="false" outlineLevel="0" collapsed="false">
      <c r="A1441" s="0" t="n">
        <v>1440</v>
      </c>
      <c r="B1441" s="14" t="n">
        <v>118605.038296151</v>
      </c>
      <c r="C1441" s="15" t="n">
        <v>0.0824654363686398</v>
      </c>
      <c r="D1441" s="14" t="n">
        <f aca="false">Summary!$B$5-B1441</f>
        <v>-18605.0382961513</v>
      </c>
      <c r="E1441" s="15" t="n">
        <f aca="false">B1441/Summary!$B$5-1</f>
        <v>0.186050382961513</v>
      </c>
    </row>
    <row r="1442" customFormat="false" ht="15" hidden="false" customHeight="false" outlineLevel="0" collapsed="false">
      <c r="A1442" s="0" t="n">
        <v>1441</v>
      </c>
      <c r="B1442" s="14" t="n">
        <v>102399.922678659</v>
      </c>
      <c r="C1442" s="15" t="n">
        <v>0.0911034377519642</v>
      </c>
      <c r="D1442" s="14" t="n">
        <f aca="false">Summary!$B$5-B1442</f>
        <v>-2399.92267865859</v>
      </c>
      <c r="E1442" s="15" t="n">
        <f aca="false">B1442/Summary!$B$5-1</f>
        <v>0.0239992267865858</v>
      </c>
    </row>
    <row r="1443" customFormat="false" ht="15" hidden="false" customHeight="false" outlineLevel="0" collapsed="false">
      <c r="A1443" s="0" t="n">
        <v>1442</v>
      </c>
      <c r="B1443" s="14" t="n">
        <v>102600.221846178</v>
      </c>
      <c r="C1443" s="15" t="n">
        <v>0.104328284063128</v>
      </c>
      <c r="D1443" s="14" t="n">
        <f aca="false">Summary!$B$5-B1443</f>
        <v>-2600.22184617831</v>
      </c>
      <c r="E1443" s="15" t="n">
        <f aca="false">B1443/Summary!$B$5-1</f>
        <v>0.026002218461783</v>
      </c>
    </row>
    <row r="1444" customFormat="false" ht="15" hidden="false" customHeight="false" outlineLevel="0" collapsed="false">
      <c r="A1444" s="0" t="n">
        <v>1443</v>
      </c>
      <c r="B1444" s="14" t="n">
        <v>102789.122999603</v>
      </c>
      <c r="C1444" s="15" t="n">
        <v>0.0739159614114293</v>
      </c>
      <c r="D1444" s="14" t="n">
        <f aca="false">Summary!$B$5-B1444</f>
        <v>-2789.1229996031</v>
      </c>
      <c r="E1444" s="15" t="n">
        <f aca="false">B1444/Summary!$B$5-1</f>
        <v>0.027891229996031</v>
      </c>
    </row>
    <row r="1445" customFormat="false" ht="15" hidden="false" customHeight="false" outlineLevel="0" collapsed="false">
      <c r="A1445" s="0" t="n">
        <v>1444</v>
      </c>
      <c r="B1445" s="14" t="n">
        <v>98224.3436932395</v>
      </c>
      <c r="C1445" s="15" t="n">
        <v>0.084891346977954</v>
      </c>
      <c r="D1445" s="14" t="n">
        <f aca="false">Summary!$B$5-B1445</f>
        <v>1775.65630676055</v>
      </c>
      <c r="E1445" s="15" t="n">
        <f aca="false">B1445/Summary!$B$5-1</f>
        <v>-0.0177565630676054</v>
      </c>
    </row>
    <row r="1446" customFormat="false" ht="15" hidden="false" customHeight="false" outlineLevel="0" collapsed="false">
      <c r="A1446" s="0" t="n">
        <v>1445</v>
      </c>
      <c r="B1446" s="14" t="n">
        <v>112612.787902771</v>
      </c>
      <c r="C1446" s="15" t="n">
        <v>0.0989000895927034</v>
      </c>
      <c r="D1446" s="14" t="n">
        <f aca="false">Summary!$B$5-B1446</f>
        <v>-12612.7879027707</v>
      </c>
      <c r="E1446" s="15" t="n">
        <f aca="false">B1446/Summary!$B$5-1</f>
        <v>0.126127879027707</v>
      </c>
    </row>
    <row r="1447" customFormat="false" ht="15" hidden="false" customHeight="false" outlineLevel="0" collapsed="false">
      <c r="A1447" s="0" t="n">
        <v>1446</v>
      </c>
      <c r="B1447" s="14" t="n">
        <v>101510.293823292</v>
      </c>
      <c r="C1447" s="15" t="n">
        <v>0.0985582489917486</v>
      </c>
      <c r="D1447" s="14" t="n">
        <f aca="false">Summary!$B$5-B1447</f>
        <v>-1510.29382329169</v>
      </c>
      <c r="E1447" s="15" t="n">
        <f aca="false">B1447/Summary!$B$5-1</f>
        <v>0.0151029382329169</v>
      </c>
    </row>
    <row r="1448" customFormat="false" ht="15" hidden="false" customHeight="false" outlineLevel="0" collapsed="false">
      <c r="A1448" s="0" t="n">
        <v>1447</v>
      </c>
      <c r="B1448" s="14" t="n">
        <v>101581.781871141</v>
      </c>
      <c r="C1448" s="15" t="n">
        <v>0.12523517096215</v>
      </c>
      <c r="D1448" s="14" t="n">
        <f aca="false">Summary!$B$5-B1448</f>
        <v>-1581.7818711406</v>
      </c>
      <c r="E1448" s="15" t="n">
        <f aca="false">B1448/Summary!$B$5-1</f>
        <v>0.015817818711406</v>
      </c>
    </row>
    <row r="1449" customFormat="false" ht="15" hidden="false" customHeight="false" outlineLevel="0" collapsed="false">
      <c r="A1449" s="0" t="n">
        <v>1448</v>
      </c>
      <c r="B1449" s="14" t="n">
        <v>108950.978856206</v>
      </c>
      <c r="C1449" s="15" t="n">
        <v>0.0659792628413615</v>
      </c>
      <c r="D1449" s="14" t="n">
        <f aca="false">Summary!$B$5-B1449</f>
        <v>-8950.9788562063</v>
      </c>
      <c r="E1449" s="15" t="n">
        <f aca="false">B1449/Summary!$B$5-1</f>
        <v>0.089509788562063</v>
      </c>
    </row>
    <row r="1450" customFormat="false" ht="15" hidden="false" customHeight="false" outlineLevel="0" collapsed="false">
      <c r="A1450" s="0" t="n">
        <v>1449</v>
      </c>
      <c r="B1450" s="14" t="n">
        <v>106034.130050668</v>
      </c>
      <c r="C1450" s="15" t="n">
        <v>0.0821635988850477</v>
      </c>
      <c r="D1450" s="14" t="n">
        <f aca="false">Summary!$B$5-B1450</f>
        <v>-6034.1300506679</v>
      </c>
      <c r="E1450" s="15" t="n">
        <f aca="false">B1450/Summary!$B$5-1</f>
        <v>0.0603413005066789</v>
      </c>
    </row>
    <row r="1451" customFormat="false" ht="15" hidden="false" customHeight="false" outlineLevel="0" collapsed="false">
      <c r="A1451" s="0" t="n">
        <v>1450</v>
      </c>
      <c r="B1451" s="14" t="n">
        <v>124155.770831966</v>
      </c>
      <c r="C1451" s="15" t="n">
        <v>0.090599330193379</v>
      </c>
      <c r="D1451" s="14" t="n">
        <f aca="false">Summary!$B$5-B1451</f>
        <v>-24155.7708319662</v>
      </c>
      <c r="E1451" s="15" t="n">
        <f aca="false">B1451/Summary!$B$5-1</f>
        <v>0.241557708319662</v>
      </c>
    </row>
    <row r="1452" customFormat="false" ht="15" hidden="false" customHeight="false" outlineLevel="0" collapsed="false">
      <c r="A1452" s="0" t="n">
        <v>1451</v>
      </c>
      <c r="B1452" s="14" t="n">
        <v>104898.656846068</v>
      </c>
      <c r="C1452" s="15" t="n">
        <v>0.115006415186806</v>
      </c>
      <c r="D1452" s="14" t="n">
        <f aca="false">Summary!$B$5-B1452</f>
        <v>-4898.65684606769</v>
      </c>
      <c r="E1452" s="15" t="n">
        <f aca="false">B1452/Summary!$B$5-1</f>
        <v>0.048986568460677</v>
      </c>
    </row>
    <row r="1453" customFormat="false" ht="15" hidden="false" customHeight="false" outlineLevel="0" collapsed="false">
      <c r="A1453" s="0" t="n">
        <v>1452</v>
      </c>
      <c r="B1453" s="14" t="n">
        <v>110400.830047863</v>
      </c>
      <c r="C1453" s="15" t="n">
        <v>0.0633572808088723</v>
      </c>
      <c r="D1453" s="14" t="n">
        <f aca="false">Summary!$B$5-B1453</f>
        <v>-10400.8300478634</v>
      </c>
      <c r="E1453" s="15" t="n">
        <f aca="false">B1453/Summary!$B$5-1</f>
        <v>0.104008300478634</v>
      </c>
    </row>
    <row r="1454" customFormat="false" ht="15" hidden="false" customHeight="false" outlineLevel="0" collapsed="false">
      <c r="A1454" s="0" t="n">
        <v>1453</v>
      </c>
      <c r="B1454" s="14" t="n">
        <v>145737.553729036</v>
      </c>
      <c r="C1454" s="15" t="n">
        <v>0.0339371395372151</v>
      </c>
      <c r="D1454" s="14" t="n">
        <f aca="false">Summary!$B$5-B1454</f>
        <v>-45737.5537290357</v>
      </c>
      <c r="E1454" s="15" t="n">
        <f aca="false">B1454/Summary!$B$5-1</f>
        <v>0.457375537290357</v>
      </c>
    </row>
    <row r="1455" customFormat="false" ht="15" hidden="false" customHeight="false" outlineLevel="0" collapsed="false">
      <c r="A1455" s="0" t="n">
        <v>1454</v>
      </c>
      <c r="B1455" s="14" t="n">
        <v>107968.745843274</v>
      </c>
      <c r="C1455" s="15" t="n">
        <v>0.0743833044089642</v>
      </c>
      <c r="D1455" s="14" t="n">
        <f aca="false">Summary!$B$5-B1455</f>
        <v>-7968.7458432742</v>
      </c>
      <c r="E1455" s="15" t="n">
        <f aca="false">B1455/Summary!$B$5-1</f>
        <v>0.0796874584327421</v>
      </c>
    </row>
    <row r="1456" customFormat="false" ht="15" hidden="false" customHeight="false" outlineLevel="0" collapsed="false">
      <c r="A1456" s="0" t="n">
        <v>1455</v>
      </c>
      <c r="B1456" s="14" t="n">
        <v>115445.781975475</v>
      </c>
      <c r="C1456" s="15" t="n">
        <v>0.0570806545298616</v>
      </c>
      <c r="D1456" s="14" t="n">
        <f aca="false">Summary!$B$5-B1456</f>
        <v>-15445.7819754748</v>
      </c>
      <c r="E1456" s="15" t="n">
        <f aca="false">B1456/Summary!$B$5-1</f>
        <v>0.154457819754748</v>
      </c>
    </row>
    <row r="1457" customFormat="false" ht="15" hidden="false" customHeight="false" outlineLevel="0" collapsed="false">
      <c r="A1457" s="0" t="n">
        <v>1456</v>
      </c>
      <c r="B1457" s="14" t="n">
        <v>132057.389173401</v>
      </c>
      <c r="C1457" s="15" t="n">
        <v>0.0462964965433151</v>
      </c>
      <c r="D1457" s="14" t="n">
        <f aca="false">Summary!$B$5-B1457</f>
        <v>-32057.3891734006</v>
      </c>
      <c r="E1457" s="15" t="n">
        <f aca="false">B1457/Summary!$B$5-1</f>
        <v>0.320573891734006</v>
      </c>
    </row>
    <row r="1458" customFormat="false" ht="15" hidden="false" customHeight="false" outlineLevel="0" collapsed="false">
      <c r="A1458" s="0" t="n">
        <v>1457</v>
      </c>
      <c r="B1458" s="14" t="n">
        <v>106352.765935375</v>
      </c>
      <c r="C1458" s="15" t="n">
        <v>0.135621011442198</v>
      </c>
      <c r="D1458" s="14" t="n">
        <f aca="false">Summary!$B$5-B1458</f>
        <v>-6352.7659353746</v>
      </c>
      <c r="E1458" s="15" t="n">
        <f aca="false">B1458/Summary!$B$5-1</f>
        <v>0.0635276593537459</v>
      </c>
    </row>
    <row r="1459" customFormat="false" ht="15" hidden="false" customHeight="false" outlineLevel="0" collapsed="false">
      <c r="A1459" s="0" t="n">
        <v>1458</v>
      </c>
      <c r="B1459" s="14" t="n">
        <v>104298.285311537</v>
      </c>
      <c r="C1459" s="15" t="n">
        <v>0.0662074870949206</v>
      </c>
      <c r="D1459" s="14" t="n">
        <f aca="false">Summary!$B$5-B1459</f>
        <v>-4298.2853115373</v>
      </c>
      <c r="E1459" s="15" t="n">
        <f aca="false">B1459/Summary!$B$5-1</f>
        <v>0.0429828531153731</v>
      </c>
    </row>
    <row r="1460" customFormat="false" ht="15" hidden="false" customHeight="false" outlineLevel="0" collapsed="false">
      <c r="A1460" s="0" t="n">
        <v>1459</v>
      </c>
      <c r="B1460" s="14" t="n">
        <v>104953.152407654</v>
      </c>
      <c r="C1460" s="15" t="n">
        <v>0.125327186348361</v>
      </c>
      <c r="D1460" s="14" t="n">
        <f aca="false">Summary!$B$5-B1460</f>
        <v>-4953.15240765399</v>
      </c>
      <c r="E1460" s="15" t="n">
        <f aca="false">B1460/Summary!$B$5-1</f>
        <v>0.0495315240765399</v>
      </c>
    </row>
    <row r="1461" customFormat="false" ht="15" hidden="false" customHeight="false" outlineLevel="0" collapsed="false">
      <c r="A1461" s="0" t="n">
        <v>1460</v>
      </c>
      <c r="B1461" s="14" t="n">
        <v>153729.993061149</v>
      </c>
      <c r="C1461" s="15" t="n">
        <v>0.0558579988268658</v>
      </c>
      <c r="D1461" s="14" t="n">
        <f aca="false">Summary!$B$5-B1461</f>
        <v>-53729.9930611487</v>
      </c>
      <c r="E1461" s="15" t="n">
        <f aca="false">B1461/Summary!$B$5-1</f>
        <v>0.537299930611487</v>
      </c>
    </row>
    <row r="1462" customFormat="false" ht="15" hidden="false" customHeight="false" outlineLevel="0" collapsed="false">
      <c r="A1462" s="0" t="n">
        <v>1461</v>
      </c>
      <c r="B1462" s="14" t="n">
        <v>134712.02880949</v>
      </c>
      <c r="C1462" s="15" t="n">
        <v>0.0579621844304379</v>
      </c>
      <c r="D1462" s="14" t="n">
        <f aca="false">Summary!$B$5-B1462</f>
        <v>-34712.0288094895</v>
      </c>
      <c r="E1462" s="15" t="n">
        <f aca="false">B1462/Summary!$B$5-1</f>
        <v>0.347120288094895</v>
      </c>
    </row>
    <row r="1463" customFormat="false" ht="15" hidden="false" customHeight="false" outlineLevel="0" collapsed="false">
      <c r="A1463" s="0" t="n">
        <v>1462</v>
      </c>
      <c r="B1463" s="14" t="n">
        <v>98755.8427771677</v>
      </c>
      <c r="C1463" s="15" t="n">
        <v>0.156447773410988</v>
      </c>
      <c r="D1463" s="14" t="n">
        <f aca="false">Summary!$B$5-B1463</f>
        <v>1244.15722283231</v>
      </c>
      <c r="E1463" s="15" t="n">
        <f aca="false">B1463/Summary!$B$5-1</f>
        <v>-0.0124415722283231</v>
      </c>
    </row>
    <row r="1464" customFormat="false" ht="15" hidden="false" customHeight="false" outlineLevel="0" collapsed="false">
      <c r="A1464" s="0" t="n">
        <v>1463</v>
      </c>
      <c r="B1464" s="14" t="n">
        <v>121855.475856482</v>
      </c>
      <c r="C1464" s="15" t="n">
        <v>0.077462995733073</v>
      </c>
      <c r="D1464" s="14" t="n">
        <f aca="false">Summary!$B$5-B1464</f>
        <v>-21855.4758564823</v>
      </c>
      <c r="E1464" s="15" t="n">
        <f aca="false">B1464/Summary!$B$5-1</f>
        <v>0.218554758564823</v>
      </c>
    </row>
    <row r="1465" customFormat="false" ht="15" hidden="false" customHeight="false" outlineLevel="0" collapsed="false">
      <c r="A1465" s="0" t="n">
        <v>1464</v>
      </c>
      <c r="B1465" s="14" t="n">
        <v>116377.609603698</v>
      </c>
      <c r="C1465" s="15" t="n">
        <v>0.120729368028489</v>
      </c>
      <c r="D1465" s="14" t="n">
        <f aca="false">Summary!$B$5-B1465</f>
        <v>-16377.609603698</v>
      </c>
      <c r="E1465" s="15" t="n">
        <f aca="false">B1465/Summary!$B$5-1</f>
        <v>0.16377609603698</v>
      </c>
    </row>
    <row r="1466" customFormat="false" ht="15" hidden="false" customHeight="false" outlineLevel="0" collapsed="false">
      <c r="A1466" s="0" t="n">
        <v>1465</v>
      </c>
      <c r="B1466" s="14" t="n">
        <v>101003.664597615</v>
      </c>
      <c r="C1466" s="15" t="n">
        <v>0.066014249374265</v>
      </c>
      <c r="D1466" s="14" t="n">
        <f aca="false">Summary!$B$5-B1466</f>
        <v>-1003.6645976146</v>
      </c>
      <c r="E1466" s="15" t="n">
        <f aca="false">B1466/Summary!$B$5-1</f>
        <v>0.0100366459761461</v>
      </c>
    </row>
    <row r="1467" customFormat="false" ht="15" hidden="false" customHeight="false" outlineLevel="0" collapsed="false">
      <c r="A1467" s="0" t="n">
        <v>1466</v>
      </c>
      <c r="B1467" s="14" t="n">
        <v>118353.654108186</v>
      </c>
      <c r="C1467" s="15" t="n">
        <v>0.0691035134599073</v>
      </c>
      <c r="D1467" s="14" t="n">
        <f aca="false">Summary!$B$5-B1467</f>
        <v>-18353.6541081862</v>
      </c>
      <c r="E1467" s="15" t="n">
        <f aca="false">B1467/Summary!$B$5-1</f>
        <v>0.183536541081862</v>
      </c>
    </row>
    <row r="1468" customFormat="false" ht="15" hidden="false" customHeight="false" outlineLevel="0" collapsed="false">
      <c r="A1468" s="0" t="n">
        <v>1467</v>
      </c>
      <c r="B1468" s="14" t="n">
        <v>107115.057486627</v>
      </c>
      <c r="C1468" s="15" t="n">
        <v>0.134028630327675</v>
      </c>
      <c r="D1468" s="14" t="n">
        <f aca="false">Summary!$B$5-B1468</f>
        <v>-7115.0574866266</v>
      </c>
      <c r="E1468" s="15" t="n">
        <f aca="false">B1468/Summary!$B$5-1</f>
        <v>0.071150574866266</v>
      </c>
    </row>
    <row r="1469" customFormat="false" ht="15" hidden="false" customHeight="false" outlineLevel="0" collapsed="false">
      <c r="A1469" s="0" t="n">
        <v>1468</v>
      </c>
      <c r="B1469" s="14" t="n">
        <v>119863.905599257</v>
      </c>
      <c r="C1469" s="15" t="n">
        <v>0.0958109955474432</v>
      </c>
      <c r="D1469" s="14" t="n">
        <f aca="false">Summary!$B$5-B1469</f>
        <v>-19863.9055992573</v>
      </c>
      <c r="E1469" s="15" t="n">
        <f aca="false">B1469/Summary!$B$5-1</f>
        <v>0.198639055992573</v>
      </c>
    </row>
    <row r="1470" customFormat="false" ht="15" hidden="false" customHeight="false" outlineLevel="0" collapsed="false">
      <c r="A1470" s="0" t="n">
        <v>1469</v>
      </c>
      <c r="B1470" s="14" t="n">
        <v>120557.888102026</v>
      </c>
      <c r="C1470" s="15" t="n">
        <v>0.0989609539855322</v>
      </c>
      <c r="D1470" s="14" t="n">
        <f aca="false">Summary!$B$5-B1470</f>
        <v>-20557.8881020256</v>
      </c>
      <c r="E1470" s="15" t="n">
        <f aca="false">B1470/Summary!$B$5-1</f>
        <v>0.205578881020256</v>
      </c>
    </row>
    <row r="1471" customFormat="false" ht="15" hidden="false" customHeight="false" outlineLevel="0" collapsed="false">
      <c r="A1471" s="0" t="n">
        <v>1470</v>
      </c>
      <c r="B1471" s="14" t="n">
        <v>114838.602691977</v>
      </c>
      <c r="C1471" s="15" t="n">
        <v>0.124970151732993</v>
      </c>
      <c r="D1471" s="14" t="n">
        <f aca="false">Summary!$B$5-B1471</f>
        <v>-14838.6026919765</v>
      </c>
      <c r="E1471" s="15" t="n">
        <f aca="false">B1471/Summary!$B$5-1</f>
        <v>0.148386026919765</v>
      </c>
    </row>
    <row r="1472" customFormat="false" ht="15" hidden="false" customHeight="false" outlineLevel="0" collapsed="false">
      <c r="A1472" s="0" t="n">
        <v>1471</v>
      </c>
      <c r="B1472" s="14" t="n">
        <v>111491.941076734</v>
      </c>
      <c r="C1472" s="15" t="n">
        <v>0.065542741955626</v>
      </c>
      <c r="D1472" s="14" t="n">
        <f aca="false">Summary!$B$5-B1472</f>
        <v>-11491.9410767344</v>
      </c>
      <c r="E1472" s="15" t="n">
        <f aca="false">B1472/Summary!$B$5-1</f>
        <v>0.114919410767344</v>
      </c>
    </row>
    <row r="1473" customFormat="false" ht="15" hidden="false" customHeight="false" outlineLevel="0" collapsed="false">
      <c r="A1473" s="0" t="n">
        <v>1472</v>
      </c>
      <c r="B1473" s="14" t="n">
        <v>88499.816686473</v>
      </c>
      <c r="C1473" s="15" t="n">
        <v>0.181694211870339</v>
      </c>
      <c r="D1473" s="14" t="n">
        <f aca="false">Summary!$B$5-B1473</f>
        <v>11500.183313527</v>
      </c>
      <c r="E1473" s="15" t="n">
        <f aca="false">B1473/Summary!$B$5-1</f>
        <v>-0.11500183313527</v>
      </c>
    </row>
    <row r="1474" customFormat="false" ht="15" hidden="false" customHeight="false" outlineLevel="0" collapsed="false">
      <c r="A1474" s="0" t="n">
        <v>1473</v>
      </c>
      <c r="B1474" s="14" t="n">
        <v>101904.774411008</v>
      </c>
      <c r="C1474" s="15" t="n">
        <v>0.113720128928926</v>
      </c>
      <c r="D1474" s="14" t="n">
        <f aca="false">Summary!$B$5-B1474</f>
        <v>-1904.77441100799</v>
      </c>
      <c r="E1474" s="15" t="n">
        <f aca="false">B1474/Summary!$B$5-1</f>
        <v>0.01904774411008</v>
      </c>
    </row>
    <row r="1475" customFormat="false" ht="15" hidden="false" customHeight="false" outlineLevel="0" collapsed="false">
      <c r="A1475" s="0" t="n">
        <v>1474</v>
      </c>
      <c r="B1475" s="14" t="n">
        <v>103662.32937223</v>
      </c>
      <c r="C1475" s="15" t="n">
        <v>0.074373613207207</v>
      </c>
      <c r="D1475" s="14" t="n">
        <f aca="false">Summary!$B$5-B1475</f>
        <v>-3662.32937222959</v>
      </c>
      <c r="E1475" s="15" t="n">
        <f aca="false">B1475/Summary!$B$5-1</f>
        <v>0.0366232937222959</v>
      </c>
    </row>
    <row r="1476" customFormat="false" ht="15" hidden="false" customHeight="false" outlineLevel="0" collapsed="false">
      <c r="A1476" s="0" t="n">
        <v>1475</v>
      </c>
      <c r="B1476" s="14" t="n">
        <v>108466.671321878</v>
      </c>
      <c r="C1476" s="15" t="n">
        <v>0.106368381491733</v>
      </c>
      <c r="D1476" s="14" t="n">
        <f aca="false">Summary!$B$5-B1476</f>
        <v>-8466.67132187801</v>
      </c>
      <c r="E1476" s="15" t="n">
        <f aca="false">B1476/Summary!$B$5-1</f>
        <v>0.0846667132187802</v>
      </c>
    </row>
    <row r="1477" customFormat="false" ht="15" hidden="false" customHeight="false" outlineLevel="0" collapsed="false">
      <c r="A1477" s="0" t="n">
        <v>1476</v>
      </c>
      <c r="B1477" s="14" t="n">
        <v>91239.1742466366</v>
      </c>
      <c r="C1477" s="15" t="n">
        <v>0.136035658998988</v>
      </c>
      <c r="D1477" s="14" t="n">
        <f aca="false">Summary!$B$5-B1477</f>
        <v>8760.82575336342</v>
      </c>
      <c r="E1477" s="15" t="n">
        <f aca="false">B1477/Summary!$B$5-1</f>
        <v>-0.0876082575336342</v>
      </c>
    </row>
    <row r="1478" customFormat="false" ht="15" hidden="false" customHeight="false" outlineLevel="0" collapsed="false">
      <c r="A1478" s="0" t="n">
        <v>1477</v>
      </c>
      <c r="B1478" s="14" t="n">
        <v>118375.260510058</v>
      </c>
      <c r="C1478" s="15" t="n">
        <v>0.0714002622544981</v>
      </c>
      <c r="D1478" s="14" t="n">
        <f aca="false">Summary!$B$5-B1478</f>
        <v>-18375.2605100582</v>
      </c>
      <c r="E1478" s="15" t="n">
        <f aca="false">B1478/Summary!$B$5-1</f>
        <v>0.183752605100582</v>
      </c>
    </row>
    <row r="1479" customFormat="false" ht="15" hidden="false" customHeight="false" outlineLevel="0" collapsed="false">
      <c r="A1479" s="0" t="n">
        <v>1478</v>
      </c>
      <c r="B1479" s="14" t="n">
        <v>84993.4635641274</v>
      </c>
      <c r="C1479" s="15" t="n">
        <v>0.197866752639264</v>
      </c>
      <c r="D1479" s="14" t="n">
        <f aca="false">Summary!$B$5-B1479</f>
        <v>15006.5364358727</v>
      </c>
      <c r="E1479" s="15" t="n">
        <f aca="false">B1479/Summary!$B$5-1</f>
        <v>-0.150065364358727</v>
      </c>
    </row>
    <row r="1480" customFormat="false" ht="15" hidden="false" customHeight="false" outlineLevel="0" collapsed="false">
      <c r="A1480" s="0" t="n">
        <v>1479</v>
      </c>
      <c r="B1480" s="14" t="n">
        <v>98802.0917974654</v>
      </c>
      <c r="C1480" s="15" t="n">
        <v>0.133112682665575</v>
      </c>
      <c r="D1480" s="14" t="n">
        <f aca="false">Summary!$B$5-B1480</f>
        <v>1197.90820253464</v>
      </c>
      <c r="E1480" s="15" t="n">
        <f aca="false">B1480/Summary!$B$5-1</f>
        <v>-0.0119790820253465</v>
      </c>
    </row>
    <row r="1481" customFormat="false" ht="15" hidden="false" customHeight="false" outlineLevel="0" collapsed="false">
      <c r="A1481" s="0" t="n">
        <v>1480</v>
      </c>
      <c r="B1481" s="14" t="n">
        <v>85197.4963912497</v>
      </c>
      <c r="C1481" s="15" t="n">
        <v>0.157966305522419</v>
      </c>
      <c r="D1481" s="14" t="n">
        <f aca="false">Summary!$B$5-B1481</f>
        <v>14802.5036087503</v>
      </c>
      <c r="E1481" s="15" t="n">
        <f aca="false">B1481/Summary!$B$5-1</f>
        <v>-0.148025036087503</v>
      </c>
    </row>
    <row r="1482" customFormat="false" ht="15" hidden="false" customHeight="false" outlineLevel="0" collapsed="false">
      <c r="A1482" s="0" t="n">
        <v>1481</v>
      </c>
      <c r="B1482" s="14" t="n">
        <v>94228.9230465407</v>
      </c>
      <c r="C1482" s="15" t="n">
        <v>0.136072649876427</v>
      </c>
      <c r="D1482" s="14" t="n">
        <f aca="false">Summary!$B$5-B1482</f>
        <v>5771.0769534593</v>
      </c>
      <c r="E1482" s="15" t="n">
        <f aca="false">B1482/Summary!$B$5-1</f>
        <v>-0.057710769534593</v>
      </c>
    </row>
    <row r="1483" customFormat="false" ht="15" hidden="false" customHeight="false" outlineLevel="0" collapsed="false">
      <c r="A1483" s="0" t="n">
        <v>1482</v>
      </c>
      <c r="B1483" s="14" t="n">
        <v>95128.5698847463</v>
      </c>
      <c r="C1483" s="15" t="n">
        <v>0.130649412181792</v>
      </c>
      <c r="D1483" s="14" t="n">
        <f aca="false">Summary!$B$5-B1483</f>
        <v>4871.43011525375</v>
      </c>
      <c r="E1483" s="15" t="n">
        <f aca="false">B1483/Summary!$B$5-1</f>
        <v>-0.0487143011525375</v>
      </c>
    </row>
    <row r="1484" customFormat="false" ht="15" hidden="false" customHeight="false" outlineLevel="0" collapsed="false">
      <c r="A1484" s="0" t="n">
        <v>1483</v>
      </c>
      <c r="B1484" s="14" t="n">
        <v>164170.877124232</v>
      </c>
      <c r="C1484" s="15" t="n">
        <v>0.0420951805969946</v>
      </c>
      <c r="D1484" s="14" t="n">
        <f aca="false">Summary!$B$5-B1484</f>
        <v>-64170.8771242322</v>
      </c>
      <c r="E1484" s="15" t="n">
        <f aca="false">B1484/Summary!$B$5-1</f>
        <v>0.641708771242322</v>
      </c>
    </row>
    <row r="1485" customFormat="false" ht="15" hidden="false" customHeight="false" outlineLevel="0" collapsed="false">
      <c r="A1485" s="0" t="n">
        <v>1484</v>
      </c>
      <c r="B1485" s="14" t="n">
        <v>91647.0686411438</v>
      </c>
      <c r="C1485" s="15" t="n">
        <v>0.155280525588615</v>
      </c>
      <c r="D1485" s="14" t="n">
        <f aca="false">Summary!$B$5-B1485</f>
        <v>8352.93135885622</v>
      </c>
      <c r="E1485" s="15" t="n">
        <f aca="false">B1485/Summary!$B$5-1</f>
        <v>-0.0835293135885622</v>
      </c>
    </row>
    <row r="1486" customFormat="false" ht="15" hidden="false" customHeight="false" outlineLevel="0" collapsed="false">
      <c r="A1486" s="0" t="n">
        <v>1485</v>
      </c>
      <c r="B1486" s="14" t="n">
        <v>122857.302716822</v>
      </c>
      <c r="C1486" s="15" t="n">
        <v>0.0424798089655656</v>
      </c>
      <c r="D1486" s="14" t="n">
        <f aca="false">Summary!$B$5-B1486</f>
        <v>-22857.3027168219</v>
      </c>
      <c r="E1486" s="15" t="n">
        <f aca="false">B1486/Summary!$B$5-1</f>
        <v>0.228573027168219</v>
      </c>
    </row>
    <row r="1487" customFormat="false" ht="15" hidden="false" customHeight="false" outlineLevel="0" collapsed="false">
      <c r="A1487" s="0" t="n">
        <v>1486</v>
      </c>
      <c r="B1487" s="14" t="n">
        <v>101863.363691961</v>
      </c>
      <c r="C1487" s="15" t="n">
        <v>0.110216333549155</v>
      </c>
      <c r="D1487" s="14" t="n">
        <f aca="false">Summary!$B$5-B1487</f>
        <v>-1863.36369196069</v>
      </c>
      <c r="E1487" s="15" t="n">
        <f aca="false">B1487/Summary!$B$5-1</f>
        <v>0.018633636919607</v>
      </c>
    </row>
    <row r="1488" customFormat="false" ht="15" hidden="false" customHeight="false" outlineLevel="0" collapsed="false">
      <c r="A1488" s="0" t="n">
        <v>1487</v>
      </c>
      <c r="B1488" s="14" t="n">
        <v>113244.974338578</v>
      </c>
      <c r="C1488" s="15" t="n">
        <v>0.069705837814272</v>
      </c>
      <c r="D1488" s="14" t="n">
        <f aca="false">Summary!$B$5-B1488</f>
        <v>-13244.9743385777</v>
      </c>
      <c r="E1488" s="15" t="n">
        <f aca="false">B1488/Summary!$B$5-1</f>
        <v>0.132449743385777</v>
      </c>
    </row>
    <row r="1489" customFormat="false" ht="15" hidden="false" customHeight="false" outlineLevel="0" collapsed="false">
      <c r="A1489" s="0" t="n">
        <v>1488</v>
      </c>
      <c r="B1489" s="14" t="n">
        <v>109078.135709272</v>
      </c>
      <c r="C1489" s="15" t="n">
        <v>0.127681384547712</v>
      </c>
      <c r="D1489" s="14" t="n">
        <f aca="false">Summary!$B$5-B1489</f>
        <v>-9078.1357092715</v>
      </c>
      <c r="E1489" s="15" t="n">
        <f aca="false">B1489/Summary!$B$5-1</f>
        <v>0.090781357092715</v>
      </c>
    </row>
    <row r="1490" customFormat="false" ht="15" hidden="false" customHeight="false" outlineLevel="0" collapsed="false">
      <c r="A1490" s="0" t="n">
        <v>1489</v>
      </c>
      <c r="B1490" s="14" t="n">
        <v>102164.402595371</v>
      </c>
      <c r="C1490" s="15" t="n">
        <v>0.108831556402719</v>
      </c>
      <c r="D1490" s="14" t="n">
        <f aca="false">Summary!$B$5-B1490</f>
        <v>-2164.4025953705</v>
      </c>
      <c r="E1490" s="15" t="n">
        <f aca="false">B1490/Summary!$B$5-1</f>
        <v>0.021644025953705</v>
      </c>
    </row>
    <row r="1491" customFormat="false" ht="15" hidden="false" customHeight="false" outlineLevel="0" collapsed="false">
      <c r="A1491" s="0" t="n">
        <v>1490</v>
      </c>
      <c r="B1491" s="14" t="n">
        <v>107294.024243113</v>
      </c>
      <c r="C1491" s="15" t="n">
        <v>0.086016813223481</v>
      </c>
      <c r="D1491" s="14" t="n">
        <f aca="false">Summary!$B$5-B1491</f>
        <v>-7294.0242431127</v>
      </c>
      <c r="E1491" s="15" t="n">
        <f aca="false">B1491/Summary!$B$5-1</f>
        <v>0.072940242431127</v>
      </c>
    </row>
    <row r="1492" customFormat="false" ht="15" hidden="false" customHeight="false" outlineLevel="0" collapsed="false">
      <c r="A1492" s="0" t="n">
        <v>1491</v>
      </c>
      <c r="B1492" s="14" t="n">
        <v>113340.051244185</v>
      </c>
      <c r="C1492" s="15" t="n">
        <v>0.0588193739862749</v>
      </c>
      <c r="D1492" s="14" t="n">
        <f aca="false">Summary!$B$5-B1492</f>
        <v>-13340.051244185</v>
      </c>
      <c r="E1492" s="15" t="n">
        <f aca="false">B1492/Summary!$B$5-1</f>
        <v>0.13340051244185</v>
      </c>
    </row>
    <row r="1493" customFormat="false" ht="15" hidden="false" customHeight="false" outlineLevel="0" collapsed="false">
      <c r="A1493" s="0" t="n">
        <v>1492</v>
      </c>
      <c r="B1493" s="14" t="n">
        <v>98819.4169251711</v>
      </c>
      <c r="C1493" s="15" t="n">
        <v>0.132143789417035</v>
      </c>
      <c r="D1493" s="14" t="n">
        <f aca="false">Summary!$B$5-B1493</f>
        <v>1180.58307482893</v>
      </c>
      <c r="E1493" s="15" t="n">
        <f aca="false">B1493/Summary!$B$5-1</f>
        <v>-0.0118058307482893</v>
      </c>
    </row>
    <row r="1494" customFormat="false" ht="15" hidden="false" customHeight="false" outlineLevel="0" collapsed="false">
      <c r="A1494" s="0" t="n">
        <v>1493</v>
      </c>
      <c r="B1494" s="14" t="n">
        <v>94471.9807910086</v>
      </c>
      <c r="C1494" s="15" t="n">
        <v>0.108007212896966</v>
      </c>
      <c r="D1494" s="14" t="n">
        <f aca="false">Summary!$B$5-B1494</f>
        <v>5528.01920899143</v>
      </c>
      <c r="E1494" s="15" t="n">
        <f aca="false">B1494/Summary!$B$5-1</f>
        <v>-0.0552801920899143</v>
      </c>
    </row>
    <row r="1495" customFormat="false" ht="15" hidden="false" customHeight="false" outlineLevel="0" collapsed="false">
      <c r="A1495" s="0" t="n">
        <v>1494</v>
      </c>
      <c r="B1495" s="14" t="n">
        <v>95041.2286871163</v>
      </c>
      <c r="C1495" s="15" t="n">
        <v>0.136918911345131</v>
      </c>
      <c r="D1495" s="14" t="n">
        <f aca="false">Summary!$B$5-B1495</f>
        <v>4958.77131288374</v>
      </c>
      <c r="E1495" s="15" t="n">
        <f aca="false">B1495/Summary!$B$5-1</f>
        <v>-0.0495877131288374</v>
      </c>
    </row>
    <row r="1496" customFormat="false" ht="15" hidden="false" customHeight="false" outlineLevel="0" collapsed="false">
      <c r="A1496" s="0" t="n">
        <v>1495</v>
      </c>
      <c r="B1496" s="14" t="n">
        <v>97628.9350132386</v>
      </c>
      <c r="C1496" s="15" t="n">
        <v>0.0921521966808663</v>
      </c>
      <c r="D1496" s="14" t="n">
        <f aca="false">Summary!$B$5-B1496</f>
        <v>2371.0649867614</v>
      </c>
      <c r="E1496" s="15" t="n">
        <f aca="false">B1496/Summary!$B$5-1</f>
        <v>-0.023710649867614</v>
      </c>
    </row>
    <row r="1497" customFormat="false" ht="15" hidden="false" customHeight="false" outlineLevel="0" collapsed="false">
      <c r="A1497" s="0" t="n">
        <v>1496</v>
      </c>
      <c r="B1497" s="14" t="n">
        <v>121581.976179774</v>
      </c>
      <c r="C1497" s="15" t="n">
        <v>0.0658450146231563</v>
      </c>
      <c r="D1497" s="14" t="n">
        <f aca="false">Summary!$B$5-B1497</f>
        <v>-21581.9761797735</v>
      </c>
      <c r="E1497" s="15" t="n">
        <f aca="false">B1497/Summary!$B$5-1</f>
        <v>0.215819761797735</v>
      </c>
    </row>
    <row r="1498" customFormat="false" ht="15" hidden="false" customHeight="false" outlineLevel="0" collapsed="false">
      <c r="A1498" s="0" t="n">
        <v>1497</v>
      </c>
      <c r="B1498" s="14" t="n">
        <v>94749.2742299828</v>
      </c>
      <c r="C1498" s="15" t="n">
        <v>0.120203049801762</v>
      </c>
      <c r="D1498" s="14" t="n">
        <f aca="false">Summary!$B$5-B1498</f>
        <v>5250.72577001722</v>
      </c>
      <c r="E1498" s="15" t="n">
        <f aca="false">B1498/Summary!$B$5-1</f>
        <v>-0.0525072577001722</v>
      </c>
    </row>
    <row r="1499" customFormat="false" ht="15" hidden="false" customHeight="false" outlineLevel="0" collapsed="false">
      <c r="A1499" s="0" t="n">
        <v>1498</v>
      </c>
      <c r="B1499" s="14" t="n">
        <v>95888.6306211547</v>
      </c>
      <c r="C1499" s="15" t="n">
        <v>0.0960801197638421</v>
      </c>
      <c r="D1499" s="14" t="n">
        <f aca="false">Summary!$B$5-B1499</f>
        <v>4111.36937884532</v>
      </c>
      <c r="E1499" s="15" t="n">
        <f aca="false">B1499/Summary!$B$5-1</f>
        <v>-0.0411136937884532</v>
      </c>
    </row>
    <row r="1500" customFormat="false" ht="15" hidden="false" customHeight="false" outlineLevel="0" collapsed="false">
      <c r="A1500" s="0" t="n">
        <v>1499</v>
      </c>
      <c r="B1500" s="14" t="n">
        <v>110604.403312608</v>
      </c>
      <c r="C1500" s="15" t="n">
        <v>0.0865577224725028</v>
      </c>
      <c r="D1500" s="14" t="n">
        <f aca="false">Summary!$B$5-B1500</f>
        <v>-10604.4033126082</v>
      </c>
      <c r="E1500" s="15" t="n">
        <f aca="false">B1500/Summary!$B$5-1</f>
        <v>0.106044033126082</v>
      </c>
    </row>
    <row r="1501" customFormat="false" ht="15" hidden="false" customHeight="false" outlineLevel="0" collapsed="false">
      <c r="A1501" s="0" t="n">
        <v>1500</v>
      </c>
      <c r="B1501" s="14" t="n">
        <v>106439.987290497</v>
      </c>
      <c r="C1501" s="15" t="n">
        <v>0.141921890218834</v>
      </c>
      <c r="D1501" s="14" t="n">
        <f aca="false">Summary!$B$5-B1501</f>
        <v>-6439.9872904972</v>
      </c>
      <c r="E1501" s="15" t="n">
        <f aca="false">B1501/Summary!$B$5-1</f>
        <v>0.064399872904972</v>
      </c>
    </row>
    <row r="1502" customFormat="false" ht="15" hidden="false" customHeight="false" outlineLevel="0" collapsed="false">
      <c r="A1502" s="0" t="n">
        <v>1501</v>
      </c>
      <c r="B1502" s="14" t="n">
        <v>108733.341538547</v>
      </c>
      <c r="C1502" s="15" t="n">
        <v>0.0948418929655479</v>
      </c>
      <c r="D1502" s="14" t="n">
        <f aca="false">Summary!$B$5-B1502</f>
        <v>-8733.3415385469</v>
      </c>
      <c r="E1502" s="15" t="n">
        <f aca="false">B1502/Summary!$B$5-1</f>
        <v>0.087333415385469</v>
      </c>
    </row>
    <row r="1503" customFormat="false" ht="15" hidden="false" customHeight="false" outlineLevel="0" collapsed="false">
      <c r="A1503" s="0" t="n">
        <v>1502</v>
      </c>
      <c r="B1503" s="14" t="n">
        <v>97473.7262622013</v>
      </c>
      <c r="C1503" s="15" t="n">
        <v>0.100721109367161</v>
      </c>
      <c r="D1503" s="14" t="n">
        <f aca="false">Summary!$B$5-B1503</f>
        <v>2526.27373779871</v>
      </c>
      <c r="E1503" s="15" t="n">
        <f aca="false">B1503/Summary!$B$5-1</f>
        <v>-0.0252627373779871</v>
      </c>
    </row>
    <row r="1504" customFormat="false" ht="15" hidden="false" customHeight="false" outlineLevel="0" collapsed="false">
      <c r="A1504" s="0" t="n">
        <v>1503</v>
      </c>
      <c r="B1504" s="14" t="n">
        <v>118352.159722239</v>
      </c>
      <c r="C1504" s="15" t="n">
        <v>0.0484095891423568</v>
      </c>
      <c r="D1504" s="14" t="n">
        <f aca="false">Summary!$B$5-B1504</f>
        <v>-18352.1597222389</v>
      </c>
      <c r="E1504" s="15" t="n">
        <f aca="false">B1504/Summary!$B$5-1</f>
        <v>0.183521597222389</v>
      </c>
    </row>
    <row r="1505" customFormat="false" ht="15" hidden="false" customHeight="false" outlineLevel="0" collapsed="false">
      <c r="A1505" s="0" t="n">
        <v>1504</v>
      </c>
      <c r="B1505" s="14" t="n">
        <v>110594.944695228</v>
      </c>
      <c r="C1505" s="15" t="n">
        <v>0.0856744848438779</v>
      </c>
      <c r="D1505" s="14" t="n">
        <f aca="false">Summary!$B$5-B1505</f>
        <v>-10594.9446952277</v>
      </c>
      <c r="E1505" s="15" t="n">
        <f aca="false">B1505/Summary!$B$5-1</f>
        <v>0.105949446952277</v>
      </c>
    </row>
    <row r="1506" customFormat="false" ht="15" hidden="false" customHeight="false" outlineLevel="0" collapsed="false">
      <c r="A1506" s="0" t="n">
        <v>1505</v>
      </c>
      <c r="B1506" s="14" t="n">
        <v>90230.0314591811</v>
      </c>
      <c r="C1506" s="15" t="n">
        <v>0.149729514069808</v>
      </c>
      <c r="D1506" s="14" t="n">
        <f aca="false">Summary!$B$5-B1506</f>
        <v>9769.96854081894</v>
      </c>
      <c r="E1506" s="15" t="n">
        <f aca="false">B1506/Summary!$B$5-1</f>
        <v>-0.0976996854081894</v>
      </c>
    </row>
    <row r="1507" customFormat="false" ht="15" hidden="false" customHeight="false" outlineLevel="0" collapsed="false">
      <c r="A1507" s="0" t="n">
        <v>1506</v>
      </c>
      <c r="B1507" s="14" t="n">
        <v>112563.483649616</v>
      </c>
      <c r="C1507" s="15" t="n">
        <v>0.0950426748231958</v>
      </c>
      <c r="D1507" s="14" t="n">
        <f aca="false">Summary!$B$5-B1507</f>
        <v>-12563.4836496161</v>
      </c>
      <c r="E1507" s="15" t="n">
        <f aca="false">B1507/Summary!$B$5-1</f>
        <v>0.125634836496161</v>
      </c>
    </row>
    <row r="1508" customFormat="false" ht="15" hidden="false" customHeight="false" outlineLevel="0" collapsed="false">
      <c r="A1508" s="0" t="n">
        <v>1507</v>
      </c>
      <c r="B1508" s="14" t="n">
        <v>139161.409868094</v>
      </c>
      <c r="C1508" s="15" t="n">
        <v>0.0564576879265745</v>
      </c>
      <c r="D1508" s="14" t="n">
        <f aca="false">Summary!$B$5-B1508</f>
        <v>-39161.4098680935</v>
      </c>
      <c r="E1508" s="15" t="n">
        <f aca="false">B1508/Summary!$B$5-1</f>
        <v>0.391614098680935</v>
      </c>
    </row>
    <row r="1509" customFormat="false" ht="15" hidden="false" customHeight="false" outlineLevel="0" collapsed="false">
      <c r="A1509" s="0" t="n">
        <v>1508</v>
      </c>
      <c r="B1509" s="14" t="n">
        <v>120668.636100641</v>
      </c>
      <c r="C1509" s="15" t="n">
        <v>0.088650247593926</v>
      </c>
      <c r="D1509" s="14" t="n">
        <f aca="false">Summary!$B$5-B1509</f>
        <v>-20668.6361006412</v>
      </c>
      <c r="E1509" s="15" t="n">
        <f aca="false">B1509/Summary!$B$5-1</f>
        <v>0.206686361006412</v>
      </c>
    </row>
    <row r="1510" customFormat="false" ht="15" hidden="false" customHeight="false" outlineLevel="0" collapsed="false">
      <c r="A1510" s="0" t="n">
        <v>1509</v>
      </c>
      <c r="B1510" s="14" t="n">
        <v>130616.213338211</v>
      </c>
      <c r="C1510" s="15" t="n">
        <v>0.0558788506815341</v>
      </c>
      <c r="D1510" s="14" t="n">
        <f aca="false">Summary!$B$5-B1510</f>
        <v>-30616.2133382113</v>
      </c>
      <c r="E1510" s="15" t="n">
        <f aca="false">B1510/Summary!$B$5-1</f>
        <v>0.306162133382113</v>
      </c>
    </row>
    <row r="1511" customFormat="false" ht="15" hidden="false" customHeight="false" outlineLevel="0" collapsed="false">
      <c r="A1511" s="0" t="n">
        <v>1510</v>
      </c>
      <c r="B1511" s="14" t="n">
        <v>105325.623937893</v>
      </c>
      <c r="C1511" s="15" t="n">
        <v>0.0940879735146042</v>
      </c>
      <c r="D1511" s="14" t="n">
        <f aca="false">Summary!$B$5-B1511</f>
        <v>-5325.6239378926</v>
      </c>
      <c r="E1511" s="15" t="n">
        <f aca="false">B1511/Summary!$B$5-1</f>
        <v>0.053256239378926</v>
      </c>
    </row>
    <row r="1512" customFormat="false" ht="15" hidden="false" customHeight="false" outlineLevel="0" collapsed="false">
      <c r="A1512" s="0" t="n">
        <v>1511</v>
      </c>
      <c r="B1512" s="14" t="n">
        <v>112951.781514513</v>
      </c>
      <c r="C1512" s="15" t="n">
        <v>0.0952910671131199</v>
      </c>
      <c r="D1512" s="14" t="n">
        <f aca="false">Summary!$B$5-B1512</f>
        <v>-12951.7815145131</v>
      </c>
      <c r="E1512" s="15" t="n">
        <f aca="false">B1512/Summary!$B$5-1</f>
        <v>0.129517815145131</v>
      </c>
    </row>
    <row r="1513" customFormat="false" ht="15" hidden="false" customHeight="false" outlineLevel="0" collapsed="false">
      <c r="A1513" s="0" t="n">
        <v>1512</v>
      </c>
      <c r="B1513" s="14" t="n">
        <v>98307.3843761889</v>
      </c>
      <c r="C1513" s="15" t="n">
        <v>0.10731645837895</v>
      </c>
      <c r="D1513" s="14" t="n">
        <f aca="false">Summary!$B$5-B1513</f>
        <v>1692.61562381106</v>
      </c>
      <c r="E1513" s="15" t="n">
        <f aca="false">B1513/Summary!$B$5-1</f>
        <v>-0.0169261562381106</v>
      </c>
    </row>
    <row r="1514" customFormat="false" ht="15" hidden="false" customHeight="false" outlineLevel="0" collapsed="false">
      <c r="A1514" s="0" t="n">
        <v>1513</v>
      </c>
      <c r="B1514" s="14" t="n">
        <v>101653.202888444</v>
      </c>
      <c r="C1514" s="15" t="n">
        <v>0.105183153933277</v>
      </c>
      <c r="D1514" s="14" t="n">
        <f aca="false">Summary!$B$5-B1514</f>
        <v>-1653.2028884442</v>
      </c>
      <c r="E1514" s="15" t="n">
        <f aca="false">B1514/Summary!$B$5-1</f>
        <v>0.0165320288844419</v>
      </c>
    </row>
    <row r="1515" customFormat="false" ht="15" hidden="false" customHeight="false" outlineLevel="0" collapsed="false">
      <c r="A1515" s="0" t="n">
        <v>1514</v>
      </c>
      <c r="B1515" s="14" t="n">
        <v>105970.553930529</v>
      </c>
      <c r="C1515" s="15" t="n">
        <v>0.0710444589742104</v>
      </c>
      <c r="D1515" s="14" t="n">
        <f aca="false">Summary!$B$5-B1515</f>
        <v>-5970.5539305287</v>
      </c>
      <c r="E1515" s="15" t="n">
        <f aca="false">B1515/Summary!$B$5-1</f>
        <v>0.059705539305287</v>
      </c>
    </row>
    <row r="1516" customFormat="false" ht="15" hidden="false" customHeight="false" outlineLevel="0" collapsed="false">
      <c r="A1516" s="0" t="n">
        <v>1515</v>
      </c>
      <c r="B1516" s="14" t="n">
        <v>104529.455933622</v>
      </c>
      <c r="C1516" s="15" t="n">
        <v>0.071986156297332</v>
      </c>
      <c r="D1516" s="14" t="n">
        <f aca="false">Summary!$B$5-B1516</f>
        <v>-4529.45593362171</v>
      </c>
      <c r="E1516" s="15" t="n">
        <f aca="false">B1516/Summary!$B$5-1</f>
        <v>0.0452945593362171</v>
      </c>
    </row>
    <row r="1517" customFormat="false" ht="15" hidden="false" customHeight="false" outlineLevel="0" collapsed="false">
      <c r="A1517" s="0" t="n">
        <v>1516</v>
      </c>
      <c r="B1517" s="14" t="n">
        <v>119943.943423655</v>
      </c>
      <c r="C1517" s="15" t="n">
        <v>0.0685401901831164</v>
      </c>
      <c r="D1517" s="14" t="n">
        <f aca="false">Summary!$B$5-B1517</f>
        <v>-19943.9434236546</v>
      </c>
      <c r="E1517" s="15" t="n">
        <f aca="false">B1517/Summary!$B$5-1</f>
        <v>0.199439434236546</v>
      </c>
    </row>
    <row r="1518" customFormat="false" ht="15" hidden="false" customHeight="false" outlineLevel="0" collapsed="false">
      <c r="A1518" s="0" t="n">
        <v>1517</v>
      </c>
      <c r="B1518" s="14" t="n">
        <v>100591.549449998</v>
      </c>
      <c r="C1518" s="15" t="n">
        <v>0.0976887724317925</v>
      </c>
      <c r="D1518" s="14" t="n">
        <f aca="false">Summary!$B$5-B1518</f>
        <v>-591.549449997794</v>
      </c>
      <c r="E1518" s="15" t="n">
        <f aca="false">B1518/Summary!$B$5-1</f>
        <v>0.00591549449997797</v>
      </c>
    </row>
    <row r="1519" customFormat="false" ht="15" hidden="false" customHeight="false" outlineLevel="0" collapsed="false">
      <c r="A1519" s="0" t="n">
        <v>1518</v>
      </c>
      <c r="B1519" s="14" t="n">
        <v>134227.54406135</v>
      </c>
      <c r="C1519" s="15" t="n">
        <v>0.0412393804391803</v>
      </c>
      <c r="D1519" s="14" t="n">
        <f aca="false">Summary!$B$5-B1519</f>
        <v>-34227.54406135</v>
      </c>
      <c r="E1519" s="15" t="n">
        <f aca="false">B1519/Summary!$B$5-1</f>
        <v>0.3422754406135</v>
      </c>
    </row>
    <row r="1520" customFormat="false" ht="15" hidden="false" customHeight="false" outlineLevel="0" collapsed="false">
      <c r="A1520" s="0" t="n">
        <v>1519</v>
      </c>
      <c r="B1520" s="14" t="n">
        <v>117089.763166003</v>
      </c>
      <c r="C1520" s="15" t="n">
        <v>0.0710211445975905</v>
      </c>
      <c r="D1520" s="14" t="n">
        <f aca="false">Summary!$B$5-B1520</f>
        <v>-17089.763166003</v>
      </c>
      <c r="E1520" s="15" t="n">
        <f aca="false">B1520/Summary!$B$5-1</f>
        <v>0.17089763166003</v>
      </c>
    </row>
    <row r="1521" customFormat="false" ht="15" hidden="false" customHeight="false" outlineLevel="0" collapsed="false">
      <c r="A1521" s="0" t="n">
        <v>1520</v>
      </c>
      <c r="B1521" s="14" t="n">
        <v>110944.932545448</v>
      </c>
      <c r="C1521" s="15" t="n">
        <v>0.0860853569170612</v>
      </c>
      <c r="D1521" s="14" t="n">
        <f aca="false">Summary!$B$5-B1521</f>
        <v>-10944.9325454479</v>
      </c>
      <c r="E1521" s="15" t="n">
        <f aca="false">B1521/Summary!$B$5-1</f>
        <v>0.109449325454479</v>
      </c>
    </row>
    <row r="1522" customFormat="false" ht="15" hidden="false" customHeight="false" outlineLevel="0" collapsed="false">
      <c r="A1522" s="0" t="n">
        <v>1521</v>
      </c>
      <c r="B1522" s="14" t="n">
        <v>97930.1090768131</v>
      </c>
      <c r="C1522" s="15" t="n">
        <v>0.112751862771321</v>
      </c>
      <c r="D1522" s="14" t="n">
        <f aca="false">Summary!$B$5-B1522</f>
        <v>2069.8909231869</v>
      </c>
      <c r="E1522" s="15" t="n">
        <f aca="false">B1522/Summary!$B$5-1</f>
        <v>-0.020698909231869</v>
      </c>
    </row>
    <row r="1523" customFormat="false" ht="15" hidden="false" customHeight="false" outlineLevel="0" collapsed="false">
      <c r="A1523" s="0" t="n">
        <v>1522</v>
      </c>
      <c r="B1523" s="14" t="n">
        <v>115937.853916407</v>
      </c>
      <c r="C1523" s="15" t="n">
        <v>0.103619064345168</v>
      </c>
      <c r="D1523" s="14" t="n">
        <f aca="false">Summary!$B$5-B1523</f>
        <v>-15937.8539164068</v>
      </c>
      <c r="E1523" s="15" t="n">
        <f aca="false">B1523/Summary!$B$5-1</f>
        <v>0.159378539164068</v>
      </c>
    </row>
    <row r="1524" customFormat="false" ht="15" hidden="false" customHeight="false" outlineLevel="0" collapsed="false">
      <c r="A1524" s="0" t="n">
        <v>1523</v>
      </c>
      <c r="B1524" s="14" t="n">
        <v>95296.9999965826</v>
      </c>
      <c r="C1524" s="15" t="n">
        <v>0.0847184296885928</v>
      </c>
      <c r="D1524" s="14" t="n">
        <f aca="false">Summary!$B$5-B1524</f>
        <v>4703.0000034174</v>
      </c>
      <c r="E1524" s="15" t="n">
        <f aca="false">B1524/Summary!$B$5-1</f>
        <v>-0.047030000034174</v>
      </c>
    </row>
    <row r="1525" customFormat="false" ht="15" hidden="false" customHeight="false" outlineLevel="0" collapsed="false">
      <c r="A1525" s="0" t="n">
        <v>1524</v>
      </c>
      <c r="B1525" s="14" t="n">
        <v>109295.745542109</v>
      </c>
      <c r="C1525" s="15" t="n">
        <v>0.0918077720502201</v>
      </c>
      <c r="D1525" s="14" t="n">
        <f aca="false">Summary!$B$5-B1525</f>
        <v>-9295.74554210941</v>
      </c>
      <c r="E1525" s="15" t="n">
        <f aca="false">B1525/Summary!$B$5-1</f>
        <v>0.0929574554210941</v>
      </c>
    </row>
    <row r="1526" customFormat="false" ht="15" hidden="false" customHeight="false" outlineLevel="0" collapsed="false">
      <c r="A1526" s="0" t="n">
        <v>1525</v>
      </c>
      <c r="B1526" s="14" t="n">
        <v>100516.505788512</v>
      </c>
      <c r="C1526" s="15" t="n">
        <v>0.11199924793333</v>
      </c>
      <c r="D1526" s="14" t="n">
        <f aca="false">Summary!$B$5-B1526</f>
        <v>-516.5057885118</v>
      </c>
      <c r="E1526" s="15" t="n">
        <f aca="false">B1526/Summary!$B$5-1</f>
        <v>0.0051650578851179</v>
      </c>
    </row>
    <row r="1527" customFormat="false" ht="15" hidden="false" customHeight="false" outlineLevel="0" collapsed="false">
      <c r="A1527" s="0" t="n">
        <v>1526</v>
      </c>
      <c r="B1527" s="14" t="n">
        <v>105149.98418876</v>
      </c>
      <c r="C1527" s="15" t="n">
        <v>0.087864855443835</v>
      </c>
      <c r="D1527" s="14" t="n">
        <f aca="false">Summary!$B$5-B1527</f>
        <v>-5149.9841887599</v>
      </c>
      <c r="E1527" s="15" t="n">
        <f aca="false">B1527/Summary!$B$5-1</f>
        <v>0.0514998418875989</v>
      </c>
    </row>
    <row r="1528" customFormat="false" ht="15" hidden="false" customHeight="false" outlineLevel="0" collapsed="false">
      <c r="A1528" s="0" t="n">
        <v>1527</v>
      </c>
      <c r="B1528" s="14" t="n">
        <v>105501.811839419</v>
      </c>
      <c r="C1528" s="15" t="n">
        <v>0.108853871378756</v>
      </c>
      <c r="D1528" s="14" t="n">
        <f aca="false">Summary!$B$5-B1528</f>
        <v>-5501.8118394191</v>
      </c>
      <c r="E1528" s="15" t="n">
        <f aca="false">B1528/Summary!$B$5-1</f>
        <v>0.0550181183941909</v>
      </c>
    </row>
    <row r="1529" customFormat="false" ht="15" hidden="false" customHeight="false" outlineLevel="0" collapsed="false">
      <c r="A1529" s="0" t="n">
        <v>1528</v>
      </c>
      <c r="B1529" s="14" t="n">
        <v>135616.90834708</v>
      </c>
      <c r="C1529" s="15" t="n">
        <v>0.100265785951978</v>
      </c>
      <c r="D1529" s="14" t="n">
        <f aca="false">Summary!$B$5-B1529</f>
        <v>-35616.9083470798</v>
      </c>
      <c r="E1529" s="15" t="n">
        <f aca="false">B1529/Summary!$B$5-1</f>
        <v>0.356169083470798</v>
      </c>
    </row>
    <row r="1530" customFormat="false" ht="15" hidden="false" customHeight="false" outlineLevel="0" collapsed="false">
      <c r="A1530" s="0" t="n">
        <v>1529</v>
      </c>
      <c r="B1530" s="14" t="n">
        <v>115513.014025074</v>
      </c>
      <c r="C1530" s="15" t="n">
        <v>0.0686661169132292</v>
      </c>
      <c r="D1530" s="14" t="n">
        <f aca="false">Summary!$B$5-B1530</f>
        <v>-15513.0140250735</v>
      </c>
      <c r="E1530" s="15" t="n">
        <f aca="false">B1530/Summary!$B$5-1</f>
        <v>0.155130140250735</v>
      </c>
    </row>
    <row r="1531" customFormat="false" ht="15" hidden="false" customHeight="false" outlineLevel="0" collapsed="false">
      <c r="A1531" s="0" t="n">
        <v>1530</v>
      </c>
      <c r="B1531" s="14" t="n">
        <v>98287.0320451491</v>
      </c>
      <c r="C1531" s="15" t="n">
        <v>0.100983985787857</v>
      </c>
      <c r="D1531" s="14" t="n">
        <f aca="false">Summary!$B$5-B1531</f>
        <v>1712.96795485087</v>
      </c>
      <c r="E1531" s="15" t="n">
        <f aca="false">B1531/Summary!$B$5-1</f>
        <v>-0.0171296795485087</v>
      </c>
    </row>
    <row r="1532" customFormat="false" ht="15" hidden="false" customHeight="false" outlineLevel="0" collapsed="false">
      <c r="A1532" s="0" t="n">
        <v>1531</v>
      </c>
      <c r="B1532" s="14" t="n">
        <v>101479.940695609</v>
      </c>
      <c r="C1532" s="15" t="n">
        <v>0.159129263998088</v>
      </c>
      <c r="D1532" s="14" t="n">
        <f aca="false">Summary!$B$5-B1532</f>
        <v>-1479.9406956094</v>
      </c>
      <c r="E1532" s="15" t="n">
        <f aca="false">B1532/Summary!$B$5-1</f>
        <v>0.0147994069560939</v>
      </c>
    </row>
    <row r="1533" customFormat="false" ht="15" hidden="false" customHeight="false" outlineLevel="0" collapsed="false">
      <c r="A1533" s="0" t="n">
        <v>1532</v>
      </c>
      <c r="B1533" s="14" t="n">
        <v>99379.9754297439</v>
      </c>
      <c r="C1533" s="15" t="n">
        <v>0.0975953834855163</v>
      </c>
      <c r="D1533" s="14" t="n">
        <f aca="false">Summary!$B$5-B1533</f>
        <v>620.024570256122</v>
      </c>
      <c r="E1533" s="15" t="n">
        <f aca="false">B1533/Summary!$B$5-1</f>
        <v>-0.00620024570256117</v>
      </c>
    </row>
    <row r="1534" customFormat="false" ht="15" hidden="false" customHeight="false" outlineLevel="0" collapsed="false">
      <c r="A1534" s="0" t="n">
        <v>1533</v>
      </c>
      <c r="B1534" s="14" t="n">
        <v>132748.363093937</v>
      </c>
      <c r="C1534" s="15" t="n">
        <v>0.055177399080022</v>
      </c>
      <c r="D1534" s="14" t="n">
        <f aca="false">Summary!$B$5-B1534</f>
        <v>-32748.3630939371</v>
      </c>
      <c r="E1534" s="15" t="n">
        <f aca="false">B1534/Summary!$B$5-1</f>
        <v>0.327483630939371</v>
      </c>
    </row>
    <row r="1535" customFormat="false" ht="15" hidden="false" customHeight="false" outlineLevel="0" collapsed="false">
      <c r="A1535" s="0" t="n">
        <v>1534</v>
      </c>
      <c r="B1535" s="14" t="n">
        <v>115722.695887844</v>
      </c>
      <c r="C1535" s="15" t="n">
        <v>0.0687817941652308</v>
      </c>
      <c r="D1535" s="14" t="n">
        <f aca="false">Summary!$B$5-B1535</f>
        <v>-15722.6958878443</v>
      </c>
      <c r="E1535" s="15" t="n">
        <f aca="false">B1535/Summary!$B$5-1</f>
        <v>0.157226958878443</v>
      </c>
    </row>
    <row r="1536" customFormat="false" ht="15" hidden="false" customHeight="false" outlineLevel="0" collapsed="false">
      <c r="A1536" s="0" t="n">
        <v>1535</v>
      </c>
      <c r="B1536" s="14" t="n">
        <v>101387.591562345</v>
      </c>
      <c r="C1536" s="15" t="n">
        <v>0.0812077946685695</v>
      </c>
      <c r="D1536" s="14" t="n">
        <f aca="false">Summary!$B$5-B1536</f>
        <v>-1387.5915623449</v>
      </c>
      <c r="E1536" s="15" t="n">
        <f aca="false">B1536/Summary!$B$5-1</f>
        <v>0.0138759156234489</v>
      </c>
    </row>
    <row r="1537" customFormat="false" ht="15" hidden="false" customHeight="false" outlineLevel="0" collapsed="false">
      <c r="A1537" s="0" t="n">
        <v>1536</v>
      </c>
      <c r="B1537" s="14" t="n">
        <v>107640.709877476</v>
      </c>
      <c r="C1537" s="15" t="n">
        <v>0.123330957365067</v>
      </c>
      <c r="D1537" s="14" t="n">
        <f aca="false">Summary!$B$5-B1537</f>
        <v>-7640.7098774762</v>
      </c>
      <c r="E1537" s="15" t="n">
        <f aca="false">B1537/Summary!$B$5-1</f>
        <v>0.076407098774762</v>
      </c>
    </row>
    <row r="1538" customFormat="false" ht="15" hidden="false" customHeight="false" outlineLevel="0" collapsed="false">
      <c r="A1538" s="0" t="n">
        <v>1537</v>
      </c>
      <c r="B1538" s="14" t="n">
        <v>110065.315381526</v>
      </c>
      <c r="C1538" s="15" t="n">
        <v>0.0685744573573965</v>
      </c>
      <c r="D1538" s="14" t="n">
        <f aca="false">Summary!$B$5-B1538</f>
        <v>-10065.3153815255</v>
      </c>
      <c r="E1538" s="15" t="n">
        <f aca="false">B1538/Summary!$B$5-1</f>
        <v>0.100653153815255</v>
      </c>
    </row>
    <row r="1539" customFormat="false" ht="15" hidden="false" customHeight="false" outlineLevel="0" collapsed="false">
      <c r="A1539" s="0" t="n">
        <v>1538</v>
      </c>
      <c r="B1539" s="14" t="n">
        <v>110906.567169726</v>
      </c>
      <c r="C1539" s="15" t="n">
        <v>0.0756673106932729</v>
      </c>
      <c r="D1539" s="14" t="n">
        <f aca="false">Summary!$B$5-B1539</f>
        <v>-10906.5671697259</v>
      </c>
      <c r="E1539" s="15" t="n">
        <f aca="false">B1539/Summary!$B$5-1</f>
        <v>0.109065671697259</v>
      </c>
    </row>
    <row r="1540" customFormat="false" ht="15" hidden="false" customHeight="false" outlineLevel="0" collapsed="false">
      <c r="A1540" s="0" t="n">
        <v>1539</v>
      </c>
      <c r="B1540" s="14" t="n">
        <v>110717.289578158</v>
      </c>
      <c r="C1540" s="15" t="n">
        <v>0.0550802356652904</v>
      </c>
      <c r="D1540" s="14" t="n">
        <f aca="false">Summary!$B$5-B1540</f>
        <v>-10717.2895781575</v>
      </c>
      <c r="E1540" s="15" t="n">
        <f aca="false">B1540/Summary!$B$5-1</f>
        <v>0.107172895781575</v>
      </c>
    </row>
    <row r="1541" customFormat="false" ht="15" hidden="false" customHeight="false" outlineLevel="0" collapsed="false">
      <c r="A1541" s="0" t="n">
        <v>1540</v>
      </c>
      <c r="B1541" s="14" t="n">
        <v>113124.705592963</v>
      </c>
      <c r="C1541" s="15" t="n">
        <v>0.0546159123249943</v>
      </c>
      <c r="D1541" s="14" t="n">
        <f aca="false">Summary!$B$5-B1541</f>
        <v>-13124.7055929627</v>
      </c>
      <c r="E1541" s="15" t="n">
        <f aca="false">B1541/Summary!$B$5-1</f>
        <v>0.131247055929627</v>
      </c>
    </row>
    <row r="1542" customFormat="false" ht="15" hidden="false" customHeight="false" outlineLevel="0" collapsed="false">
      <c r="A1542" s="0" t="n">
        <v>1541</v>
      </c>
      <c r="B1542" s="14" t="n">
        <v>105907.171928904</v>
      </c>
      <c r="C1542" s="15" t="n">
        <v>0.0733020269127196</v>
      </c>
      <c r="D1542" s="14" t="n">
        <f aca="false">Summary!$B$5-B1542</f>
        <v>-5907.1719289036</v>
      </c>
      <c r="E1542" s="15" t="n">
        <f aca="false">B1542/Summary!$B$5-1</f>
        <v>0.059071719289036</v>
      </c>
    </row>
    <row r="1543" customFormat="false" ht="15" hidden="false" customHeight="false" outlineLevel="0" collapsed="false">
      <c r="A1543" s="0" t="n">
        <v>1542</v>
      </c>
      <c r="B1543" s="14" t="n">
        <v>131022.936264845</v>
      </c>
      <c r="C1543" s="15" t="n">
        <v>0.0500387560821772</v>
      </c>
      <c r="D1543" s="14" t="n">
        <f aca="false">Summary!$B$5-B1543</f>
        <v>-31022.9362648451</v>
      </c>
      <c r="E1543" s="15" t="n">
        <f aca="false">B1543/Summary!$B$5-1</f>
        <v>0.310229362648451</v>
      </c>
    </row>
    <row r="1544" customFormat="false" ht="15" hidden="false" customHeight="false" outlineLevel="0" collapsed="false">
      <c r="A1544" s="0" t="n">
        <v>1543</v>
      </c>
      <c r="B1544" s="14" t="n">
        <v>98572.2100874412</v>
      </c>
      <c r="C1544" s="15" t="n">
        <v>0.0642837335019617</v>
      </c>
      <c r="D1544" s="14" t="n">
        <f aca="false">Summary!$B$5-B1544</f>
        <v>1427.78991255883</v>
      </c>
      <c r="E1544" s="15" t="n">
        <f aca="false">B1544/Summary!$B$5-1</f>
        <v>-0.0142778991255883</v>
      </c>
    </row>
    <row r="1545" customFormat="false" ht="15" hidden="false" customHeight="false" outlineLevel="0" collapsed="false">
      <c r="A1545" s="0" t="n">
        <v>1544</v>
      </c>
      <c r="B1545" s="14" t="n">
        <v>117304.271806034</v>
      </c>
      <c r="C1545" s="15" t="n">
        <v>0.0613148861824535</v>
      </c>
      <c r="D1545" s="14" t="n">
        <f aca="false">Summary!$B$5-B1545</f>
        <v>-17304.2718060339</v>
      </c>
      <c r="E1545" s="15" t="n">
        <f aca="false">B1545/Summary!$B$5-1</f>
        <v>0.173042718060339</v>
      </c>
    </row>
    <row r="1546" customFormat="false" ht="15" hidden="false" customHeight="false" outlineLevel="0" collapsed="false">
      <c r="A1546" s="0" t="n">
        <v>1545</v>
      </c>
      <c r="B1546" s="14" t="n">
        <v>99118.0537770177</v>
      </c>
      <c r="C1546" s="15" t="n">
        <v>0.100080017925909</v>
      </c>
      <c r="D1546" s="14" t="n">
        <f aca="false">Summary!$B$5-B1546</f>
        <v>881.94622298234</v>
      </c>
      <c r="E1546" s="15" t="n">
        <f aca="false">B1546/Summary!$B$5-1</f>
        <v>-0.00881946222982344</v>
      </c>
    </row>
    <row r="1547" customFormat="false" ht="15" hidden="false" customHeight="false" outlineLevel="0" collapsed="false">
      <c r="A1547" s="0" t="n">
        <v>1546</v>
      </c>
      <c r="B1547" s="14" t="n">
        <v>93301.7186308314</v>
      </c>
      <c r="C1547" s="15" t="n">
        <v>0.127728417545047</v>
      </c>
      <c r="D1547" s="14" t="n">
        <f aca="false">Summary!$B$5-B1547</f>
        <v>6698.28136916865</v>
      </c>
      <c r="E1547" s="15" t="n">
        <f aca="false">B1547/Summary!$B$5-1</f>
        <v>-0.0669828136916865</v>
      </c>
    </row>
    <row r="1548" customFormat="false" ht="15" hidden="false" customHeight="false" outlineLevel="0" collapsed="false">
      <c r="A1548" s="0" t="n">
        <v>1547</v>
      </c>
      <c r="B1548" s="14" t="n">
        <v>121668.178069462</v>
      </c>
      <c r="C1548" s="15" t="n">
        <v>0.0430006169723616</v>
      </c>
      <c r="D1548" s="14" t="n">
        <f aca="false">Summary!$B$5-B1548</f>
        <v>-21668.1780694621</v>
      </c>
      <c r="E1548" s="15" t="n">
        <f aca="false">B1548/Summary!$B$5-1</f>
        <v>0.216681780694621</v>
      </c>
    </row>
    <row r="1549" customFormat="false" ht="15" hidden="false" customHeight="false" outlineLevel="0" collapsed="false">
      <c r="A1549" s="0" t="n">
        <v>1548</v>
      </c>
      <c r="B1549" s="14" t="n">
        <v>76471.1589592329</v>
      </c>
      <c r="C1549" s="15" t="n">
        <v>0.260003367836944</v>
      </c>
      <c r="D1549" s="14" t="n">
        <f aca="false">Summary!$B$5-B1549</f>
        <v>23528.8410407671</v>
      </c>
      <c r="E1549" s="15" t="n">
        <f aca="false">B1549/Summary!$B$5-1</f>
        <v>-0.235288410407671</v>
      </c>
    </row>
    <row r="1550" customFormat="false" ht="15" hidden="false" customHeight="false" outlineLevel="0" collapsed="false">
      <c r="A1550" s="0" t="n">
        <v>1549</v>
      </c>
      <c r="B1550" s="14" t="n">
        <v>111897.209622105</v>
      </c>
      <c r="C1550" s="15" t="n">
        <v>0.0735021391858685</v>
      </c>
      <c r="D1550" s="14" t="n">
        <f aca="false">Summary!$B$5-B1550</f>
        <v>-11897.2096221053</v>
      </c>
      <c r="E1550" s="15" t="n">
        <f aca="false">B1550/Summary!$B$5-1</f>
        <v>0.118972096221053</v>
      </c>
    </row>
    <row r="1551" customFormat="false" ht="15" hidden="false" customHeight="false" outlineLevel="0" collapsed="false">
      <c r="A1551" s="0" t="n">
        <v>1550</v>
      </c>
      <c r="B1551" s="14" t="n">
        <v>110833.504504394</v>
      </c>
      <c r="C1551" s="15" t="n">
        <v>0.0824256177792372</v>
      </c>
      <c r="D1551" s="14" t="n">
        <f aca="false">Summary!$B$5-B1551</f>
        <v>-10833.5045043943</v>
      </c>
      <c r="E1551" s="15" t="n">
        <f aca="false">B1551/Summary!$B$5-1</f>
        <v>0.108335045043943</v>
      </c>
    </row>
    <row r="1552" customFormat="false" ht="15" hidden="false" customHeight="false" outlineLevel="0" collapsed="false">
      <c r="A1552" s="0" t="n">
        <v>1551</v>
      </c>
      <c r="B1552" s="14" t="n">
        <v>112484.991906504</v>
      </c>
      <c r="C1552" s="15" t="n">
        <v>0.0707776704285432</v>
      </c>
      <c r="D1552" s="14" t="n">
        <f aca="false">Summary!$B$5-B1552</f>
        <v>-12484.9919065036</v>
      </c>
      <c r="E1552" s="15" t="n">
        <f aca="false">B1552/Summary!$B$5-1</f>
        <v>0.124849919065036</v>
      </c>
    </row>
    <row r="1553" customFormat="false" ht="15" hidden="false" customHeight="false" outlineLevel="0" collapsed="false">
      <c r="A1553" s="0" t="n">
        <v>1552</v>
      </c>
      <c r="B1553" s="14" t="n">
        <v>104385.477102265</v>
      </c>
      <c r="C1553" s="15" t="n">
        <v>0.129813835512051</v>
      </c>
      <c r="D1553" s="14" t="n">
        <f aca="false">Summary!$B$5-B1553</f>
        <v>-4385.477102265</v>
      </c>
      <c r="E1553" s="15" t="n">
        <f aca="false">B1553/Summary!$B$5-1</f>
        <v>0.04385477102265</v>
      </c>
    </row>
    <row r="1554" customFormat="false" ht="15" hidden="false" customHeight="false" outlineLevel="0" collapsed="false">
      <c r="A1554" s="0" t="n">
        <v>1553</v>
      </c>
      <c r="B1554" s="14" t="n">
        <v>114322.356626741</v>
      </c>
      <c r="C1554" s="15" t="n">
        <v>0.0739290893364708</v>
      </c>
      <c r="D1554" s="14" t="n">
        <f aca="false">Summary!$B$5-B1554</f>
        <v>-14322.3566267407</v>
      </c>
      <c r="E1554" s="15" t="n">
        <f aca="false">B1554/Summary!$B$5-1</f>
        <v>0.143223566267407</v>
      </c>
    </row>
    <row r="1555" customFormat="false" ht="15" hidden="false" customHeight="false" outlineLevel="0" collapsed="false">
      <c r="A1555" s="0" t="n">
        <v>1554</v>
      </c>
      <c r="B1555" s="14" t="n">
        <v>90530.124207761</v>
      </c>
      <c r="C1555" s="15" t="n">
        <v>0.117122818528868</v>
      </c>
      <c r="D1555" s="14" t="n">
        <f aca="false">Summary!$B$5-B1555</f>
        <v>9469.87579223902</v>
      </c>
      <c r="E1555" s="15" t="n">
        <f aca="false">B1555/Summary!$B$5-1</f>
        <v>-0.0946987579223902</v>
      </c>
    </row>
    <row r="1556" customFormat="false" ht="15" hidden="false" customHeight="false" outlineLevel="0" collapsed="false">
      <c r="A1556" s="0" t="n">
        <v>1555</v>
      </c>
      <c r="B1556" s="14" t="n">
        <v>111535.758287951</v>
      </c>
      <c r="C1556" s="15" t="n">
        <v>0.0606217517624689</v>
      </c>
      <c r="D1556" s="14" t="n">
        <f aca="false">Summary!$B$5-B1556</f>
        <v>-11535.7582879507</v>
      </c>
      <c r="E1556" s="15" t="n">
        <f aca="false">B1556/Summary!$B$5-1</f>
        <v>0.115357582879507</v>
      </c>
    </row>
    <row r="1557" customFormat="false" ht="15" hidden="false" customHeight="false" outlineLevel="0" collapsed="false">
      <c r="A1557" s="0" t="n">
        <v>1556</v>
      </c>
      <c r="B1557" s="14" t="n">
        <v>117612.611743038</v>
      </c>
      <c r="C1557" s="15" t="n">
        <v>0.0757935134740471</v>
      </c>
      <c r="D1557" s="14" t="n">
        <f aca="false">Summary!$B$5-B1557</f>
        <v>-17612.6117430379</v>
      </c>
      <c r="E1557" s="15" t="n">
        <f aca="false">B1557/Summary!$B$5-1</f>
        <v>0.176126117430379</v>
      </c>
    </row>
    <row r="1558" customFormat="false" ht="15" hidden="false" customHeight="false" outlineLevel="0" collapsed="false">
      <c r="A1558" s="0" t="n">
        <v>1557</v>
      </c>
      <c r="B1558" s="14" t="n">
        <v>98937.2737646278</v>
      </c>
      <c r="C1558" s="15" t="n">
        <v>0.102291354328877</v>
      </c>
      <c r="D1558" s="14" t="n">
        <f aca="false">Summary!$B$5-B1558</f>
        <v>1062.72623537223</v>
      </c>
      <c r="E1558" s="15" t="n">
        <f aca="false">B1558/Summary!$B$5-1</f>
        <v>-0.0106272623537224</v>
      </c>
    </row>
    <row r="1559" customFormat="false" ht="15" hidden="false" customHeight="false" outlineLevel="0" collapsed="false">
      <c r="A1559" s="0" t="n">
        <v>1558</v>
      </c>
      <c r="B1559" s="14" t="n">
        <v>114333.515293697</v>
      </c>
      <c r="C1559" s="15" t="n">
        <v>0.059204606062617</v>
      </c>
      <c r="D1559" s="14" t="n">
        <f aca="false">Summary!$B$5-B1559</f>
        <v>-14333.5152936966</v>
      </c>
      <c r="E1559" s="15" t="n">
        <f aca="false">B1559/Summary!$B$5-1</f>
        <v>0.143335152936966</v>
      </c>
    </row>
    <row r="1560" customFormat="false" ht="15" hidden="false" customHeight="false" outlineLevel="0" collapsed="false">
      <c r="A1560" s="0" t="n">
        <v>1559</v>
      </c>
      <c r="B1560" s="14" t="n">
        <v>108333.642403817</v>
      </c>
      <c r="C1560" s="15" t="n">
        <v>0.0697311734875616</v>
      </c>
      <c r="D1560" s="14" t="n">
        <f aca="false">Summary!$B$5-B1560</f>
        <v>-8333.6424038166</v>
      </c>
      <c r="E1560" s="15" t="n">
        <f aca="false">B1560/Summary!$B$5-1</f>
        <v>0.083336424038166</v>
      </c>
    </row>
    <row r="1561" customFormat="false" ht="15" hidden="false" customHeight="false" outlineLevel="0" collapsed="false">
      <c r="A1561" s="0" t="n">
        <v>1560</v>
      </c>
      <c r="B1561" s="14" t="n">
        <v>116758.530975906</v>
      </c>
      <c r="C1561" s="15" t="n">
        <v>0.0790490275773491</v>
      </c>
      <c r="D1561" s="14" t="n">
        <f aca="false">Summary!$B$5-B1561</f>
        <v>-16758.5309759061</v>
      </c>
      <c r="E1561" s="15" t="n">
        <f aca="false">B1561/Summary!$B$5-1</f>
        <v>0.167585309759061</v>
      </c>
    </row>
    <row r="1562" customFormat="false" ht="15" hidden="false" customHeight="false" outlineLevel="0" collapsed="false">
      <c r="A1562" s="0" t="n">
        <v>1561</v>
      </c>
      <c r="B1562" s="14" t="n">
        <v>110336.044777904</v>
      </c>
      <c r="C1562" s="15" t="n">
        <v>0.0700893715684193</v>
      </c>
      <c r="D1562" s="14" t="n">
        <f aca="false">Summary!$B$5-B1562</f>
        <v>-10336.0447779043</v>
      </c>
      <c r="E1562" s="15" t="n">
        <f aca="false">B1562/Summary!$B$5-1</f>
        <v>0.103360447779043</v>
      </c>
    </row>
    <row r="1563" customFormat="false" ht="15" hidden="false" customHeight="false" outlineLevel="0" collapsed="false">
      <c r="A1563" s="0" t="n">
        <v>1562</v>
      </c>
      <c r="B1563" s="14" t="n">
        <v>91515.543899305</v>
      </c>
      <c r="C1563" s="15" t="n">
        <v>0.135088433177188</v>
      </c>
      <c r="D1563" s="14" t="n">
        <f aca="false">Summary!$B$5-B1563</f>
        <v>8484.45610069501</v>
      </c>
      <c r="E1563" s="15" t="n">
        <f aca="false">B1563/Summary!$B$5-1</f>
        <v>-0.0848445610069502</v>
      </c>
    </row>
    <row r="1564" customFormat="false" ht="15" hidden="false" customHeight="false" outlineLevel="0" collapsed="false">
      <c r="A1564" s="0" t="n">
        <v>1563</v>
      </c>
      <c r="B1564" s="14" t="n">
        <v>101991.258367441</v>
      </c>
      <c r="C1564" s="15" t="n">
        <v>0.136602981961653</v>
      </c>
      <c r="D1564" s="14" t="n">
        <f aca="false">Summary!$B$5-B1564</f>
        <v>-1991.2583674405</v>
      </c>
      <c r="E1564" s="15" t="n">
        <f aca="false">B1564/Summary!$B$5-1</f>
        <v>0.019912583674405</v>
      </c>
    </row>
    <row r="1565" customFormat="false" ht="15" hidden="false" customHeight="false" outlineLevel="0" collapsed="false">
      <c r="A1565" s="0" t="n">
        <v>1564</v>
      </c>
      <c r="B1565" s="14" t="n">
        <v>110775.916749774</v>
      </c>
      <c r="C1565" s="15" t="n">
        <v>0.0962909607958223</v>
      </c>
      <c r="D1565" s="14" t="n">
        <f aca="false">Summary!$B$5-B1565</f>
        <v>-10775.9167497741</v>
      </c>
      <c r="E1565" s="15" t="n">
        <f aca="false">B1565/Summary!$B$5-1</f>
        <v>0.107759167497741</v>
      </c>
    </row>
    <row r="1566" customFormat="false" ht="15" hidden="false" customHeight="false" outlineLevel="0" collapsed="false">
      <c r="A1566" s="0" t="n">
        <v>1565</v>
      </c>
      <c r="B1566" s="14" t="n">
        <v>109557.278291055</v>
      </c>
      <c r="C1566" s="15" t="n">
        <v>0.0962765473405202</v>
      </c>
      <c r="D1566" s="14" t="n">
        <f aca="false">Summary!$B$5-B1566</f>
        <v>-9557.278291055</v>
      </c>
      <c r="E1566" s="15" t="n">
        <f aca="false">B1566/Summary!$B$5-1</f>
        <v>0.0955727829105499</v>
      </c>
    </row>
    <row r="1567" customFormat="false" ht="15" hidden="false" customHeight="false" outlineLevel="0" collapsed="false">
      <c r="A1567" s="0" t="n">
        <v>1566</v>
      </c>
      <c r="B1567" s="14" t="n">
        <v>88358.1487613412</v>
      </c>
      <c r="C1567" s="15" t="n">
        <v>0.173707882414692</v>
      </c>
      <c r="D1567" s="14" t="n">
        <f aca="false">Summary!$B$5-B1567</f>
        <v>11641.8512386588</v>
      </c>
      <c r="E1567" s="15" t="n">
        <f aca="false">B1567/Summary!$B$5-1</f>
        <v>-0.116418512386588</v>
      </c>
    </row>
    <row r="1568" customFormat="false" ht="15" hidden="false" customHeight="false" outlineLevel="0" collapsed="false">
      <c r="A1568" s="0" t="n">
        <v>1567</v>
      </c>
      <c r="B1568" s="14" t="n">
        <v>92364.3548597491</v>
      </c>
      <c r="C1568" s="15" t="n">
        <v>0.135350743341151</v>
      </c>
      <c r="D1568" s="14" t="n">
        <f aca="false">Summary!$B$5-B1568</f>
        <v>7635.64514025087</v>
      </c>
      <c r="E1568" s="15" t="n">
        <f aca="false">B1568/Summary!$B$5-1</f>
        <v>-0.0763564514025087</v>
      </c>
    </row>
    <row r="1569" customFormat="false" ht="15" hidden="false" customHeight="false" outlineLevel="0" collapsed="false">
      <c r="A1569" s="0" t="n">
        <v>1568</v>
      </c>
      <c r="B1569" s="14" t="n">
        <v>124079.22443903</v>
      </c>
      <c r="C1569" s="15" t="n">
        <v>0.0745452865726154</v>
      </c>
      <c r="D1569" s="14" t="n">
        <f aca="false">Summary!$B$5-B1569</f>
        <v>-24079.2244390303</v>
      </c>
      <c r="E1569" s="15" t="n">
        <f aca="false">B1569/Summary!$B$5-1</f>
        <v>0.240792244390303</v>
      </c>
    </row>
    <row r="1570" customFormat="false" ht="15" hidden="false" customHeight="false" outlineLevel="0" collapsed="false">
      <c r="A1570" s="0" t="n">
        <v>1569</v>
      </c>
      <c r="B1570" s="14" t="n">
        <v>120349.761997858</v>
      </c>
      <c r="C1570" s="15" t="n">
        <v>0.0674598044612397</v>
      </c>
      <c r="D1570" s="14" t="n">
        <f aca="false">Summary!$B$5-B1570</f>
        <v>-20349.7619978579</v>
      </c>
      <c r="E1570" s="15" t="n">
        <f aca="false">B1570/Summary!$B$5-1</f>
        <v>0.203497619978579</v>
      </c>
    </row>
    <row r="1571" customFormat="false" ht="15" hidden="false" customHeight="false" outlineLevel="0" collapsed="false">
      <c r="A1571" s="0" t="n">
        <v>1570</v>
      </c>
      <c r="B1571" s="14" t="n">
        <v>120731.222689421</v>
      </c>
      <c r="C1571" s="15" t="n">
        <v>0.0949093069470698</v>
      </c>
      <c r="D1571" s="14" t="n">
        <f aca="false">Summary!$B$5-B1571</f>
        <v>-20731.2226894214</v>
      </c>
      <c r="E1571" s="15" t="n">
        <f aca="false">B1571/Summary!$B$5-1</f>
        <v>0.207312226894214</v>
      </c>
    </row>
    <row r="1572" customFormat="false" ht="15" hidden="false" customHeight="false" outlineLevel="0" collapsed="false">
      <c r="A1572" s="0" t="n">
        <v>1571</v>
      </c>
      <c r="B1572" s="14" t="n">
        <v>96610.2229901849</v>
      </c>
      <c r="C1572" s="15" t="n">
        <v>0.141368810886287</v>
      </c>
      <c r="D1572" s="14" t="n">
        <f aca="false">Summary!$B$5-B1572</f>
        <v>3389.77700981512</v>
      </c>
      <c r="E1572" s="15" t="n">
        <f aca="false">B1572/Summary!$B$5-1</f>
        <v>-0.0338977700981512</v>
      </c>
    </row>
    <row r="1573" customFormat="false" ht="15" hidden="false" customHeight="false" outlineLevel="0" collapsed="false">
      <c r="A1573" s="0" t="n">
        <v>1572</v>
      </c>
      <c r="B1573" s="14" t="n">
        <v>131067.066313033</v>
      </c>
      <c r="C1573" s="15" t="n">
        <v>0.0848249560142063</v>
      </c>
      <c r="D1573" s="14" t="n">
        <f aca="false">Summary!$B$5-B1573</f>
        <v>-31067.0663130327</v>
      </c>
      <c r="E1573" s="15" t="n">
        <f aca="false">B1573/Summary!$B$5-1</f>
        <v>0.310670663130327</v>
      </c>
    </row>
    <row r="1574" customFormat="false" ht="15" hidden="false" customHeight="false" outlineLevel="0" collapsed="false">
      <c r="A1574" s="0" t="n">
        <v>1573</v>
      </c>
      <c r="B1574" s="14" t="n">
        <v>107134.735300084</v>
      </c>
      <c r="C1574" s="15" t="n">
        <v>0.0662638667075071</v>
      </c>
      <c r="D1574" s="14" t="n">
        <f aca="false">Summary!$B$5-B1574</f>
        <v>-7134.73530008381</v>
      </c>
      <c r="E1574" s="15" t="n">
        <f aca="false">B1574/Summary!$B$5-1</f>
        <v>0.0713473530008379</v>
      </c>
    </row>
    <row r="1575" customFormat="false" ht="15" hidden="false" customHeight="false" outlineLevel="0" collapsed="false">
      <c r="A1575" s="0" t="n">
        <v>1574</v>
      </c>
      <c r="B1575" s="14" t="n">
        <v>115533.746662759</v>
      </c>
      <c r="C1575" s="15" t="n">
        <v>0.0756927376817703</v>
      </c>
      <c r="D1575" s="14" t="n">
        <f aca="false">Summary!$B$5-B1575</f>
        <v>-15533.7466627585</v>
      </c>
      <c r="E1575" s="15" t="n">
        <f aca="false">B1575/Summary!$B$5-1</f>
        <v>0.155337466627585</v>
      </c>
    </row>
    <row r="1576" customFormat="false" ht="15" hidden="false" customHeight="false" outlineLevel="0" collapsed="false">
      <c r="A1576" s="0" t="n">
        <v>1575</v>
      </c>
      <c r="B1576" s="14" t="n">
        <v>138239.977238322</v>
      </c>
      <c r="C1576" s="15" t="n">
        <v>0.0748213734505119</v>
      </c>
      <c r="D1576" s="14" t="n">
        <f aca="false">Summary!$B$5-B1576</f>
        <v>-38239.9772383218</v>
      </c>
      <c r="E1576" s="15" t="n">
        <f aca="false">B1576/Summary!$B$5-1</f>
        <v>0.382399772383218</v>
      </c>
    </row>
    <row r="1577" customFormat="false" ht="15" hidden="false" customHeight="false" outlineLevel="0" collapsed="false">
      <c r="A1577" s="0" t="n">
        <v>1576</v>
      </c>
      <c r="B1577" s="14" t="n">
        <v>98238.4363906735</v>
      </c>
      <c r="C1577" s="15" t="n">
        <v>0.128697626963561</v>
      </c>
      <c r="D1577" s="14" t="n">
        <f aca="false">Summary!$B$5-B1577</f>
        <v>1761.56360932649</v>
      </c>
      <c r="E1577" s="15" t="n">
        <f aca="false">B1577/Summary!$B$5-1</f>
        <v>-0.0176156360932649</v>
      </c>
    </row>
    <row r="1578" customFormat="false" ht="15" hidden="false" customHeight="false" outlineLevel="0" collapsed="false">
      <c r="A1578" s="0" t="n">
        <v>1577</v>
      </c>
      <c r="B1578" s="14" t="n">
        <v>101400.677208548</v>
      </c>
      <c r="C1578" s="15" t="n">
        <v>0.137600203366378</v>
      </c>
      <c r="D1578" s="14" t="n">
        <f aca="false">Summary!$B$5-B1578</f>
        <v>-1400.677208548</v>
      </c>
      <c r="E1578" s="15" t="n">
        <f aca="false">B1578/Summary!$B$5-1</f>
        <v>0.01400677208548</v>
      </c>
    </row>
    <row r="1579" customFormat="false" ht="15" hidden="false" customHeight="false" outlineLevel="0" collapsed="false">
      <c r="A1579" s="0" t="n">
        <v>1578</v>
      </c>
      <c r="B1579" s="14" t="n">
        <v>114695.285512449</v>
      </c>
      <c r="C1579" s="15" t="n">
        <v>0.0685150107826019</v>
      </c>
      <c r="D1579" s="14" t="n">
        <f aca="false">Summary!$B$5-B1579</f>
        <v>-14695.2855124491</v>
      </c>
      <c r="E1579" s="15" t="n">
        <f aca="false">B1579/Summary!$B$5-1</f>
        <v>0.146952855124491</v>
      </c>
    </row>
    <row r="1580" customFormat="false" ht="15" hidden="false" customHeight="false" outlineLevel="0" collapsed="false">
      <c r="A1580" s="0" t="n">
        <v>1579</v>
      </c>
      <c r="B1580" s="14" t="n">
        <v>112449.926483657</v>
      </c>
      <c r="C1580" s="15" t="n">
        <v>0.110121204612086</v>
      </c>
      <c r="D1580" s="14" t="n">
        <f aca="false">Summary!$B$5-B1580</f>
        <v>-12449.9264836574</v>
      </c>
      <c r="E1580" s="15" t="n">
        <f aca="false">B1580/Summary!$B$5-1</f>
        <v>0.124499264836574</v>
      </c>
    </row>
    <row r="1581" customFormat="false" ht="15" hidden="false" customHeight="false" outlineLevel="0" collapsed="false">
      <c r="A1581" s="0" t="n">
        <v>1580</v>
      </c>
      <c r="B1581" s="14" t="n">
        <v>103027.5588761</v>
      </c>
      <c r="C1581" s="15" t="n">
        <v>0.101696293303222</v>
      </c>
      <c r="D1581" s="14" t="n">
        <f aca="false">Summary!$B$5-B1581</f>
        <v>-3027.5588761002</v>
      </c>
      <c r="E1581" s="15" t="n">
        <f aca="false">B1581/Summary!$B$5-1</f>
        <v>0.030275588761002</v>
      </c>
    </row>
    <row r="1582" customFormat="false" ht="15" hidden="false" customHeight="false" outlineLevel="0" collapsed="false">
      <c r="A1582" s="0" t="n">
        <v>1581</v>
      </c>
      <c r="B1582" s="14" t="n">
        <v>110760.086890638</v>
      </c>
      <c r="C1582" s="15" t="n">
        <v>0.143923338330813</v>
      </c>
      <c r="D1582" s="14" t="n">
        <f aca="false">Summary!$B$5-B1582</f>
        <v>-10760.0868906382</v>
      </c>
      <c r="E1582" s="15" t="n">
        <f aca="false">B1582/Summary!$B$5-1</f>
        <v>0.107600868906382</v>
      </c>
    </row>
    <row r="1583" customFormat="false" ht="15" hidden="false" customHeight="false" outlineLevel="0" collapsed="false">
      <c r="A1583" s="0" t="n">
        <v>1582</v>
      </c>
      <c r="B1583" s="14" t="n">
        <v>108430.47164022</v>
      </c>
      <c r="C1583" s="15" t="n">
        <v>0.0891590686299271</v>
      </c>
      <c r="D1583" s="14" t="n">
        <f aca="false">Summary!$B$5-B1583</f>
        <v>-8430.47164022041</v>
      </c>
      <c r="E1583" s="15" t="n">
        <f aca="false">B1583/Summary!$B$5-1</f>
        <v>0.0843047164022042</v>
      </c>
    </row>
    <row r="1584" customFormat="false" ht="15" hidden="false" customHeight="false" outlineLevel="0" collapsed="false">
      <c r="A1584" s="0" t="n">
        <v>1583</v>
      </c>
      <c r="B1584" s="14" t="n">
        <v>98704.3711251139</v>
      </c>
      <c r="C1584" s="15" t="n">
        <v>0.116689860935918</v>
      </c>
      <c r="D1584" s="14" t="n">
        <f aca="false">Summary!$B$5-B1584</f>
        <v>1295.62887488608</v>
      </c>
      <c r="E1584" s="15" t="n">
        <f aca="false">B1584/Summary!$B$5-1</f>
        <v>-0.0129562887488608</v>
      </c>
    </row>
    <row r="1585" customFormat="false" ht="15" hidden="false" customHeight="false" outlineLevel="0" collapsed="false">
      <c r="A1585" s="0" t="n">
        <v>1584</v>
      </c>
      <c r="B1585" s="14" t="n">
        <v>94741.095557055</v>
      </c>
      <c r="C1585" s="15" t="n">
        <v>0.201073375974099</v>
      </c>
      <c r="D1585" s="14" t="n">
        <f aca="false">Summary!$B$5-B1585</f>
        <v>5258.90444294497</v>
      </c>
      <c r="E1585" s="15" t="n">
        <f aca="false">B1585/Summary!$B$5-1</f>
        <v>-0.0525890444294497</v>
      </c>
    </row>
    <row r="1586" customFormat="false" ht="15" hidden="false" customHeight="false" outlineLevel="0" collapsed="false">
      <c r="A1586" s="0" t="n">
        <v>1585</v>
      </c>
      <c r="B1586" s="14" t="n">
        <v>104167.320313719</v>
      </c>
      <c r="C1586" s="15" t="n">
        <v>0.121002025084813</v>
      </c>
      <c r="D1586" s="14" t="n">
        <f aca="false">Summary!$B$5-B1586</f>
        <v>-4167.3203137192</v>
      </c>
      <c r="E1586" s="15" t="n">
        <f aca="false">B1586/Summary!$B$5-1</f>
        <v>0.041673203137192</v>
      </c>
    </row>
    <row r="1587" customFormat="false" ht="15" hidden="false" customHeight="false" outlineLevel="0" collapsed="false">
      <c r="A1587" s="0" t="n">
        <v>1586</v>
      </c>
      <c r="B1587" s="14" t="n">
        <v>121202.700662623</v>
      </c>
      <c r="C1587" s="15" t="n">
        <v>0.0494819998606275</v>
      </c>
      <c r="D1587" s="14" t="n">
        <f aca="false">Summary!$B$5-B1587</f>
        <v>-21202.7006626225</v>
      </c>
      <c r="E1587" s="15" t="n">
        <f aca="false">B1587/Summary!$B$5-1</f>
        <v>0.212027006626225</v>
      </c>
    </row>
    <row r="1588" customFormat="false" ht="15" hidden="false" customHeight="false" outlineLevel="0" collapsed="false">
      <c r="A1588" s="0" t="n">
        <v>1587</v>
      </c>
      <c r="B1588" s="14" t="n">
        <v>130215.203925519</v>
      </c>
      <c r="C1588" s="15" t="n">
        <v>0.0614651370804381</v>
      </c>
      <c r="D1588" s="14" t="n">
        <f aca="false">Summary!$B$5-B1588</f>
        <v>-30215.2039255193</v>
      </c>
      <c r="E1588" s="15" t="n">
        <f aca="false">B1588/Summary!$B$5-1</f>
        <v>0.302152039255193</v>
      </c>
    </row>
    <row r="1589" customFormat="false" ht="15" hidden="false" customHeight="false" outlineLevel="0" collapsed="false">
      <c r="A1589" s="0" t="n">
        <v>1588</v>
      </c>
      <c r="B1589" s="14" t="n">
        <v>90339.5070253116</v>
      </c>
      <c r="C1589" s="15" t="n">
        <v>0.160614343516999</v>
      </c>
      <c r="D1589" s="14" t="n">
        <f aca="false">Summary!$B$5-B1589</f>
        <v>9660.49297468836</v>
      </c>
      <c r="E1589" s="15" t="n">
        <f aca="false">B1589/Summary!$B$5-1</f>
        <v>-0.0966049297468836</v>
      </c>
    </row>
    <row r="1590" customFormat="false" ht="15" hidden="false" customHeight="false" outlineLevel="0" collapsed="false">
      <c r="A1590" s="0" t="n">
        <v>1589</v>
      </c>
      <c r="B1590" s="14" t="n">
        <v>97577.2411905897</v>
      </c>
      <c r="C1590" s="15" t="n">
        <v>0.102499185768836</v>
      </c>
      <c r="D1590" s="14" t="n">
        <f aca="false">Summary!$B$5-B1590</f>
        <v>2422.75880941027</v>
      </c>
      <c r="E1590" s="15" t="n">
        <f aca="false">B1590/Summary!$B$5-1</f>
        <v>-0.0242275880941026</v>
      </c>
    </row>
    <row r="1591" customFormat="false" ht="15" hidden="false" customHeight="false" outlineLevel="0" collapsed="false">
      <c r="A1591" s="0" t="n">
        <v>1590</v>
      </c>
      <c r="B1591" s="14" t="n">
        <v>93762.17961742</v>
      </c>
      <c r="C1591" s="15" t="n">
        <v>0.194916576869892</v>
      </c>
      <c r="D1591" s="14" t="n">
        <f aca="false">Summary!$B$5-B1591</f>
        <v>6237.82038257996</v>
      </c>
      <c r="E1591" s="15" t="n">
        <f aca="false">B1591/Summary!$B$5-1</f>
        <v>-0.0623782038257996</v>
      </c>
    </row>
    <row r="1592" customFormat="false" ht="15" hidden="false" customHeight="false" outlineLevel="0" collapsed="false">
      <c r="A1592" s="0" t="n">
        <v>1591</v>
      </c>
      <c r="B1592" s="14" t="n">
        <v>91913.9836278039</v>
      </c>
      <c r="C1592" s="15" t="n">
        <v>0.124762856342083</v>
      </c>
      <c r="D1592" s="14" t="n">
        <f aca="false">Summary!$B$5-B1592</f>
        <v>8086.01637219611</v>
      </c>
      <c r="E1592" s="15" t="n">
        <f aca="false">B1592/Summary!$B$5-1</f>
        <v>-0.0808601637219611</v>
      </c>
    </row>
    <row r="1593" customFormat="false" ht="15" hidden="false" customHeight="false" outlineLevel="0" collapsed="false">
      <c r="A1593" s="0" t="n">
        <v>1592</v>
      </c>
      <c r="B1593" s="14" t="n">
        <v>105585.827365225</v>
      </c>
      <c r="C1593" s="15" t="n">
        <v>0.0931826805936655</v>
      </c>
      <c r="D1593" s="14" t="n">
        <f aca="false">Summary!$B$5-B1593</f>
        <v>-5585.8273652252</v>
      </c>
      <c r="E1593" s="15" t="n">
        <f aca="false">B1593/Summary!$B$5-1</f>
        <v>0.0558582736522519</v>
      </c>
    </row>
    <row r="1594" customFormat="false" ht="15" hidden="false" customHeight="false" outlineLevel="0" collapsed="false">
      <c r="A1594" s="0" t="n">
        <v>1593</v>
      </c>
      <c r="B1594" s="14" t="n">
        <v>121097.066741648</v>
      </c>
      <c r="C1594" s="15" t="n">
        <v>0.0997670948095988</v>
      </c>
      <c r="D1594" s="14" t="n">
        <f aca="false">Summary!$B$5-B1594</f>
        <v>-21097.0667416479</v>
      </c>
      <c r="E1594" s="15" t="n">
        <f aca="false">B1594/Summary!$B$5-1</f>
        <v>0.210970667416479</v>
      </c>
    </row>
    <row r="1595" customFormat="false" ht="15" hidden="false" customHeight="false" outlineLevel="0" collapsed="false">
      <c r="A1595" s="0" t="n">
        <v>1594</v>
      </c>
      <c r="B1595" s="14" t="n">
        <v>90072.0731120369</v>
      </c>
      <c r="C1595" s="15" t="n">
        <v>0.142126344048455</v>
      </c>
      <c r="D1595" s="14" t="n">
        <f aca="false">Summary!$B$5-B1595</f>
        <v>9927.9268879631</v>
      </c>
      <c r="E1595" s="15" t="n">
        <f aca="false">B1595/Summary!$B$5-1</f>
        <v>-0.099279268879631</v>
      </c>
    </row>
    <row r="1596" customFormat="false" ht="15" hidden="false" customHeight="false" outlineLevel="0" collapsed="false">
      <c r="A1596" s="0" t="n">
        <v>1595</v>
      </c>
      <c r="B1596" s="14" t="n">
        <v>89353.0518322161</v>
      </c>
      <c r="C1596" s="15" t="n">
        <v>0.127664299506143</v>
      </c>
      <c r="D1596" s="14" t="n">
        <f aca="false">Summary!$B$5-B1596</f>
        <v>10646.9481677839</v>
      </c>
      <c r="E1596" s="15" t="n">
        <f aca="false">B1596/Summary!$B$5-1</f>
        <v>-0.106469481677839</v>
      </c>
    </row>
    <row r="1597" customFormat="false" ht="15" hidden="false" customHeight="false" outlineLevel="0" collapsed="false">
      <c r="A1597" s="0" t="n">
        <v>1596</v>
      </c>
      <c r="B1597" s="14" t="n">
        <v>109931.219090527</v>
      </c>
      <c r="C1597" s="15" t="n">
        <v>0.0756680559650695</v>
      </c>
      <c r="D1597" s="14" t="n">
        <f aca="false">Summary!$B$5-B1597</f>
        <v>-9931.2190905273</v>
      </c>
      <c r="E1597" s="15" t="n">
        <f aca="false">B1597/Summary!$B$5-1</f>
        <v>0.099312190905273</v>
      </c>
    </row>
    <row r="1598" customFormat="false" ht="15" hidden="false" customHeight="false" outlineLevel="0" collapsed="false">
      <c r="A1598" s="0" t="n">
        <v>1597</v>
      </c>
      <c r="B1598" s="14" t="n">
        <v>113139.325395655</v>
      </c>
      <c r="C1598" s="15" t="n">
        <v>0.0754340749886552</v>
      </c>
      <c r="D1598" s="14" t="n">
        <f aca="false">Summary!$B$5-B1598</f>
        <v>-13139.3253956548</v>
      </c>
      <c r="E1598" s="15" t="n">
        <f aca="false">B1598/Summary!$B$5-1</f>
        <v>0.131393253956548</v>
      </c>
    </row>
    <row r="1599" customFormat="false" ht="15" hidden="false" customHeight="false" outlineLevel="0" collapsed="false">
      <c r="A1599" s="0" t="n">
        <v>1598</v>
      </c>
      <c r="B1599" s="14" t="n">
        <v>95454.0407464566</v>
      </c>
      <c r="C1599" s="15" t="n">
        <v>0.0789699733927599</v>
      </c>
      <c r="D1599" s="14" t="n">
        <f aca="false">Summary!$B$5-B1599</f>
        <v>4545.95925354339</v>
      </c>
      <c r="E1599" s="15" t="n">
        <f aca="false">B1599/Summary!$B$5-1</f>
        <v>-0.0454595925354339</v>
      </c>
    </row>
    <row r="1600" customFormat="false" ht="15" hidden="false" customHeight="false" outlineLevel="0" collapsed="false">
      <c r="A1600" s="0" t="n">
        <v>1599</v>
      </c>
      <c r="B1600" s="14" t="n">
        <v>96426.9085689542</v>
      </c>
      <c r="C1600" s="15" t="n">
        <v>0.134477243083775</v>
      </c>
      <c r="D1600" s="14" t="n">
        <f aca="false">Summary!$B$5-B1600</f>
        <v>3573.09143104582</v>
      </c>
      <c r="E1600" s="15" t="n">
        <f aca="false">B1600/Summary!$B$5-1</f>
        <v>-0.0357309143104582</v>
      </c>
    </row>
    <row r="1601" customFormat="false" ht="15" hidden="false" customHeight="false" outlineLevel="0" collapsed="false">
      <c r="A1601" s="0" t="n">
        <v>1600</v>
      </c>
      <c r="B1601" s="14" t="n">
        <v>102437.394825214</v>
      </c>
      <c r="C1601" s="15" t="n">
        <v>0.132015183718036</v>
      </c>
      <c r="D1601" s="14" t="n">
        <f aca="false">Summary!$B$5-B1601</f>
        <v>-2437.3948252143</v>
      </c>
      <c r="E1601" s="15" t="n">
        <f aca="false">B1601/Summary!$B$5-1</f>
        <v>0.024373948252143</v>
      </c>
    </row>
    <row r="1602" customFormat="false" ht="15" hidden="false" customHeight="false" outlineLevel="0" collapsed="false">
      <c r="A1602" s="0" t="n">
        <v>1601</v>
      </c>
      <c r="B1602" s="14" t="n">
        <v>121450.036815135</v>
      </c>
      <c r="C1602" s="15" t="n">
        <v>0.0474302274192714</v>
      </c>
      <c r="D1602" s="14" t="n">
        <f aca="false">Summary!$B$5-B1602</f>
        <v>-21450.0368151354</v>
      </c>
      <c r="E1602" s="15" t="n">
        <f aca="false">B1602/Summary!$B$5-1</f>
        <v>0.214500368151354</v>
      </c>
    </row>
    <row r="1603" customFormat="false" ht="15" hidden="false" customHeight="false" outlineLevel="0" collapsed="false">
      <c r="A1603" s="0" t="n">
        <v>1602</v>
      </c>
      <c r="B1603" s="14" t="n">
        <v>122674.817918505</v>
      </c>
      <c r="C1603" s="15" t="n">
        <v>0.0805418240945997</v>
      </c>
      <c r="D1603" s="14" t="n">
        <f aca="false">Summary!$B$5-B1603</f>
        <v>-22674.8179185047</v>
      </c>
      <c r="E1603" s="15" t="n">
        <f aca="false">B1603/Summary!$B$5-1</f>
        <v>0.226748179185047</v>
      </c>
    </row>
    <row r="1604" customFormat="false" ht="15" hidden="false" customHeight="false" outlineLevel="0" collapsed="false">
      <c r="A1604" s="0" t="n">
        <v>1603</v>
      </c>
      <c r="B1604" s="14" t="n">
        <v>129887.073573545</v>
      </c>
      <c r="C1604" s="15" t="n">
        <v>0.0675041961222175</v>
      </c>
      <c r="D1604" s="14" t="n">
        <f aca="false">Summary!$B$5-B1604</f>
        <v>-29887.0735735445</v>
      </c>
      <c r="E1604" s="15" t="n">
        <f aca="false">B1604/Summary!$B$5-1</f>
        <v>0.298870735735445</v>
      </c>
    </row>
    <row r="1605" customFormat="false" ht="15" hidden="false" customHeight="false" outlineLevel="0" collapsed="false">
      <c r="A1605" s="0" t="n">
        <v>1604</v>
      </c>
      <c r="B1605" s="14" t="n">
        <v>88258.8950895517</v>
      </c>
      <c r="C1605" s="15" t="n">
        <v>0.147890567044327</v>
      </c>
      <c r="D1605" s="14" t="n">
        <f aca="false">Summary!$B$5-B1605</f>
        <v>11741.1049104483</v>
      </c>
      <c r="E1605" s="15" t="n">
        <f aca="false">B1605/Summary!$B$5-1</f>
        <v>-0.117411049104483</v>
      </c>
    </row>
    <row r="1606" customFormat="false" ht="15" hidden="false" customHeight="false" outlineLevel="0" collapsed="false">
      <c r="A1606" s="0" t="n">
        <v>1605</v>
      </c>
      <c r="B1606" s="14" t="n">
        <v>95424.5939329446</v>
      </c>
      <c r="C1606" s="15" t="n">
        <v>0.115477537651631</v>
      </c>
      <c r="D1606" s="14" t="n">
        <f aca="false">Summary!$B$5-B1606</f>
        <v>4575.40606705542</v>
      </c>
      <c r="E1606" s="15" t="n">
        <f aca="false">B1606/Summary!$B$5-1</f>
        <v>-0.0457540606705542</v>
      </c>
    </row>
    <row r="1607" customFormat="false" ht="15" hidden="false" customHeight="false" outlineLevel="0" collapsed="false">
      <c r="A1607" s="0" t="n">
        <v>1606</v>
      </c>
      <c r="B1607" s="14" t="n">
        <v>102587.750421697</v>
      </c>
      <c r="C1607" s="15" t="n">
        <v>0.136141520306005</v>
      </c>
      <c r="D1607" s="14" t="n">
        <f aca="false">Summary!$B$5-B1607</f>
        <v>-2587.75042169741</v>
      </c>
      <c r="E1607" s="15" t="n">
        <f aca="false">B1607/Summary!$B$5-1</f>
        <v>0.0258775042169741</v>
      </c>
    </row>
    <row r="1608" customFormat="false" ht="15" hidden="false" customHeight="false" outlineLevel="0" collapsed="false">
      <c r="A1608" s="0" t="n">
        <v>1607</v>
      </c>
      <c r="B1608" s="14" t="n">
        <v>116899.162208476</v>
      </c>
      <c r="C1608" s="15" t="n">
        <v>0.109331336567419</v>
      </c>
      <c r="D1608" s="14" t="n">
        <f aca="false">Summary!$B$5-B1608</f>
        <v>-16899.162208476</v>
      </c>
      <c r="E1608" s="15" t="n">
        <f aca="false">B1608/Summary!$B$5-1</f>
        <v>0.16899162208476</v>
      </c>
    </row>
    <row r="1609" customFormat="false" ht="15" hidden="false" customHeight="false" outlineLevel="0" collapsed="false">
      <c r="A1609" s="0" t="n">
        <v>1608</v>
      </c>
      <c r="B1609" s="14" t="n">
        <v>95180.1709061339</v>
      </c>
      <c r="C1609" s="15" t="n">
        <v>0.124362327841832</v>
      </c>
      <c r="D1609" s="14" t="n">
        <f aca="false">Summary!$B$5-B1609</f>
        <v>4819.82909386609</v>
      </c>
      <c r="E1609" s="15" t="n">
        <f aca="false">B1609/Summary!$B$5-1</f>
        <v>-0.0481982909386609</v>
      </c>
    </row>
    <row r="1610" customFormat="false" ht="15" hidden="false" customHeight="false" outlineLevel="0" collapsed="false">
      <c r="A1610" s="0" t="n">
        <v>1609</v>
      </c>
      <c r="B1610" s="14" t="n">
        <v>109369.526325416</v>
      </c>
      <c r="C1610" s="15" t="n">
        <v>0.111451299594998</v>
      </c>
      <c r="D1610" s="14" t="n">
        <f aca="false">Summary!$B$5-B1610</f>
        <v>-9369.5263254162</v>
      </c>
      <c r="E1610" s="15" t="n">
        <f aca="false">B1610/Summary!$B$5-1</f>
        <v>0.0936952632541619</v>
      </c>
    </row>
    <row r="1611" customFormat="false" ht="15" hidden="false" customHeight="false" outlineLevel="0" collapsed="false">
      <c r="A1611" s="0" t="n">
        <v>1610</v>
      </c>
      <c r="B1611" s="14" t="n">
        <v>102707.084710191</v>
      </c>
      <c r="C1611" s="15" t="n">
        <v>0.157596185333221</v>
      </c>
      <c r="D1611" s="14" t="n">
        <f aca="false">Summary!$B$5-B1611</f>
        <v>-2707.0847101914</v>
      </c>
      <c r="E1611" s="15" t="n">
        <f aca="false">B1611/Summary!$B$5-1</f>
        <v>0.0270708471019139</v>
      </c>
    </row>
    <row r="1612" customFormat="false" ht="15" hidden="false" customHeight="false" outlineLevel="0" collapsed="false">
      <c r="A1612" s="0" t="n">
        <v>1611</v>
      </c>
      <c r="B1612" s="14" t="n">
        <v>130881.213182537</v>
      </c>
      <c r="C1612" s="15" t="n">
        <v>0.0622533627190389</v>
      </c>
      <c r="D1612" s="14" t="n">
        <f aca="false">Summary!$B$5-B1612</f>
        <v>-30881.2131825366</v>
      </c>
      <c r="E1612" s="15" t="n">
        <f aca="false">B1612/Summary!$B$5-1</f>
        <v>0.308812131825366</v>
      </c>
    </row>
    <row r="1613" customFormat="false" ht="15" hidden="false" customHeight="false" outlineLevel="0" collapsed="false">
      <c r="A1613" s="0" t="n">
        <v>1612</v>
      </c>
      <c r="B1613" s="14" t="n">
        <v>129977.913514583</v>
      </c>
      <c r="C1613" s="15" t="n">
        <v>0.0561340053994744</v>
      </c>
      <c r="D1613" s="14" t="n">
        <f aca="false">Summary!$B$5-B1613</f>
        <v>-29977.9135145832</v>
      </c>
      <c r="E1613" s="15" t="n">
        <f aca="false">B1613/Summary!$B$5-1</f>
        <v>0.299779135145832</v>
      </c>
    </row>
    <row r="1614" customFormat="false" ht="15" hidden="false" customHeight="false" outlineLevel="0" collapsed="false">
      <c r="A1614" s="0" t="n">
        <v>1613</v>
      </c>
      <c r="B1614" s="14" t="n">
        <v>100870.551615829</v>
      </c>
      <c r="C1614" s="15" t="n">
        <v>0.173312903523026</v>
      </c>
      <c r="D1614" s="14" t="n">
        <f aca="false">Summary!$B$5-B1614</f>
        <v>-870.551615829303</v>
      </c>
      <c r="E1614" s="15" t="n">
        <f aca="false">B1614/Summary!$B$5-1</f>
        <v>0.00870551615829296</v>
      </c>
    </row>
    <row r="1615" customFormat="false" ht="15" hidden="false" customHeight="false" outlineLevel="0" collapsed="false">
      <c r="A1615" s="0" t="n">
        <v>1614</v>
      </c>
      <c r="B1615" s="14" t="n">
        <v>113731.979887457</v>
      </c>
      <c r="C1615" s="15" t="n">
        <v>0.0571993276803745</v>
      </c>
      <c r="D1615" s="14" t="n">
        <f aca="false">Summary!$B$5-B1615</f>
        <v>-13731.9798874571</v>
      </c>
      <c r="E1615" s="15" t="n">
        <f aca="false">B1615/Summary!$B$5-1</f>
        <v>0.137319798874571</v>
      </c>
    </row>
    <row r="1616" customFormat="false" ht="15" hidden="false" customHeight="false" outlineLevel="0" collapsed="false">
      <c r="A1616" s="0" t="n">
        <v>1615</v>
      </c>
      <c r="B1616" s="14" t="n">
        <v>85530.366282193</v>
      </c>
      <c r="C1616" s="15" t="n">
        <v>0.248490991467583</v>
      </c>
      <c r="D1616" s="14" t="n">
        <f aca="false">Summary!$B$5-B1616</f>
        <v>14469.6337178071</v>
      </c>
      <c r="E1616" s="15" t="n">
        <f aca="false">B1616/Summary!$B$5-1</f>
        <v>-0.144696337178071</v>
      </c>
    </row>
    <row r="1617" customFormat="false" ht="15" hidden="false" customHeight="false" outlineLevel="0" collapsed="false">
      <c r="A1617" s="0" t="n">
        <v>1616</v>
      </c>
      <c r="B1617" s="14" t="n">
        <v>106574.648771606</v>
      </c>
      <c r="C1617" s="15" t="n">
        <v>0.0963279977371923</v>
      </c>
      <c r="D1617" s="14" t="n">
        <f aca="false">Summary!$B$5-B1617</f>
        <v>-6574.6487716062</v>
      </c>
      <c r="E1617" s="15" t="n">
        <f aca="false">B1617/Summary!$B$5-1</f>
        <v>0.0657464877160621</v>
      </c>
    </row>
    <row r="1618" customFormat="false" ht="15" hidden="false" customHeight="false" outlineLevel="0" collapsed="false">
      <c r="A1618" s="0" t="n">
        <v>1617</v>
      </c>
      <c r="B1618" s="14" t="n">
        <v>96391.2766472754</v>
      </c>
      <c r="C1618" s="15" t="n">
        <v>0.131782285032134</v>
      </c>
      <c r="D1618" s="14" t="n">
        <f aca="false">Summary!$B$5-B1618</f>
        <v>3608.7233527246</v>
      </c>
      <c r="E1618" s="15" t="n">
        <f aca="false">B1618/Summary!$B$5-1</f>
        <v>-0.036087233527246</v>
      </c>
    </row>
    <row r="1619" customFormat="false" ht="15" hidden="false" customHeight="false" outlineLevel="0" collapsed="false">
      <c r="A1619" s="0" t="n">
        <v>1618</v>
      </c>
      <c r="B1619" s="14" t="n">
        <v>113245.464354526</v>
      </c>
      <c r="C1619" s="15" t="n">
        <v>0.078177553685597</v>
      </c>
      <c r="D1619" s="14" t="n">
        <f aca="false">Summary!$B$5-B1619</f>
        <v>-13245.4643545262</v>
      </c>
      <c r="E1619" s="15" t="n">
        <f aca="false">B1619/Summary!$B$5-1</f>
        <v>0.132454643545262</v>
      </c>
    </row>
    <row r="1620" customFormat="false" ht="15" hidden="false" customHeight="false" outlineLevel="0" collapsed="false">
      <c r="A1620" s="0" t="n">
        <v>1619</v>
      </c>
      <c r="B1620" s="14" t="n">
        <v>103035.319106476</v>
      </c>
      <c r="C1620" s="15" t="n">
        <v>0.0778261862348736</v>
      </c>
      <c r="D1620" s="14" t="n">
        <f aca="false">Summary!$B$5-B1620</f>
        <v>-3035.3191064758</v>
      </c>
      <c r="E1620" s="15" t="n">
        <f aca="false">B1620/Summary!$B$5-1</f>
        <v>0.0303531910647581</v>
      </c>
    </row>
    <row r="1621" customFormat="false" ht="15" hidden="false" customHeight="false" outlineLevel="0" collapsed="false">
      <c r="A1621" s="0" t="n">
        <v>1620</v>
      </c>
      <c r="B1621" s="14" t="n">
        <v>93998.244934221</v>
      </c>
      <c r="C1621" s="15" t="n">
        <v>0.153041905849791</v>
      </c>
      <c r="D1621" s="14" t="n">
        <f aca="false">Summary!$B$5-B1621</f>
        <v>6001.75506577903</v>
      </c>
      <c r="E1621" s="15" t="n">
        <f aca="false">B1621/Summary!$B$5-1</f>
        <v>-0.0600175506577902</v>
      </c>
    </row>
    <row r="1622" customFormat="false" ht="15" hidden="false" customHeight="false" outlineLevel="0" collapsed="false">
      <c r="A1622" s="0" t="n">
        <v>1621</v>
      </c>
      <c r="B1622" s="14" t="n">
        <v>99068.8108826459</v>
      </c>
      <c r="C1622" s="15" t="n">
        <v>0.10871576116509</v>
      </c>
      <c r="D1622" s="14" t="n">
        <f aca="false">Summary!$B$5-B1622</f>
        <v>931.189117354064</v>
      </c>
      <c r="E1622" s="15" t="n">
        <f aca="false">B1622/Summary!$B$5-1</f>
        <v>-0.0093118911735407</v>
      </c>
    </row>
    <row r="1623" customFormat="false" ht="15" hidden="false" customHeight="false" outlineLevel="0" collapsed="false">
      <c r="A1623" s="0" t="n">
        <v>1622</v>
      </c>
      <c r="B1623" s="14" t="n">
        <v>119490.782267299</v>
      </c>
      <c r="C1623" s="15" t="n">
        <v>0.0570450782605119</v>
      </c>
      <c r="D1623" s="14" t="n">
        <f aca="false">Summary!$B$5-B1623</f>
        <v>-19490.7822672988</v>
      </c>
      <c r="E1623" s="15" t="n">
        <f aca="false">B1623/Summary!$B$5-1</f>
        <v>0.194907822672988</v>
      </c>
    </row>
    <row r="1624" customFormat="false" ht="15" hidden="false" customHeight="false" outlineLevel="0" collapsed="false">
      <c r="A1624" s="0" t="n">
        <v>1623</v>
      </c>
      <c r="B1624" s="14" t="n">
        <v>90178.6841190713</v>
      </c>
      <c r="C1624" s="15" t="n">
        <v>0.171971651299559</v>
      </c>
      <c r="D1624" s="14" t="n">
        <f aca="false">Summary!$B$5-B1624</f>
        <v>9821.31588092868</v>
      </c>
      <c r="E1624" s="15" t="n">
        <f aca="false">B1624/Summary!$B$5-1</f>
        <v>-0.0982131588092868</v>
      </c>
    </row>
    <row r="1625" customFormat="false" ht="15" hidden="false" customHeight="false" outlineLevel="0" collapsed="false">
      <c r="A1625" s="0" t="n">
        <v>1624</v>
      </c>
      <c r="B1625" s="14" t="n">
        <v>85222.4080606369</v>
      </c>
      <c r="C1625" s="15" t="n">
        <v>0.197182344374352</v>
      </c>
      <c r="D1625" s="14" t="n">
        <f aca="false">Summary!$B$5-B1625</f>
        <v>14777.5919393631</v>
      </c>
      <c r="E1625" s="15" t="n">
        <f aca="false">B1625/Summary!$B$5-1</f>
        <v>-0.147775919393631</v>
      </c>
    </row>
    <row r="1626" customFormat="false" ht="15" hidden="false" customHeight="false" outlineLevel="0" collapsed="false">
      <c r="A1626" s="0" t="n">
        <v>1625</v>
      </c>
      <c r="B1626" s="14" t="n">
        <v>106787.408569364</v>
      </c>
      <c r="C1626" s="15" t="n">
        <v>0.0950022387439644</v>
      </c>
      <c r="D1626" s="14" t="n">
        <f aca="false">Summary!$B$5-B1626</f>
        <v>-6787.4085693642</v>
      </c>
      <c r="E1626" s="15" t="n">
        <f aca="false">B1626/Summary!$B$5-1</f>
        <v>0.067874085693642</v>
      </c>
    </row>
    <row r="1627" customFormat="false" ht="15" hidden="false" customHeight="false" outlineLevel="0" collapsed="false">
      <c r="A1627" s="0" t="n">
        <v>1626</v>
      </c>
      <c r="B1627" s="14" t="n">
        <v>118453.57074647</v>
      </c>
      <c r="C1627" s="15" t="n">
        <v>0.0524134301177536</v>
      </c>
      <c r="D1627" s="14" t="n">
        <f aca="false">Summary!$B$5-B1627</f>
        <v>-18453.5707464704</v>
      </c>
      <c r="E1627" s="15" t="n">
        <f aca="false">B1627/Summary!$B$5-1</f>
        <v>0.184535707464704</v>
      </c>
    </row>
    <row r="1628" customFormat="false" ht="15" hidden="false" customHeight="false" outlineLevel="0" collapsed="false">
      <c r="A1628" s="0" t="n">
        <v>1627</v>
      </c>
      <c r="B1628" s="14" t="n">
        <v>94175.5501704855</v>
      </c>
      <c r="C1628" s="15" t="n">
        <v>0.121481933130838</v>
      </c>
      <c r="D1628" s="14" t="n">
        <f aca="false">Summary!$B$5-B1628</f>
        <v>5824.44982951452</v>
      </c>
      <c r="E1628" s="15" t="n">
        <f aca="false">B1628/Summary!$B$5-1</f>
        <v>-0.0582444982951452</v>
      </c>
    </row>
    <row r="1629" customFormat="false" ht="15" hidden="false" customHeight="false" outlineLevel="0" collapsed="false">
      <c r="A1629" s="0" t="n">
        <v>1628</v>
      </c>
      <c r="B1629" s="14" t="n">
        <v>113428.162845461</v>
      </c>
      <c r="C1629" s="15" t="n">
        <v>0.0833246322436395</v>
      </c>
      <c r="D1629" s="14" t="n">
        <f aca="false">Summary!$B$5-B1629</f>
        <v>-13428.162845461</v>
      </c>
      <c r="E1629" s="15" t="n">
        <f aca="false">B1629/Summary!$B$5-1</f>
        <v>0.13428162845461</v>
      </c>
    </row>
    <row r="1630" customFormat="false" ht="15" hidden="false" customHeight="false" outlineLevel="0" collapsed="false">
      <c r="A1630" s="0" t="n">
        <v>1629</v>
      </c>
      <c r="B1630" s="14" t="n">
        <v>125308.061697449</v>
      </c>
      <c r="C1630" s="15" t="n">
        <v>0.0738085851900789</v>
      </c>
      <c r="D1630" s="14" t="n">
        <f aca="false">Summary!$B$5-B1630</f>
        <v>-25308.0616974494</v>
      </c>
      <c r="E1630" s="15" t="n">
        <f aca="false">B1630/Summary!$B$5-1</f>
        <v>0.253080616974494</v>
      </c>
    </row>
    <row r="1631" customFormat="false" ht="15" hidden="false" customHeight="false" outlineLevel="0" collapsed="false">
      <c r="A1631" s="0" t="n">
        <v>1630</v>
      </c>
      <c r="B1631" s="14" t="n">
        <v>102380.086985147</v>
      </c>
      <c r="C1631" s="15" t="n">
        <v>0.189035634561505</v>
      </c>
      <c r="D1631" s="14" t="n">
        <f aca="false">Summary!$B$5-B1631</f>
        <v>-2380.0869851468</v>
      </c>
      <c r="E1631" s="15" t="n">
        <f aca="false">B1631/Summary!$B$5-1</f>
        <v>0.023800869851468</v>
      </c>
    </row>
    <row r="1632" customFormat="false" ht="15" hidden="false" customHeight="false" outlineLevel="0" collapsed="false">
      <c r="A1632" s="0" t="n">
        <v>1631</v>
      </c>
      <c r="B1632" s="14" t="n">
        <v>102031.8986624</v>
      </c>
      <c r="C1632" s="15" t="n">
        <v>0.0888369216093221</v>
      </c>
      <c r="D1632" s="14" t="n">
        <f aca="false">Summary!$B$5-B1632</f>
        <v>-2031.8986624004</v>
      </c>
      <c r="E1632" s="15" t="n">
        <f aca="false">B1632/Summary!$B$5-1</f>
        <v>0.0203189866240041</v>
      </c>
    </row>
    <row r="1633" customFormat="false" ht="15" hidden="false" customHeight="false" outlineLevel="0" collapsed="false">
      <c r="A1633" s="0" t="n">
        <v>1632</v>
      </c>
      <c r="B1633" s="14" t="n">
        <v>103964.759917384</v>
      </c>
      <c r="C1633" s="15" t="n">
        <v>0.104471298321274</v>
      </c>
      <c r="D1633" s="14" t="n">
        <f aca="false">Summary!$B$5-B1633</f>
        <v>-3964.75991738441</v>
      </c>
      <c r="E1633" s="15" t="n">
        <f aca="false">B1633/Summary!$B$5-1</f>
        <v>0.0396475991738441</v>
      </c>
    </row>
    <row r="1634" customFormat="false" ht="15" hidden="false" customHeight="false" outlineLevel="0" collapsed="false">
      <c r="A1634" s="0" t="n">
        <v>1633</v>
      </c>
      <c r="B1634" s="14" t="n">
        <v>102763.121076184</v>
      </c>
      <c r="C1634" s="15" t="n">
        <v>0.096728528524142</v>
      </c>
      <c r="D1634" s="14" t="n">
        <f aca="false">Summary!$B$5-B1634</f>
        <v>-2763.1210761836</v>
      </c>
      <c r="E1634" s="15" t="n">
        <f aca="false">B1634/Summary!$B$5-1</f>
        <v>0.0276312107618359</v>
      </c>
    </row>
    <row r="1635" customFormat="false" ht="15" hidden="false" customHeight="false" outlineLevel="0" collapsed="false">
      <c r="A1635" s="0" t="n">
        <v>1634</v>
      </c>
      <c r="B1635" s="14" t="n">
        <v>92623.082171343</v>
      </c>
      <c r="C1635" s="15" t="n">
        <v>0.128333688236185</v>
      </c>
      <c r="D1635" s="14" t="n">
        <f aca="false">Summary!$B$5-B1635</f>
        <v>7376.91782865705</v>
      </c>
      <c r="E1635" s="15" t="n">
        <f aca="false">B1635/Summary!$B$5-1</f>
        <v>-0.0737691782865705</v>
      </c>
    </row>
    <row r="1636" customFormat="false" ht="15" hidden="false" customHeight="false" outlineLevel="0" collapsed="false">
      <c r="A1636" s="0" t="n">
        <v>1635</v>
      </c>
      <c r="B1636" s="14" t="n">
        <v>111220.245256509</v>
      </c>
      <c r="C1636" s="15" t="n">
        <v>0.120100450976732</v>
      </c>
      <c r="D1636" s="14" t="n">
        <f aca="false">Summary!$B$5-B1636</f>
        <v>-11220.2452565086</v>
      </c>
      <c r="E1636" s="15" t="n">
        <f aca="false">B1636/Summary!$B$5-1</f>
        <v>0.112202452565086</v>
      </c>
    </row>
    <row r="1637" customFormat="false" ht="15" hidden="false" customHeight="false" outlineLevel="0" collapsed="false">
      <c r="A1637" s="0" t="n">
        <v>1636</v>
      </c>
      <c r="B1637" s="14" t="n">
        <v>115879.930866515</v>
      </c>
      <c r="C1637" s="15" t="n">
        <v>0.0644124892434741</v>
      </c>
      <c r="D1637" s="14" t="n">
        <f aca="false">Summary!$B$5-B1637</f>
        <v>-15879.9308665149</v>
      </c>
      <c r="E1637" s="15" t="n">
        <f aca="false">B1637/Summary!$B$5-1</f>
        <v>0.158799308665149</v>
      </c>
    </row>
    <row r="1638" customFormat="false" ht="15" hidden="false" customHeight="false" outlineLevel="0" collapsed="false">
      <c r="A1638" s="0" t="n">
        <v>1637</v>
      </c>
      <c r="B1638" s="14" t="n">
        <v>93673.0366900529</v>
      </c>
      <c r="C1638" s="15" t="n">
        <v>0.19089540749873</v>
      </c>
      <c r="D1638" s="14" t="n">
        <f aca="false">Summary!$B$5-B1638</f>
        <v>6326.96330994708</v>
      </c>
      <c r="E1638" s="15" t="n">
        <f aca="false">B1638/Summary!$B$5-1</f>
        <v>-0.0632696330994708</v>
      </c>
    </row>
    <row r="1639" customFormat="false" ht="15" hidden="false" customHeight="false" outlineLevel="0" collapsed="false">
      <c r="A1639" s="0" t="n">
        <v>1638</v>
      </c>
      <c r="B1639" s="14" t="n">
        <v>89344.7673817947</v>
      </c>
      <c r="C1639" s="15" t="n">
        <v>0.132348211904348</v>
      </c>
      <c r="D1639" s="14" t="n">
        <f aca="false">Summary!$B$5-B1639</f>
        <v>10655.2326182053</v>
      </c>
      <c r="E1639" s="15" t="n">
        <f aca="false">B1639/Summary!$B$5-1</f>
        <v>-0.106552326182053</v>
      </c>
    </row>
    <row r="1640" customFormat="false" ht="15" hidden="false" customHeight="false" outlineLevel="0" collapsed="false">
      <c r="A1640" s="0" t="n">
        <v>1639</v>
      </c>
      <c r="B1640" s="14" t="n">
        <v>96364.1876392157</v>
      </c>
      <c r="C1640" s="15" t="n">
        <v>0.084621442373284</v>
      </c>
      <c r="D1640" s="14" t="n">
        <f aca="false">Summary!$B$5-B1640</f>
        <v>3635.81236078429</v>
      </c>
      <c r="E1640" s="15" t="n">
        <f aca="false">B1640/Summary!$B$5-1</f>
        <v>-0.0363581236078429</v>
      </c>
    </row>
    <row r="1641" customFormat="false" ht="15" hidden="false" customHeight="false" outlineLevel="0" collapsed="false">
      <c r="A1641" s="0" t="n">
        <v>1640</v>
      </c>
      <c r="B1641" s="14" t="n">
        <v>109807.156259657</v>
      </c>
      <c r="C1641" s="15" t="n">
        <v>0.114113690574298</v>
      </c>
      <c r="D1641" s="14" t="n">
        <f aca="false">Summary!$B$5-B1641</f>
        <v>-9807.156259657</v>
      </c>
      <c r="E1641" s="15" t="n">
        <f aca="false">B1641/Summary!$B$5-1</f>
        <v>0.09807156259657</v>
      </c>
    </row>
    <row r="1642" customFormat="false" ht="15" hidden="false" customHeight="false" outlineLevel="0" collapsed="false">
      <c r="A1642" s="0" t="n">
        <v>1641</v>
      </c>
      <c r="B1642" s="14" t="n">
        <v>100134.831084643</v>
      </c>
      <c r="C1642" s="15" t="n">
        <v>0.137044688160577</v>
      </c>
      <c r="D1642" s="14" t="n">
        <f aca="false">Summary!$B$5-B1642</f>
        <v>-134.831084643403</v>
      </c>
      <c r="E1642" s="15" t="n">
        <f aca="false">B1642/Summary!$B$5-1</f>
        <v>0.00134831084643405</v>
      </c>
    </row>
    <row r="1643" customFormat="false" ht="15" hidden="false" customHeight="false" outlineLevel="0" collapsed="false">
      <c r="A1643" s="0" t="n">
        <v>1642</v>
      </c>
      <c r="B1643" s="14" t="n">
        <v>127482.596367524</v>
      </c>
      <c r="C1643" s="15" t="n">
        <v>0.0820436477690846</v>
      </c>
      <c r="D1643" s="14" t="n">
        <f aca="false">Summary!$B$5-B1643</f>
        <v>-27482.5963675243</v>
      </c>
      <c r="E1643" s="15" t="n">
        <f aca="false">B1643/Summary!$B$5-1</f>
        <v>0.274825963675243</v>
      </c>
    </row>
    <row r="1644" customFormat="false" ht="15" hidden="false" customHeight="false" outlineLevel="0" collapsed="false">
      <c r="A1644" s="0" t="n">
        <v>1643</v>
      </c>
      <c r="B1644" s="14" t="n">
        <v>112555.465808318</v>
      </c>
      <c r="C1644" s="15" t="n">
        <v>0.0915208448363487</v>
      </c>
      <c r="D1644" s="14" t="n">
        <f aca="false">Summary!$B$5-B1644</f>
        <v>-12555.4658083176</v>
      </c>
      <c r="E1644" s="15" t="n">
        <f aca="false">B1644/Summary!$B$5-1</f>
        <v>0.125554658083176</v>
      </c>
    </row>
    <row r="1645" customFormat="false" ht="15" hidden="false" customHeight="false" outlineLevel="0" collapsed="false">
      <c r="A1645" s="0" t="n">
        <v>1644</v>
      </c>
      <c r="B1645" s="14" t="n">
        <v>97764.3827949495</v>
      </c>
      <c r="C1645" s="15" t="n">
        <v>0.136461964503761</v>
      </c>
      <c r="D1645" s="14" t="n">
        <f aca="false">Summary!$B$5-B1645</f>
        <v>2235.61720505054</v>
      </c>
      <c r="E1645" s="15" t="n">
        <f aca="false">B1645/Summary!$B$5-1</f>
        <v>-0.0223561720505054</v>
      </c>
    </row>
    <row r="1646" customFormat="false" ht="15" hidden="false" customHeight="false" outlineLevel="0" collapsed="false">
      <c r="A1646" s="0" t="n">
        <v>1645</v>
      </c>
      <c r="B1646" s="14" t="n">
        <v>110097.734533386</v>
      </c>
      <c r="C1646" s="15" t="n">
        <v>0.107476695848741</v>
      </c>
      <c r="D1646" s="14" t="n">
        <f aca="false">Summary!$B$5-B1646</f>
        <v>-10097.7345333856</v>
      </c>
      <c r="E1646" s="15" t="n">
        <f aca="false">B1646/Summary!$B$5-1</f>
        <v>0.100977345333856</v>
      </c>
    </row>
    <row r="1647" customFormat="false" ht="15" hidden="false" customHeight="false" outlineLevel="0" collapsed="false">
      <c r="A1647" s="0" t="n">
        <v>1646</v>
      </c>
      <c r="B1647" s="14" t="n">
        <v>119581.673405747</v>
      </c>
      <c r="C1647" s="15" t="n">
        <v>0.0506246705766582</v>
      </c>
      <c r="D1647" s="14" t="n">
        <f aca="false">Summary!$B$5-B1647</f>
        <v>-19581.6734057465</v>
      </c>
      <c r="E1647" s="15" t="n">
        <f aca="false">B1647/Summary!$B$5-1</f>
        <v>0.195816734057465</v>
      </c>
    </row>
    <row r="1648" customFormat="false" ht="15" hidden="false" customHeight="false" outlineLevel="0" collapsed="false">
      <c r="A1648" s="0" t="n">
        <v>1647</v>
      </c>
      <c r="B1648" s="14" t="n">
        <v>101242.462730494</v>
      </c>
      <c r="C1648" s="15" t="n">
        <v>0.092539081861088</v>
      </c>
      <c r="D1648" s="14" t="n">
        <f aca="false">Summary!$B$5-B1648</f>
        <v>-1242.4627304942</v>
      </c>
      <c r="E1648" s="15" t="n">
        <f aca="false">B1648/Summary!$B$5-1</f>
        <v>0.012424627304942</v>
      </c>
    </row>
    <row r="1649" customFormat="false" ht="15" hidden="false" customHeight="false" outlineLevel="0" collapsed="false">
      <c r="A1649" s="0" t="n">
        <v>1648</v>
      </c>
      <c r="B1649" s="14" t="n">
        <v>110364.165614938</v>
      </c>
      <c r="C1649" s="15" t="n">
        <v>0.126764998058029</v>
      </c>
      <c r="D1649" s="14" t="n">
        <f aca="false">Summary!$B$5-B1649</f>
        <v>-10364.1656149383</v>
      </c>
      <c r="E1649" s="15" t="n">
        <f aca="false">B1649/Summary!$B$5-1</f>
        <v>0.103641656149383</v>
      </c>
    </row>
    <row r="1650" customFormat="false" ht="15" hidden="false" customHeight="false" outlineLevel="0" collapsed="false">
      <c r="A1650" s="0" t="n">
        <v>1649</v>
      </c>
      <c r="B1650" s="14" t="n">
        <v>106814.905850194</v>
      </c>
      <c r="C1650" s="15" t="n">
        <v>0.0675513499934703</v>
      </c>
      <c r="D1650" s="14" t="n">
        <f aca="false">Summary!$B$5-B1650</f>
        <v>-6814.905850194</v>
      </c>
      <c r="E1650" s="15" t="n">
        <f aca="false">B1650/Summary!$B$5-1</f>
        <v>0.06814905850194</v>
      </c>
    </row>
    <row r="1651" customFormat="false" ht="15" hidden="false" customHeight="false" outlineLevel="0" collapsed="false">
      <c r="A1651" s="0" t="n">
        <v>1650</v>
      </c>
      <c r="B1651" s="14" t="n">
        <v>123687.780495311</v>
      </c>
      <c r="C1651" s="15" t="n">
        <v>0.0534404583000935</v>
      </c>
      <c r="D1651" s="14" t="n">
        <f aca="false">Summary!$B$5-B1651</f>
        <v>-23687.7804953113</v>
      </c>
      <c r="E1651" s="15" t="n">
        <f aca="false">B1651/Summary!$B$5-1</f>
        <v>0.236877804953113</v>
      </c>
    </row>
    <row r="1652" customFormat="false" ht="15" hidden="false" customHeight="false" outlineLevel="0" collapsed="false">
      <c r="A1652" s="0" t="n">
        <v>1651</v>
      </c>
      <c r="B1652" s="14" t="n">
        <v>104767.94499834</v>
      </c>
      <c r="C1652" s="15" t="n">
        <v>0.0912556455532733</v>
      </c>
      <c r="D1652" s="14" t="n">
        <f aca="false">Summary!$B$5-B1652</f>
        <v>-4767.9449983403</v>
      </c>
      <c r="E1652" s="15" t="n">
        <f aca="false">B1652/Summary!$B$5-1</f>
        <v>0.047679449983403</v>
      </c>
    </row>
    <row r="1653" customFormat="false" ht="15" hidden="false" customHeight="false" outlineLevel="0" collapsed="false">
      <c r="A1653" s="0" t="n">
        <v>1652</v>
      </c>
      <c r="B1653" s="14" t="n">
        <v>123027.811934095</v>
      </c>
      <c r="C1653" s="15" t="n">
        <v>0.0908126245782205</v>
      </c>
      <c r="D1653" s="14" t="n">
        <f aca="false">Summary!$B$5-B1653</f>
        <v>-23027.8119340954</v>
      </c>
      <c r="E1653" s="15" t="n">
        <f aca="false">B1653/Summary!$B$5-1</f>
        <v>0.230278119340954</v>
      </c>
    </row>
    <row r="1654" customFormat="false" ht="15" hidden="false" customHeight="false" outlineLevel="0" collapsed="false">
      <c r="A1654" s="0" t="n">
        <v>1653</v>
      </c>
      <c r="B1654" s="14" t="n">
        <v>119430.940453608</v>
      </c>
      <c r="C1654" s="15" t="n">
        <v>0.0933517887816642</v>
      </c>
      <c r="D1654" s="14" t="n">
        <f aca="false">Summary!$B$5-B1654</f>
        <v>-19430.9404536077</v>
      </c>
      <c r="E1654" s="15" t="n">
        <f aca="false">B1654/Summary!$B$5-1</f>
        <v>0.194309404536077</v>
      </c>
    </row>
    <row r="1655" customFormat="false" ht="15" hidden="false" customHeight="false" outlineLevel="0" collapsed="false">
      <c r="A1655" s="0" t="n">
        <v>1654</v>
      </c>
      <c r="B1655" s="14" t="n">
        <v>99608.3037456671</v>
      </c>
      <c r="C1655" s="15" t="n">
        <v>0.129584876198385</v>
      </c>
      <c r="D1655" s="14" t="n">
        <f aca="false">Summary!$B$5-B1655</f>
        <v>391.696254332899</v>
      </c>
      <c r="E1655" s="15" t="n">
        <f aca="false">B1655/Summary!$B$5-1</f>
        <v>-0.00391696254332896</v>
      </c>
    </row>
    <row r="1656" customFormat="false" ht="15" hidden="false" customHeight="false" outlineLevel="0" collapsed="false">
      <c r="A1656" s="0" t="n">
        <v>1655</v>
      </c>
      <c r="B1656" s="14" t="n">
        <v>116419.482453541</v>
      </c>
      <c r="C1656" s="15" t="n">
        <v>0.0797940573876022</v>
      </c>
      <c r="D1656" s="14" t="n">
        <f aca="false">Summary!$B$5-B1656</f>
        <v>-16419.4824535411</v>
      </c>
      <c r="E1656" s="15" t="n">
        <f aca="false">B1656/Summary!$B$5-1</f>
        <v>0.164194824535411</v>
      </c>
    </row>
    <row r="1657" customFormat="false" ht="15" hidden="false" customHeight="false" outlineLevel="0" collapsed="false">
      <c r="A1657" s="0" t="n">
        <v>1656</v>
      </c>
      <c r="B1657" s="14" t="n">
        <v>131177.310202235</v>
      </c>
      <c r="C1657" s="15" t="n">
        <v>0.0433194566256967</v>
      </c>
      <c r="D1657" s="14" t="n">
        <f aca="false">Summary!$B$5-B1657</f>
        <v>-31177.3102022345</v>
      </c>
      <c r="E1657" s="15" t="n">
        <f aca="false">B1657/Summary!$B$5-1</f>
        <v>0.311773102022345</v>
      </c>
    </row>
    <row r="1658" customFormat="false" ht="15" hidden="false" customHeight="false" outlineLevel="0" collapsed="false">
      <c r="A1658" s="0" t="n">
        <v>1657</v>
      </c>
      <c r="B1658" s="14" t="n">
        <v>128154.170855586</v>
      </c>
      <c r="C1658" s="15" t="n">
        <v>0.058980789783729</v>
      </c>
      <c r="D1658" s="14" t="n">
        <f aca="false">Summary!$B$5-B1658</f>
        <v>-28154.170855586</v>
      </c>
      <c r="E1658" s="15" t="n">
        <f aca="false">B1658/Summary!$B$5-1</f>
        <v>0.28154170855586</v>
      </c>
    </row>
    <row r="1659" customFormat="false" ht="15" hidden="false" customHeight="false" outlineLevel="0" collapsed="false">
      <c r="A1659" s="0" t="n">
        <v>1658</v>
      </c>
      <c r="B1659" s="14" t="n">
        <v>127743.622898249</v>
      </c>
      <c r="C1659" s="15" t="n">
        <v>0.0878644449931629</v>
      </c>
      <c r="D1659" s="14" t="n">
        <f aca="false">Summary!$B$5-B1659</f>
        <v>-27743.6228982487</v>
      </c>
      <c r="E1659" s="15" t="n">
        <f aca="false">B1659/Summary!$B$5-1</f>
        <v>0.277436228982487</v>
      </c>
    </row>
    <row r="1660" customFormat="false" ht="15" hidden="false" customHeight="false" outlineLevel="0" collapsed="false">
      <c r="A1660" s="0" t="n">
        <v>1659</v>
      </c>
      <c r="B1660" s="14" t="n">
        <v>110364.741024919</v>
      </c>
      <c r="C1660" s="15" t="n">
        <v>0.0861177205457839</v>
      </c>
      <c r="D1660" s="14" t="n">
        <f aca="false">Summary!$B$5-B1660</f>
        <v>-10364.7410249186</v>
      </c>
      <c r="E1660" s="15" t="n">
        <f aca="false">B1660/Summary!$B$5-1</f>
        <v>0.103647410249186</v>
      </c>
    </row>
    <row r="1661" customFormat="false" ht="15" hidden="false" customHeight="false" outlineLevel="0" collapsed="false">
      <c r="A1661" s="0" t="n">
        <v>1660</v>
      </c>
      <c r="B1661" s="14" t="n">
        <v>103010.099439945</v>
      </c>
      <c r="C1661" s="15" t="n">
        <v>0.0966033070800637</v>
      </c>
      <c r="D1661" s="14" t="n">
        <f aca="false">Summary!$B$5-B1661</f>
        <v>-3010.0994399451</v>
      </c>
      <c r="E1661" s="15" t="n">
        <f aca="false">B1661/Summary!$B$5-1</f>
        <v>0.030100994399451</v>
      </c>
    </row>
    <row r="1662" customFormat="false" ht="15" hidden="false" customHeight="false" outlineLevel="0" collapsed="false">
      <c r="A1662" s="0" t="n">
        <v>1661</v>
      </c>
      <c r="B1662" s="14" t="n">
        <v>106609.569667269</v>
      </c>
      <c r="C1662" s="15" t="n">
        <v>0.110528003431092</v>
      </c>
      <c r="D1662" s="14" t="n">
        <f aca="false">Summary!$B$5-B1662</f>
        <v>-6609.5696672687</v>
      </c>
      <c r="E1662" s="15" t="n">
        <f aca="false">B1662/Summary!$B$5-1</f>
        <v>0.0660956966726871</v>
      </c>
    </row>
    <row r="1663" customFormat="false" ht="15" hidden="false" customHeight="false" outlineLevel="0" collapsed="false">
      <c r="A1663" s="0" t="n">
        <v>1662</v>
      </c>
      <c r="B1663" s="14" t="n">
        <v>90293.9576517807</v>
      </c>
      <c r="C1663" s="15" t="n">
        <v>0.155047253091265</v>
      </c>
      <c r="D1663" s="14" t="n">
        <f aca="false">Summary!$B$5-B1663</f>
        <v>9706.04234821932</v>
      </c>
      <c r="E1663" s="15" t="n">
        <f aca="false">B1663/Summary!$B$5-1</f>
        <v>-0.0970604234821931</v>
      </c>
    </row>
    <row r="1664" customFormat="false" ht="15" hidden="false" customHeight="false" outlineLevel="0" collapsed="false">
      <c r="A1664" s="0" t="n">
        <v>1663</v>
      </c>
      <c r="B1664" s="14" t="n">
        <v>121505.64923303</v>
      </c>
      <c r="C1664" s="15" t="n">
        <v>0.0656208552032372</v>
      </c>
      <c r="D1664" s="14" t="n">
        <f aca="false">Summary!$B$5-B1664</f>
        <v>-21505.6492330304</v>
      </c>
      <c r="E1664" s="15" t="n">
        <f aca="false">B1664/Summary!$B$5-1</f>
        <v>0.215056492330304</v>
      </c>
    </row>
    <row r="1665" customFormat="false" ht="15" hidden="false" customHeight="false" outlineLevel="0" collapsed="false">
      <c r="A1665" s="0" t="n">
        <v>1664</v>
      </c>
      <c r="B1665" s="14" t="n">
        <v>108555.566726023</v>
      </c>
      <c r="C1665" s="15" t="n">
        <v>0.0902214185892517</v>
      </c>
      <c r="D1665" s="14" t="n">
        <f aca="false">Summary!$B$5-B1665</f>
        <v>-8555.5667260231</v>
      </c>
      <c r="E1665" s="15" t="n">
        <f aca="false">B1665/Summary!$B$5-1</f>
        <v>0.0855556672602309</v>
      </c>
    </row>
    <row r="1666" customFormat="false" ht="15" hidden="false" customHeight="false" outlineLevel="0" collapsed="false">
      <c r="A1666" s="0" t="n">
        <v>1665</v>
      </c>
      <c r="B1666" s="14" t="n">
        <v>96674.3586954549</v>
      </c>
      <c r="C1666" s="15" t="n">
        <v>0.155625538010489</v>
      </c>
      <c r="D1666" s="14" t="n">
        <f aca="false">Summary!$B$5-B1666</f>
        <v>3325.64130454513</v>
      </c>
      <c r="E1666" s="15" t="n">
        <f aca="false">B1666/Summary!$B$5-1</f>
        <v>-0.0332564130454514</v>
      </c>
    </row>
    <row r="1667" customFormat="false" ht="15" hidden="false" customHeight="false" outlineLevel="0" collapsed="false">
      <c r="A1667" s="0" t="n">
        <v>1666</v>
      </c>
      <c r="B1667" s="14" t="n">
        <v>152356.938146805</v>
      </c>
      <c r="C1667" s="15" t="n">
        <v>0.060906317006359</v>
      </c>
      <c r="D1667" s="14" t="n">
        <f aca="false">Summary!$B$5-B1667</f>
        <v>-52356.9381468052</v>
      </c>
      <c r="E1667" s="15" t="n">
        <f aca="false">B1667/Summary!$B$5-1</f>
        <v>0.523569381468052</v>
      </c>
    </row>
    <row r="1668" customFormat="false" ht="15" hidden="false" customHeight="false" outlineLevel="0" collapsed="false">
      <c r="A1668" s="0" t="n">
        <v>1667</v>
      </c>
      <c r="B1668" s="14" t="n">
        <v>118742.626228768</v>
      </c>
      <c r="C1668" s="15" t="n">
        <v>0.0838357836055491</v>
      </c>
      <c r="D1668" s="14" t="n">
        <f aca="false">Summary!$B$5-B1668</f>
        <v>-18742.6262287678</v>
      </c>
      <c r="E1668" s="15" t="n">
        <f aca="false">B1668/Summary!$B$5-1</f>
        <v>0.187426262287678</v>
      </c>
    </row>
    <row r="1669" customFormat="false" ht="15" hidden="false" customHeight="false" outlineLevel="0" collapsed="false">
      <c r="A1669" s="0" t="n">
        <v>1668</v>
      </c>
      <c r="B1669" s="14" t="n">
        <v>127619.175293193</v>
      </c>
      <c r="C1669" s="15" t="n">
        <v>0.0605629531343013</v>
      </c>
      <c r="D1669" s="14" t="n">
        <f aca="false">Summary!$B$5-B1669</f>
        <v>-27619.175293193</v>
      </c>
      <c r="E1669" s="15" t="n">
        <f aca="false">B1669/Summary!$B$5-1</f>
        <v>0.27619175293193</v>
      </c>
    </row>
    <row r="1670" customFormat="false" ht="15" hidden="false" customHeight="false" outlineLevel="0" collapsed="false">
      <c r="A1670" s="0" t="n">
        <v>1669</v>
      </c>
      <c r="B1670" s="14" t="n">
        <v>91246.2000759318</v>
      </c>
      <c r="C1670" s="15" t="n">
        <v>0.136009421600373</v>
      </c>
      <c r="D1670" s="14" t="n">
        <f aca="false">Summary!$B$5-B1670</f>
        <v>8753.79992406821</v>
      </c>
      <c r="E1670" s="15" t="n">
        <f aca="false">B1670/Summary!$B$5-1</f>
        <v>-0.0875379992406821</v>
      </c>
    </row>
    <row r="1671" customFormat="false" ht="15" hidden="false" customHeight="false" outlineLevel="0" collapsed="false">
      <c r="A1671" s="0" t="n">
        <v>1670</v>
      </c>
      <c r="B1671" s="14" t="n">
        <v>115750.037054816</v>
      </c>
      <c r="C1671" s="15" t="n">
        <v>0.0843528283529161</v>
      </c>
      <c r="D1671" s="14" t="n">
        <f aca="false">Summary!$B$5-B1671</f>
        <v>-15750.0370548163</v>
      </c>
      <c r="E1671" s="15" t="n">
        <f aca="false">B1671/Summary!$B$5-1</f>
        <v>0.157500370548163</v>
      </c>
    </row>
    <row r="1672" customFormat="false" ht="15" hidden="false" customHeight="false" outlineLevel="0" collapsed="false">
      <c r="A1672" s="0" t="n">
        <v>1671</v>
      </c>
      <c r="B1672" s="14" t="n">
        <v>99270.2267226354</v>
      </c>
      <c r="C1672" s="15" t="n">
        <v>0.113289622408622</v>
      </c>
      <c r="D1672" s="14" t="n">
        <f aca="false">Summary!$B$5-B1672</f>
        <v>729.773277364584</v>
      </c>
      <c r="E1672" s="15" t="n">
        <f aca="false">B1672/Summary!$B$5-1</f>
        <v>-0.00729773277364587</v>
      </c>
    </row>
    <row r="1673" customFormat="false" ht="15" hidden="false" customHeight="false" outlineLevel="0" collapsed="false">
      <c r="A1673" s="0" t="n">
        <v>1672</v>
      </c>
      <c r="B1673" s="14" t="n">
        <v>113981.628017662</v>
      </c>
      <c r="C1673" s="15" t="n">
        <v>0.0957892875147728</v>
      </c>
      <c r="D1673" s="14" t="n">
        <f aca="false">Summary!$B$5-B1673</f>
        <v>-13981.6280176617</v>
      </c>
      <c r="E1673" s="15" t="n">
        <f aca="false">B1673/Summary!$B$5-1</f>
        <v>0.139816280176617</v>
      </c>
    </row>
    <row r="1674" customFormat="false" ht="15" hidden="false" customHeight="false" outlineLevel="0" collapsed="false">
      <c r="A1674" s="0" t="n">
        <v>1673</v>
      </c>
      <c r="B1674" s="14" t="n">
        <v>98972.8412420303</v>
      </c>
      <c r="C1674" s="15" t="n">
        <v>0.177063400976828</v>
      </c>
      <c r="D1674" s="14" t="n">
        <f aca="false">Summary!$B$5-B1674</f>
        <v>1027.15875796974</v>
      </c>
      <c r="E1674" s="15" t="n">
        <f aca="false">B1674/Summary!$B$5-1</f>
        <v>-0.0102715875796974</v>
      </c>
    </row>
    <row r="1675" customFormat="false" ht="15" hidden="false" customHeight="false" outlineLevel="0" collapsed="false">
      <c r="A1675" s="0" t="n">
        <v>1674</v>
      </c>
      <c r="B1675" s="14" t="n">
        <v>132872.212785184</v>
      </c>
      <c r="C1675" s="15" t="n">
        <v>0.0759836083314741</v>
      </c>
      <c r="D1675" s="14" t="n">
        <f aca="false">Summary!$B$5-B1675</f>
        <v>-32872.2127851837</v>
      </c>
      <c r="E1675" s="15" t="n">
        <f aca="false">B1675/Summary!$B$5-1</f>
        <v>0.328722127851837</v>
      </c>
    </row>
    <row r="1676" customFormat="false" ht="15" hidden="false" customHeight="false" outlineLevel="0" collapsed="false">
      <c r="A1676" s="0" t="n">
        <v>1675</v>
      </c>
      <c r="B1676" s="14" t="n">
        <v>97541.2572198814</v>
      </c>
      <c r="C1676" s="15" t="n">
        <v>0.171524680611051</v>
      </c>
      <c r="D1676" s="14" t="n">
        <f aca="false">Summary!$B$5-B1676</f>
        <v>2458.7427801186</v>
      </c>
      <c r="E1676" s="15" t="n">
        <f aca="false">B1676/Summary!$B$5-1</f>
        <v>-0.0245874278011859</v>
      </c>
    </row>
    <row r="1677" customFormat="false" ht="15" hidden="false" customHeight="false" outlineLevel="0" collapsed="false">
      <c r="A1677" s="0" t="n">
        <v>1676</v>
      </c>
      <c r="B1677" s="14" t="n">
        <v>126050.640954285</v>
      </c>
      <c r="C1677" s="15" t="n">
        <v>0.0567171611554409</v>
      </c>
      <c r="D1677" s="14" t="n">
        <f aca="false">Summary!$B$5-B1677</f>
        <v>-26050.6409542847</v>
      </c>
      <c r="E1677" s="15" t="n">
        <f aca="false">B1677/Summary!$B$5-1</f>
        <v>0.260506409542847</v>
      </c>
    </row>
    <row r="1678" customFormat="false" ht="15" hidden="false" customHeight="false" outlineLevel="0" collapsed="false">
      <c r="A1678" s="0" t="n">
        <v>1677</v>
      </c>
      <c r="B1678" s="14" t="n">
        <v>90402.42219689</v>
      </c>
      <c r="C1678" s="15" t="n">
        <v>0.12795369855633</v>
      </c>
      <c r="D1678" s="14" t="n">
        <f aca="false">Summary!$B$5-B1678</f>
        <v>9597.57780310996</v>
      </c>
      <c r="E1678" s="15" t="n">
        <f aca="false">B1678/Summary!$B$5-1</f>
        <v>-0.0959757780310996</v>
      </c>
    </row>
    <row r="1679" customFormat="false" ht="15" hidden="false" customHeight="false" outlineLevel="0" collapsed="false">
      <c r="A1679" s="0" t="n">
        <v>1678</v>
      </c>
      <c r="B1679" s="14" t="n">
        <v>109706.572136138</v>
      </c>
      <c r="C1679" s="15" t="n">
        <v>0.106981260638557</v>
      </c>
      <c r="D1679" s="14" t="n">
        <f aca="false">Summary!$B$5-B1679</f>
        <v>-9706.572136138</v>
      </c>
      <c r="E1679" s="15" t="n">
        <f aca="false">B1679/Summary!$B$5-1</f>
        <v>0.0970657213613799</v>
      </c>
    </row>
    <row r="1680" customFormat="false" ht="15" hidden="false" customHeight="false" outlineLevel="0" collapsed="false">
      <c r="A1680" s="0" t="n">
        <v>1679</v>
      </c>
      <c r="B1680" s="14" t="n">
        <v>100372.860013209</v>
      </c>
      <c r="C1680" s="15" t="n">
        <v>0.0961253441063372</v>
      </c>
      <c r="D1680" s="14" t="n">
        <f aca="false">Summary!$B$5-B1680</f>
        <v>-372.8600132094</v>
      </c>
      <c r="E1680" s="15" t="n">
        <f aca="false">B1680/Summary!$B$5-1</f>
        <v>0.00372860013209397</v>
      </c>
    </row>
    <row r="1681" customFormat="false" ht="15" hidden="false" customHeight="false" outlineLevel="0" collapsed="false">
      <c r="A1681" s="0" t="n">
        <v>1680</v>
      </c>
      <c r="B1681" s="14" t="n">
        <v>123385.48020798</v>
      </c>
      <c r="C1681" s="15" t="n">
        <v>0.0686381283543551</v>
      </c>
      <c r="D1681" s="14" t="n">
        <f aca="false">Summary!$B$5-B1681</f>
        <v>-23385.4802079796</v>
      </c>
      <c r="E1681" s="15" t="n">
        <f aca="false">B1681/Summary!$B$5-1</f>
        <v>0.233854802079796</v>
      </c>
    </row>
    <row r="1682" customFormat="false" ht="15" hidden="false" customHeight="false" outlineLevel="0" collapsed="false">
      <c r="A1682" s="0" t="n">
        <v>1681</v>
      </c>
      <c r="B1682" s="14" t="n">
        <v>122526.786571489</v>
      </c>
      <c r="C1682" s="15" t="n">
        <v>0.0936315023665953</v>
      </c>
      <c r="D1682" s="14" t="n">
        <f aca="false">Summary!$B$5-B1682</f>
        <v>-22526.7865714888</v>
      </c>
      <c r="E1682" s="15" t="n">
        <f aca="false">B1682/Summary!$B$5-1</f>
        <v>0.225267865714888</v>
      </c>
    </row>
    <row r="1683" customFormat="false" ht="15" hidden="false" customHeight="false" outlineLevel="0" collapsed="false">
      <c r="A1683" s="0" t="n">
        <v>1682</v>
      </c>
      <c r="B1683" s="14" t="n">
        <v>92098.0260564122</v>
      </c>
      <c r="C1683" s="15" t="n">
        <v>0.136325118064157</v>
      </c>
      <c r="D1683" s="14" t="n">
        <f aca="false">Summary!$B$5-B1683</f>
        <v>7901.97394358783</v>
      </c>
      <c r="E1683" s="15" t="n">
        <f aca="false">B1683/Summary!$B$5-1</f>
        <v>-0.0790197394358783</v>
      </c>
    </row>
    <row r="1684" customFormat="false" ht="15" hidden="false" customHeight="false" outlineLevel="0" collapsed="false">
      <c r="A1684" s="0" t="n">
        <v>1683</v>
      </c>
      <c r="B1684" s="14" t="n">
        <v>112869.482354775</v>
      </c>
      <c r="C1684" s="15" t="n">
        <v>0.114952264879748</v>
      </c>
      <c r="D1684" s="14" t="n">
        <f aca="false">Summary!$B$5-B1684</f>
        <v>-12869.482354775</v>
      </c>
      <c r="E1684" s="15" t="n">
        <f aca="false">B1684/Summary!$B$5-1</f>
        <v>0.12869482354775</v>
      </c>
    </row>
    <row r="1685" customFormat="false" ht="15" hidden="false" customHeight="false" outlineLevel="0" collapsed="false">
      <c r="A1685" s="0" t="n">
        <v>1684</v>
      </c>
      <c r="B1685" s="14" t="n">
        <v>118706.780831615</v>
      </c>
      <c r="C1685" s="15" t="n">
        <v>0.0607603342699172</v>
      </c>
      <c r="D1685" s="14" t="n">
        <f aca="false">Summary!$B$5-B1685</f>
        <v>-18706.780831615</v>
      </c>
      <c r="E1685" s="15" t="n">
        <f aca="false">B1685/Summary!$B$5-1</f>
        <v>0.18706780831615</v>
      </c>
    </row>
    <row r="1686" customFormat="false" ht="15" hidden="false" customHeight="false" outlineLevel="0" collapsed="false">
      <c r="A1686" s="0" t="n">
        <v>1685</v>
      </c>
      <c r="B1686" s="14" t="n">
        <v>105385.838262327</v>
      </c>
      <c r="C1686" s="15" t="n">
        <v>0.0909465763652263</v>
      </c>
      <c r="D1686" s="14" t="n">
        <f aca="false">Summary!$B$5-B1686</f>
        <v>-5385.83826232659</v>
      </c>
      <c r="E1686" s="15" t="n">
        <f aca="false">B1686/Summary!$B$5-1</f>
        <v>0.0538583826232659</v>
      </c>
    </row>
    <row r="1687" customFormat="false" ht="15" hidden="false" customHeight="false" outlineLevel="0" collapsed="false">
      <c r="A1687" s="0" t="n">
        <v>1686</v>
      </c>
      <c r="B1687" s="14" t="n">
        <v>129097.71046511</v>
      </c>
      <c r="C1687" s="15" t="n">
        <v>0.0439138961006154</v>
      </c>
      <c r="D1687" s="14" t="n">
        <f aca="false">Summary!$B$5-B1687</f>
        <v>-29097.7104651099</v>
      </c>
      <c r="E1687" s="15" t="n">
        <f aca="false">B1687/Summary!$B$5-1</f>
        <v>0.290977104651099</v>
      </c>
    </row>
    <row r="1688" customFormat="false" ht="15" hidden="false" customHeight="false" outlineLevel="0" collapsed="false">
      <c r="A1688" s="0" t="n">
        <v>1687</v>
      </c>
      <c r="B1688" s="14" t="n">
        <v>94282.0787874905</v>
      </c>
      <c r="C1688" s="15" t="n">
        <v>0.0993049779041494</v>
      </c>
      <c r="D1688" s="14" t="n">
        <f aca="false">Summary!$B$5-B1688</f>
        <v>5717.92121250951</v>
      </c>
      <c r="E1688" s="15" t="n">
        <f aca="false">B1688/Summary!$B$5-1</f>
        <v>-0.057179212125095</v>
      </c>
    </row>
    <row r="1689" customFormat="false" ht="15" hidden="false" customHeight="false" outlineLevel="0" collapsed="false">
      <c r="A1689" s="0" t="n">
        <v>1688</v>
      </c>
      <c r="B1689" s="14" t="n">
        <v>108093.672483819</v>
      </c>
      <c r="C1689" s="15" t="n">
        <v>0.073065101645343</v>
      </c>
      <c r="D1689" s="14" t="n">
        <f aca="false">Summary!$B$5-B1689</f>
        <v>-8093.6724838192</v>
      </c>
      <c r="E1689" s="15" t="n">
        <f aca="false">B1689/Summary!$B$5-1</f>
        <v>0.080936724838192</v>
      </c>
    </row>
    <row r="1690" customFormat="false" ht="15" hidden="false" customHeight="false" outlineLevel="0" collapsed="false">
      <c r="A1690" s="0" t="n">
        <v>1689</v>
      </c>
      <c r="B1690" s="14" t="n">
        <v>127344.769147186</v>
      </c>
      <c r="C1690" s="15" t="n">
        <v>0.078558733466636</v>
      </c>
      <c r="D1690" s="14" t="n">
        <f aca="false">Summary!$B$5-B1690</f>
        <v>-27344.7691471859</v>
      </c>
      <c r="E1690" s="15" t="n">
        <f aca="false">B1690/Summary!$B$5-1</f>
        <v>0.273447691471859</v>
      </c>
    </row>
    <row r="1691" customFormat="false" ht="15" hidden="false" customHeight="false" outlineLevel="0" collapsed="false">
      <c r="A1691" s="0" t="n">
        <v>1690</v>
      </c>
      <c r="B1691" s="14" t="n">
        <v>136622.154628683</v>
      </c>
      <c r="C1691" s="15" t="n">
        <v>0.0848060606891401</v>
      </c>
      <c r="D1691" s="14" t="n">
        <f aca="false">Summary!$B$5-B1691</f>
        <v>-36622.1546286833</v>
      </c>
      <c r="E1691" s="15" t="n">
        <f aca="false">B1691/Summary!$B$5-1</f>
        <v>0.366221546286833</v>
      </c>
    </row>
    <row r="1692" customFormat="false" ht="15" hidden="false" customHeight="false" outlineLevel="0" collapsed="false">
      <c r="A1692" s="0" t="n">
        <v>1691</v>
      </c>
      <c r="B1692" s="14" t="n">
        <v>99318.9967022208</v>
      </c>
      <c r="C1692" s="15" t="n">
        <v>0.121393386637595</v>
      </c>
      <c r="D1692" s="14" t="n">
        <f aca="false">Summary!$B$5-B1692</f>
        <v>681.003297779214</v>
      </c>
      <c r="E1692" s="15" t="n">
        <f aca="false">B1692/Summary!$B$5-1</f>
        <v>-0.00681003297779215</v>
      </c>
    </row>
    <row r="1693" customFormat="false" ht="15" hidden="false" customHeight="false" outlineLevel="0" collapsed="false">
      <c r="A1693" s="0" t="n">
        <v>1692</v>
      </c>
      <c r="B1693" s="14" t="n">
        <v>106011.439914924</v>
      </c>
      <c r="C1693" s="15" t="n">
        <v>0.0727513219351106</v>
      </c>
      <c r="D1693" s="14" t="n">
        <f aca="false">Summary!$B$5-B1693</f>
        <v>-6011.43991492401</v>
      </c>
      <c r="E1693" s="15" t="n">
        <f aca="false">B1693/Summary!$B$5-1</f>
        <v>0.0601143991492401</v>
      </c>
    </row>
    <row r="1694" customFormat="false" ht="15" hidden="false" customHeight="false" outlineLevel="0" collapsed="false">
      <c r="A1694" s="0" t="n">
        <v>1693</v>
      </c>
      <c r="B1694" s="14" t="n">
        <v>101021.423272936</v>
      </c>
      <c r="C1694" s="15" t="n">
        <v>0.0888711204204409</v>
      </c>
      <c r="D1694" s="14" t="n">
        <f aca="false">Summary!$B$5-B1694</f>
        <v>-1021.4232729361</v>
      </c>
      <c r="E1694" s="15" t="n">
        <f aca="false">B1694/Summary!$B$5-1</f>
        <v>0.0102142327293611</v>
      </c>
    </row>
    <row r="1695" customFormat="false" ht="15" hidden="false" customHeight="false" outlineLevel="0" collapsed="false">
      <c r="A1695" s="0" t="n">
        <v>1694</v>
      </c>
      <c r="B1695" s="14" t="n">
        <v>101044.374118139</v>
      </c>
      <c r="C1695" s="15" t="n">
        <v>0.125066180464029</v>
      </c>
      <c r="D1695" s="14" t="n">
        <f aca="false">Summary!$B$5-B1695</f>
        <v>-1044.37411813891</v>
      </c>
      <c r="E1695" s="15" t="n">
        <f aca="false">B1695/Summary!$B$5-1</f>
        <v>0.0104437411813891</v>
      </c>
    </row>
    <row r="1696" customFormat="false" ht="15" hidden="false" customHeight="false" outlineLevel="0" collapsed="false">
      <c r="A1696" s="0" t="n">
        <v>1695</v>
      </c>
      <c r="B1696" s="14" t="n">
        <v>107946.565038647</v>
      </c>
      <c r="C1696" s="15" t="n">
        <v>0.0466313509988251</v>
      </c>
      <c r="D1696" s="14" t="n">
        <f aca="false">Summary!$B$5-B1696</f>
        <v>-7946.5650386465</v>
      </c>
      <c r="E1696" s="15" t="n">
        <f aca="false">B1696/Summary!$B$5-1</f>
        <v>0.079465650386465</v>
      </c>
    </row>
    <row r="1697" customFormat="false" ht="15" hidden="false" customHeight="false" outlineLevel="0" collapsed="false">
      <c r="A1697" s="0" t="n">
        <v>1696</v>
      </c>
      <c r="B1697" s="14" t="n">
        <v>124094.229662195</v>
      </c>
      <c r="C1697" s="15" t="n">
        <v>0.0584835887649354</v>
      </c>
      <c r="D1697" s="14" t="n">
        <f aca="false">Summary!$B$5-B1697</f>
        <v>-24094.2296621952</v>
      </c>
      <c r="E1697" s="15" t="n">
        <f aca="false">B1697/Summary!$B$5-1</f>
        <v>0.240942296621952</v>
      </c>
    </row>
    <row r="1698" customFormat="false" ht="15" hidden="false" customHeight="false" outlineLevel="0" collapsed="false">
      <c r="A1698" s="0" t="n">
        <v>1697</v>
      </c>
      <c r="B1698" s="14" t="n">
        <v>136252.037722449</v>
      </c>
      <c r="C1698" s="15" t="n">
        <v>0.0763951801198897</v>
      </c>
      <c r="D1698" s="14" t="n">
        <f aca="false">Summary!$B$5-B1698</f>
        <v>-36252.0377224485</v>
      </c>
      <c r="E1698" s="15" t="n">
        <f aca="false">B1698/Summary!$B$5-1</f>
        <v>0.362520377224485</v>
      </c>
    </row>
    <row r="1699" customFormat="false" ht="15" hidden="false" customHeight="false" outlineLevel="0" collapsed="false">
      <c r="A1699" s="0" t="n">
        <v>1698</v>
      </c>
      <c r="B1699" s="14" t="n">
        <v>114354.259243034</v>
      </c>
      <c r="C1699" s="15" t="n">
        <v>0.0558879505614843</v>
      </c>
      <c r="D1699" s="14" t="n">
        <f aca="false">Summary!$B$5-B1699</f>
        <v>-14354.2592430341</v>
      </c>
      <c r="E1699" s="15" t="n">
        <f aca="false">B1699/Summary!$B$5-1</f>
        <v>0.143542592430341</v>
      </c>
    </row>
    <row r="1700" customFormat="false" ht="15" hidden="false" customHeight="false" outlineLevel="0" collapsed="false">
      <c r="A1700" s="0" t="n">
        <v>1699</v>
      </c>
      <c r="B1700" s="14" t="n">
        <v>120657.738757186</v>
      </c>
      <c r="C1700" s="15" t="n">
        <v>0.0755232267989107</v>
      </c>
      <c r="D1700" s="14" t="n">
        <f aca="false">Summary!$B$5-B1700</f>
        <v>-20657.7387571855</v>
      </c>
      <c r="E1700" s="15" t="n">
        <f aca="false">B1700/Summary!$B$5-1</f>
        <v>0.206577387571855</v>
      </c>
    </row>
    <row r="1701" customFormat="false" ht="15" hidden="false" customHeight="false" outlineLevel="0" collapsed="false">
      <c r="A1701" s="0" t="n">
        <v>1700</v>
      </c>
      <c r="B1701" s="14" t="n">
        <v>102719.857158161</v>
      </c>
      <c r="C1701" s="15" t="n">
        <v>0.06810252779728</v>
      </c>
      <c r="D1701" s="14" t="n">
        <f aca="false">Summary!$B$5-B1701</f>
        <v>-2719.85715816121</v>
      </c>
      <c r="E1701" s="15" t="n">
        <f aca="false">B1701/Summary!$B$5-1</f>
        <v>0.0271985715816121</v>
      </c>
    </row>
    <row r="1702" customFormat="false" ht="15" hidden="false" customHeight="false" outlineLevel="0" collapsed="false">
      <c r="A1702" s="0" t="n">
        <v>1701</v>
      </c>
      <c r="B1702" s="14" t="n">
        <v>104129.211590426</v>
      </c>
      <c r="C1702" s="15" t="n">
        <v>0.0904942847849168</v>
      </c>
      <c r="D1702" s="14" t="n">
        <f aca="false">Summary!$B$5-B1702</f>
        <v>-4129.21159042631</v>
      </c>
      <c r="E1702" s="15" t="n">
        <f aca="false">B1702/Summary!$B$5-1</f>
        <v>0.041292115904263</v>
      </c>
    </row>
    <row r="1703" customFormat="false" ht="15" hidden="false" customHeight="false" outlineLevel="0" collapsed="false">
      <c r="A1703" s="0" t="n">
        <v>1702</v>
      </c>
      <c r="B1703" s="14" t="n">
        <v>111001.216241448</v>
      </c>
      <c r="C1703" s="15" t="n">
        <v>0.125667426330669</v>
      </c>
      <c r="D1703" s="14" t="n">
        <f aca="false">Summary!$B$5-B1703</f>
        <v>-11001.2162414481</v>
      </c>
      <c r="E1703" s="15" t="n">
        <f aca="false">B1703/Summary!$B$5-1</f>
        <v>0.110012162414481</v>
      </c>
    </row>
    <row r="1704" customFormat="false" ht="15" hidden="false" customHeight="false" outlineLevel="0" collapsed="false">
      <c r="A1704" s="0" t="n">
        <v>1703</v>
      </c>
      <c r="B1704" s="14" t="n">
        <v>98373.6776469177</v>
      </c>
      <c r="C1704" s="15" t="n">
        <v>0.111429607272381</v>
      </c>
      <c r="D1704" s="14" t="n">
        <f aca="false">Summary!$B$5-B1704</f>
        <v>1626.32235308233</v>
      </c>
      <c r="E1704" s="15" t="n">
        <f aca="false">B1704/Summary!$B$5-1</f>
        <v>-0.0162632235308233</v>
      </c>
    </row>
    <row r="1705" customFormat="false" ht="15" hidden="false" customHeight="false" outlineLevel="0" collapsed="false">
      <c r="A1705" s="0" t="n">
        <v>1704</v>
      </c>
      <c r="B1705" s="14" t="n">
        <v>103320.069292879</v>
      </c>
      <c r="C1705" s="15" t="n">
        <v>0.119085425360021</v>
      </c>
      <c r="D1705" s="14" t="n">
        <f aca="false">Summary!$B$5-B1705</f>
        <v>-3320.0692928791</v>
      </c>
      <c r="E1705" s="15" t="n">
        <f aca="false">B1705/Summary!$B$5-1</f>
        <v>0.0332006929287909</v>
      </c>
    </row>
    <row r="1706" customFormat="false" ht="15" hidden="false" customHeight="false" outlineLevel="0" collapsed="false">
      <c r="A1706" s="0" t="n">
        <v>1705</v>
      </c>
      <c r="B1706" s="14" t="n">
        <v>110275.390431923</v>
      </c>
      <c r="C1706" s="15" t="n">
        <v>0.0747438354065122</v>
      </c>
      <c r="D1706" s="14" t="n">
        <f aca="false">Summary!$B$5-B1706</f>
        <v>-10275.3904319228</v>
      </c>
      <c r="E1706" s="15" t="n">
        <f aca="false">B1706/Summary!$B$5-1</f>
        <v>0.102753904319228</v>
      </c>
    </row>
    <row r="1707" customFormat="false" ht="15" hidden="false" customHeight="false" outlineLevel="0" collapsed="false">
      <c r="A1707" s="0" t="n">
        <v>1706</v>
      </c>
      <c r="B1707" s="14" t="n">
        <v>95537.820402498</v>
      </c>
      <c r="C1707" s="15" t="n">
        <v>0.125092685732193</v>
      </c>
      <c r="D1707" s="14" t="n">
        <f aca="false">Summary!$B$5-B1707</f>
        <v>4462.17959750202</v>
      </c>
      <c r="E1707" s="15" t="n">
        <f aca="false">B1707/Summary!$B$5-1</f>
        <v>-0.0446217959750203</v>
      </c>
    </row>
    <row r="1708" customFormat="false" ht="15" hidden="false" customHeight="false" outlineLevel="0" collapsed="false">
      <c r="A1708" s="0" t="n">
        <v>1707</v>
      </c>
      <c r="B1708" s="14" t="n">
        <v>119304.735237381</v>
      </c>
      <c r="C1708" s="15" t="n">
        <v>0.0787344948953599</v>
      </c>
      <c r="D1708" s="14" t="n">
        <f aca="false">Summary!$B$5-B1708</f>
        <v>-19304.7352373807</v>
      </c>
      <c r="E1708" s="15" t="n">
        <f aca="false">B1708/Summary!$B$5-1</f>
        <v>0.193047352373807</v>
      </c>
    </row>
    <row r="1709" customFormat="false" ht="15" hidden="false" customHeight="false" outlineLevel="0" collapsed="false">
      <c r="A1709" s="0" t="n">
        <v>1708</v>
      </c>
      <c r="B1709" s="14" t="n">
        <v>113853.653587851</v>
      </c>
      <c r="C1709" s="15" t="n">
        <v>0.0856861326917018</v>
      </c>
      <c r="D1709" s="14" t="n">
        <f aca="false">Summary!$B$5-B1709</f>
        <v>-13853.6535878511</v>
      </c>
      <c r="E1709" s="15" t="n">
        <f aca="false">B1709/Summary!$B$5-1</f>
        <v>0.138536535878511</v>
      </c>
    </row>
    <row r="1710" customFormat="false" ht="15" hidden="false" customHeight="false" outlineLevel="0" collapsed="false">
      <c r="A1710" s="0" t="n">
        <v>1709</v>
      </c>
      <c r="B1710" s="14" t="n">
        <v>101639.914359232</v>
      </c>
      <c r="C1710" s="15" t="n">
        <v>0.10997343704575</v>
      </c>
      <c r="D1710" s="14" t="n">
        <f aca="false">Summary!$B$5-B1710</f>
        <v>-1639.9143592316</v>
      </c>
      <c r="E1710" s="15" t="n">
        <f aca="false">B1710/Summary!$B$5-1</f>
        <v>0.0163991435923159</v>
      </c>
    </row>
    <row r="1711" customFormat="false" ht="15" hidden="false" customHeight="false" outlineLevel="0" collapsed="false">
      <c r="A1711" s="0" t="n">
        <v>1710</v>
      </c>
      <c r="B1711" s="14" t="n">
        <v>113968.45368874</v>
      </c>
      <c r="C1711" s="15" t="n">
        <v>0.10113891921276</v>
      </c>
      <c r="D1711" s="14" t="n">
        <f aca="false">Summary!$B$5-B1711</f>
        <v>-13968.4536887402</v>
      </c>
      <c r="E1711" s="15" t="n">
        <f aca="false">B1711/Summary!$B$5-1</f>
        <v>0.139684536887402</v>
      </c>
    </row>
    <row r="1712" customFormat="false" ht="15" hidden="false" customHeight="false" outlineLevel="0" collapsed="false">
      <c r="A1712" s="0" t="n">
        <v>1711</v>
      </c>
      <c r="B1712" s="14" t="n">
        <v>108615.100050472</v>
      </c>
      <c r="C1712" s="15" t="n">
        <v>0.0794072398232328</v>
      </c>
      <c r="D1712" s="14" t="n">
        <f aca="false">Summary!$B$5-B1712</f>
        <v>-8615.10005047151</v>
      </c>
      <c r="E1712" s="15" t="n">
        <f aca="false">B1712/Summary!$B$5-1</f>
        <v>0.086151000504715</v>
      </c>
    </row>
    <row r="1713" customFormat="false" ht="15" hidden="false" customHeight="false" outlineLevel="0" collapsed="false">
      <c r="A1713" s="0" t="n">
        <v>1712</v>
      </c>
      <c r="B1713" s="14" t="n">
        <v>106256.945459415</v>
      </c>
      <c r="C1713" s="15" t="n">
        <v>0.0846548740420746</v>
      </c>
      <c r="D1713" s="14" t="n">
        <f aca="false">Summary!$B$5-B1713</f>
        <v>-6256.9454594148</v>
      </c>
      <c r="E1713" s="15" t="n">
        <f aca="false">B1713/Summary!$B$5-1</f>
        <v>0.062569454594148</v>
      </c>
    </row>
    <row r="1714" customFormat="false" ht="15" hidden="false" customHeight="false" outlineLevel="0" collapsed="false">
      <c r="A1714" s="0" t="n">
        <v>1713</v>
      </c>
      <c r="B1714" s="14" t="n">
        <v>101594.721363549</v>
      </c>
      <c r="C1714" s="15" t="n">
        <v>0.0990454910638281</v>
      </c>
      <c r="D1714" s="14" t="n">
        <f aca="false">Summary!$B$5-B1714</f>
        <v>-1594.7213635493</v>
      </c>
      <c r="E1714" s="15" t="n">
        <f aca="false">B1714/Summary!$B$5-1</f>
        <v>0.015947213635493</v>
      </c>
    </row>
    <row r="1715" customFormat="false" ht="15" hidden="false" customHeight="false" outlineLevel="0" collapsed="false">
      <c r="A1715" s="0" t="n">
        <v>1714</v>
      </c>
      <c r="B1715" s="14" t="n">
        <v>113000.42256452</v>
      </c>
      <c r="C1715" s="15" t="n">
        <v>0.0838285361799568</v>
      </c>
      <c r="D1715" s="14" t="n">
        <f aca="false">Summary!$B$5-B1715</f>
        <v>-13000.4225645198</v>
      </c>
      <c r="E1715" s="15" t="n">
        <f aca="false">B1715/Summary!$B$5-1</f>
        <v>0.130004225645198</v>
      </c>
    </row>
    <row r="1716" customFormat="false" ht="15" hidden="false" customHeight="false" outlineLevel="0" collapsed="false">
      <c r="A1716" s="0" t="n">
        <v>1715</v>
      </c>
      <c r="B1716" s="14" t="n">
        <v>110330.064621682</v>
      </c>
      <c r="C1716" s="15" t="n">
        <v>0.0811172170829662</v>
      </c>
      <c r="D1716" s="14" t="n">
        <f aca="false">Summary!$B$5-B1716</f>
        <v>-10330.0646216817</v>
      </c>
      <c r="E1716" s="15" t="n">
        <f aca="false">B1716/Summary!$B$5-1</f>
        <v>0.103300646216817</v>
      </c>
    </row>
    <row r="1717" customFormat="false" ht="15" hidden="false" customHeight="false" outlineLevel="0" collapsed="false">
      <c r="A1717" s="0" t="n">
        <v>1716</v>
      </c>
      <c r="B1717" s="14" t="n">
        <v>139684.191465383</v>
      </c>
      <c r="C1717" s="15" t="n">
        <v>0.0580870554197075</v>
      </c>
      <c r="D1717" s="14" t="n">
        <f aca="false">Summary!$B$5-B1717</f>
        <v>-39684.1914653826</v>
      </c>
      <c r="E1717" s="15" t="n">
        <f aca="false">B1717/Summary!$B$5-1</f>
        <v>0.396841914653826</v>
      </c>
    </row>
    <row r="1718" customFormat="false" ht="15" hidden="false" customHeight="false" outlineLevel="0" collapsed="false">
      <c r="A1718" s="0" t="n">
        <v>1717</v>
      </c>
      <c r="B1718" s="14" t="n">
        <v>111606.433714376</v>
      </c>
      <c r="C1718" s="15" t="n">
        <v>0.0824326673629046</v>
      </c>
      <c r="D1718" s="14" t="n">
        <f aca="false">Summary!$B$5-B1718</f>
        <v>-11606.4337143758</v>
      </c>
      <c r="E1718" s="15" t="n">
        <f aca="false">B1718/Summary!$B$5-1</f>
        <v>0.116064337143758</v>
      </c>
    </row>
    <row r="1719" customFormat="false" ht="15" hidden="false" customHeight="false" outlineLevel="0" collapsed="false">
      <c r="A1719" s="0" t="n">
        <v>1718</v>
      </c>
      <c r="B1719" s="14" t="n">
        <v>108874.753123473</v>
      </c>
      <c r="C1719" s="15" t="n">
        <v>0.138290559751534</v>
      </c>
      <c r="D1719" s="14" t="n">
        <f aca="false">Summary!$B$5-B1719</f>
        <v>-8874.753123473</v>
      </c>
      <c r="E1719" s="15" t="n">
        <f aca="false">B1719/Summary!$B$5-1</f>
        <v>0.0887475312347299</v>
      </c>
    </row>
    <row r="1720" customFormat="false" ht="15" hidden="false" customHeight="false" outlineLevel="0" collapsed="false">
      <c r="A1720" s="0" t="n">
        <v>1719</v>
      </c>
      <c r="B1720" s="14" t="n">
        <v>112513.115145677</v>
      </c>
      <c r="C1720" s="15" t="n">
        <v>0.0977607543303878</v>
      </c>
      <c r="D1720" s="14" t="n">
        <f aca="false">Summary!$B$5-B1720</f>
        <v>-12513.1151456774</v>
      </c>
      <c r="E1720" s="15" t="n">
        <f aca="false">B1720/Summary!$B$5-1</f>
        <v>0.125131151456774</v>
      </c>
    </row>
    <row r="1721" customFormat="false" ht="15" hidden="false" customHeight="false" outlineLevel="0" collapsed="false">
      <c r="A1721" s="0" t="n">
        <v>1720</v>
      </c>
      <c r="B1721" s="14" t="n">
        <v>124592.505783108</v>
      </c>
      <c r="C1721" s="15" t="n">
        <v>0.113400407703839</v>
      </c>
      <c r="D1721" s="14" t="n">
        <f aca="false">Summary!$B$5-B1721</f>
        <v>-24592.5057831078</v>
      </c>
      <c r="E1721" s="15" t="n">
        <f aca="false">B1721/Summary!$B$5-1</f>
        <v>0.245925057831078</v>
      </c>
    </row>
    <row r="1722" customFormat="false" ht="15" hidden="false" customHeight="false" outlineLevel="0" collapsed="false">
      <c r="A1722" s="0" t="n">
        <v>1721</v>
      </c>
      <c r="B1722" s="14" t="n">
        <v>103407.005952023</v>
      </c>
      <c r="C1722" s="15" t="n">
        <v>0.146311256617425</v>
      </c>
      <c r="D1722" s="14" t="n">
        <f aca="false">Summary!$B$5-B1722</f>
        <v>-3407.00595202341</v>
      </c>
      <c r="E1722" s="15" t="n">
        <f aca="false">B1722/Summary!$B$5-1</f>
        <v>0.0340700595202341</v>
      </c>
    </row>
    <row r="1723" customFormat="false" ht="15" hidden="false" customHeight="false" outlineLevel="0" collapsed="false">
      <c r="A1723" s="0" t="n">
        <v>1722</v>
      </c>
      <c r="B1723" s="14" t="n">
        <v>98693.4626627353</v>
      </c>
      <c r="C1723" s="15" t="n">
        <v>0.102973501959645</v>
      </c>
      <c r="D1723" s="14" t="n">
        <f aca="false">Summary!$B$5-B1723</f>
        <v>1306.53733726466</v>
      </c>
      <c r="E1723" s="15" t="n">
        <f aca="false">B1723/Summary!$B$5-1</f>
        <v>-0.0130653733726466</v>
      </c>
    </row>
    <row r="1724" customFormat="false" ht="15" hidden="false" customHeight="false" outlineLevel="0" collapsed="false">
      <c r="A1724" s="0" t="n">
        <v>1723</v>
      </c>
      <c r="B1724" s="14" t="n">
        <v>117838.321130537</v>
      </c>
      <c r="C1724" s="15" t="n">
        <v>0.123350375568966</v>
      </c>
      <c r="D1724" s="14" t="n">
        <f aca="false">Summary!$B$5-B1724</f>
        <v>-17838.3211305369</v>
      </c>
      <c r="E1724" s="15" t="n">
        <f aca="false">B1724/Summary!$B$5-1</f>
        <v>0.178383211305369</v>
      </c>
    </row>
    <row r="1725" customFormat="false" ht="15" hidden="false" customHeight="false" outlineLevel="0" collapsed="false">
      <c r="A1725" s="0" t="n">
        <v>1724</v>
      </c>
      <c r="B1725" s="14" t="n">
        <v>119196.607093311</v>
      </c>
      <c r="C1725" s="15" t="n">
        <v>0.0947755666313138</v>
      </c>
      <c r="D1725" s="14" t="n">
        <f aca="false">Summary!$B$5-B1725</f>
        <v>-19196.6070933114</v>
      </c>
      <c r="E1725" s="15" t="n">
        <f aca="false">B1725/Summary!$B$5-1</f>
        <v>0.191966070933114</v>
      </c>
    </row>
    <row r="1726" customFormat="false" ht="15" hidden="false" customHeight="false" outlineLevel="0" collapsed="false">
      <c r="A1726" s="0" t="n">
        <v>1725</v>
      </c>
      <c r="B1726" s="14" t="n">
        <v>136575.850112622</v>
      </c>
      <c r="C1726" s="15" t="n">
        <v>0.0530183334118992</v>
      </c>
      <c r="D1726" s="14" t="n">
        <f aca="false">Summary!$B$5-B1726</f>
        <v>-36575.8501126217</v>
      </c>
      <c r="E1726" s="15" t="n">
        <f aca="false">B1726/Summary!$B$5-1</f>
        <v>0.365758501126217</v>
      </c>
    </row>
    <row r="1727" customFormat="false" ht="15" hidden="false" customHeight="false" outlineLevel="0" collapsed="false">
      <c r="A1727" s="0" t="n">
        <v>1726</v>
      </c>
      <c r="B1727" s="14" t="n">
        <v>93346.7153142592</v>
      </c>
      <c r="C1727" s="15" t="n">
        <v>0.153455392054051</v>
      </c>
      <c r="D1727" s="14" t="n">
        <f aca="false">Summary!$B$5-B1727</f>
        <v>6653.28468574077</v>
      </c>
      <c r="E1727" s="15" t="n">
        <f aca="false">B1727/Summary!$B$5-1</f>
        <v>-0.0665328468574077</v>
      </c>
    </row>
    <row r="1728" customFormat="false" ht="15" hidden="false" customHeight="false" outlineLevel="0" collapsed="false">
      <c r="A1728" s="0" t="n">
        <v>1727</v>
      </c>
      <c r="B1728" s="14" t="n">
        <v>113186.659581512</v>
      </c>
      <c r="C1728" s="15" t="n">
        <v>0.0784088213241446</v>
      </c>
      <c r="D1728" s="14" t="n">
        <f aca="false">Summary!$B$5-B1728</f>
        <v>-13186.6595815117</v>
      </c>
      <c r="E1728" s="15" t="n">
        <f aca="false">B1728/Summary!$B$5-1</f>
        <v>0.131866595815117</v>
      </c>
    </row>
    <row r="1729" customFormat="false" ht="15" hidden="false" customHeight="false" outlineLevel="0" collapsed="false">
      <c r="A1729" s="0" t="n">
        <v>1728</v>
      </c>
      <c r="B1729" s="14" t="n">
        <v>118626.897334588</v>
      </c>
      <c r="C1729" s="15" t="n">
        <v>0.0803378211925406</v>
      </c>
      <c r="D1729" s="14" t="n">
        <f aca="false">Summary!$B$5-B1729</f>
        <v>-18626.8973345881</v>
      </c>
      <c r="E1729" s="15" t="n">
        <f aca="false">B1729/Summary!$B$5-1</f>
        <v>0.186268973345881</v>
      </c>
    </row>
    <row r="1730" customFormat="false" ht="15" hidden="false" customHeight="false" outlineLevel="0" collapsed="false">
      <c r="A1730" s="0" t="n">
        <v>1729</v>
      </c>
      <c r="B1730" s="14" t="n">
        <v>106401.686491966</v>
      </c>
      <c r="C1730" s="15" t="n">
        <v>0.11689091396311</v>
      </c>
      <c r="D1730" s="14" t="n">
        <f aca="false">Summary!$B$5-B1730</f>
        <v>-6401.6864919657</v>
      </c>
      <c r="E1730" s="15" t="n">
        <f aca="false">B1730/Summary!$B$5-1</f>
        <v>0.0640168649196569</v>
      </c>
    </row>
    <row r="1731" customFormat="false" ht="15" hidden="false" customHeight="false" outlineLevel="0" collapsed="false">
      <c r="A1731" s="0" t="n">
        <v>1730</v>
      </c>
      <c r="B1731" s="14" t="n">
        <v>105527.811974699</v>
      </c>
      <c r="C1731" s="15" t="n">
        <v>0.0839537117061016</v>
      </c>
      <c r="D1731" s="14" t="n">
        <f aca="false">Summary!$B$5-B1731</f>
        <v>-5527.811974699</v>
      </c>
      <c r="E1731" s="15" t="n">
        <f aca="false">B1731/Summary!$B$5-1</f>
        <v>0.05527811974699</v>
      </c>
    </row>
    <row r="1732" customFormat="false" ht="15" hidden="false" customHeight="false" outlineLevel="0" collapsed="false">
      <c r="A1732" s="0" t="n">
        <v>1731</v>
      </c>
      <c r="B1732" s="14" t="n">
        <v>135853.996211721</v>
      </c>
      <c r="C1732" s="15" t="n">
        <v>0.0888490652907736</v>
      </c>
      <c r="D1732" s="14" t="n">
        <f aca="false">Summary!$B$5-B1732</f>
        <v>-35853.9962117211</v>
      </c>
      <c r="E1732" s="15" t="n">
        <f aca="false">B1732/Summary!$B$5-1</f>
        <v>0.358539962117211</v>
      </c>
    </row>
    <row r="1733" customFormat="false" ht="15" hidden="false" customHeight="false" outlineLevel="0" collapsed="false">
      <c r="A1733" s="0" t="n">
        <v>1732</v>
      </c>
      <c r="B1733" s="14" t="n">
        <v>97566.5622359447</v>
      </c>
      <c r="C1733" s="15" t="n">
        <v>0.107320852337795</v>
      </c>
      <c r="D1733" s="14" t="n">
        <f aca="false">Summary!$B$5-B1733</f>
        <v>2433.4377640553</v>
      </c>
      <c r="E1733" s="15" t="n">
        <f aca="false">B1733/Summary!$B$5-1</f>
        <v>-0.024334377640553</v>
      </c>
    </row>
    <row r="1734" customFormat="false" ht="15" hidden="false" customHeight="false" outlineLevel="0" collapsed="false">
      <c r="A1734" s="0" t="n">
        <v>1733</v>
      </c>
      <c r="B1734" s="14" t="n">
        <v>111662.40917809</v>
      </c>
      <c r="C1734" s="15" t="n">
        <v>0.0828937599534638</v>
      </c>
      <c r="D1734" s="14" t="n">
        <f aca="false">Summary!$B$5-B1734</f>
        <v>-11662.4091780903</v>
      </c>
      <c r="E1734" s="15" t="n">
        <f aca="false">B1734/Summary!$B$5-1</f>
        <v>0.116624091780903</v>
      </c>
    </row>
    <row r="1735" customFormat="false" ht="15" hidden="false" customHeight="false" outlineLevel="0" collapsed="false">
      <c r="A1735" s="0" t="n">
        <v>1734</v>
      </c>
      <c r="B1735" s="14" t="n">
        <v>136893.837152233</v>
      </c>
      <c r="C1735" s="15" t="n">
        <v>0.0512899119965461</v>
      </c>
      <c r="D1735" s="14" t="n">
        <f aca="false">Summary!$B$5-B1735</f>
        <v>-36893.837152233</v>
      </c>
      <c r="E1735" s="15" t="n">
        <f aca="false">B1735/Summary!$B$5-1</f>
        <v>0.36893837152233</v>
      </c>
    </row>
    <row r="1736" customFormat="false" ht="15" hidden="false" customHeight="false" outlineLevel="0" collapsed="false">
      <c r="A1736" s="0" t="n">
        <v>1735</v>
      </c>
      <c r="B1736" s="14" t="n">
        <v>163133.935492815</v>
      </c>
      <c r="C1736" s="15" t="n">
        <v>0.0645783975802513</v>
      </c>
      <c r="D1736" s="14" t="n">
        <f aca="false">Summary!$B$5-B1736</f>
        <v>-63133.9354928152</v>
      </c>
      <c r="E1736" s="15" t="n">
        <f aca="false">B1736/Summary!$B$5-1</f>
        <v>0.631339354928152</v>
      </c>
    </row>
    <row r="1737" customFormat="false" ht="15" hidden="false" customHeight="false" outlineLevel="0" collapsed="false">
      <c r="A1737" s="0" t="n">
        <v>1736</v>
      </c>
      <c r="B1737" s="14" t="n">
        <v>117907.307709636</v>
      </c>
      <c r="C1737" s="15" t="n">
        <v>0.0842632498371103</v>
      </c>
      <c r="D1737" s="14" t="n">
        <f aca="false">Summary!$B$5-B1737</f>
        <v>-17907.307709636</v>
      </c>
      <c r="E1737" s="15" t="n">
        <f aca="false">B1737/Summary!$B$5-1</f>
        <v>0.17907307709636</v>
      </c>
    </row>
    <row r="1738" customFormat="false" ht="15" hidden="false" customHeight="false" outlineLevel="0" collapsed="false">
      <c r="A1738" s="0" t="n">
        <v>1737</v>
      </c>
      <c r="B1738" s="14" t="n">
        <v>107248.866154783</v>
      </c>
      <c r="C1738" s="15" t="n">
        <v>0.124330106424751</v>
      </c>
      <c r="D1738" s="14" t="n">
        <f aca="false">Summary!$B$5-B1738</f>
        <v>-7248.86615478261</v>
      </c>
      <c r="E1738" s="15" t="n">
        <f aca="false">B1738/Summary!$B$5-1</f>
        <v>0.072488661547826</v>
      </c>
    </row>
    <row r="1739" customFormat="false" ht="15" hidden="false" customHeight="false" outlineLevel="0" collapsed="false">
      <c r="A1739" s="0" t="n">
        <v>1738</v>
      </c>
      <c r="B1739" s="14" t="n">
        <v>102043.340284911</v>
      </c>
      <c r="C1739" s="15" t="n">
        <v>0.0850852418392841</v>
      </c>
      <c r="D1739" s="14" t="n">
        <f aca="false">Summary!$B$5-B1739</f>
        <v>-2043.34028491069</v>
      </c>
      <c r="E1739" s="15" t="n">
        <f aca="false">B1739/Summary!$B$5-1</f>
        <v>0.0204334028491069</v>
      </c>
    </row>
    <row r="1740" customFormat="false" ht="15" hidden="false" customHeight="false" outlineLevel="0" collapsed="false">
      <c r="A1740" s="0" t="n">
        <v>1739</v>
      </c>
      <c r="B1740" s="14" t="n">
        <v>97262.062170017</v>
      </c>
      <c r="C1740" s="15" t="n">
        <v>0.132720629563786</v>
      </c>
      <c r="D1740" s="14" t="n">
        <f aca="false">Summary!$B$5-B1740</f>
        <v>2737.93782998301</v>
      </c>
      <c r="E1740" s="15" t="n">
        <f aca="false">B1740/Summary!$B$5-1</f>
        <v>-0.0273793782998302</v>
      </c>
    </row>
    <row r="1741" customFormat="false" ht="15" hidden="false" customHeight="false" outlineLevel="0" collapsed="false">
      <c r="A1741" s="0" t="n">
        <v>1740</v>
      </c>
      <c r="B1741" s="14" t="n">
        <v>106175.161668947</v>
      </c>
      <c r="C1741" s="15" t="n">
        <v>0.0885800655620189</v>
      </c>
      <c r="D1741" s="14" t="n">
        <f aca="false">Summary!$B$5-B1741</f>
        <v>-6175.1616689471</v>
      </c>
      <c r="E1741" s="15" t="n">
        <f aca="false">B1741/Summary!$B$5-1</f>
        <v>0.0617516166894709</v>
      </c>
    </row>
    <row r="1742" customFormat="false" ht="15" hidden="false" customHeight="false" outlineLevel="0" collapsed="false">
      <c r="A1742" s="0" t="n">
        <v>1741</v>
      </c>
      <c r="B1742" s="14" t="n">
        <v>100340.974804692</v>
      </c>
      <c r="C1742" s="15" t="n">
        <v>0.120766642060163</v>
      </c>
      <c r="D1742" s="14" t="n">
        <f aca="false">Summary!$B$5-B1742</f>
        <v>-340.974804692101</v>
      </c>
      <c r="E1742" s="15" t="n">
        <f aca="false">B1742/Summary!$B$5-1</f>
        <v>0.00340974804692107</v>
      </c>
    </row>
    <row r="1743" customFormat="false" ht="15" hidden="false" customHeight="false" outlineLevel="0" collapsed="false">
      <c r="A1743" s="0" t="n">
        <v>1742</v>
      </c>
      <c r="B1743" s="14" t="n">
        <v>98920.5133177338</v>
      </c>
      <c r="C1743" s="15" t="n">
        <v>0.127354162631406</v>
      </c>
      <c r="D1743" s="14" t="n">
        <f aca="false">Summary!$B$5-B1743</f>
        <v>1079.4866822662</v>
      </c>
      <c r="E1743" s="15" t="n">
        <f aca="false">B1743/Summary!$B$5-1</f>
        <v>-0.010794866822662</v>
      </c>
    </row>
    <row r="1744" customFormat="false" ht="15" hidden="false" customHeight="false" outlineLevel="0" collapsed="false">
      <c r="A1744" s="0" t="n">
        <v>1743</v>
      </c>
      <c r="B1744" s="14" t="n">
        <v>100678.684124758</v>
      </c>
      <c r="C1744" s="15" t="n">
        <v>0.0819678138167191</v>
      </c>
      <c r="D1744" s="14" t="n">
        <f aca="false">Summary!$B$5-B1744</f>
        <v>-678.684124758394</v>
      </c>
      <c r="E1744" s="15" t="n">
        <f aca="false">B1744/Summary!$B$5-1</f>
        <v>0.006786841247584</v>
      </c>
    </row>
    <row r="1745" customFormat="false" ht="15" hidden="false" customHeight="false" outlineLevel="0" collapsed="false">
      <c r="A1745" s="0" t="n">
        <v>1744</v>
      </c>
      <c r="B1745" s="14" t="n">
        <v>114165.204282738</v>
      </c>
      <c r="C1745" s="15" t="n">
        <v>0.0763311988270596</v>
      </c>
      <c r="D1745" s="14" t="n">
        <f aca="false">Summary!$B$5-B1745</f>
        <v>-14165.2042827383</v>
      </c>
      <c r="E1745" s="15" t="n">
        <f aca="false">B1745/Summary!$B$5-1</f>
        <v>0.141652042827383</v>
      </c>
    </row>
    <row r="1746" customFormat="false" ht="15" hidden="false" customHeight="false" outlineLevel="0" collapsed="false">
      <c r="A1746" s="0" t="n">
        <v>1745</v>
      </c>
      <c r="B1746" s="14" t="n">
        <v>123855.628834458</v>
      </c>
      <c r="C1746" s="15" t="n">
        <v>0.0711658289163405</v>
      </c>
      <c r="D1746" s="14" t="n">
        <f aca="false">Summary!$B$5-B1746</f>
        <v>-23855.6288344579</v>
      </c>
      <c r="E1746" s="15" t="n">
        <f aca="false">B1746/Summary!$B$5-1</f>
        <v>0.238556288344579</v>
      </c>
    </row>
    <row r="1747" customFormat="false" ht="15" hidden="false" customHeight="false" outlineLevel="0" collapsed="false">
      <c r="A1747" s="0" t="n">
        <v>1746</v>
      </c>
      <c r="B1747" s="14" t="n">
        <v>127186.303230313</v>
      </c>
      <c r="C1747" s="15" t="n">
        <v>0.0837384390675955</v>
      </c>
      <c r="D1747" s="14" t="n">
        <f aca="false">Summary!$B$5-B1747</f>
        <v>-27186.3032303133</v>
      </c>
      <c r="E1747" s="15" t="n">
        <f aca="false">B1747/Summary!$B$5-1</f>
        <v>0.271863032303133</v>
      </c>
    </row>
    <row r="1748" customFormat="false" ht="15" hidden="false" customHeight="false" outlineLevel="0" collapsed="false">
      <c r="A1748" s="0" t="n">
        <v>1747</v>
      </c>
      <c r="B1748" s="14" t="n">
        <v>121115.351865715</v>
      </c>
      <c r="C1748" s="15" t="n">
        <v>0.0751925080473263</v>
      </c>
      <c r="D1748" s="14" t="n">
        <f aca="false">Summary!$B$5-B1748</f>
        <v>-21115.3518657146</v>
      </c>
      <c r="E1748" s="15" t="n">
        <f aca="false">B1748/Summary!$B$5-1</f>
        <v>0.211153518657146</v>
      </c>
    </row>
    <row r="1749" customFormat="false" ht="15" hidden="false" customHeight="false" outlineLevel="0" collapsed="false">
      <c r="A1749" s="0" t="n">
        <v>1748</v>
      </c>
      <c r="B1749" s="14" t="n">
        <v>132850.410648992</v>
      </c>
      <c r="C1749" s="15" t="n">
        <v>0.0571406744423663</v>
      </c>
      <c r="D1749" s="14" t="n">
        <f aca="false">Summary!$B$5-B1749</f>
        <v>-32850.4106489921</v>
      </c>
      <c r="E1749" s="15" t="n">
        <f aca="false">B1749/Summary!$B$5-1</f>
        <v>0.328504106489921</v>
      </c>
    </row>
    <row r="1750" customFormat="false" ht="15" hidden="false" customHeight="false" outlineLevel="0" collapsed="false">
      <c r="A1750" s="0" t="n">
        <v>1749</v>
      </c>
      <c r="B1750" s="14" t="n">
        <v>117364.600117273</v>
      </c>
      <c r="C1750" s="15" t="n">
        <v>0.0697453039039464</v>
      </c>
      <c r="D1750" s="14" t="n">
        <f aca="false">Summary!$B$5-B1750</f>
        <v>-17364.6001172728</v>
      </c>
      <c r="E1750" s="15" t="n">
        <f aca="false">B1750/Summary!$B$5-1</f>
        <v>0.173646001172728</v>
      </c>
    </row>
    <row r="1751" customFormat="false" ht="15" hidden="false" customHeight="false" outlineLevel="0" collapsed="false">
      <c r="A1751" s="0" t="n">
        <v>1750</v>
      </c>
      <c r="B1751" s="14" t="n">
        <v>101696.236372066</v>
      </c>
      <c r="C1751" s="15" t="n">
        <v>0.0842480685696551</v>
      </c>
      <c r="D1751" s="14" t="n">
        <f aca="false">Summary!$B$5-B1751</f>
        <v>-1696.23637206601</v>
      </c>
      <c r="E1751" s="15" t="n">
        <f aca="false">B1751/Summary!$B$5-1</f>
        <v>0.0169623637206602</v>
      </c>
    </row>
    <row r="1752" customFormat="false" ht="15" hidden="false" customHeight="false" outlineLevel="0" collapsed="false">
      <c r="A1752" s="0" t="n">
        <v>1751</v>
      </c>
      <c r="B1752" s="14" t="n">
        <v>124458.162089841</v>
      </c>
      <c r="C1752" s="15" t="n">
        <v>0.0599657177248618</v>
      </c>
      <c r="D1752" s="14" t="n">
        <f aca="false">Summary!$B$5-B1752</f>
        <v>-24458.1620898407</v>
      </c>
      <c r="E1752" s="15" t="n">
        <f aca="false">B1752/Summary!$B$5-1</f>
        <v>0.244581620898407</v>
      </c>
    </row>
    <row r="1753" customFormat="false" ht="15" hidden="false" customHeight="false" outlineLevel="0" collapsed="false">
      <c r="A1753" s="0" t="n">
        <v>1752</v>
      </c>
      <c r="B1753" s="14" t="n">
        <v>108906.456244052</v>
      </c>
      <c r="C1753" s="15" t="n">
        <v>0.135959416403732</v>
      </c>
      <c r="D1753" s="14" t="n">
        <f aca="false">Summary!$B$5-B1753</f>
        <v>-8906.4562440515</v>
      </c>
      <c r="E1753" s="15" t="n">
        <f aca="false">B1753/Summary!$B$5-1</f>
        <v>0.0890645624405151</v>
      </c>
    </row>
    <row r="1754" customFormat="false" ht="15" hidden="false" customHeight="false" outlineLevel="0" collapsed="false">
      <c r="A1754" s="0" t="n">
        <v>1753</v>
      </c>
      <c r="B1754" s="14" t="n">
        <v>160233.453235132</v>
      </c>
      <c r="C1754" s="15" t="n">
        <v>0.0376761983171009</v>
      </c>
      <c r="D1754" s="14" t="n">
        <f aca="false">Summary!$B$5-B1754</f>
        <v>-60233.4532351317</v>
      </c>
      <c r="E1754" s="15" t="n">
        <f aca="false">B1754/Summary!$B$5-1</f>
        <v>0.602334532351317</v>
      </c>
    </row>
    <row r="1755" customFormat="false" ht="15" hidden="false" customHeight="false" outlineLevel="0" collapsed="false">
      <c r="A1755" s="0" t="n">
        <v>1754</v>
      </c>
      <c r="B1755" s="14" t="n">
        <v>92421.9059318454</v>
      </c>
      <c r="C1755" s="15" t="n">
        <v>0.175758285771434</v>
      </c>
      <c r="D1755" s="14" t="n">
        <f aca="false">Summary!$B$5-B1755</f>
        <v>7578.09406815456</v>
      </c>
      <c r="E1755" s="15" t="n">
        <f aca="false">B1755/Summary!$B$5-1</f>
        <v>-0.0757809406815456</v>
      </c>
    </row>
    <row r="1756" customFormat="false" ht="15" hidden="false" customHeight="false" outlineLevel="0" collapsed="false">
      <c r="A1756" s="0" t="n">
        <v>1755</v>
      </c>
      <c r="B1756" s="14" t="n">
        <v>92604.6929114678</v>
      </c>
      <c r="C1756" s="15" t="n">
        <v>0.202430486612211</v>
      </c>
      <c r="D1756" s="14" t="n">
        <f aca="false">Summary!$B$5-B1756</f>
        <v>7395.30708853222</v>
      </c>
      <c r="E1756" s="15" t="n">
        <f aca="false">B1756/Summary!$B$5-1</f>
        <v>-0.0739530708853222</v>
      </c>
    </row>
    <row r="1757" customFormat="false" ht="15" hidden="false" customHeight="false" outlineLevel="0" collapsed="false">
      <c r="A1757" s="0" t="n">
        <v>1756</v>
      </c>
      <c r="B1757" s="14" t="n">
        <v>95609.1999162339</v>
      </c>
      <c r="C1757" s="15" t="n">
        <v>0.155578521671704</v>
      </c>
      <c r="D1757" s="14" t="n">
        <f aca="false">Summary!$B$5-B1757</f>
        <v>4390.80008376615</v>
      </c>
      <c r="E1757" s="15" t="n">
        <f aca="false">B1757/Summary!$B$5-1</f>
        <v>-0.0439080008376616</v>
      </c>
    </row>
    <row r="1758" customFormat="false" ht="15" hidden="false" customHeight="false" outlineLevel="0" collapsed="false">
      <c r="A1758" s="0" t="n">
        <v>1757</v>
      </c>
      <c r="B1758" s="14" t="n">
        <v>99078.0175860209</v>
      </c>
      <c r="C1758" s="15" t="n">
        <v>0.138534213434782</v>
      </c>
      <c r="D1758" s="14" t="n">
        <f aca="false">Summary!$B$5-B1758</f>
        <v>921.982413979102</v>
      </c>
      <c r="E1758" s="15" t="n">
        <f aca="false">B1758/Summary!$B$5-1</f>
        <v>-0.00921982413979106</v>
      </c>
    </row>
    <row r="1759" customFormat="false" ht="15" hidden="false" customHeight="false" outlineLevel="0" collapsed="false">
      <c r="A1759" s="0" t="n">
        <v>1758</v>
      </c>
      <c r="B1759" s="14" t="n">
        <v>122093.39891207</v>
      </c>
      <c r="C1759" s="15" t="n">
        <v>0.0579814516527112</v>
      </c>
      <c r="D1759" s="14" t="n">
        <f aca="false">Summary!$B$5-B1759</f>
        <v>-22093.3989120703</v>
      </c>
      <c r="E1759" s="15" t="n">
        <f aca="false">B1759/Summary!$B$5-1</f>
        <v>0.220933989120703</v>
      </c>
    </row>
    <row r="1760" customFormat="false" ht="15" hidden="false" customHeight="false" outlineLevel="0" collapsed="false">
      <c r="A1760" s="0" t="n">
        <v>1759</v>
      </c>
      <c r="B1760" s="14" t="n">
        <v>104789.479478842</v>
      </c>
      <c r="C1760" s="15" t="n">
        <v>0.0875917003998975</v>
      </c>
      <c r="D1760" s="14" t="n">
        <f aca="false">Summary!$B$5-B1760</f>
        <v>-4789.47947884171</v>
      </c>
      <c r="E1760" s="15" t="n">
        <f aca="false">B1760/Summary!$B$5-1</f>
        <v>0.047894794788417</v>
      </c>
    </row>
    <row r="1761" customFormat="false" ht="15" hidden="false" customHeight="false" outlineLevel="0" collapsed="false">
      <c r="A1761" s="0" t="n">
        <v>1760</v>
      </c>
      <c r="B1761" s="14" t="n">
        <v>120522.735561175</v>
      </c>
      <c r="C1761" s="15" t="n">
        <v>0.0812734038665345</v>
      </c>
      <c r="D1761" s="14" t="n">
        <f aca="false">Summary!$B$5-B1761</f>
        <v>-20522.7355611754</v>
      </c>
      <c r="E1761" s="15" t="n">
        <f aca="false">B1761/Summary!$B$5-1</f>
        <v>0.205227355611754</v>
      </c>
    </row>
    <row r="1762" customFormat="false" ht="15" hidden="false" customHeight="false" outlineLevel="0" collapsed="false">
      <c r="A1762" s="0" t="n">
        <v>1761</v>
      </c>
      <c r="B1762" s="14" t="n">
        <v>116069.565790195</v>
      </c>
      <c r="C1762" s="15" t="n">
        <v>0.0937318525669767</v>
      </c>
      <c r="D1762" s="14" t="n">
        <f aca="false">Summary!$B$5-B1762</f>
        <v>-16069.5657901948</v>
      </c>
      <c r="E1762" s="15" t="n">
        <f aca="false">B1762/Summary!$B$5-1</f>
        <v>0.160695657901948</v>
      </c>
    </row>
    <row r="1763" customFormat="false" ht="15" hidden="false" customHeight="false" outlineLevel="0" collapsed="false">
      <c r="A1763" s="0" t="n">
        <v>1762</v>
      </c>
      <c r="B1763" s="14" t="n">
        <v>103545.931658155</v>
      </c>
      <c r="C1763" s="15" t="n">
        <v>0.0958513838773287</v>
      </c>
      <c r="D1763" s="14" t="n">
        <f aca="false">Summary!$B$5-B1763</f>
        <v>-3545.9316581552</v>
      </c>
      <c r="E1763" s="15" t="n">
        <f aca="false">B1763/Summary!$B$5-1</f>
        <v>0.035459316581552</v>
      </c>
    </row>
    <row r="1764" customFormat="false" ht="15" hidden="false" customHeight="false" outlineLevel="0" collapsed="false">
      <c r="A1764" s="0" t="n">
        <v>1763</v>
      </c>
      <c r="B1764" s="14" t="n">
        <v>115079.405923304</v>
      </c>
      <c r="C1764" s="15" t="n">
        <v>0.0830093535744874</v>
      </c>
      <c r="D1764" s="14" t="n">
        <f aca="false">Summary!$B$5-B1764</f>
        <v>-15079.4059233041</v>
      </c>
      <c r="E1764" s="15" t="n">
        <f aca="false">B1764/Summary!$B$5-1</f>
        <v>0.150794059233041</v>
      </c>
    </row>
    <row r="1765" customFormat="false" ht="15" hidden="false" customHeight="false" outlineLevel="0" collapsed="false">
      <c r="A1765" s="0" t="n">
        <v>1764</v>
      </c>
      <c r="B1765" s="14" t="n">
        <v>116373.496875044</v>
      </c>
      <c r="C1765" s="15" t="n">
        <v>0.120748102196748</v>
      </c>
      <c r="D1765" s="14" t="n">
        <f aca="false">Summary!$B$5-B1765</f>
        <v>-16373.4968750435</v>
      </c>
      <c r="E1765" s="15" t="n">
        <f aca="false">B1765/Summary!$B$5-1</f>
        <v>0.163734968750435</v>
      </c>
    </row>
    <row r="1766" customFormat="false" ht="15" hidden="false" customHeight="false" outlineLevel="0" collapsed="false">
      <c r="A1766" s="0" t="n">
        <v>1765</v>
      </c>
      <c r="B1766" s="14" t="n">
        <v>89653.7035253726</v>
      </c>
      <c r="C1766" s="15" t="n">
        <v>0.149000162715721</v>
      </c>
      <c r="D1766" s="14" t="n">
        <f aca="false">Summary!$B$5-B1766</f>
        <v>10346.2964746274</v>
      </c>
      <c r="E1766" s="15" t="n">
        <f aca="false">B1766/Summary!$B$5-1</f>
        <v>-0.103462964746274</v>
      </c>
    </row>
    <row r="1767" customFormat="false" ht="15" hidden="false" customHeight="false" outlineLevel="0" collapsed="false">
      <c r="A1767" s="0" t="n">
        <v>1766</v>
      </c>
      <c r="B1767" s="14" t="n">
        <v>117352.379496746</v>
      </c>
      <c r="C1767" s="15" t="n">
        <v>0.102082562918987</v>
      </c>
      <c r="D1767" s="14" t="n">
        <f aca="false">Summary!$B$5-B1767</f>
        <v>-17352.3794967462</v>
      </c>
      <c r="E1767" s="15" t="n">
        <f aca="false">B1767/Summary!$B$5-1</f>
        <v>0.173523794967462</v>
      </c>
    </row>
    <row r="1768" customFormat="false" ht="15" hidden="false" customHeight="false" outlineLevel="0" collapsed="false">
      <c r="A1768" s="0" t="n">
        <v>1767</v>
      </c>
      <c r="B1768" s="14" t="n">
        <v>109223.199990558</v>
      </c>
      <c r="C1768" s="15" t="n">
        <v>0.0842499692628631</v>
      </c>
      <c r="D1768" s="14" t="n">
        <f aca="false">Summary!$B$5-B1768</f>
        <v>-9223.19999055839</v>
      </c>
      <c r="E1768" s="15" t="n">
        <f aca="false">B1768/Summary!$B$5-1</f>
        <v>0.0922319999055838</v>
      </c>
    </row>
    <row r="1769" customFormat="false" ht="15" hidden="false" customHeight="false" outlineLevel="0" collapsed="false">
      <c r="A1769" s="0" t="n">
        <v>1768</v>
      </c>
      <c r="B1769" s="14" t="n">
        <v>100241.037598902</v>
      </c>
      <c r="C1769" s="15" t="n">
        <v>0.111534841294771</v>
      </c>
      <c r="D1769" s="14" t="n">
        <f aca="false">Summary!$B$5-B1769</f>
        <v>-241.0375989022</v>
      </c>
      <c r="E1769" s="15" t="n">
        <f aca="false">B1769/Summary!$B$5-1</f>
        <v>0.00241037598902194</v>
      </c>
    </row>
    <row r="1770" customFormat="false" ht="15" hidden="false" customHeight="false" outlineLevel="0" collapsed="false">
      <c r="A1770" s="0" t="n">
        <v>1769</v>
      </c>
      <c r="B1770" s="14" t="n">
        <v>110168.860813815</v>
      </c>
      <c r="C1770" s="15" t="n">
        <v>0.134627273193945</v>
      </c>
      <c r="D1770" s="14" t="n">
        <f aca="false">Summary!$B$5-B1770</f>
        <v>-10168.8608138153</v>
      </c>
      <c r="E1770" s="15" t="n">
        <f aca="false">B1770/Summary!$B$5-1</f>
        <v>0.101688608138153</v>
      </c>
    </row>
    <row r="1771" customFormat="false" ht="15" hidden="false" customHeight="false" outlineLevel="0" collapsed="false">
      <c r="A1771" s="0" t="n">
        <v>1770</v>
      </c>
      <c r="B1771" s="14" t="n">
        <v>120490.407257871</v>
      </c>
      <c r="C1771" s="15" t="n">
        <v>0.0626426515746464</v>
      </c>
      <c r="D1771" s="14" t="n">
        <f aca="false">Summary!$B$5-B1771</f>
        <v>-20490.4072578708</v>
      </c>
      <c r="E1771" s="15" t="n">
        <f aca="false">B1771/Summary!$B$5-1</f>
        <v>0.204904072578708</v>
      </c>
    </row>
    <row r="1772" customFormat="false" ht="15" hidden="false" customHeight="false" outlineLevel="0" collapsed="false">
      <c r="A1772" s="0" t="n">
        <v>1771</v>
      </c>
      <c r="B1772" s="14" t="n">
        <v>117283.568694976</v>
      </c>
      <c r="C1772" s="15" t="n">
        <v>0.102526147659739</v>
      </c>
      <c r="D1772" s="14" t="n">
        <f aca="false">Summary!$B$5-B1772</f>
        <v>-17283.5686949759</v>
      </c>
      <c r="E1772" s="15" t="n">
        <f aca="false">B1772/Summary!$B$5-1</f>
        <v>0.172835686949759</v>
      </c>
    </row>
    <row r="1773" customFormat="false" ht="15" hidden="false" customHeight="false" outlineLevel="0" collapsed="false">
      <c r="A1773" s="0" t="n">
        <v>1772</v>
      </c>
      <c r="B1773" s="14" t="n">
        <v>116667.988727688</v>
      </c>
      <c r="C1773" s="15" t="n">
        <v>0.0760506757389761</v>
      </c>
      <c r="D1773" s="14" t="n">
        <f aca="false">Summary!$B$5-B1773</f>
        <v>-16667.988727688</v>
      </c>
      <c r="E1773" s="15" t="n">
        <f aca="false">B1773/Summary!$B$5-1</f>
        <v>0.16667988727688</v>
      </c>
    </row>
    <row r="1774" customFormat="false" ht="15" hidden="false" customHeight="false" outlineLevel="0" collapsed="false">
      <c r="A1774" s="0" t="n">
        <v>1773</v>
      </c>
      <c r="B1774" s="14" t="n">
        <v>108717.025145406</v>
      </c>
      <c r="C1774" s="15" t="n">
        <v>0.129111690459244</v>
      </c>
      <c r="D1774" s="14" t="n">
        <f aca="false">Summary!$B$5-B1774</f>
        <v>-8717.0251454064</v>
      </c>
      <c r="E1774" s="15" t="n">
        <f aca="false">B1774/Summary!$B$5-1</f>
        <v>0.087170251454064</v>
      </c>
    </row>
    <row r="1775" customFormat="false" ht="15" hidden="false" customHeight="false" outlineLevel="0" collapsed="false">
      <c r="A1775" s="0" t="n">
        <v>1774</v>
      </c>
      <c r="B1775" s="14" t="n">
        <v>105177.776210338</v>
      </c>
      <c r="C1775" s="15" t="n">
        <v>0.113068856365086</v>
      </c>
      <c r="D1775" s="14" t="n">
        <f aca="false">Summary!$B$5-B1775</f>
        <v>-5177.77621033799</v>
      </c>
      <c r="E1775" s="15" t="n">
        <f aca="false">B1775/Summary!$B$5-1</f>
        <v>0.0517777621033799</v>
      </c>
    </row>
    <row r="1776" customFormat="false" ht="15" hidden="false" customHeight="false" outlineLevel="0" collapsed="false">
      <c r="A1776" s="0" t="n">
        <v>1775</v>
      </c>
      <c r="B1776" s="14" t="n">
        <v>106831.718922108</v>
      </c>
      <c r="C1776" s="15" t="n">
        <v>0.0716647080152014</v>
      </c>
      <c r="D1776" s="14" t="n">
        <f aca="false">Summary!$B$5-B1776</f>
        <v>-6831.71892210811</v>
      </c>
      <c r="E1776" s="15" t="n">
        <f aca="false">B1776/Summary!$B$5-1</f>
        <v>0.068317189221081</v>
      </c>
    </row>
    <row r="1777" customFormat="false" ht="15" hidden="false" customHeight="false" outlineLevel="0" collapsed="false">
      <c r="A1777" s="0" t="n">
        <v>1776</v>
      </c>
      <c r="B1777" s="14" t="n">
        <v>114265.070096352</v>
      </c>
      <c r="C1777" s="15" t="n">
        <v>0.0902204190134475</v>
      </c>
      <c r="D1777" s="14" t="n">
        <f aca="false">Summary!$B$5-B1777</f>
        <v>-14265.0700963522</v>
      </c>
      <c r="E1777" s="15" t="n">
        <f aca="false">B1777/Summary!$B$5-1</f>
        <v>0.142650700963522</v>
      </c>
    </row>
    <row r="1778" customFormat="false" ht="15" hidden="false" customHeight="false" outlineLevel="0" collapsed="false">
      <c r="A1778" s="0" t="n">
        <v>1777</v>
      </c>
      <c r="B1778" s="14" t="n">
        <v>107236.441234812</v>
      </c>
      <c r="C1778" s="15" t="n">
        <v>0.107394444809778</v>
      </c>
      <c r="D1778" s="14" t="n">
        <f aca="false">Summary!$B$5-B1778</f>
        <v>-7236.4412348123</v>
      </c>
      <c r="E1778" s="15" t="n">
        <f aca="false">B1778/Summary!$B$5-1</f>
        <v>0.0723644123481231</v>
      </c>
    </row>
    <row r="1779" customFormat="false" ht="15" hidden="false" customHeight="false" outlineLevel="0" collapsed="false">
      <c r="A1779" s="0" t="n">
        <v>1778</v>
      </c>
      <c r="B1779" s="14" t="n">
        <v>112006.562542424</v>
      </c>
      <c r="C1779" s="15" t="n">
        <v>0.0698897089217471</v>
      </c>
      <c r="D1779" s="14" t="n">
        <f aca="false">Summary!$B$5-B1779</f>
        <v>-12006.5625424241</v>
      </c>
      <c r="E1779" s="15" t="n">
        <f aca="false">B1779/Summary!$B$5-1</f>
        <v>0.120065625424241</v>
      </c>
    </row>
    <row r="1780" customFormat="false" ht="15" hidden="false" customHeight="false" outlineLevel="0" collapsed="false">
      <c r="A1780" s="0" t="n">
        <v>1779</v>
      </c>
      <c r="B1780" s="14" t="n">
        <v>100483.064037869</v>
      </c>
      <c r="C1780" s="15" t="n">
        <v>0.130262563720944</v>
      </c>
      <c r="D1780" s="14" t="n">
        <f aca="false">Summary!$B$5-B1780</f>
        <v>-483.064037868695</v>
      </c>
      <c r="E1780" s="15" t="n">
        <f aca="false">B1780/Summary!$B$5-1</f>
        <v>0.00483064037868686</v>
      </c>
    </row>
    <row r="1781" customFormat="false" ht="15" hidden="false" customHeight="false" outlineLevel="0" collapsed="false">
      <c r="A1781" s="0" t="n">
        <v>1780</v>
      </c>
      <c r="B1781" s="14" t="n">
        <v>106944.404229692</v>
      </c>
      <c r="C1781" s="15" t="n">
        <v>0.0781902079645108</v>
      </c>
      <c r="D1781" s="14" t="n">
        <f aca="false">Summary!$B$5-B1781</f>
        <v>-6944.40422969199</v>
      </c>
      <c r="E1781" s="15" t="n">
        <f aca="false">B1781/Summary!$B$5-1</f>
        <v>0.06944404229692</v>
      </c>
    </row>
    <row r="1782" customFormat="false" ht="15" hidden="false" customHeight="false" outlineLevel="0" collapsed="false">
      <c r="A1782" s="0" t="n">
        <v>1781</v>
      </c>
      <c r="B1782" s="14" t="n">
        <v>115710.251674312</v>
      </c>
      <c r="C1782" s="15" t="n">
        <v>0.0806423884654064</v>
      </c>
      <c r="D1782" s="14" t="n">
        <f aca="false">Summary!$B$5-B1782</f>
        <v>-15710.251674312</v>
      </c>
      <c r="E1782" s="15" t="n">
        <f aca="false">B1782/Summary!$B$5-1</f>
        <v>0.15710251674312</v>
      </c>
    </row>
    <row r="1783" customFormat="false" ht="15" hidden="false" customHeight="false" outlineLevel="0" collapsed="false">
      <c r="A1783" s="0" t="n">
        <v>1782</v>
      </c>
      <c r="B1783" s="14" t="n">
        <v>91912.9290678772</v>
      </c>
      <c r="C1783" s="15" t="n">
        <v>0.184057615882578</v>
      </c>
      <c r="D1783" s="14" t="n">
        <f aca="false">Summary!$B$5-B1783</f>
        <v>8087.07093212278</v>
      </c>
      <c r="E1783" s="15" t="n">
        <f aca="false">B1783/Summary!$B$5-1</f>
        <v>-0.0808707093212278</v>
      </c>
    </row>
    <row r="1784" customFormat="false" ht="15" hidden="false" customHeight="false" outlineLevel="0" collapsed="false">
      <c r="A1784" s="0" t="n">
        <v>1783</v>
      </c>
      <c r="B1784" s="14" t="n">
        <v>100479.854743118</v>
      </c>
      <c r="C1784" s="15" t="n">
        <v>0.115634284705774</v>
      </c>
      <c r="D1784" s="14" t="n">
        <f aca="false">Summary!$B$5-B1784</f>
        <v>-479.854743117496</v>
      </c>
      <c r="E1784" s="15" t="n">
        <f aca="false">B1784/Summary!$B$5-1</f>
        <v>0.00479854743117492</v>
      </c>
    </row>
    <row r="1785" customFormat="false" ht="15" hidden="false" customHeight="false" outlineLevel="0" collapsed="false">
      <c r="A1785" s="0" t="n">
        <v>1784</v>
      </c>
      <c r="B1785" s="14" t="n">
        <v>127402.387740726</v>
      </c>
      <c r="C1785" s="15" t="n">
        <v>0.0636856905238012</v>
      </c>
      <c r="D1785" s="14" t="n">
        <f aca="false">Summary!$B$5-B1785</f>
        <v>-27402.3877407264</v>
      </c>
      <c r="E1785" s="15" t="n">
        <f aca="false">B1785/Summary!$B$5-1</f>
        <v>0.274023877407264</v>
      </c>
    </row>
    <row r="1786" customFormat="false" ht="15" hidden="false" customHeight="false" outlineLevel="0" collapsed="false">
      <c r="A1786" s="0" t="n">
        <v>1785</v>
      </c>
      <c r="B1786" s="14" t="n">
        <v>110084.880449198</v>
      </c>
      <c r="C1786" s="15" t="n">
        <v>0.0941351450787621</v>
      </c>
      <c r="D1786" s="14" t="n">
        <f aca="false">Summary!$B$5-B1786</f>
        <v>-10084.8804491983</v>
      </c>
      <c r="E1786" s="15" t="n">
        <f aca="false">B1786/Summary!$B$5-1</f>
        <v>0.100848804491983</v>
      </c>
    </row>
    <row r="1787" customFormat="false" ht="15" hidden="false" customHeight="false" outlineLevel="0" collapsed="false">
      <c r="A1787" s="0" t="n">
        <v>1786</v>
      </c>
      <c r="B1787" s="14" t="n">
        <v>104802.164578319</v>
      </c>
      <c r="C1787" s="15" t="n">
        <v>0.11490026410459</v>
      </c>
      <c r="D1787" s="14" t="n">
        <f aca="false">Summary!$B$5-B1787</f>
        <v>-4802.16457831911</v>
      </c>
      <c r="E1787" s="15" t="n">
        <f aca="false">B1787/Summary!$B$5-1</f>
        <v>0.048021645783191</v>
      </c>
    </row>
    <row r="1788" customFormat="false" ht="15" hidden="false" customHeight="false" outlineLevel="0" collapsed="false">
      <c r="A1788" s="0" t="n">
        <v>1787</v>
      </c>
      <c r="B1788" s="14" t="n">
        <v>126519.97913898</v>
      </c>
      <c r="C1788" s="15" t="n">
        <v>0.0622108302540465</v>
      </c>
      <c r="D1788" s="14" t="n">
        <f aca="false">Summary!$B$5-B1788</f>
        <v>-26519.9791389801</v>
      </c>
      <c r="E1788" s="15" t="n">
        <f aca="false">B1788/Summary!$B$5-1</f>
        <v>0.265199791389801</v>
      </c>
    </row>
    <row r="1789" customFormat="false" ht="15" hidden="false" customHeight="false" outlineLevel="0" collapsed="false">
      <c r="A1789" s="0" t="n">
        <v>1788</v>
      </c>
      <c r="B1789" s="14" t="n">
        <v>143200.625256323</v>
      </c>
      <c r="C1789" s="15" t="n">
        <v>0.0487501898411863</v>
      </c>
      <c r="D1789" s="14" t="n">
        <f aca="false">Summary!$B$5-B1789</f>
        <v>-43200.6252563232</v>
      </c>
      <c r="E1789" s="15" t="n">
        <f aca="false">B1789/Summary!$B$5-1</f>
        <v>0.432006252563232</v>
      </c>
    </row>
    <row r="1790" customFormat="false" ht="15" hidden="false" customHeight="false" outlineLevel="0" collapsed="false">
      <c r="A1790" s="0" t="n">
        <v>1789</v>
      </c>
      <c r="B1790" s="14" t="n">
        <v>105903.637966205</v>
      </c>
      <c r="C1790" s="15" t="n">
        <v>0.0971729202303288</v>
      </c>
      <c r="D1790" s="14" t="n">
        <f aca="false">Summary!$B$5-B1790</f>
        <v>-5903.63796620529</v>
      </c>
      <c r="E1790" s="15" t="n">
        <f aca="false">B1790/Summary!$B$5-1</f>
        <v>0.059036379662053</v>
      </c>
    </row>
    <row r="1791" customFormat="false" ht="15" hidden="false" customHeight="false" outlineLevel="0" collapsed="false">
      <c r="A1791" s="0" t="n">
        <v>1790</v>
      </c>
      <c r="B1791" s="14" t="n">
        <v>118694.817694077</v>
      </c>
      <c r="C1791" s="15" t="n">
        <v>0.052682206961663</v>
      </c>
      <c r="D1791" s="14" t="n">
        <f aca="false">Summary!$B$5-B1791</f>
        <v>-18694.8176940772</v>
      </c>
      <c r="E1791" s="15" t="n">
        <f aca="false">B1791/Summary!$B$5-1</f>
        <v>0.186948176940772</v>
      </c>
    </row>
    <row r="1792" customFormat="false" ht="15" hidden="false" customHeight="false" outlineLevel="0" collapsed="false">
      <c r="A1792" s="0" t="n">
        <v>1791</v>
      </c>
      <c r="B1792" s="14" t="n">
        <v>107230.122204485</v>
      </c>
      <c r="C1792" s="15" t="n">
        <v>0.0933150751152851</v>
      </c>
      <c r="D1792" s="14" t="n">
        <f aca="false">Summary!$B$5-B1792</f>
        <v>-7230.12220448469</v>
      </c>
      <c r="E1792" s="15" t="n">
        <f aca="false">B1792/Summary!$B$5-1</f>
        <v>0.0723012220448469</v>
      </c>
    </row>
    <row r="1793" customFormat="false" ht="15" hidden="false" customHeight="false" outlineLevel="0" collapsed="false">
      <c r="A1793" s="0" t="n">
        <v>1792</v>
      </c>
      <c r="B1793" s="14" t="n">
        <v>123560.196332423</v>
      </c>
      <c r="C1793" s="15" t="n">
        <v>0.0591139570551351</v>
      </c>
      <c r="D1793" s="14" t="n">
        <f aca="false">Summary!$B$5-B1793</f>
        <v>-23560.196332423</v>
      </c>
      <c r="E1793" s="15" t="n">
        <f aca="false">B1793/Summary!$B$5-1</f>
        <v>0.23560196332423</v>
      </c>
    </row>
    <row r="1794" customFormat="false" ht="15" hidden="false" customHeight="false" outlineLevel="0" collapsed="false">
      <c r="A1794" s="0" t="n">
        <v>1793</v>
      </c>
      <c r="B1794" s="14" t="n">
        <v>110506.902270564</v>
      </c>
      <c r="C1794" s="15" t="n">
        <v>0.122612862997906</v>
      </c>
      <c r="D1794" s="14" t="n">
        <f aca="false">Summary!$B$5-B1794</f>
        <v>-10506.902270564</v>
      </c>
      <c r="E1794" s="15" t="n">
        <f aca="false">B1794/Summary!$B$5-1</f>
        <v>0.10506902270564</v>
      </c>
    </row>
    <row r="1795" customFormat="false" ht="15" hidden="false" customHeight="false" outlineLevel="0" collapsed="false">
      <c r="A1795" s="0" t="n">
        <v>1794</v>
      </c>
      <c r="B1795" s="14" t="n">
        <v>104474.415994799</v>
      </c>
      <c r="C1795" s="15" t="n">
        <v>0.119452935952398</v>
      </c>
      <c r="D1795" s="14" t="n">
        <f aca="false">Summary!$B$5-B1795</f>
        <v>-4474.415994799</v>
      </c>
      <c r="E1795" s="15" t="n">
        <f aca="false">B1795/Summary!$B$5-1</f>
        <v>0.0447441599479901</v>
      </c>
    </row>
    <row r="1796" customFormat="false" ht="15" hidden="false" customHeight="false" outlineLevel="0" collapsed="false">
      <c r="A1796" s="0" t="n">
        <v>1795</v>
      </c>
      <c r="B1796" s="14" t="n">
        <v>98590.5186952383</v>
      </c>
      <c r="C1796" s="15" t="n">
        <v>0.0896954159336351</v>
      </c>
      <c r="D1796" s="14" t="n">
        <f aca="false">Summary!$B$5-B1796</f>
        <v>1409.48130476168</v>
      </c>
      <c r="E1796" s="15" t="n">
        <f aca="false">B1796/Summary!$B$5-1</f>
        <v>-0.0140948130476167</v>
      </c>
    </row>
    <row r="1797" customFormat="false" ht="15" hidden="false" customHeight="false" outlineLevel="0" collapsed="false">
      <c r="A1797" s="0" t="n">
        <v>1796</v>
      </c>
      <c r="B1797" s="14" t="n">
        <v>114076.768904591</v>
      </c>
      <c r="C1797" s="15" t="n">
        <v>0.0806865973413485</v>
      </c>
      <c r="D1797" s="14" t="n">
        <f aca="false">Summary!$B$5-B1797</f>
        <v>-14076.7689045912</v>
      </c>
      <c r="E1797" s="15" t="n">
        <f aca="false">B1797/Summary!$B$5-1</f>
        <v>0.140767689045912</v>
      </c>
    </row>
    <row r="1798" customFormat="false" ht="15" hidden="false" customHeight="false" outlineLevel="0" collapsed="false">
      <c r="A1798" s="0" t="n">
        <v>1797</v>
      </c>
      <c r="B1798" s="14" t="n">
        <v>99544.8645518088</v>
      </c>
      <c r="C1798" s="15" t="n">
        <v>0.0899274849644318</v>
      </c>
      <c r="D1798" s="14" t="n">
        <f aca="false">Summary!$B$5-B1798</f>
        <v>455.135448191199</v>
      </c>
      <c r="E1798" s="15" t="n">
        <f aca="false">B1798/Summary!$B$5-1</f>
        <v>-0.00455135448191202</v>
      </c>
    </row>
    <row r="1799" customFormat="false" ht="15" hidden="false" customHeight="false" outlineLevel="0" collapsed="false">
      <c r="A1799" s="0" t="n">
        <v>1798</v>
      </c>
      <c r="B1799" s="14" t="n">
        <v>115524.727393042</v>
      </c>
      <c r="C1799" s="15" t="n">
        <v>0.0951777150477854</v>
      </c>
      <c r="D1799" s="14" t="n">
        <f aca="false">Summary!$B$5-B1799</f>
        <v>-15524.7273930424</v>
      </c>
      <c r="E1799" s="15" t="n">
        <f aca="false">B1799/Summary!$B$5-1</f>
        <v>0.155247273930424</v>
      </c>
    </row>
    <row r="1800" customFormat="false" ht="15" hidden="false" customHeight="false" outlineLevel="0" collapsed="false">
      <c r="A1800" s="0" t="n">
        <v>1799</v>
      </c>
      <c r="B1800" s="14" t="n">
        <v>94957.9049953666</v>
      </c>
      <c r="C1800" s="15" t="n">
        <v>0.165821207696172</v>
      </c>
      <c r="D1800" s="14" t="n">
        <f aca="false">Summary!$B$5-B1800</f>
        <v>5042.09500463345</v>
      </c>
      <c r="E1800" s="15" t="n">
        <f aca="false">B1800/Summary!$B$5-1</f>
        <v>-0.0504209500463345</v>
      </c>
    </row>
    <row r="1801" customFormat="false" ht="15" hidden="false" customHeight="false" outlineLevel="0" collapsed="false">
      <c r="A1801" s="0" t="n">
        <v>1800</v>
      </c>
      <c r="B1801" s="14" t="n">
        <v>100322.496937181</v>
      </c>
      <c r="C1801" s="15" t="n">
        <v>0.0976592221856601</v>
      </c>
      <c r="D1801" s="14" t="n">
        <f aca="false">Summary!$B$5-B1801</f>
        <v>-322.496937180593</v>
      </c>
      <c r="E1801" s="15" t="n">
        <f aca="false">B1801/Summary!$B$5-1</f>
        <v>0.00322496937180583</v>
      </c>
    </row>
    <row r="1802" customFormat="false" ht="15" hidden="false" customHeight="false" outlineLevel="0" collapsed="false">
      <c r="A1802" s="0" t="n">
        <v>1801</v>
      </c>
      <c r="B1802" s="14" t="n">
        <v>90696.4580123572</v>
      </c>
      <c r="C1802" s="15" t="n">
        <v>0.164316126624095</v>
      </c>
      <c r="D1802" s="14" t="n">
        <f aca="false">Summary!$B$5-B1802</f>
        <v>9303.54198764282</v>
      </c>
      <c r="E1802" s="15" t="n">
        <f aca="false">B1802/Summary!$B$5-1</f>
        <v>-0.0930354198764282</v>
      </c>
    </row>
    <row r="1803" customFormat="false" ht="15" hidden="false" customHeight="false" outlineLevel="0" collapsed="false">
      <c r="A1803" s="0" t="n">
        <v>1802</v>
      </c>
      <c r="B1803" s="14" t="n">
        <v>97245.040388235</v>
      </c>
      <c r="C1803" s="15" t="n">
        <v>0.129130944636992</v>
      </c>
      <c r="D1803" s="14" t="n">
        <f aca="false">Summary!$B$5-B1803</f>
        <v>2754.95961176499</v>
      </c>
      <c r="E1803" s="15" t="n">
        <f aca="false">B1803/Summary!$B$5-1</f>
        <v>-0.02754959611765</v>
      </c>
    </row>
    <row r="1804" customFormat="false" ht="15" hidden="false" customHeight="false" outlineLevel="0" collapsed="false">
      <c r="A1804" s="0" t="n">
        <v>1803</v>
      </c>
      <c r="B1804" s="14" t="n">
        <v>114091.605321989</v>
      </c>
      <c r="C1804" s="15" t="n">
        <v>0.108257002560869</v>
      </c>
      <c r="D1804" s="14" t="n">
        <f aca="false">Summary!$B$5-B1804</f>
        <v>-14091.6053219888</v>
      </c>
      <c r="E1804" s="15" t="n">
        <f aca="false">B1804/Summary!$B$5-1</f>
        <v>0.140916053219888</v>
      </c>
    </row>
    <row r="1805" customFormat="false" ht="15" hidden="false" customHeight="false" outlineLevel="0" collapsed="false">
      <c r="A1805" s="0" t="n">
        <v>1804</v>
      </c>
      <c r="B1805" s="14" t="n">
        <v>107467.911807429</v>
      </c>
      <c r="C1805" s="15" t="n">
        <v>0.0976001101178889</v>
      </c>
      <c r="D1805" s="14" t="n">
        <f aca="false">Summary!$B$5-B1805</f>
        <v>-7467.91180742859</v>
      </c>
      <c r="E1805" s="15" t="n">
        <f aca="false">B1805/Summary!$B$5-1</f>
        <v>0.0746791180742858</v>
      </c>
    </row>
    <row r="1806" customFormat="false" ht="15" hidden="false" customHeight="false" outlineLevel="0" collapsed="false">
      <c r="A1806" s="0" t="n">
        <v>1805</v>
      </c>
      <c r="B1806" s="14" t="n">
        <v>123249.234194828</v>
      </c>
      <c r="C1806" s="15" t="n">
        <v>0.0886211146375903</v>
      </c>
      <c r="D1806" s="14" t="n">
        <f aca="false">Summary!$B$5-B1806</f>
        <v>-23249.2341948283</v>
      </c>
      <c r="E1806" s="15" t="n">
        <f aca="false">B1806/Summary!$B$5-1</f>
        <v>0.232492341948283</v>
      </c>
    </row>
    <row r="1807" customFormat="false" ht="15" hidden="false" customHeight="false" outlineLevel="0" collapsed="false">
      <c r="A1807" s="0" t="n">
        <v>1806</v>
      </c>
      <c r="B1807" s="14" t="n">
        <v>105752.044341841</v>
      </c>
      <c r="C1807" s="15" t="n">
        <v>0.0563436979603343</v>
      </c>
      <c r="D1807" s="14" t="n">
        <f aca="false">Summary!$B$5-B1807</f>
        <v>-5752.0443418412</v>
      </c>
      <c r="E1807" s="15" t="n">
        <f aca="false">B1807/Summary!$B$5-1</f>
        <v>0.057520443418412</v>
      </c>
    </row>
    <row r="1808" customFormat="false" ht="15" hidden="false" customHeight="false" outlineLevel="0" collapsed="false">
      <c r="A1808" s="0" t="n">
        <v>1807</v>
      </c>
      <c r="B1808" s="14" t="n">
        <v>102576.254747649</v>
      </c>
      <c r="C1808" s="15" t="n">
        <v>0.112759327480055</v>
      </c>
      <c r="D1808" s="14" t="n">
        <f aca="false">Summary!$B$5-B1808</f>
        <v>-2576.2547476489</v>
      </c>
      <c r="E1808" s="15" t="n">
        <f aca="false">B1808/Summary!$B$5-1</f>
        <v>0.0257625474764889</v>
      </c>
    </row>
    <row r="1809" customFormat="false" ht="15" hidden="false" customHeight="false" outlineLevel="0" collapsed="false">
      <c r="A1809" s="0" t="n">
        <v>1808</v>
      </c>
      <c r="B1809" s="14" t="n">
        <v>107043.68858581</v>
      </c>
      <c r="C1809" s="15" t="n">
        <v>0.0531676848716542</v>
      </c>
      <c r="D1809" s="14" t="n">
        <f aca="false">Summary!$B$5-B1809</f>
        <v>-7043.68858580951</v>
      </c>
      <c r="E1809" s="15" t="n">
        <f aca="false">B1809/Summary!$B$5-1</f>
        <v>0.070436885858095</v>
      </c>
    </row>
    <row r="1810" customFormat="false" ht="15" hidden="false" customHeight="false" outlineLevel="0" collapsed="false">
      <c r="A1810" s="0" t="n">
        <v>1809</v>
      </c>
      <c r="B1810" s="14" t="n">
        <v>92801.0614648356</v>
      </c>
      <c r="C1810" s="15" t="n">
        <v>0.175035815904266</v>
      </c>
      <c r="D1810" s="14" t="n">
        <f aca="false">Summary!$B$5-B1810</f>
        <v>7198.93853516443</v>
      </c>
      <c r="E1810" s="15" t="n">
        <f aca="false">B1810/Summary!$B$5-1</f>
        <v>-0.0719893853516443</v>
      </c>
    </row>
    <row r="1811" customFormat="false" ht="15" hidden="false" customHeight="false" outlineLevel="0" collapsed="false">
      <c r="A1811" s="0" t="n">
        <v>1810</v>
      </c>
      <c r="B1811" s="14" t="n">
        <v>110262.531354631</v>
      </c>
      <c r="C1811" s="15" t="n">
        <v>0.0902979021267206</v>
      </c>
      <c r="D1811" s="14" t="n">
        <f aca="false">Summary!$B$5-B1811</f>
        <v>-10262.5313546309</v>
      </c>
      <c r="E1811" s="15" t="n">
        <f aca="false">B1811/Summary!$B$5-1</f>
        <v>0.102625313546309</v>
      </c>
    </row>
    <row r="1812" customFormat="false" ht="15" hidden="false" customHeight="false" outlineLevel="0" collapsed="false">
      <c r="A1812" s="0" t="n">
        <v>1811</v>
      </c>
      <c r="B1812" s="14" t="n">
        <v>103422.836221548</v>
      </c>
      <c r="C1812" s="15" t="n">
        <v>0.0978981369312679</v>
      </c>
      <c r="D1812" s="14" t="n">
        <f aca="false">Summary!$B$5-B1812</f>
        <v>-3422.83622154839</v>
      </c>
      <c r="E1812" s="15" t="n">
        <f aca="false">B1812/Summary!$B$5-1</f>
        <v>0.034228362215484</v>
      </c>
    </row>
    <row r="1813" customFormat="false" ht="15" hidden="false" customHeight="false" outlineLevel="0" collapsed="false">
      <c r="A1813" s="0" t="n">
        <v>1812</v>
      </c>
      <c r="B1813" s="14" t="n">
        <v>127865.829875146</v>
      </c>
      <c r="C1813" s="15" t="n">
        <v>0.0557383355750868</v>
      </c>
      <c r="D1813" s="14" t="n">
        <f aca="false">Summary!$B$5-B1813</f>
        <v>-27865.8298751459</v>
      </c>
      <c r="E1813" s="15" t="n">
        <f aca="false">B1813/Summary!$B$5-1</f>
        <v>0.278658298751459</v>
      </c>
    </row>
    <row r="1814" customFormat="false" ht="15" hidden="false" customHeight="false" outlineLevel="0" collapsed="false">
      <c r="A1814" s="0" t="n">
        <v>1813</v>
      </c>
      <c r="B1814" s="14" t="n">
        <v>104249.023515591</v>
      </c>
      <c r="C1814" s="15" t="n">
        <v>0.145106968447581</v>
      </c>
      <c r="D1814" s="14" t="n">
        <f aca="false">Summary!$B$5-B1814</f>
        <v>-4249.0235155909</v>
      </c>
      <c r="E1814" s="15" t="n">
        <f aca="false">B1814/Summary!$B$5-1</f>
        <v>0.0424902351559091</v>
      </c>
    </row>
    <row r="1815" customFormat="false" ht="15" hidden="false" customHeight="false" outlineLevel="0" collapsed="false">
      <c r="A1815" s="0" t="n">
        <v>1814</v>
      </c>
      <c r="B1815" s="14" t="n">
        <v>103779.971970086</v>
      </c>
      <c r="C1815" s="15" t="n">
        <v>0.102344287281406</v>
      </c>
      <c r="D1815" s="14" t="n">
        <f aca="false">Summary!$B$5-B1815</f>
        <v>-3779.97197008551</v>
      </c>
      <c r="E1815" s="15" t="n">
        <f aca="false">B1815/Summary!$B$5-1</f>
        <v>0.0377997197008551</v>
      </c>
    </row>
    <row r="1816" customFormat="false" ht="15" hidden="false" customHeight="false" outlineLevel="0" collapsed="false">
      <c r="A1816" s="0" t="n">
        <v>1815</v>
      </c>
      <c r="B1816" s="14" t="n">
        <v>128418.099810605</v>
      </c>
      <c r="C1816" s="15" t="n">
        <v>0.052500133208975</v>
      </c>
      <c r="D1816" s="14" t="n">
        <f aca="false">Summary!$B$5-B1816</f>
        <v>-28418.0998106049</v>
      </c>
      <c r="E1816" s="15" t="n">
        <f aca="false">B1816/Summary!$B$5-1</f>
        <v>0.284180998106049</v>
      </c>
    </row>
    <row r="1817" customFormat="false" ht="15" hidden="false" customHeight="false" outlineLevel="0" collapsed="false">
      <c r="A1817" s="0" t="n">
        <v>1816</v>
      </c>
      <c r="B1817" s="14" t="n">
        <v>109580.216236615</v>
      </c>
      <c r="C1817" s="15" t="n">
        <v>0.0552442969913587</v>
      </c>
      <c r="D1817" s="14" t="n">
        <f aca="false">Summary!$B$5-B1817</f>
        <v>-9580.21623661531</v>
      </c>
      <c r="E1817" s="15" t="n">
        <f aca="false">B1817/Summary!$B$5-1</f>
        <v>0.0958021623661531</v>
      </c>
    </row>
    <row r="1818" customFormat="false" ht="15" hidden="false" customHeight="false" outlineLevel="0" collapsed="false">
      <c r="A1818" s="0" t="n">
        <v>1817</v>
      </c>
      <c r="B1818" s="14" t="n">
        <v>117740.060017028</v>
      </c>
      <c r="C1818" s="15" t="n">
        <v>0.0878295098832147</v>
      </c>
      <c r="D1818" s="14" t="n">
        <f aca="false">Summary!$B$5-B1818</f>
        <v>-17740.060017028</v>
      </c>
      <c r="E1818" s="15" t="n">
        <f aca="false">B1818/Summary!$B$5-1</f>
        <v>0.17740060017028</v>
      </c>
    </row>
    <row r="1819" customFormat="false" ht="15" hidden="false" customHeight="false" outlineLevel="0" collapsed="false">
      <c r="A1819" s="0" t="n">
        <v>1818</v>
      </c>
      <c r="B1819" s="14" t="n">
        <v>123336.033974962</v>
      </c>
      <c r="C1819" s="15" t="n">
        <v>0.0691122881113168</v>
      </c>
      <c r="D1819" s="14" t="n">
        <f aca="false">Summary!$B$5-B1819</f>
        <v>-23336.0339749616</v>
      </c>
      <c r="E1819" s="15" t="n">
        <f aca="false">B1819/Summary!$B$5-1</f>
        <v>0.233360339749616</v>
      </c>
    </row>
    <row r="1820" customFormat="false" ht="15" hidden="false" customHeight="false" outlineLevel="0" collapsed="false">
      <c r="A1820" s="0" t="n">
        <v>1819</v>
      </c>
      <c r="B1820" s="14" t="n">
        <v>104381.813139017</v>
      </c>
      <c r="C1820" s="15" t="n">
        <v>0.108205694319523</v>
      </c>
      <c r="D1820" s="14" t="n">
        <f aca="false">Summary!$B$5-B1820</f>
        <v>-4381.81313901729</v>
      </c>
      <c r="E1820" s="15" t="n">
        <f aca="false">B1820/Summary!$B$5-1</f>
        <v>0.0438181313901729</v>
      </c>
    </row>
    <row r="1821" customFormat="false" ht="15" hidden="false" customHeight="false" outlineLevel="0" collapsed="false">
      <c r="A1821" s="0" t="n">
        <v>1820</v>
      </c>
      <c r="B1821" s="14" t="n">
        <v>107395.537650052</v>
      </c>
      <c r="C1821" s="15" t="n">
        <v>0.086078554302751</v>
      </c>
      <c r="D1821" s="14" t="n">
        <f aca="false">Summary!$B$5-B1821</f>
        <v>-7395.53765005191</v>
      </c>
      <c r="E1821" s="15" t="n">
        <f aca="false">B1821/Summary!$B$5-1</f>
        <v>0.073955376500519</v>
      </c>
    </row>
    <row r="1822" customFormat="false" ht="15" hidden="false" customHeight="false" outlineLevel="0" collapsed="false">
      <c r="A1822" s="0" t="n">
        <v>1821</v>
      </c>
      <c r="B1822" s="14" t="n">
        <v>94220.4348065569</v>
      </c>
      <c r="C1822" s="15" t="n">
        <v>0.127573824805827</v>
      </c>
      <c r="D1822" s="14" t="n">
        <f aca="false">Summary!$B$5-B1822</f>
        <v>5779.56519344315</v>
      </c>
      <c r="E1822" s="15" t="n">
        <f aca="false">B1822/Summary!$B$5-1</f>
        <v>-0.0577956519344315</v>
      </c>
    </row>
    <row r="1823" customFormat="false" ht="15" hidden="false" customHeight="false" outlineLevel="0" collapsed="false">
      <c r="A1823" s="0" t="n">
        <v>1822</v>
      </c>
      <c r="B1823" s="14" t="n">
        <v>105014.162483789</v>
      </c>
      <c r="C1823" s="15" t="n">
        <v>0.101603837592663</v>
      </c>
      <c r="D1823" s="14" t="n">
        <f aca="false">Summary!$B$5-B1823</f>
        <v>-5014.1624837893</v>
      </c>
      <c r="E1823" s="15" t="n">
        <f aca="false">B1823/Summary!$B$5-1</f>
        <v>0.050141624837893</v>
      </c>
    </row>
    <row r="1824" customFormat="false" ht="15" hidden="false" customHeight="false" outlineLevel="0" collapsed="false">
      <c r="A1824" s="0" t="n">
        <v>1823</v>
      </c>
      <c r="B1824" s="14" t="n">
        <v>113686.639332082</v>
      </c>
      <c r="C1824" s="15" t="n">
        <v>0.0707756645082627</v>
      </c>
      <c r="D1824" s="14" t="n">
        <f aca="false">Summary!$B$5-B1824</f>
        <v>-13686.6393320819</v>
      </c>
      <c r="E1824" s="15" t="n">
        <f aca="false">B1824/Summary!$B$5-1</f>
        <v>0.136866393320819</v>
      </c>
    </row>
    <row r="1825" customFormat="false" ht="15" hidden="false" customHeight="false" outlineLevel="0" collapsed="false">
      <c r="A1825" s="0" t="n">
        <v>1824</v>
      </c>
      <c r="B1825" s="14" t="n">
        <v>109710.662202821</v>
      </c>
      <c r="C1825" s="15" t="n">
        <v>0.0671149858329023</v>
      </c>
      <c r="D1825" s="14" t="n">
        <f aca="false">Summary!$B$5-B1825</f>
        <v>-9710.662202821</v>
      </c>
      <c r="E1825" s="15" t="n">
        <f aca="false">B1825/Summary!$B$5-1</f>
        <v>0.09710662202821</v>
      </c>
    </row>
    <row r="1826" customFormat="false" ht="15" hidden="false" customHeight="false" outlineLevel="0" collapsed="false">
      <c r="A1826" s="0" t="n">
        <v>1825</v>
      </c>
      <c r="B1826" s="14" t="n">
        <v>106416.153537526</v>
      </c>
      <c r="C1826" s="15" t="n">
        <v>0.0701492070104758</v>
      </c>
      <c r="D1826" s="14" t="n">
        <f aca="false">Summary!$B$5-B1826</f>
        <v>-6416.1535375259</v>
      </c>
      <c r="E1826" s="15" t="n">
        <f aca="false">B1826/Summary!$B$5-1</f>
        <v>0.0641615353752589</v>
      </c>
    </row>
    <row r="1827" customFormat="false" ht="15" hidden="false" customHeight="false" outlineLevel="0" collapsed="false">
      <c r="A1827" s="0" t="n">
        <v>1826</v>
      </c>
      <c r="B1827" s="14" t="n">
        <v>112356.993775718</v>
      </c>
      <c r="C1827" s="15" t="n">
        <v>0.0728532559335477</v>
      </c>
      <c r="D1827" s="14" t="n">
        <f aca="false">Summary!$B$5-B1827</f>
        <v>-12356.9937757178</v>
      </c>
      <c r="E1827" s="15" t="n">
        <f aca="false">B1827/Summary!$B$5-1</f>
        <v>0.123569937757178</v>
      </c>
    </row>
    <row r="1828" customFormat="false" ht="15" hidden="false" customHeight="false" outlineLevel="0" collapsed="false">
      <c r="A1828" s="0" t="n">
        <v>1827</v>
      </c>
      <c r="B1828" s="14" t="n">
        <v>113395.53129519</v>
      </c>
      <c r="C1828" s="15" t="n">
        <v>0.0700339814506029</v>
      </c>
      <c r="D1828" s="14" t="n">
        <f aca="false">Summary!$B$5-B1828</f>
        <v>-13395.5312951896</v>
      </c>
      <c r="E1828" s="15" t="n">
        <f aca="false">B1828/Summary!$B$5-1</f>
        <v>0.133955312951896</v>
      </c>
    </row>
    <row r="1829" customFormat="false" ht="15" hidden="false" customHeight="false" outlineLevel="0" collapsed="false">
      <c r="A1829" s="0" t="n">
        <v>1828</v>
      </c>
      <c r="B1829" s="14" t="n">
        <v>134242.257241134</v>
      </c>
      <c r="C1829" s="15" t="n">
        <v>0.0539441265539093</v>
      </c>
      <c r="D1829" s="14" t="n">
        <f aca="false">Summary!$B$5-B1829</f>
        <v>-34242.2572411335</v>
      </c>
      <c r="E1829" s="15" t="n">
        <f aca="false">B1829/Summary!$B$5-1</f>
        <v>0.342422572411335</v>
      </c>
    </row>
    <row r="1830" customFormat="false" ht="15" hidden="false" customHeight="false" outlineLevel="0" collapsed="false">
      <c r="A1830" s="0" t="n">
        <v>1829</v>
      </c>
      <c r="B1830" s="14" t="n">
        <v>107689.451235102</v>
      </c>
      <c r="C1830" s="15" t="n">
        <v>0.117801581463443</v>
      </c>
      <c r="D1830" s="14" t="n">
        <f aca="false">Summary!$B$5-B1830</f>
        <v>-7689.4512351017</v>
      </c>
      <c r="E1830" s="15" t="n">
        <f aca="false">B1830/Summary!$B$5-1</f>
        <v>0.076894512351017</v>
      </c>
    </row>
    <row r="1831" customFormat="false" ht="15" hidden="false" customHeight="false" outlineLevel="0" collapsed="false">
      <c r="A1831" s="0" t="n">
        <v>1830</v>
      </c>
      <c r="B1831" s="14" t="n">
        <v>95418.9763426446</v>
      </c>
      <c r="C1831" s="15" t="n">
        <v>0.0908639821745148</v>
      </c>
      <c r="D1831" s="14" t="n">
        <f aca="false">Summary!$B$5-B1831</f>
        <v>4581.02365735537</v>
      </c>
      <c r="E1831" s="15" t="n">
        <f aca="false">B1831/Summary!$B$5-1</f>
        <v>-0.0458102365735537</v>
      </c>
    </row>
    <row r="1832" customFormat="false" ht="15" hidden="false" customHeight="false" outlineLevel="0" collapsed="false">
      <c r="A1832" s="0" t="n">
        <v>1831</v>
      </c>
      <c r="B1832" s="14" t="n">
        <v>132696.195923294</v>
      </c>
      <c r="C1832" s="15" t="n">
        <v>0.0547617660381046</v>
      </c>
      <c r="D1832" s="14" t="n">
        <f aca="false">Summary!$B$5-B1832</f>
        <v>-32696.1959232939</v>
      </c>
      <c r="E1832" s="15" t="n">
        <f aca="false">B1832/Summary!$B$5-1</f>
        <v>0.326961959232939</v>
      </c>
    </row>
    <row r="1833" customFormat="false" ht="15" hidden="false" customHeight="false" outlineLevel="0" collapsed="false">
      <c r="A1833" s="0" t="n">
        <v>1832</v>
      </c>
      <c r="B1833" s="14" t="n">
        <v>113242.434215447</v>
      </c>
      <c r="C1833" s="15" t="n">
        <v>0.10480346014104</v>
      </c>
      <c r="D1833" s="14" t="n">
        <f aca="false">Summary!$B$5-B1833</f>
        <v>-13242.4342154468</v>
      </c>
      <c r="E1833" s="15" t="n">
        <f aca="false">B1833/Summary!$B$5-1</f>
        <v>0.132424342154468</v>
      </c>
    </row>
    <row r="1834" customFormat="false" ht="15" hidden="false" customHeight="false" outlineLevel="0" collapsed="false">
      <c r="A1834" s="0" t="n">
        <v>1833</v>
      </c>
      <c r="B1834" s="14" t="n">
        <v>114623.799880408</v>
      </c>
      <c r="C1834" s="15" t="n">
        <v>0.0644634354584142</v>
      </c>
      <c r="D1834" s="14" t="n">
        <f aca="false">Summary!$B$5-B1834</f>
        <v>-14623.7998804077</v>
      </c>
      <c r="E1834" s="15" t="n">
        <f aca="false">B1834/Summary!$B$5-1</f>
        <v>0.146237998804077</v>
      </c>
    </row>
    <row r="1835" customFormat="false" ht="15" hidden="false" customHeight="false" outlineLevel="0" collapsed="false">
      <c r="A1835" s="0" t="n">
        <v>1834</v>
      </c>
      <c r="B1835" s="14" t="n">
        <v>92905.110085337</v>
      </c>
      <c r="C1835" s="15" t="n">
        <v>0.135960433072317</v>
      </c>
      <c r="D1835" s="14" t="n">
        <f aca="false">Summary!$B$5-B1835</f>
        <v>7094.88991466296</v>
      </c>
      <c r="E1835" s="15" t="n">
        <f aca="false">B1835/Summary!$B$5-1</f>
        <v>-0.0709488991466296</v>
      </c>
    </row>
    <row r="1836" customFormat="false" ht="15" hidden="false" customHeight="false" outlineLevel="0" collapsed="false">
      <c r="A1836" s="0" t="n">
        <v>1835</v>
      </c>
      <c r="B1836" s="14" t="n">
        <v>93211.5639980074</v>
      </c>
      <c r="C1836" s="15" t="n">
        <v>0.100579456449851</v>
      </c>
      <c r="D1836" s="14" t="n">
        <f aca="false">Summary!$B$5-B1836</f>
        <v>6788.43600199258</v>
      </c>
      <c r="E1836" s="15" t="n">
        <f aca="false">B1836/Summary!$B$5-1</f>
        <v>-0.0678843600199258</v>
      </c>
    </row>
    <row r="1837" customFormat="false" ht="15" hidden="false" customHeight="false" outlineLevel="0" collapsed="false">
      <c r="A1837" s="0" t="n">
        <v>1836</v>
      </c>
      <c r="B1837" s="14" t="n">
        <v>127453.270858467</v>
      </c>
      <c r="C1837" s="15" t="n">
        <v>0.052273653335197</v>
      </c>
      <c r="D1837" s="14" t="n">
        <f aca="false">Summary!$B$5-B1837</f>
        <v>-27453.2708584665</v>
      </c>
      <c r="E1837" s="15" t="n">
        <f aca="false">B1837/Summary!$B$5-1</f>
        <v>0.274532708584665</v>
      </c>
    </row>
    <row r="1838" customFormat="false" ht="15" hidden="false" customHeight="false" outlineLevel="0" collapsed="false">
      <c r="A1838" s="0" t="n">
        <v>1837</v>
      </c>
      <c r="B1838" s="14" t="n">
        <v>120520.763160104</v>
      </c>
      <c r="C1838" s="15" t="n">
        <v>0.0860258769072855</v>
      </c>
      <c r="D1838" s="14" t="n">
        <f aca="false">Summary!$B$5-B1838</f>
        <v>-20520.7631601044</v>
      </c>
      <c r="E1838" s="15" t="n">
        <f aca="false">B1838/Summary!$B$5-1</f>
        <v>0.205207631601044</v>
      </c>
    </row>
    <row r="1839" customFormat="false" ht="15" hidden="false" customHeight="false" outlineLevel="0" collapsed="false">
      <c r="A1839" s="0" t="n">
        <v>1838</v>
      </c>
      <c r="B1839" s="14" t="n">
        <v>103126.840484829</v>
      </c>
      <c r="C1839" s="15" t="n">
        <v>0.0914428398649276</v>
      </c>
      <c r="D1839" s="14" t="n">
        <f aca="false">Summary!$B$5-B1839</f>
        <v>-3126.8404848291</v>
      </c>
      <c r="E1839" s="15" t="n">
        <f aca="false">B1839/Summary!$B$5-1</f>
        <v>0.031268404848291</v>
      </c>
    </row>
    <row r="1840" customFormat="false" ht="15" hidden="false" customHeight="false" outlineLevel="0" collapsed="false">
      <c r="A1840" s="0" t="n">
        <v>1839</v>
      </c>
      <c r="B1840" s="14" t="n">
        <v>97222.8397491997</v>
      </c>
      <c r="C1840" s="15" t="n">
        <v>0.104529510065077</v>
      </c>
      <c r="D1840" s="14" t="n">
        <f aca="false">Summary!$B$5-B1840</f>
        <v>2777.16025080034</v>
      </c>
      <c r="E1840" s="15" t="n">
        <f aca="false">B1840/Summary!$B$5-1</f>
        <v>-0.0277716025080034</v>
      </c>
    </row>
    <row r="1841" customFormat="false" ht="15" hidden="false" customHeight="false" outlineLevel="0" collapsed="false">
      <c r="A1841" s="0" t="n">
        <v>1840</v>
      </c>
      <c r="B1841" s="14" t="n">
        <v>102457.769464629</v>
      </c>
      <c r="C1841" s="15" t="n">
        <v>0.0905637546272805</v>
      </c>
      <c r="D1841" s="14" t="n">
        <f aca="false">Summary!$B$5-B1841</f>
        <v>-2457.76946462919</v>
      </c>
      <c r="E1841" s="15" t="n">
        <f aca="false">B1841/Summary!$B$5-1</f>
        <v>0.0245776946462919</v>
      </c>
    </row>
    <row r="1842" customFormat="false" ht="15" hidden="false" customHeight="false" outlineLevel="0" collapsed="false">
      <c r="A1842" s="0" t="n">
        <v>1841</v>
      </c>
      <c r="B1842" s="14" t="n">
        <v>129307.562982376</v>
      </c>
      <c r="C1842" s="15" t="n">
        <v>0.0775435690083007</v>
      </c>
      <c r="D1842" s="14" t="n">
        <f aca="false">Summary!$B$5-B1842</f>
        <v>-29307.562982376</v>
      </c>
      <c r="E1842" s="15" t="n">
        <f aca="false">B1842/Summary!$B$5-1</f>
        <v>0.29307562982376</v>
      </c>
    </row>
    <row r="1843" customFormat="false" ht="15" hidden="false" customHeight="false" outlineLevel="0" collapsed="false">
      <c r="A1843" s="0" t="n">
        <v>1842</v>
      </c>
      <c r="B1843" s="14" t="n">
        <v>96997.3215302888</v>
      </c>
      <c r="C1843" s="15" t="n">
        <v>0.132269234052914</v>
      </c>
      <c r="D1843" s="14" t="n">
        <f aca="false">Summary!$B$5-B1843</f>
        <v>3002.67846971122</v>
      </c>
      <c r="E1843" s="15" t="n">
        <f aca="false">B1843/Summary!$B$5-1</f>
        <v>-0.0300267846971122</v>
      </c>
    </row>
    <row r="1844" customFormat="false" ht="15" hidden="false" customHeight="false" outlineLevel="0" collapsed="false">
      <c r="A1844" s="0" t="n">
        <v>1843</v>
      </c>
      <c r="B1844" s="14" t="n">
        <v>122327.21375602</v>
      </c>
      <c r="C1844" s="15" t="n">
        <v>0.0803884992773136</v>
      </c>
      <c r="D1844" s="14" t="n">
        <f aca="false">Summary!$B$5-B1844</f>
        <v>-22327.2137560197</v>
      </c>
      <c r="E1844" s="15" t="n">
        <f aca="false">B1844/Summary!$B$5-1</f>
        <v>0.223272137560197</v>
      </c>
    </row>
    <row r="1845" customFormat="false" ht="15" hidden="false" customHeight="false" outlineLevel="0" collapsed="false">
      <c r="A1845" s="0" t="n">
        <v>1844</v>
      </c>
      <c r="B1845" s="14" t="n">
        <v>96909.0676070246</v>
      </c>
      <c r="C1845" s="15" t="n">
        <v>0.123880304713504</v>
      </c>
      <c r="D1845" s="14" t="n">
        <f aca="false">Summary!$B$5-B1845</f>
        <v>3090.93239297543</v>
      </c>
      <c r="E1845" s="15" t="n">
        <f aca="false">B1845/Summary!$B$5-1</f>
        <v>-0.0309093239297543</v>
      </c>
    </row>
    <row r="1846" customFormat="false" ht="15" hidden="false" customHeight="false" outlineLevel="0" collapsed="false">
      <c r="A1846" s="0" t="n">
        <v>1845</v>
      </c>
      <c r="B1846" s="14" t="n">
        <v>117671.993411535</v>
      </c>
      <c r="C1846" s="15" t="n">
        <v>0.0765110282246054</v>
      </c>
      <c r="D1846" s="14" t="n">
        <f aca="false">Summary!$B$5-B1846</f>
        <v>-17671.9934115346</v>
      </c>
      <c r="E1846" s="15" t="n">
        <f aca="false">B1846/Summary!$B$5-1</f>
        <v>0.176719934115346</v>
      </c>
    </row>
    <row r="1847" customFormat="false" ht="15" hidden="false" customHeight="false" outlineLevel="0" collapsed="false">
      <c r="A1847" s="0" t="n">
        <v>1846</v>
      </c>
      <c r="B1847" s="14" t="n">
        <v>107321.638735934</v>
      </c>
      <c r="C1847" s="15" t="n">
        <v>0.102772967999939</v>
      </c>
      <c r="D1847" s="14" t="n">
        <f aca="false">Summary!$B$5-B1847</f>
        <v>-7321.6387359341</v>
      </c>
      <c r="E1847" s="15" t="n">
        <f aca="false">B1847/Summary!$B$5-1</f>
        <v>0.073216387359341</v>
      </c>
    </row>
    <row r="1848" customFormat="false" ht="15" hidden="false" customHeight="false" outlineLevel="0" collapsed="false">
      <c r="A1848" s="0" t="n">
        <v>1847</v>
      </c>
      <c r="B1848" s="14" t="n">
        <v>106590.178423008</v>
      </c>
      <c r="C1848" s="15" t="n">
        <v>0.12064915427633</v>
      </c>
      <c r="D1848" s="14" t="n">
        <f aca="false">Summary!$B$5-B1848</f>
        <v>-6590.1784230083</v>
      </c>
      <c r="E1848" s="15" t="n">
        <f aca="false">B1848/Summary!$B$5-1</f>
        <v>0.0659017842300831</v>
      </c>
    </row>
    <row r="1849" customFormat="false" ht="15" hidden="false" customHeight="false" outlineLevel="0" collapsed="false">
      <c r="A1849" s="0" t="n">
        <v>1848</v>
      </c>
      <c r="B1849" s="14" t="n">
        <v>100379.717061074</v>
      </c>
      <c r="C1849" s="15" t="n">
        <v>0.16724529079384</v>
      </c>
      <c r="D1849" s="14" t="n">
        <f aca="false">Summary!$B$5-B1849</f>
        <v>-379.717061073607</v>
      </c>
      <c r="E1849" s="15" t="n">
        <f aca="false">B1849/Summary!$B$5-1</f>
        <v>0.00379717061073603</v>
      </c>
    </row>
    <row r="1850" customFormat="false" ht="15" hidden="false" customHeight="false" outlineLevel="0" collapsed="false">
      <c r="A1850" s="0" t="n">
        <v>1849</v>
      </c>
      <c r="B1850" s="14" t="n">
        <v>95622.4309374405</v>
      </c>
      <c r="C1850" s="15" t="n">
        <v>0.117122858602123</v>
      </c>
      <c r="D1850" s="14" t="n">
        <f aca="false">Summary!$B$5-B1850</f>
        <v>4377.56906255949</v>
      </c>
      <c r="E1850" s="15" t="n">
        <f aca="false">B1850/Summary!$B$5-1</f>
        <v>-0.0437756906255948</v>
      </c>
    </row>
    <row r="1851" customFormat="false" ht="15" hidden="false" customHeight="false" outlineLevel="0" collapsed="false">
      <c r="A1851" s="0" t="n">
        <v>1850</v>
      </c>
      <c r="B1851" s="14" t="n">
        <v>106524.171914717</v>
      </c>
      <c r="C1851" s="15" t="n">
        <v>0.099281820979799</v>
      </c>
      <c r="D1851" s="14" t="n">
        <f aca="false">Summary!$B$5-B1851</f>
        <v>-6524.17191471691</v>
      </c>
      <c r="E1851" s="15" t="n">
        <f aca="false">B1851/Summary!$B$5-1</f>
        <v>0.065241719147169</v>
      </c>
    </row>
    <row r="1852" customFormat="false" ht="15" hidden="false" customHeight="false" outlineLevel="0" collapsed="false">
      <c r="A1852" s="0" t="n">
        <v>1851</v>
      </c>
      <c r="B1852" s="14" t="n">
        <v>98139.311258787</v>
      </c>
      <c r="C1852" s="15" t="n">
        <v>0.0876627477062151</v>
      </c>
      <c r="D1852" s="14" t="n">
        <f aca="false">Summary!$B$5-B1852</f>
        <v>1860.68874121299</v>
      </c>
      <c r="E1852" s="15" t="n">
        <f aca="false">B1852/Summary!$B$5-1</f>
        <v>-0.0186068874121299</v>
      </c>
    </row>
    <row r="1853" customFormat="false" ht="15" hidden="false" customHeight="false" outlineLevel="0" collapsed="false">
      <c r="A1853" s="0" t="n">
        <v>1852</v>
      </c>
      <c r="B1853" s="14" t="n">
        <v>102750.325048401</v>
      </c>
      <c r="C1853" s="15" t="n">
        <v>0.131334390686601</v>
      </c>
      <c r="D1853" s="14" t="n">
        <f aca="false">Summary!$B$5-B1853</f>
        <v>-2750.3250484013</v>
      </c>
      <c r="E1853" s="15" t="n">
        <f aca="false">B1853/Summary!$B$5-1</f>
        <v>0.0275032504840129</v>
      </c>
    </row>
    <row r="1854" customFormat="false" ht="15" hidden="false" customHeight="false" outlineLevel="0" collapsed="false">
      <c r="A1854" s="0" t="n">
        <v>1853</v>
      </c>
      <c r="B1854" s="14" t="n">
        <v>113665.859200792</v>
      </c>
      <c r="C1854" s="15" t="n">
        <v>0.0735502943087399</v>
      </c>
      <c r="D1854" s="14" t="n">
        <f aca="false">Summary!$B$5-B1854</f>
        <v>-13665.8592007921</v>
      </c>
      <c r="E1854" s="15" t="n">
        <f aca="false">B1854/Summary!$B$5-1</f>
        <v>0.136658592007921</v>
      </c>
    </row>
    <row r="1855" customFormat="false" ht="15" hidden="false" customHeight="false" outlineLevel="0" collapsed="false">
      <c r="A1855" s="0" t="n">
        <v>1854</v>
      </c>
      <c r="B1855" s="14" t="n">
        <v>106759.581494115</v>
      </c>
      <c r="C1855" s="15" t="n">
        <v>0.098424230208004</v>
      </c>
      <c r="D1855" s="14" t="n">
        <f aca="false">Summary!$B$5-B1855</f>
        <v>-6759.5814941154</v>
      </c>
      <c r="E1855" s="15" t="n">
        <f aca="false">B1855/Summary!$B$5-1</f>
        <v>0.067595814941154</v>
      </c>
    </row>
    <row r="1856" customFormat="false" ht="15" hidden="false" customHeight="false" outlineLevel="0" collapsed="false">
      <c r="A1856" s="0" t="n">
        <v>1855</v>
      </c>
      <c r="B1856" s="14" t="n">
        <v>109331.233161176</v>
      </c>
      <c r="C1856" s="15" t="n">
        <v>0.0552420533263035</v>
      </c>
      <c r="D1856" s="14" t="n">
        <f aca="false">Summary!$B$5-B1856</f>
        <v>-9331.23316117551</v>
      </c>
      <c r="E1856" s="15" t="n">
        <f aca="false">B1856/Summary!$B$5-1</f>
        <v>0.093312331611755</v>
      </c>
    </row>
    <row r="1857" customFormat="false" ht="15" hidden="false" customHeight="false" outlineLevel="0" collapsed="false">
      <c r="A1857" s="0" t="n">
        <v>1856</v>
      </c>
      <c r="B1857" s="14" t="n">
        <v>106767.64814945</v>
      </c>
      <c r="C1857" s="15" t="n">
        <v>0.12498708558586</v>
      </c>
      <c r="D1857" s="14" t="n">
        <f aca="false">Summary!$B$5-B1857</f>
        <v>-6767.6481494496</v>
      </c>
      <c r="E1857" s="15" t="n">
        <f aca="false">B1857/Summary!$B$5-1</f>
        <v>0.0676764814944959</v>
      </c>
    </row>
    <row r="1858" customFormat="false" ht="15" hidden="false" customHeight="false" outlineLevel="0" collapsed="false">
      <c r="A1858" s="0" t="n">
        <v>1857</v>
      </c>
      <c r="B1858" s="14" t="n">
        <v>117092.60460474</v>
      </c>
      <c r="C1858" s="15" t="n">
        <v>0.0689416843764492</v>
      </c>
      <c r="D1858" s="14" t="n">
        <f aca="false">Summary!$B$5-B1858</f>
        <v>-17092.6046047399</v>
      </c>
      <c r="E1858" s="15" t="n">
        <f aca="false">B1858/Summary!$B$5-1</f>
        <v>0.170926046047399</v>
      </c>
    </row>
    <row r="1859" customFormat="false" ht="15" hidden="false" customHeight="false" outlineLevel="0" collapsed="false">
      <c r="A1859" s="0" t="n">
        <v>1858</v>
      </c>
      <c r="B1859" s="14" t="n">
        <v>108601.488755087</v>
      </c>
      <c r="C1859" s="15" t="n">
        <v>0.0712847399142722</v>
      </c>
      <c r="D1859" s="14" t="n">
        <f aca="false">Summary!$B$5-B1859</f>
        <v>-8601.4887550866</v>
      </c>
      <c r="E1859" s="15" t="n">
        <f aca="false">B1859/Summary!$B$5-1</f>
        <v>0.086014887550866</v>
      </c>
    </row>
    <row r="1860" customFormat="false" ht="15" hidden="false" customHeight="false" outlineLevel="0" collapsed="false">
      <c r="A1860" s="0" t="n">
        <v>1859</v>
      </c>
      <c r="B1860" s="14" t="n">
        <v>122103.204824104</v>
      </c>
      <c r="C1860" s="15" t="n">
        <v>0.0718078925294554</v>
      </c>
      <c r="D1860" s="14" t="n">
        <f aca="false">Summary!$B$5-B1860</f>
        <v>-22103.2048241035</v>
      </c>
      <c r="E1860" s="15" t="n">
        <f aca="false">B1860/Summary!$B$5-1</f>
        <v>0.221032048241035</v>
      </c>
    </row>
    <row r="1861" customFormat="false" ht="15" hidden="false" customHeight="false" outlineLevel="0" collapsed="false">
      <c r="A1861" s="0" t="n">
        <v>1860</v>
      </c>
      <c r="B1861" s="14" t="n">
        <v>113509.173808736</v>
      </c>
      <c r="C1861" s="15" t="n">
        <v>0.052215400183701</v>
      </c>
      <c r="D1861" s="14" t="n">
        <f aca="false">Summary!$B$5-B1861</f>
        <v>-13509.1738087355</v>
      </c>
      <c r="E1861" s="15" t="n">
        <f aca="false">B1861/Summary!$B$5-1</f>
        <v>0.135091738087355</v>
      </c>
    </row>
    <row r="1862" customFormat="false" ht="15" hidden="false" customHeight="false" outlineLevel="0" collapsed="false">
      <c r="A1862" s="0" t="n">
        <v>1861</v>
      </c>
      <c r="B1862" s="14" t="n">
        <v>130240.913699627</v>
      </c>
      <c r="C1862" s="15" t="n">
        <v>0.0461232986731693</v>
      </c>
      <c r="D1862" s="14" t="n">
        <f aca="false">Summary!$B$5-B1862</f>
        <v>-30240.913699627</v>
      </c>
      <c r="E1862" s="15" t="n">
        <f aca="false">B1862/Summary!$B$5-1</f>
        <v>0.30240913699627</v>
      </c>
    </row>
    <row r="1863" customFormat="false" ht="15" hidden="false" customHeight="false" outlineLevel="0" collapsed="false">
      <c r="A1863" s="0" t="n">
        <v>1862</v>
      </c>
      <c r="B1863" s="14" t="n">
        <v>133289.513495329</v>
      </c>
      <c r="C1863" s="15" t="n">
        <v>0.077573579862951</v>
      </c>
      <c r="D1863" s="14" t="n">
        <f aca="false">Summary!$B$5-B1863</f>
        <v>-33289.513495329</v>
      </c>
      <c r="E1863" s="15" t="n">
        <f aca="false">B1863/Summary!$B$5-1</f>
        <v>0.33289513495329</v>
      </c>
    </row>
    <row r="1864" customFormat="false" ht="15" hidden="false" customHeight="false" outlineLevel="0" collapsed="false">
      <c r="A1864" s="0" t="n">
        <v>1863</v>
      </c>
      <c r="B1864" s="14" t="n">
        <v>98404.5038438271</v>
      </c>
      <c r="C1864" s="15" t="n">
        <v>0.170464900222127</v>
      </c>
      <c r="D1864" s="14" t="n">
        <f aca="false">Summary!$B$5-B1864</f>
        <v>1595.49615617294</v>
      </c>
      <c r="E1864" s="15" t="n">
        <f aca="false">B1864/Summary!$B$5-1</f>
        <v>-0.0159549615617295</v>
      </c>
    </row>
    <row r="1865" customFormat="false" ht="15" hidden="false" customHeight="false" outlineLevel="0" collapsed="false">
      <c r="A1865" s="0" t="n">
        <v>1864</v>
      </c>
      <c r="B1865" s="14" t="n">
        <v>110643.030635291</v>
      </c>
      <c r="C1865" s="15" t="n">
        <v>0.0914890901237841</v>
      </c>
      <c r="D1865" s="14" t="n">
        <f aca="false">Summary!$B$5-B1865</f>
        <v>-10643.0306352913</v>
      </c>
      <c r="E1865" s="15" t="n">
        <f aca="false">B1865/Summary!$B$5-1</f>
        <v>0.106430306352913</v>
      </c>
    </row>
    <row r="1866" customFormat="false" ht="15" hidden="false" customHeight="false" outlineLevel="0" collapsed="false">
      <c r="A1866" s="0" t="n">
        <v>1865</v>
      </c>
      <c r="B1866" s="14" t="n">
        <v>103379.717374782</v>
      </c>
      <c r="C1866" s="15" t="n">
        <v>0.0589304713875465</v>
      </c>
      <c r="D1866" s="14" t="n">
        <f aca="false">Summary!$B$5-B1866</f>
        <v>-3379.71737478219</v>
      </c>
      <c r="E1866" s="15" t="n">
        <f aca="false">B1866/Summary!$B$5-1</f>
        <v>0.033797173747822</v>
      </c>
    </row>
    <row r="1867" customFormat="false" ht="15" hidden="false" customHeight="false" outlineLevel="0" collapsed="false">
      <c r="A1867" s="0" t="n">
        <v>1866</v>
      </c>
      <c r="B1867" s="14" t="n">
        <v>107731.76738916</v>
      </c>
      <c r="C1867" s="15" t="n">
        <v>0.0744485020862156</v>
      </c>
      <c r="D1867" s="14" t="n">
        <f aca="false">Summary!$B$5-B1867</f>
        <v>-7731.7673891599</v>
      </c>
      <c r="E1867" s="15" t="n">
        <f aca="false">B1867/Summary!$B$5-1</f>
        <v>0.0773176738915991</v>
      </c>
    </row>
    <row r="1868" customFormat="false" ht="15" hidden="false" customHeight="false" outlineLevel="0" collapsed="false">
      <c r="A1868" s="0" t="n">
        <v>1867</v>
      </c>
      <c r="B1868" s="14" t="n">
        <v>117094.864287073</v>
      </c>
      <c r="C1868" s="15" t="n">
        <v>0.125078584608114</v>
      </c>
      <c r="D1868" s="14" t="n">
        <f aca="false">Summary!$B$5-B1868</f>
        <v>-17094.8642870733</v>
      </c>
      <c r="E1868" s="15" t="n">
        <f aca="false">B1868/Summary!$B$5-1</f>
        <v>0.170948642870733</v>
      </c>
    </row>
    <row r="1869" customFormat="false" ht="15" hidden="false" customHeight="false" outlineLevel="0" collapsed="false">
      <c r="A1869" s="0" t="n">
        <v>1868</v>
      </c>
      <c r="B1869" s="14" t="n">
        <v>117382.463112832</v>
      </c>
      <c r="C1869" s="15" t="n">
        <v>0.0996561122337855</v>
      </c>
      <c r="D1869" s="14" t="n">
        <f aca="false">Summary!$B$5-B1869</f>
        <v>-17382.4631128324</v>
      </c>
      <c r="E1869" s="15" t="n">
        <f aca="false">B1869/Summary!$B$5-1</f>
        <v>0.173824631128324</v>
      </c>
    </row>
    <row r="1870" customFormat="false" ht="15" hidden="false" customHeight="false" outlineLevel="0" collapsed="false">
      <c r="A1870" s="0" t="n">
        <v>1869</v>
      </c>
      <c r="B1870" s="14" t="n">
        <v>108839.125330325</v>
      </c>
      <c r="C1870" s="15" t="n">
        <v>0.0585448274806076</v>
      </c>
      <c r="D1870" s="14" t="n">
        <f aca="false">Summary!$B$5-B1870</f>
        <v>-8839.1253303251</v>
      </c>
      <c r="E1870" s="15" t="n">
        <f aca="false">B1870/Summary!$B$5-1</f>
        <v>0.0883912533032509</v>
      </c>
    </row>
    <row r="1871" customFormat="false" ht="15" hidden="false" customHeight="false" outlineLevel="0" collapsed="false">
      <c r="A1871" s="0" t="n">
        <v>1870</v>
      </c>
      <c r="B1871" s="14" t="n">
        <v>98100.0272724502</v>
      </c>
      <c r="C1871" s="15" t="n">
        <v>0.0868125217786183</v>
      </c>
      <c r="D1871" s="14" t="n">
        <f aca="false">Summary!$B$5-B1871</f>
        <v>1899.9727275498</v>
      </c>
      <c r="E1871" s="15" t="n">
        <f aca="false">B1871/Summary!$B$5-1</f>
        <v>-0.018999727275498</v>
      </c>
    </row>
    <row r="1872" customFormat="false" ht="15" hidden="false" customHeight="false" outlineLevel="0" collapsed="false">
      <c r="A1872" s="0" t="n">
        <v>1871</v>
      </c>
      <c r="B1872" s="14" t="n">
        <v>98927.7062423988</v>
      </c>
      <c r="C1872" s="15" t="n">
        <v>0.110401749814098</v>
      </c>
      <c r="D1872" s="14" t="n">
        <f aca="false">Summary!$B$5-B1872</f>
        <v>1072.29375760118</v>
      </c>
      <c r="E1872" s="15" t="n">
        <f aca="false">B1872/Summary!$B$5-1</f>
        <v>-0.0107229375760117</v>
      </c>
    </row>
    <row r="1873" customFormat="false" ht="15" hidden="false" customHeight="false" outlineLevel="0" collapsed="false">
      <c r="A1873" s="0" t="n">
        <v>1872</v>
      </c>
      <c r="B1873" s="14" t="n">
        <v>81224.1677008466</v>
      </c>
      <c r="C1873" s="15" t="n">
        <v>0.216475523959342</v>
      </c>
      <c r="D1873" s="14" t="n">
        <f aca="false">Summary!$B$5-B1873</f>
        <v>18775.8322991534</v>
      </c>
      <c r="E1873" s="15" t="n">
        <f aca="false">B1873/Summary!$B$5-1</f>
        <v>-0.187758322991534</v>
      </c>
    </row>
    <row r="1874" customFormat="false" ht="15" hidden="false" customHeight="false" outlineLevel="0" collapsed="false">
      <c r="A1874" s="0" t="n">
        <v>1873</v>
      </c>
      <c r="B1874" s="14" t="n">
        <v>124145.972681132</v>
      </c>
      <c r="C1874" s="15" t="n">
        <v>0.0511671440410944</v>
      </c>
      <c r="D1874" s="14" t="n">
        <f aca="false">Summary!$B$5-B1874</f>
        <v>-24145.9726811323</v>
      </c>
      <c r="E1874" s="15" t="n">
        <f aca="false">B1874/Summary!$B$5-1</f>
        <v>0.241459726811323</v>
      </c>
    </row>
    <row r="1875" customFormat="false" ht="15" hidden="false" customHeight="false" outlineLevel="0" collapsed="false">
      <c r="A1875" s="0" t="n">
        <v>1874</v>
      </c>
      <c r="B1875" s="14" t="n">
        <v>110850.185590041</v>
      </c>
      <c r="C1875" s="15" t="n">
        <v>0.125804803334279</v>
      </c>
      <c r="D1875" s="14" t="n">
        <f aca="false">Summary!$B$5-B1875</f>
        <v>-10850.185590041</v>
      </c>
      <c r="E1875" s="15" t="n">
        <f aca="false">B1875/Summary!$B$5-1</f>
        <v>0.10850185590041</v>
      </c>
    </row>
    <row r="1876" customFormat="false" ht="15" hidden="false" customHeight="false" outlineLevel="0" collapsed="false">
      <c r="A1876" s="0" t="n">
        <v>1875</v>
      </c>
      <c r="B1876" s="14" t="n">
        <v>131831.048541346</v>
      </c>
      <c r="C1876" s="15" t="n">
        <v>0.0371471118895034</v>
      </c>
      <c r="D1876" s="14" t="n">
        <f aca="false">Summary!$B$5-B1876</f>
        <v>-31831.0485413463</v>
      </c>
      <c r="E1876" s="15" t="n">
        <f aca="false">B1876/Summary!$B$5-1</f>
        <v>0.318310485413463</v>
      </c>
    </row>
    <row r="1877" customFormat="false" ht="15" hidden="false" customHeight="false" outlineLevel="0" collapsed="false">
      <c r="A1877" s="0" t="n">
        <v>1876</v>
      </c>
      <c r="B1877" s="14" t="n">
        <v>102981.266336643</v>
      </c>
      <c r="C1877" s="15" t="n">
        <v>0.0824668712130884</v>
      </c>
      <c r="D1877" s="14" t="n">
        <f aca="false">Summary!$B$5-B1877</f>
        <v>-2981.2663366434</v>
      </c>
      <c r="E1877" s="15" t="n">
        <f aca="false">B1877/Summary!$B$5-1</f>
        <v>0.029812663366434</v>
      </c>
    </row>
    <row r="1878" customFormat="false" ht="15" hidden="false" customHeight="false" outlineLevel="0" collapsed="false">
      <c r="A1878" s="0" t="n">
        <v>1877</v>
      </c>
      <c r="B1878" s="14" t="n">
        <v>133323.164513108</v>
      </c>
      <c r="C1878" s="15" t="n">
        <v>0.0608451077718679</v>
      </c>
      <c r="D1878" s="14" t="n">
        <f aca="false">Summary!$B$5-B1878</f>
        <v>-33323.1645131082</v>
      </c>
      <c r="E1878" s="15" t="n">
        <f aca="false">B1878/Summary!$B$5-1</f>
        <v>0.333231645131082</v>
      </c>
    </row>
    <row r="1879" customFormat="false" ht="15" hidden="false" customHeight="false" outlineLevel="0" collapsed="false">
      <c r="A1879" s="0" t="n">
        <v>1878</v>
      </c>
      <c r="B1879" s="14" t="n">
        <v>95914.6729445535</v>
      </c>
      <c r="C1879" s="15" t="n">
        <v>0.155156410236731</v>
      </c>
      <c r="D1879" s="14" t="n">
        <f aca="false">Summary!$B$5-B1879</f>
        <v>4085.32705544651</v>
      </c>
      <c r="E1879" s="15" t="n">
        <f aca="false">B1879/Summary!$B$5-1</f>
        <v>-0.0408532705544651</v>
      </c>
    </row>
    <row r="1880" customFormat="false" ht="15" hidden="false" customHeight="false" outlineLevel="0" collapsed="false">
      <c r="A1880" s="0" t="n">
        <v>1879</v>
      </c>
      <c r="B1880" s="14" t="n">
        <v>105081.814619403</v>
      </c>
      <c r="C1880" s="15" t="n">
        <v>0.139788676643728</v>
      </c>
      <c r="D1880" s="14" t="n">
        <f aca="false">Summary!$B$5-B1880</f>
        <v>-5081.8146194033</v>
      </c>
      <c r="E1880" s="15" t="n">
        <f aca="false">B1880/Summary!$B$5-1</f>
        <v>0.0508181461940331</v>
      </c>
    </row>
    <row r="1881" customFormat="false" ht="15" hidden="false" customHeight="false" outlineLevel="0" collapsed="false">
      <c r="A1881" s="0" t="n">
        <v>1880</v>
      </c>
      <c r="B1881" s="14" t="n">
        <v>120470.472456721</v>
      </c>
      <c r="C1881" s="15" t="n">
        <v>0.081622091847071</v>
      </c>
      <c r="D1881" s="14" t="n">
        <f aca="false">Summary!$B$5-B1881</f>
        <v>-20470.4724567213</v>
      </c>
      <c r="E1881" s="15" t="n">
        <f aca="false">B1881/Summary!$B$5-1</f>
        <v>0.204704724567213</v>
      </c>
    </row>
    <row r="1882" customFormat="false" ht="15" hidden="false" customHeight="false" outlineLevel="0" collapsed="false">
      <c r="A1882" s="0" t="n">
        <v>1881</v>
      </c>
      <c r="B1882" s="14" t="n">
        <v>102083.58373141</v>
      </c>
      <c r="C1882" s="15" t="n">
        <v>0.123742967104072</v>
      </c>
      <c r="D1882" s="14" t="n">
        <f aca="false">Summary!$B$5-B1882</f>
        <v>-2083.5837314095</v>
      </c>
      <c r="E1882" s="15" t="n">
        <f aca="false">B1882/Summary!$B$5-1</f>
        <v>0.0208358373140949</v>
      </c>
    </row>
    <row r="1883" customFormat="false" ht="15" hidden="false" customHeight="false" outlineLevel="0" collapsed="false">
      <c r="A1883" s="0" t="n">
        <v>1882</v>
      </c>
      <c r="B1883" s="14" t="n">
        <v>116850.944552655</v>
      </c>
      <c r="C1883" s="15" t="n">
        <v>0.070838394657701</v>
      </c>
      <c r="D1883" s="14" t="n">
        <f aca="false">Summary!$B$5-B1883</f>
        <v>-16850.9445526554</v>
      </c>
      <c r="E1883" s="15" t="n">
        <f aca="false">B1883/Summary!$B$5-1</f>
        <v>0.168509445526554</v>
      </c>
    </row>
    <row r="1884" customFormat="false" ht="15" hidden="false" customHeight="false" outlineLevel="0" collapsed="false">
      <c r="A1884" s="0" t="n">
        <v>1883</v>
      </c>
      <c r="B1884" s="14" t="n">
        <v>100704.139575001</v>
      </c>
      <c r="C1884" s="15" t="n">
        <v>0.101460985943245</v>
      </c>
      <c r="D1884" s="14" t="n">
        <f aca="false">Summary!$B$5-B1884</f>
        <v>-704.139575001304</v>
      </c>
      <c r="E1884" s="15" t="n">
        <f aca="false">B1884/Summary!$B$5-1</f>
        <v>0.00704139575001306</v>
      </c>
    </row>
    <row r="1885" customFormat="false" ht="15" hidden="false" customHeight="false" outlineLevel="0" collapsed="false">
      <c r="A1885" s="0" t="n">
        <v>1884</v>
      </c>
      <c r="B1885" s="14" t="n">
        <v>139431.096934696</v>
      </c>
      <c r="C1885" s="15" t="n">
        <v>0.0466436124897812</v>
      </c>
      <c r="D1885" s="14" t="n">
        <f aca="false">Summary!$B$5-B1885</f>
        <v>-39431.0969346956</v>
      </c>
      <c r="E1885" s="15" t="n">
        <f aca="false">B1885/Summary!$B$5-1</f>
        <v>0.394310969346956</v>
      </c>
    </row>
    <row r="1886" customFormat="false" ht="15" hidden="false" customHeight="false" outlineLevel="0" collapsed="false">
      <c r="A1886" s="0" t="n">
        <v>1885</v>
      </c>
      <c r="B1886" s="14" t="n">
        <v>109786.986251153</v>
      </c>
      <c r="C1886" s="15" t="n">
        <v>0.0750896419766596</v>
      </c>
      <c r="D1886" s="14" t="n">
        <f aca="false">Summary!$B$5-B1886</f>
        <v>-9786.9862511533</v>
      </c>
      <c r="E1886" s="15" t="n">
        <f aca="false">B1886/Summary!$B$5-1</f>
        <v>0.0978698625115331</v>
      </c>
    </row>
    <row r="1887" customFormat="false" ht="15" hidden="false" customHeight="false" outlineLevel="0" collapsed="false">
      <c r="A1887" s="0" t="n">
        <v>1886</v>
      </c>
      <c r="B1887" s="14" t="n">
        <v>113322.519069621</v>
      </c>
      <c r="C1887" s="15" t="n">
        <v>0.119642882159819</v>
      </c>
      <c r="D1887" s="14" t="n">
        <f aca="false">Summary!$B$5-B1887</f>
        <v>-13322.5190696214</v>
      </c>
      <c r="E1887" s="15" t="n">
        <f aca="false">B1887/Summary!$B$5-1</f>
        <v>0.133225190696214</v>
      </c>
    </row>
    <row r="1888" customFormat="false" ht="15" hidden="false" customHeight="false" outlineLevel="0" collapsed="false">
      <c r="A1888" s="0" t="n">
        <v>1887</v>
      </c>
      <c r="B1888" s="14" t="n">
        <v>102751.793005028</v>
      </c>
      <c r="C1888" s="15" t="n">
        <v>0.0909274906059039</v>
      </c>
      <c r="D1888" s="14" t="n">
        <f aca="false">Summary!$B$5-B1888</f>
        <v>-2751.7930050279</v>
      </c>
      <c r="E1888" s="15" t="n">
        <f aca="false">B1888/Summary!$B$5-1</f>
        <v>0.027517930050279</v>
      </c>
    </row>
    <row r="1889" customFormat="false" ht="15" hidden="false" customHeight="false" outlineLevel="0" collapsed="false">
      <c r="A1889" s="0" t="n">
        <v>1888</v>
      </c>
      <c r="B1889" s="14" t="n">
        <v>101196.570091505</v>
      </c>
      <c r="C1889" s="15" t="n">
        <v>0.0851925426036249</v>
      </c>
      <c r="D1889" s="14" t="n">
        <f aca="false">Summary!$B$5-B1889</f>
        <v>-1196.57009150479</v>
      </c>
      <c r="E1889" s="15" t="n">
        <f aca="false">B1889/Summary!$B$5-1</f>
        <v>0.011965700915048</v>
      </c>
    </row>
    <row r="1890" customFormat="false" ht="15" hidden="false" customHeight="false" outlineLevel="0" collapsed="false">
      <c r="A1890" s="0" t="n">
        <v>1889</v>
      </c>
      <c r="B1890" s="14" t="n">
        <v>109639.661432806</v>
      </c>
      <c r="C1890" s="15" t="n">
        <v>0.0677081844133828</v>
      </c>
      <c r="D1890" s="14" t="n">
        <f aca="false">Summary!$B$5-B1890</f>
        <v>-9639.66143280589</v>
      </c>
      <c r="E1890" s="15" t="n">
        <f aca="false">B1890/Summary!$B$5-1</f>
        <v>0.096396614328059</v>
      </c>
    </row>
    <row r="1891" customFormat="false" ht="15" hidden="false" customHeight="false" outlineLevel="0" collapsed="false">
      <c r="A1891" s="0" t="n">
        <v>1890</v>
      </c>
      <c r="B1891" s="14" t="n">
        <v>114349.08445451</v>
      </c>
      <c r="C1891" s="15" t="n">
        <v>0.0654606892634727</v>
      </c>
      <c r="D1891" s="14" t="n">
        <f aca="false">Summary!$B$5-B1891</f>
        <v>-14349.0844545104</v>
      </c>
      <c r="E1891" s="15" t="n">
        <f aca="false">B1891/Summary!$B$5-1</f>
        <v>0.143490844545104</v>
      </c>
    </row>
    <row r="1892" customFormat="false" ht="15" hidden="false" customHeight="false" outlineLevel="0" collapsed="false">
      <c r="A1892" s="0" t="n">
        <v>1891</v>
      </c>
      <c r="B1892" s="14" t="n">
        <v>122208.957318511</v>
      </c>
      <c r="C1892" s="15" t="n">
        <v>0.0712258237486051</v>
      </c>
      <c r="D1892" s="14" t="n">
        <f aca="false">Summary!$B$5-B1892</f>
        <v>-22208.9573185112</v>
      </c>
      <c r="E1892" s="15" t="n">
        <f aca="false">B1892/Summary!$B$5-1</f>
        <v>0.222089573185112</v>
      </c>
    </row>
    <row r="1893" customFormat="false" ht="15" hidden="false" customHeight="false" outlineLevel="0" collapsed="false">
      <c r="A1893" s="0" t="n">
        <v>1892</v>
      </c>
      <c r="B1893" s="14" t="n">
        <v>112132.620483923</v>
      </c>
      <c r="C1893" s="15" t="n">
        <v>0.0715590004129092</v>
      </c>
      <c r="D1893" s="14" t="n">
        <f aca="false">Summary!$B$5-B1893</f>
        <v>-12132.6204839229</v>
      </c>
      <c r="E1893" s="15" t="n">
        <f aca="false">B1893/Summary!$B$5-1</f>
        <v>0.121326204839229</v>
      </c>
    </row>
    <row r="1894" customFormat="false" ht="15" hidden="false" customHeight="false" outlineLevel="0" collapsed="false">
      <c r="A1894" s="0" t="n">
        <v>1893</v>
      </c>
      <c r="B1894" s="14" t="n">
        <v>104465.236934372</v>
      </c>
      <c r="C1894" s="15" t="n">
        <v>0.135033423015756</v>
      </c>
      <c r="D1894" s="14" t="n">
        <f aca="false">Summary!$B$5-B1894</f>
        <v>-4465.2369343722</v>
      </c>
      <c r="E1894" s="15" t="n">
        <f aca="false">B1894/Summary!$B$5-1</f>
        <v>0.044652369343722</v>
      </c>
    </row>
    <row r="1895" customFormat="false" ht="15" hidden="false" customHeight="false" outlineLevel="0" collapsed="false">
      <c r="A1895" s="0" t="n">
        <v>1894</v>
      </c>
      <c r="B1895" s="14" t="n">
        <v>114985.804214155</v>
      </c>
      <c r="C1895" s="15" t="n">
        <v>0.0681361967631611</v>
      </c>
      <c r="D1895" s="14" t="n">
        <f aca="false">Summary!$B$5-B1895</f>
        <v>-14985.8042141547</v>
      </c>
      <c r="E1895" s="15" t="n">
        <f aca="false">B1895/Summary!$B$5-1</f>
        <v>0.149858042141547</v>
      </c>
    </row>
    <row r="1896" customFormat="false" ht="15" hidden="false" customHeight="false" outlineLevel="0" collapsed="false">
      <c r="A1896" s="0" t="n">
        <v>1895</v>
      </c>
      <c r="B1896" s="14" t="n">
        <v>126434.832013599</v>
      </c>
      <c r="C1896" s="15" t="n">
        <v>0.0842146619800173</v>
      </c>
      <c r="D1896" s="14" t="n">
        <f aca="false">Summary!$B$5-B1896</f>
        <v>-26434.832013599</v>
      </c>
      <c r="E1896" s="15" t="n">
        <f aca="false">B1896/Summary!$B$5-1</f>
        <v>0.26434832013599</v>
      </c>
    </row>
    <row r="1897" customFormat="false" ht="15" hidden="false" customHeight="false" outlineLevel="0" collapsed="false">
      <c r="A1897" s="0" t="n">
        <v>1896</v>
      </c>
      <c r="B1897" s="14" t="n">
        <v>109009.143528802</v>
      </c>
      <c r="C1897" s="15" t="n">
        <v>0.0983933504501322</v>
      </c>
      <c r="D1897" s="14" t="n">
        <f aca="false">Summary!$B$5-B1897</f>
        <v>-9009.14352880159</v>
      </c>
      <c r="E1897" s="15" t="n">
        <f aca="false">B1897/Summary!$B$5-1</f>
        <v>0.090091435288016</v>
      </c>
    </row>
    <row r="1898" customFormat="false" ht="15" hidden="false" customHeight="false" outlineLevel="0" collapsed="false">
      <c r="A1898" s="0" t="n">
        <v>1897</v>
      </c>
      <c r="B1898" s="14" t="n">
        <v>92519.7145343402</v>
      </c>
      <c r="C1898" s="15" t="n">
        <v>0.154081041213641</v>
      </c>
      <c r="D1898" s="14" t="n">
        <f aca="false">Summary!$B$5-B1898</f>
        <v>7480.28546565976</v>
      </c>
      <c r="E1898" s="15" t="n">
        <f aca="false">B1898/Summary!$B$5-1</f>
        <v>-0.0748028546565976</v>
      </c>
    </row>
    <row r="1899" customFormat="false" ht="15" hidden="false" customHeight="false" outlineLevel="0" collapsed="false">
      <c r="A1899" s="0" t="n">
        <v>1898</v>
      </c>
      <c r="B1899" s="14" t="n">
        <v>111311.27922449</v>
      </c>
      <c r="C1899" s="15" t="n">
        <v>0.0853112954337976</v>
      </c>
      <c r="D1899" s="14" t="n">
        <f aca="false">Summary!$B$5-B1899</f>
        <v>-11311.2792244895</v>
      </c>
      <c r="E1899" s="15" t="n">
        <f aca="false">B1899/Summary!$B$5-1</f>
        <v>0.113112792244895</v>
      </c>
    </row>
    <row r="1900" customFormat="false" ht="15" hidden="false" customHeight="false" outlineLevel="0" collapsed="false">
      <c r="A1900" s="0" t="n">
        <v>1899</v>
      </c>
      <c r="B1900" s="14" t="n">
        <v>111523.141486825</v>
      </c>
      <c r="C1900" s="15" t="n">
        <v>0.0756529069469567</v>
      </c>
      <c r="D1900" s="14" t="n">
        <f aca="false">Summary!$B$5-B1900</f>
        <v>-11523.1414868245</v>
      </c>
      <c r="E1900" s="15" t="n">
        <f aca="false">B1900/Summary!$B$5-1</f>
        <v>0.115231414868245</v>
      </c>
    </row>
    <row r="1901" customFormat="false" ht="15" hidden="false" customHeight="false" outlineLevel="0" collapsed="false">
      <c r="A1901" s="0" t="n">
        <v>1900</v>
      </c>
      <c r="B1901" s="14" t="n">
        <v>110305.325421419</v>
      </c>
      <c r="C1901" s="15" t="n">
        <v>0.0813584302096415</v>
      </c>
      <c r="D1901" s="14" t="n">
        <f aca="false">Summary!$B$5-B1901</f>
        <v>-10305.325421419</v>
      </c>
      <c r="E1901" s="15" t="n">
        <f aca="false">B1901/Summary!$B$5-1</f>
        <v>0.10305325421419</v>
      </c>
    </row>
    <row r="1902" customFormat="false" ht="15" hidden="false" customHeight="false" outlineLevel="0" collapsed="false">
      <c r="A1902" s="0" t="n">
        <v>1901</v>
      </c>
      <c r="B1902" s="14" t="n">
        <v>112536.219537704</v>
      </c>
      <c r="C1902" s="15" t="n">
        <v>0.111523252241046</v>
      </c>
      <c r="D1902" s="14" t="n">
        <f aca="false">Summary!$B$5-B1902</f>
        <v>-12536.2195377039</v>
      </c>
      <c r="E1902" s="15" t="n">
        <f aca="false">B1902/Summary!$B$5-1</f>
        <v>0.125362195377039</v>
      </c>
    </row>
    <row r="1903" customFormat="false" ht="15" hidden="false" customHeight="false" outlineLevel="0" collapsed="false">
      <c r="A1903" s="0" t="n">
        <v>1902</v>
      </c>
      <c r="B1903" s="14" t="n">
        <v>99845.8163381299</v>
      </c>
      <c r="C1903" s="15" t="n">
        <v>0.12875571919862</v>
      </c>
      <c r="D1903" s="14" t="n">
        <f aca="false">Summary!$B$5-B1903</f>
        <v>154.183661870135</v>
      </c>
      <c r="E1903" s="15" t="n">
        <f aca="false">B1903/Summary!$B$5-1</f>
        <v>-0.00154183661870133</v>
      </c>
    </row>
    <row r="1904" customFormat="false" ht="15" hidden="false" customHeight="false" outlineLevel="0" collapsed="false">
      <c r="A1904" s="0" t="n">
        <v>1903</v>
      </c>
      <c r="B1904" s="14" t="n">
        <v>99656.7621627327</v>
      </c>
      <c r="C1904" s="15" t="n">
        <v>0.130343391074915</v>
      </c>
      <c r="D1904" s="14" t="n">
        <f aca="false">Summary!$B$5-B1904</f>
        <v>343.237837267341</v>
      </c>
      <c r="E1904" s="15" t="n">
        <f aca="false">B1904/Summary!$B$5-1</f>
        <v>-0.00343237837267341</v>
      </c>
    </row>
    <row r="1905" customFormat="false" ht="15" hidden="false" customHeight="false" outlineLevel="0" collapsed="false">
      <c r="A1905" s="0" t="n">
        <v>1904</v>
      </c>
      <c r="B1905" s="14" t="n">
        <v>109826.498623728</v>
      </c>
      <c r="C1905" s="15" t="n">
        <v>0.0719409934258904</v>
      </c>
      <c r="D1905" s="14" t="n">
        <f aca="false">Summary!$B$5-B1905</f>
        <v>-9826.4986237281</v>
      </c>
      <c r="E1905" s="15" t="n">
        <f aca="false">B1905/Summary!$B$5-1</f>
        <v>0.0982649862372811</v>
      </c>
    </row>
    <row r="1906" customFormat="false" ht="15" hidden="false" customHeight="false" outlineLevel="0" collapsed="false">
      <c r="A1906" s="0" t="n">
        <v>1905</v>
      </c>
      <c r="B1906" s="14" t="n">
        <v>99274.7965977078</v>
      </c>
      <c r="C1906" s="15" t="n">
        <v>0.131796509030588</v>
      </c>
      <c r="D1906" s="14" t="n">
        <f aca="false">Summary!$B$5-B1906</f>
        <v>725.203402292158</v>
      </c>
      <c r="E1906" s="15" t="n">
        <f aca="false">B1906/Summary!$B$5-1</f>
        <v>-0.00725203402292163</v>
      </c>
    </row>
    <row r="1907" customFormat="false" ht="15" hidden="false" customHeight="false" outlineLevel="0" collapsed="false">
      <c r="A1907" s="0" t="n">
        <v>1906</v>
      </c>
      <c r="B1907" s="14" t="n">
        <v>130339.540650633</v>
      </c>
      <c r="C1907" s="15" t="n">
        <v>0.075350540139403</v>
      </c>
      <c r="D1907" s="14" t="n">
        <f aca="false">Summary!$B$5-B1907</f>
        <v>-30339.5406506326</v>
      </c>
      <c r="E1907" s="15" t="n">
        <f aca="false">B1907/Summary!$B$5-1</f>
        <v>0.303395406506326</v>
      </c>
    </row>
    <row r="1908" customFormat="false" ht="15" hidden="false" customHeight="false" outlineLevel="0" collapsed="false">
      <c r="A1908" s="0" t="n">
        <v>1907</v>
      </c>
      <c r="B1908" s="14" t="n">
        <v>108541.215934339</v>
      </c>
      <c r="C1908" s="15" t="n">
        <v>0.0616678928155435</v>
      </c>
      <c r="D1908" s="14" t="n">
        <f aca="false">Summary!$B$5-B1908</f>
        <v>-8541.2159343394</v>
      </c>
      <c r="E1908" s="15" t="n">
        <f aca="false">B1908/Summary!$B$5-1</f>
        <v>0.0854121593433941</v>
      </c>
    </row>
    <row r="1909" customFormat="false" ht="15" hidden="false" customHeight="false" outlineLevel="0" collapsed="false">
      <c r="A1909" s="0" t="n">
        <v>1908</v>
      </c>
      <c r="B1909" s="14" t="n">
        <v>126006.136937607</v>
      </c>
      <c r="C1909" s="15" t="n">
        <v>0.0769726911690363</v>
      </c>
      <c r="D1909" s="14" t="n">
        <f aca="false">Summary!$B$5-B1909</f>
        <v>-26006.1369376067</v>
      </c>
      <c r="E1909" s="15" t="n">
        <f aca="false">B1909/Summary!$B$5-1</f>
        <v>0.260061369376067</v>
      </c>
    </row>
    <row r="1910" customFormat="false" ht="15" hidden="false" customHeight="false" outlineLevel="0" collapsed="false">
      <c r="A1910" s="0" t="n">
        <v>1909</v>
      </c>
      <c r="B1910" s="14" t="n">
        <v>89037.4816903785</v>
      </c>
      <c r="C1910" s="15" t="n">
        <v>0.133803418278701</v>
      </c>
      <c r="D1910" s="14" t="n">
        <f aca="false">Summary!$B$5-B1910</f>
        <v>10962.5183096215</v>
      </c>
      <c r="E1910" s="15" t="n">
        <f aca="false">B1910/Summary!$B$5-1</f>
        <v>-0.109625183096215</v>
      </c>
    </row>
    <row r="1911" customFormat="false" ht="15" hidden="false" customHeight="false" outlineLevel="0" collapsed="false">
      <c r="A1911" s="0" t="n">
        <v>1910</v>
      </c>
      <c r="B1911" s="14" t="n">
        <v>103885.38819457</v>
      </c>
      <c r="C1911" s="15" t="n">
        <v>0.0806031617673494</v>
      </c>
      <c r="D1911" s="14" t="n">
        <f aca="false">Summary!$B$5-B1911</f>
        <v>-3885.38819456979</v>
      </c>
      <c r="E1911" s="15" t="n">
        <f aca="false">B1911/Summary!$B$5-1</f>
        <v>0.0388538819456978</v>
      </c>
    </row>
    <row r="1912" customFormat="false" ht="15" hidden="false" customHeight="false" outlineLevel="0" collapsed="false">
      <c r="A1912" s="0" t="n">
        <v>1911</v>
      </c>
      <c r="B1912" s="14" t="n">
        <v>106590.898668536</v>
      </c>
      <c r="C1912" s="15" t="n">
        <v>0.114118197726355</v>
      </c>
      <c r="D1912" s="14" t="n">
        <f aca="false">Summary!$B$5-B1912</f>
        <v>-6590.8986685362</v>
      </c>
      <c r="E1912" s="15" t="n">
        <f aca="false">B1912/Summary!$B$5-1</f>
        <v>0.0659089866853619</v>
      </c>
    </row>
    <row r="1913" customFormat="false" ht="15" hidden="false" customHeight="false" outlineLevel="0" collapsed="false">
      <c r="A1913" s="0" t="n">
        <v>1912</v>
      </c>
      <c r="B1913" s="14" t="n">
        <v>87459.3520269864</v>
      </c>
      <c r="C1913" s="15" t="n">
        <v>0.157790385591947</v>
      </c>
      <c r="D1913" s="14" t="n">
        <f aca="false">Summary!$B$5-B1913</f>
        <v>12540.6479730136</v>
      </c>
      <c r="E1913" s="15" t="n">
        <f aca="false">B1913/Summary!$B$5-1</f>
        <v>-0.125406479730136</v>
      </c>
    </row>
    <row r="1914" customFormat="false" ht="15" hidden="false" customHeight="false" outlineLevel="0" collapsed="false">
      <c r="A1914" s="0" t="n">
        <v>1913</v>
      </c>
      <c r="B1914" s="14" t="n">
        <v>105835.16674726</v>
      </c>
      <c r="C1914" s="15" t="n">
        <v>0.124193149486981</v>
      </c>
      <c r="D1914" s="14" t="n">
        <f aca="false">Summary!$B$5-B1914</f>
        <v>-5835.16674725989</v>
      </c>
      <c r="E1914" s="15" t="n">
        <f aca="false">B1914/Summary!$B$5-1</f>
        <v>0.058351667472599</v>
      </c>
    </row>
    <row r="1915" customFormat="false" ht="15" hidden="false" customHeight="false" outlineLevel="0" collapsed="false">
      <c r="A1915" s="0" t="n">
        <v>1914</v>
      </c>
      <c r="B1915" s="14" t="n">
        <v>134474.790319918</v>
      </c>
      <c r="C1915" s="15" t="n">
        <v>0.0719597504837216</v>
      </c>
      <c r="D1915" s="14" t="n">
        <f aca="false">Summary!$B$5-B1915</f>
        <v>-34474.7903199182</v>
      </c>
      <c r="E1915" s="15" t="n">
        <f aca="false">B1915/Summary!$B$5-1</f>
        <v>0.344747903199182</v>
      </c>
    </row>
    <row r="1916" customFormat="false" ht="15" hidden="false" customHeight="false" outlineLevel="0" collapsed="false">
      <c r="A1916" s="0" t="n">
        <v>1915</v>
      </c>
      <c r="B1916" s="14" t="n">
        <v>120673.654648646</v>
      </c>
      <c r="C1916" s="15" t="n">
        <v>0.0680257418464388</v>
      </c>
      <c r="D1916" s="14" t="n">
        <f aca="false">Summary!$B$5-B1916</f>
        <v>-20673.6546486462</v>
      </c>
      <c r="E1916" s="15" t="n">
        <f aca="false">B1916/Summary!$B$5-1</f>
        <v>0.206736546486462</v>
      </c>
    </row>
    <row r="1917" customFormat="false" ht="15" hidden="false" customHeight="false" outlineLevel="0" collapsed="false">
      <c r="A1917" s="0" t="n">
        <v>1916</v>
      </c>
      <c r="B1917" s="14" t="n">
        <v>103781.500324327</v>
      </c>
      <c r="C1917" s="15" t="n">
        <v>0.0823609840274605</v>
      </c>
      <c r="D1917" s="14" t="n">
        <f aca="false">Summary!$B$5-B1917</f>
        <v>-3781.5003243268</v>
      </c>
      <c r="E1917" s="15" t="n">
        <f aca="false">B1917/Summary!$B$5-1</f>
        <v>0.037815003243268</v>
      </c>
    </row>
    <row r="1918" customFormat="false" ht="15" hidden="false" customHeight="false" outlineLevel="0" collapsed="false">
      <c r="A1918" s="0" t="n">
        <v>1917</v>
      </c>
      <c r="B1918" s="14" t="n">
        <v>110697.846895108</v>
      </c>
      <c r="C1918" s="15" t="n">
        <v>0.0527797149117724</v>
      </c>
      <c r="D1918" s="14" t="n">
        <f aca="false">Summary!$B$5-B1918</f>
        <v>-10697.8468951082</v>
      </c>
      <c r="E1918" s="15" t="n">
        <f aca="false">B1918/Summary!$B$5-1</f>
        <v>0.106978468951082</v>
      </c>
    </row>
    <row r="1919" customFormat="false" ht="15" hidden="false" customHeight="false" outlineLevel="0" collapsed="false">
      <c r="A1919" s="0" t="n">
        <v>1918</v>
      </c>
      <c r="B1919" s="14" t="n">
        <v>97845.0133646169</v>
      </c>
      <c r="C1919" s="15" t="n">
        <v>0.101583846039093</v>
      </c>
      <c r="D1919" s="14" t="n">
        <f aca="false">Summary!$B$5-B1919</f>
        <v>2154.98663538313</v>
      </c>
      <c r="E1919" s="15" t="n">
        <f aca="false">B1919/Summary!$B$5-1</f>
        <v>-0.0215498663538313</v>
      </c>
    </row>
    <row r="1920" customFormat="false" ht="15" hidden="false" customHeight="false" outlineLevel="0" collapsed="false">
      <c r="A1920" s="0" t="n">
        <v>1919</v>
      </c>
      <c r="B1920" s="14" t="n">
        <v>122981.533029095</v>
      </c>
      <c r="C1920" s="15" t="n">
        <v>0.0942125253650862</v>
      </c>
      <c r="D1920" s="14" t="n">
        <f aca="false">Summary!$B$5-B1920</f>
        <v>-22981.5330290945</v>
      </c>
      <c r="E1920" s="15" t="n">
        <f aca="false">B1920/Summary!$B$5-1</f>
        <v>0.229815330290945</v>
      </c>
    </row>
    <row r="1921" customFormat="false" ht="15" hidden="false" customHeight="false" outlineLevel="0" collapsed="false">
      <c r="A1921" s="0" t="n">
        <v>1920</v>
      </c>
      <c r="B1921" s="14" t="n">
        <v>83221.1112655248</v>
      </c>
      <c r="C1921" s="15" t="n">
        <v>0.219459530452486</v>
      </c>
      <c r="D1921" s="14" t="n">
        <f aca="false">Summary!$B$5-B1921</f>
        <v>16778.8887344752</v>
      </c>
      <c r="E1921" s="15" t="n">
        <f aca="false">B1921/Summary!$B$5-1</f>
        <v>-0.167788887344752</v>
      </c>
    </row>
    <row r="1922" customFormat="false" ht="15" hidden="false" customHeight="false" outlineLevel="0" collapsed="false">
      <c r="A1922" s="0" t="n">
        <v>1921</v>
      </c>
      <c r="B1922" s="14" t="n">
        <v>105311.972272146</v>
      </c>
      <c r="C1922" s="15" t="n">
        <v>0.0815413676806932</v>
      </c>
      <c r="D1922" s="14" t="n">
        <f aca="false">Summary!$B$5-B1922</f>
        <v>-5311.9722721461</v>
      </c>
      <c r="E1922" s="15" t="n">
        <f aca="false">B1922/Summary!$B$5-1</f>
        <v>0.053119722721461</v>
      </c>
    </row>
    <row r="1923" customFormat="false" ht="15" hidden="false" customHeight="false" outlineLevel="0" collapsed="false">
      <c r="A1923" s="0" t="n">
        <v>1922</v>
      </c>
      <c r="B1923" s="14" t="n">
        <v>115163.783419171</v>
      </c>
      <c r="C1923" s="15" t="n">
        <v>0.0719390964470704</v>
      </c>
      <c r="D1923" s="14" t="n">
        <f aca="false">Summary!$B$5-B1923</f>
        <v>-15163.7834191706</v>
      </c>
      <c r="E1923" s="15" t="n">
        <f aca="false">B1923/Summary!$B$5-1</f>
        <v>0.151637834191706</v>
      </c>
    </row>
    <row r="1924" customFormat="false" ht="15" hidden="false" customHeight="false" outlineLevel="0" collapsed="false">
      <c r="A1924" s="0" t="n">
        <v>1923</v>
      </c>
      <c r="B1924" s="14" t="n">
        <v>112825.956307571</v>
      </c>
      <c r="C1924" s="15" t="n">
        <v>0.0730525663796264</v>
      </c>
      <c r="D1924" s="14" t="n">
        <f aca="false">Summary!$B$5-B1924</f>
        <v>-12825.9563075712</v>
      </c>
      <c r="E1924" s="15" t="n">
        <f aca="false">B1924/Summary!$B$5-1</f>
        <v>0.128259563075712</v>
      </c>
    </row>
    <row r="1925" customFormat="false" ht="15" hidden="false" customHeight="false" outlineLevel="0" collapsed="false">
      <c r="A1925" s="0" t="n">
        <v>1924</v>
      </c>
      <c r="B1925" s="14" t="n">
        <v>113618.362578975</v>
      </c>
      <c r="C1925" s="15" t="n">
        <v>0.0620161209147252</v>
      </c>
      <c r="D1925" s="14" t="n">
        <f aca="false">Summary!$B$5-B1925</f>
        <v>-13618.3625789749</v>
      </c>
      <c r="E1925" s="15" t="n">
        <f aca="false">B1925/Summary!$B$5-1</f>
        <v>0.136183625789749</v>
      </c>
    </row>
    <row r="1926" customFormat="false" ht="15" hidden="false" customHeight="false" outlineLevel="0" collapsed="false">
      <c r="A1926" s="0" t="n">
        <v>1925</v>
      </c>
      <c r="B1926" s="14" t="n">
        <v>106669.13816075</v>
      </c>
      <c r="C1926" s="15" t="n">
        <v>0.11924420560705</v>
      </c>
      <c r="D1926" s="14" t="n">
        <f aca="false">Summary!$B$5-B1926</f>
        <v>-6669.13816074991</v>
      </c>
      <c r="E1926" s="15" t="n">
        <f aca="false">B1926/Summary!$B$5-1</f>
        <v>0.066691381607499</v>
      </c>
    </row>
    <row r="1927" customFormat="false" ht="15" hidden="false" customHeight="false" outlineLevel="0" collapsed="false">
      <c r="A1927" s="0" t="n">
        <v>1926</v>
      </c>
      <c r="B1927" s="14" t="n">
        <v>104715.15947913</v>
      </c>
      <c r="C1927" s="15" t="n">
        <v>0.121669921995626</v>
      </c>
      <c r="D1927" s="14" t="n">
        <f aca="false">Summary!$B$5-B1927</f>
        <v>-4715.15947912951</v>
      </c>
      <c r="E1927" s="15" t="n">
        <f aca="false">B1927/Summary!$B$5-1</f>
        <v>0.0471515947912951</v>
      </c>
    </row>
    <row r="1928" customFormat="false" ht="15" hidden="false" customHeight="false" outlineLevel="0" collapsed="false">
      <c r="A1928" s="0" t="n">
        <v>1927</v>
      </c>
      <c r="B1928" s="14" t="n">
        <v>114036.716431967</v>
      </c>
      <c r="C1928" s="15" t="n">
        <v>0.0471483929955574</v>
      </c>
      <c r="D1928" s="14" t="n">
        <f aca="false">Summary!$B$5-B1928</f>
        <v>-14036.7164319674</v>
      </c>
      <c r="E1928" s="15" t="n">
        <f aca="false">B1928/Summary!$B$5-1</f>
        <v>0.140367164319674</v>
      </c>
    </row>
    <row r="1929" customFormat="false" ht="15" hidden="false" customHeight="false" outlineLevel="0" collapsed="false">
      <c r="A1929" s="0" t="n">
        <v>1928</v>
      </c>
      <c r="B1929" s="14" t="n">
        <v>111621.08137483</v>
      </c>
      <c r="C1929" s="15" t="n">
        <v>0.0770935450546099</v>
      </c>
      <c r="D1929" s="14" t="n">
        <f aca="false">Summary!$B$5-B1929</f>
        <v>-11621.0813748302</v>
      </c>
      <c r="E1929" s="15" t="n">
        <f aca="false">B1929/Summary!$B$5-1</f>
        <v>0.116210813748302</v>
      </c>
    </row>
    <row r="1930" customFormat="false" ht="15" hidden="false" customHeight="false" outlineLevel="0" collapsed="false">
      <c r="A1930" s="0" t="n">
        <v>1929</v>
      </c>
      <c r="B1930" s="14" t="n">
        <v>104693.30136903</v>
      </c>
      <c r="C1930" s="15" t="n">
        <v>0.0624206663797197</v>
      </c>
      <c r="D1930" s="14" t="n">
        <f aca="false">Summary!$B$5-B1930</f>
        <v>-4693.3013690298</v>
      </c>
      <c r="E1930" s="15" t="n">
        <f aca="false">B1930/Summary!$B$5-1</f>
        <v>0.0469330136902979</v>
      </c>
    </row>
    <row r="1931" customFormat="false" ht="15" hidden="false" customHeight="false" outlineLevel="0" collapsed="false">
      <c r="A1931" s="0" t="n">
        <v>1930</v>
      </c>
      <c r="B1931" s="14" t="n">
        <v>93746.1125730943</v>
      </c>
      <c r="C1931" s="15" t="n">
        <v>0.155990365142636</v>
      </c>
      <c r="D1931" s="14" t="n">
        <f aca="false">Summary!$B$5-B1931</f>
        <v>6253.88742690574</v>
      </c>
      <c r="E1931" s="15" t="n">
        <f aca="false">B1931/Summary!$B$5-1</f>
        <v>-0.0625388742690575</v>
      </c>
    </row>
    <row r="1932" customFormat="false" ht="15" hidden="false" customHeight="false" outlineLevel="0" collapsed="false">
      <c r="A1932" s="0" t="n">
        <v>1931</v>
      </c>
      <c r="B1932" s="14" t="n">
        <v>110644.850453667</v>
      </c>
      <c r="C1932" s="15" t="n">
        <v>0.0797693465693863</v>
      </c>
      <c r="D1932" s="14" t="n">
        <f aca="false">Summary!$B$5-B1932</f>
        <v>-10644.8504536671</v>
      </c>
      <c r="E1932" s="15" t="n">
        <f aca="false">B1932/Summary!$B$5-1</f>
        <v>0.106448504536671</v>
      </c>
    </row>
    <row r="1933" customFormat="false" ht="15" hidden="false" customHeight="false" outlineLevel="0" collapsed="false">
      <c r="A1933" s="0" t="n">
        <v>1932</v>
      </c>
      <c r="B1933" s="14" t="n">
        <v>110060.967845428</v>
      </c>
      <c r="C1933" s="15" t="n">
        <v>0.137664118310982</v>
      </c>
      <c r="D1933" s="14" t="n">
        <f aca="false">Summary!$B$5-B1933</f>
        <v>-10060.9678454281</v>
      </c>
      <c r="E1933" s="15" t="n">
        <f aca="false">B1933/Summary!$B$5-1</f>
        <v>0.100609678454281</v>
      </c>
    </row>
    <row r="1934" customFormat="false" ht="15" hidden="false" customHeight="false" outlineLevel="0" collapsed="false">
      <c r="A1934" s="0" t="n">
        <v>1933</v>
      </c>
      <c r="B1934" s="14" t="n">
        <v>100138.166942294</v>
      </c>
      <c r="C1934" s="15" t="n">
        <v>0.0797864370227516</v>
      </c>
      <c r="D1934" s="14" t="n">
        <f aca="false">Summary!$B$5-B1934</f>
        <v>-138.166942293799</v>
      </c>
      <c r="E1934" s="15" t="n">
        <f aca="false">B1934/Summary!$B$5-1</f>
        <v>0.00138166942293805</v>
      </c>
    </row>
    <row r="1935" customFormat="false" ht="15" hidden="false" customHeight="false" outlineLevel="0" collapsed="false">
      <c r="A1935" s="0" t="n">
        <v>1934</v>
      </c>
      <c r="B1935" s="14" t="n">
        <v>99540.7607968142</v>
      </c>
      <c r="C1935" s="15" t="n">
        <v>0.111636999072989</v>
      </c>
      <c r="D1935" s="14" t="n">
        <f aca="false">Summary!$B$5-B1935</f>
        <v>459.239203185818</v>
      </c>
      <c r="E1935" s="15" t="n">
        <f aca="false">B1935/Summary!$B$5-1</f>
        <v>-0.00459239203185813</v>
      </c>
    </row>
    <row r="1936" customFormat="false" ht="15" hidden="false" customHeight="false" outlineLevel="0" collapsed="false">
      <c r="A1936" s="0" t="n">
        <v>1935</v>
      </c>
      <c r="B1936" s="14" t="n">
        <v>92106.7272920258</v>
      </c>
      <c r="C1936" s="15" t="n">
        <v>0.207302459247378</v>
      </c>
      <c r="D1936" s="14" t="n">
        <f aca="false">Summary!$B$5-B1936</f>
        <v>7893.27270797416</v>
      </c>
      <c r="E1936" s="15" t="n">
        <f aca="false">B1936/Summary!$B$5-1</f>
        <v>-0.0789327270797416</v>
      </c>
    </row>
    <row r="1937" customFormat="false" ht="15" hidden="false" customHeight="false" outlineLevel="0" collapsed="false">
      <c r="A1937" s="0" t="n">
        <v>1936</v>
      </c>
      <c r="B1937" s="14" t="n">
        <v>128443.170592258</v>
      </c>
      <c r="C1937" s="15" t="n">
        <v>0.0632360840324278</v>
      </c>
      <c r="D1937" s="14" t="n">
        <f aca="false">Summary!$B$5-B1937</f>
        <v>-28443.1705922575</v>
      </c>
      <c r="E1937" s="15" t="n">
        <f aca="false">B1937/Summary!$B$5-1</f>
        <v>0.284431705922575</v>
      </c>
    </row>
    <row r="1938" customFormat="false" ht="15" hidden="false" customHeight="false" outlineLevel="0" collapsed="false">
      <c r="A1938" s="0" t="n">
        <v>1937</v>
      </c>
      <c r="B1938" s="14" t="n">
        <v>89039.4891720039</v>
      </c>
      <c r="C1938" s="15" t="n">
        <v>0.181115241943698</v>
      </c>
      <c r="D1938" s="14" t="n">
        <f aca="false">Summary!$B$5-B1938</f>
        <v>10960.5108279961</v>
      </c>
      <c r="E1938" s="15" t="n">
        <f aca="false">B1938/Summary!$B$5-1</f>
        <v>-0.109605108279961</v>
      </c>
    </row>
    <row r="1939" customFormat="false" ht="15" hidden="false" customHeight="false" outlineLevel="0" collapsed="false">
      <c r="A1939" s="0" t="n">
        <v>1938</v>
      </c>
      <c r="B1939" s="14" t="n">
        <v>113578.088555735</v>
      </c>
      <c r="C1939" s="15" t="n">
        <v>0.0454466021149056</v>
      </c>
      <c r="D1939" s="14" t="n">
        <f aca="false">Summary!$B$5-B1939</f>
        <v>-13578.0885557345</v>
      </c>
      <c r="E1939" s="15" t="n">
        <f aca="false">B1939/Summary!$B$5-1</f>
        <v>0.135780885557345</v>
      </c>
    </row>
    <row r="1940" customFormat="false" ht="15" hidden="false" customHeight="false" outlineLevel="0" collapsed="false">
      <c r="A1940" s="0" t="n">
        <v>1939</v>
      </c>
      <c r="B1940" s="14" t="n">
        <v>104867.671884657</v>
      </c>
      <c r="C1940" s="15" t="n">
        <v>0.116601267130942</v>
      </c>
      <c r="D1940" s="14" t="n">
        <f aca="false">Summary!$B$5-B1940</f>
        <v>-4867.67188465651</v>
      </c>
      <c r="E1940" s="15" t="n">
        <f aca="false">B1940/Summary!$B$5-1</f>
        <v>0.0486767188465651</v>
      </c>
    </row>
    <row r="1941" customFormat="false" ht="15" hidden="false" customHeight="false" outlineLevel="0" collapsed="false">
      <c r="A1941" s="0" t="n">
        <v>1940</v>
      </c>
      <c r="B1941" s="14" t="n">
        <v>104196.737595733</v>
      </c>
      <c r="C1941" s="15" t="n">
        <v>0.101460929584715</v>
      </c>
      <c r="D1941" s="14" t="n">
        <f aca="false">Summary!$B$5-B1941</f>
        <v>-4196.7375957326</v>
      </c>
      <c r="E1941" s="15" t="n">
        <f aca="false">B1941/Summary!$B$5-1</f>
        <v>0.041967375957326</v>
      </c>
    </row>
    <row r="1942" customFormat="false" ht="15" hidden="false" customHeight="false" outlineLevel="0" collapsed="false">
      <c r="A1942" s="0" t="n">
        <v>1941</v>
      </c>
      <c r="B1942" s="14" t="n">
        <v>96743.9745255346</v>
      </c>
      <c r="C1942" s="15" t="n">
        <v>0.112141938808021</v>
      </c>
      <c r="D1942" s="14" t="n">
        <f aca="false">Summary!$B$5-B1942</f>
        <v>3256.02547446541</v>
      </c>
      <c r="E1942" s="15" t="n">
        <f aca="false">B1942/Summary!$B$5-1</f>
        <v>-0.0325602547446541</v>
      </c>
    </row>
    <row r="1943" customFormat="false" ht="15" hidden="false" customHeight="false" outlineLevel="0" collapsed="false">
      <c r="A1943" s="0" t="n">
        <v>1942</v>
      </c>
      <c r="B1943" s="14" t="n">
        <v>90729.667009472</v>
      </c>
      <c r="C1943" s="15" t="n">
        <v>0.155596157089441</v>
      </c>
      <c r="D1943" s="14" t="n">
        <f aca="false">Summary!$B$5-B1943</f>
        <v>9270.33299052801</v>
      </c>
      <c r="E1943" s="15" t="n">
        <f aca="false">B1943/Summary!$B$5-1</f>
        <v>-0.0927033299052801</v>
      </c>
    </row>
    <row r="1944" customFormat="false" ht="15" hidden="false" customHeight="false" outlineLevel="0" collapsed="false">
      <c r="A1944" s="0" t="n">
        <v>1943</v>
      </c>
      <c r="B1944" s="14" t="n">
        <v>131145.792540884</v>
      </c>
      <c r="C1944" s="15" t="n">
        <v>0.0501170791132375</v>
      </c>
      <c r="D1944" s="14" t="n">
        <f aca="false">Summary!$B$5-B1944</f>
        <v>-31145.7925408837</v>
      </c>
      <c r="E1944" s="15" t="n">
        <f aca="false">B1944/Summary!$B$5-1</f>
        <v>0.311457925408837</v>
      </c>
    </row>
    <row r="1945" customFormat="false" ht="15" hidden="false" customHeight="false" outlineLevel="0" collapsed="false">
      <c r="A1945" s="0" t="n">
        <v>1944</v>
      </c>
      <c r="B1945" s="14" t="n">
        <v>102194.053736148</v>
      </c>
      <c r="C1945" s="15" t="n">
        <v>0.126691129604345</v>
      </c>
      <c r="D1945" s="14" t="n">
        <f aca="false">Summary!$B$5-B1945</f>
        <v>-2194.05373614781</v>
      </c>
      <c r="E1945" s="15" t="n">
        <f aca="false">B1945/Summary!$B$5-1</f>
        <v>0.0219405373614781</v>
      </c>
    </row>
    <row r="1946" customFormat="false" ht="15" hidden="false" customHeight="false" outlineLevel="0" collapsed="false">
      <c r="A1946" s="0" t="n">
        <v>1945</v>
      </c>
      <c r="B1946" s="14" t="n">
        <v>104416.960314662</v>
      </c>
      <c r="C1946" s="15" t="n">
        <v>0.0739816044983418</v>
      </c>
      <c r="D1946" s="14" t="n">
        <f aca="false">Summary!$B$5-B1946</f>
        <v>-4416.9603146623</v>
      </c>
      <c r="E1946" s="15" t="n">
        <f aca="false">B1946/Summary!$B$5-1</f>
        <v>0.044169603146623</v>
      </c>
    </row>
    <row r="1947" customFormat="false" ht="15" hidden="false" customHeight="false" outlineLevel="0" collapsed="false">
      <c r="A1947" s="0" t="n">
        <v>1946</v>
      </c>
      <c r="B1947" s="14" t="n">
        <v>99166.5083224392</v>
      </c>
      <c r="C1947" s="15" t="n">
        <v>0.137863742038648</v>
      </c>
      <c r="D1947" s="14" t="n">
        <f aca="false">Summary!$B$5-B1947</f>
        <v>833.4916775608</v>
      </c>
      <c r="E1947" s="15" t="n">
        <f aca="false">B1947/Summary!$B$5-1</f>
        <v>-0.00833491677560805</v>
      </c>
    </row>
    <row r="1948" customFormat="false" ht="15" hidden="false" customHeight="false" outlineLevel="0" collapsed="false">
      <c r="A1948" s="0" t="n">
        <v>1947</v>
      </c>
      <c r="B1948" s="14" t="n">
        <v>90573.8266774757</v>
      </c>
      <c r="C1948" s="15" t="n">
        <v>0.120733402949655</v>
      </c>
      <c r="D1948" s="14" t="n">
        <f aca="false">Summary!$B$5-B1948</f>
        <v>9426.17332252426</v>
      </c>
      <c r="E1948" s="15" t="n">
        <f aca="false">B1948/Summary!$B$5-1</f>
        <v>-0.0942617332252427</v>
      </c>
    </row>
    <row r="1949" customFormat="false" ht="15" hidden="false" customHeight="false" outlineLevel="0" collapsed="false">
      <c r="A1949" s="0" t="n">
        <v>1948</v>
      </c>
      <c r="B1949" s="14" t="n">
        <v>91919.2996780898</v>
      </c>
      <c r="C1949" s="15" t="n">
        <v>0.139766500651982</v>
      </c>
      <c r="D1949" s="14" t="n">
        <f aca="false">Summary!$B$5-B1949</f>
        <v>8080.7003219102</v>
      </c>
      <c r="E1949" s="15" t="n">
        <f aca="false">B1949/Summary!$B$5-1</f>
        <v>-0.0808070032191021</v>
      </c>
    </row>
    <row r="1950" customFormat="false" ht="15" hidden="false" customHeight="false" outlineLevel="0" collapsed="false">
      <c r="A1950" s="0" t="n">
        <v>1949</v>
      </c>
      <c r="B1950" s="14" t="n">
        <v>105826.352016535</v>
      </c>
      <c r="C1950" s="15" t="n">
        <v>0.107957952286528</v>
      </c>
      <c r="D1950" s="14" t="n">
        <f aca="false">Summary!$B$5-B1950</f>
        <v>-5826.3520165348</v>
      </c>
      <c r="E1950" s="15" t="n">
        <f aca="false">B1950/Summary!$B$5-1</f>
        <v>0.0582635201653481</v>
      </c>
    </row>
    <row r="1951" customFormat="false" ht="15" hidden="false" customHeight="false" outlineLevel="0" collapsed="false">
      <c r="A1951" s="0" t="n">
        <v>1950</v>
      </c>
      <c r="B1951" s="14" t="n">
        <v>120451.018465835</v>
      </c>
      <c r="C1951" s="15" t="n">
        <v>0.0724908200114067</v>
      </c>
      <c r="D1951" s="14" t="n">
        <f aca="false">Summary!$B$5-B1951</f>
        <v>-20451.0184658346</v>
      </c>
      <c r="E1951" s="15" t="n">
        <f aca="false">B1951/Summary!$B$5-1</f>
        <v>0.204510184658346</v>
      </c>
    </row>
    <row r="1952" customFormat="false" ht="15" hidden="false" customHeight="false" outlineLevel="0" collapsed="false">
      <c r="A1952" s="0" t="n">
        <v>1951</v>
      </c>
      <c r="B1952" s="14" t="n">
        <v>103614.703723155</v>
      </c>
      <c r="C1952" s="15" t="n">
        <v>0.0769413449659879</v>
      </c>
      <c r="D1952" s="14" t="n">
        <f aca="false">Summary!$B$5-B1952</f>
        <v>-3614.7037231548</v>
      </c>
      <c r="E1952" s="15" t="n">
        <f aca="false">B1952/Summary!$B$5-1</f>
        <v>0.036147037231548</v>
      </c>
    </row>
    <row r="1953" customFormat="false" ht="15" hidden="false" customHeight="false" outlineLevel="0" collapsed="false">
      <c r="A1953" s="0" t="n">
        <v>1952</v>
      </c>
      <c r="B1953" s="14" t="n">
        <v>121933.188064666</v>
      </c>
      <c r="C1953" s="15" t="n">
        <v>0.0632694730986552</v>
      </c>
      <c r="D1953" s="14" t="n">
        <f aca="false">Summary!$B$5-B1953</f>
        <v>-21933.1880646664</v>
      </c>
      <c r="E1953" s="15" t="n">
        <f aca="false">B1953/Summary!$B$5-1</f>
        <v>0.219331880646664</v>
      </c>
    </row>
    <row r="1954" customFormat="false" ht="15" hidden="false" customHeight="false" outlineLevel="0" collapsed="false">
      <c r="A1954" s="0" t="n">
        <v>1953</v>
      </c>
      <c r="B1954" s="14" t="n">
        <v>121544.1680741</v>
      </c>
      <c r="C1954" s="15" t="n">
        <v>0.0685989889611226</v>
      </c>
      <c r="D1954" s="14" t="n">
        <f aca="false">Summary!$B$5-B1954</f>
        <v>-21544.1680741</v>
      </c>
      <c r="E1954" s="15" t="n">
        <f aca="false">B1954/Summary!$B$5-1</f>
        <v>0.215441680741</v>
      </c>
    </row>
    <row r="1955" customFormat="false" ht="15" hidden="false" customHeight="false" outlineLevel="0" collapsed="false">
      <c r="A1955" s="0" t="n">
        <v>1954</v>
      </c>
      <c r="B1955" s="14" t="n">
        <v>113735.975319672</v>
      </c>
      <c r="C1955" s="15" t="n">
        <v>0.0503734416877895</v>
      </c>
      <c r="D1955" s="14" t="n">
        <f aca="false">Summary!$B$5-B1955</f>
        <v>-13735.975319672</v>
      </c>
      <c r="E1955" s="15" t="n">
        <f aca="false">B1955/Summary!$B$5-1</f>
        <v>0.13735975319672</v>
      </c>
    </row>
    <row r="1956" customFormat="false" ht="15" hidden="false" customHeight="false" outlineLevel="0" collapsed="false">
      <c r="A1956" s="0" t="n">
        <v>1955</v>
      </c>
      <c r="B1956" s="14" t="n">
        <v>106037.134645464</v>
      </c>
      <c r="C1956" s="15" t="n">
        <v>0.0890954667162015</v>
      </c>
      <c r="D1956" s="14" t="n">
        <f aca="false">Summary!$B$5-B1956</f>
        <v>-6037.1346454639</v>
      </c>
      <c r="E1956" s="15" t="n">
        <f aca="false">B1956/Summary!$B$5-1</f>
        <v>0.0603713464546389</v>
      </c>
    </row>
    <row r="1957" customFormat="false" ht="15" hidden="false" customHeight="false" outlineLevel="0" collapsed="false">
      <c r="A1957" s="0" t="n">
        <v>1956</v>
      </c>
      <c r="B1957" s="14" t="n">
        <v>114846.689459987</v>
      </c>
      <c r="C1957" s="15" t="n">
        <v>0.0551440354581967</v>
      </c>
      <c r="D1957" s="14" t="n">
        <f aca="false">Summary!$B$5-B1957</f>
        <v>-14846.6894599869</v>
      </c>
      <c r="E1957" s="15" t="n">
        <f aca="false">B1957/Summary!$B$5-1</f>
        <v>0.148466894599869</v>
      </c>
    </row>
    <row r="1958" customFormat="false" ht="15" hidden="false" customHeight="false" outlineLevel="0" collapsed="false">
      <c r="A1958" s="0" t="n">
        <v>1957</v>
      </c>
      <c r="B1958" s="14" t="n">
        <v>108620.798489583</v>
      </c>
      <c r="C1958" s="15" t="n">
        <v>0.0780109519377871</v>
      </c>
      <c r="D1958" s="14" t="n">
        <f aca="false">Summary!$B$5-B1958</f>
        <v>-8620.798489583</v>
      </c>
      <c r="E1958" s="15" t="n">
        <f aca="false">B1958/Summary!$B$5-1</f>
        <v>0.0862079848958299</v>
      </c>
    </row>
    <row r="1959" customFormat="false" ht="15" hidden="false" customHeight="false" outlineLevel="0" collapsed="false">
      <c r="A1959" s="0" t="n">
        <v>1958</v>
      </c>
      <c r="B1959" s="14" t="n">
        <v>101380.954858308</v>
      </c>
      <c r="C1959" s="15" t="n">
        <v>0.0972770576061481</v>
      </c>
      <c r="D1959" s="14" t="n">
        <f aca="false">Summary!$B$5-B1959</f>
        <v>-1380.95485830829</v>
      </c>
      <c r="E1959" s="15" t="n">
        <f aca="false">B1959/Summary!$B$5-1</f>
        <v>0.0138095485830829</v>
      </c>
    </row>
    <row r="1960" customFormat="false" ht="15" hidden="false" customHeight="false" outlineLevel="0" collapsed="false">
      <c r="A1960" s="0" t="n">
        <v>1959</v>
      </c>
      <c r="B1960" s="14" t="n">
        <v>111730.618585923</v>
      </c>
      <c r="C1960" s="15" t="n">
        <v>0.063490398606435</v>
      </c>
      <c r="D1960" s="14" t="n">
        <f aca="false">Summary!$B$5-B1960</f>
        <v>-11730.6185859227</v>
      </c>
      <c r="E1960" s="15" t="n">
        <f aca="false">B1960/Summary!$B$5-1</f>
        <v>0.117306185859227</v>
      </c>
    </row>
    <row r="1961" customFormat="false" ht="15" hidden="false" customHeight="false" outlineLevel="0" collapsed="false">
      <c r="A1961" s="0" t="n">
        <v>1960</v>
      </c>
      <c r="B1961" s="14" t="n">
        <v>109971.754314909</v>
      </c>
      <c r="C1961" s="15" t="n">
        <v>0.138975483420133</v>
      </c>
      <c r="D1961" s="14" t="n">
        <f aca="false">Summary!$B$5-B1961</f>
        <v>-9971.75431490901</v>
      </c>
      <c r="E1961" s="15" t="n">
        <f aca="false">B1961/Summary!$B$5-1</f>
        <v>0.09971754314909</v>
      </c>
    </row>
    <row r="1962" customFormat="false" ht="15" hidden="false" customHeight="false" outlineLevel="0" collapsed="false">
      <c r="A1962" s="0" t="n">
        <v>1961</v>
      </c>
      <c r="B1962" s="14" t="n">
        <v>110066.363709925</v>
      </c>
      <c r="C1962" s="15" t="n">
        <v>0.0554263203108715</v>
      </c>
      <c r="D1962" s="14" t="n">
        <f aca="false">Summary!$B$5-B1962</f>
        <v>-10066.3637099245</v>
      </c>
      <c r="E1962" s="15" t="n">
        <f aca="false">B1962/Summary!$B$5-1</f>
        <v>0.100663637099245</v>
      </c>
    </row>
    <row r="1963" customFormat="false" ht="15" hidden="false" customHeight="false" outlineLevel="0" collapsed="false">
      <c r="A1963" s="0" t="n">
        <v>1962</v>
      </c>
      <c r="B1963" s="14" t="n">
        <v>105936.606514906</v>
      </c>
      <c r="C1963" s="15" t="n">
        <v>0.129681678112158</v>
      </c>
      <c r="D1963" s="14" t="n">
        <f aca="false">Summary!$B$5-B1963</f>
        <v>-5936.6065149059</v>
      </c>
      <c r="E1963" s="15" t="n">
        <f aca="false">B1963/Summary!$B$5-1</f>
        <v>0.0593660651490591</v>
      </c>
    </row>
    <row r="1964" customFormat="false" ht="15" hidden="false" customHeight="false" outlineLevel="0" collapsed="false">
      <c r="A1964" s="0" t="n">
        <v>1963</v>
      </c>
      <c r="B1964" s="14" t="n">
        <v>112331.323858187</v>
      </c>
      <c r="C1964" s="15" t="n">
        <v>0.114270622570315</v>
      </c>
      <c r="D1964" s="14" t="n">
        <f aca="false">Summary!$B$5-B1964</f>
        <v>-12331.3238581865</v>
      </c>
      <c r="E1964" s="15" t="n">
        <f aca="false">B1964/Summary!$B$5-1</f>
        <v>0.123313238581865</v>
      </c>
    </row>
    <row r="1965" customFormat="false" ht="15" hidden="false" customHeight="false" outlineLevel="0" collapsed="false">
      <c r="A1965" s="0" t="n">
        <v>1964</v>
      </c>
      <c r="B1965" s="14" t="n">
        <v>147130.699828704</v>
      </c>
      <c r="C1965" s="15" t="n">
        <v>0.0651688754316703</v>
      </c>
      <c r="D1965" s="14" t="n">
        <f aca="false">Summary!$B$5-B1965</f>
        <v>-47130.6998287038</v>
      </c>
      <c r="E1965" s="15" t="n">
        <f aca="false">B1965/Summary!$B$5-1</f>
        <v>0.471306998287038</v>
      </c>
    </row>
    <row r="1966" customFormat="false" ht="15" hidden="false" customHeight="false" outlineLevel="0" collapsed="false">
      <c r="A1966" s="0" t="n">
        <v>1965</v>
      </c>
      <c r="B1966" s="14" t="n">
        <v>103107.823558103</v>
      </c>
      <c r="C1966" s="15" t="n">
        <v>0.110212974820675</v>
      </c>
      <c r="D1966" s="14" t="n">
        <f aca="false">Summary!$B$5-B1966</f>
        <v>-3107.8235581028</v>
      </c>
      <c r="E1966" s="15" t="n">
        <f aca="false">B1966/Summary!$B$5-1</f>
        <v>0.031078235581028</v>
      </c>
    </row>
    <row r="1967" customFormat="false" ht="15" hidden="false" customHeight="false" outlineLevel="0" collapsed="false">
      <c r="A1967" s="0" t="n">
        <v>1966</v>
      </c>
      <c r="B1967" s="14" t="n">
        <v>95280.7398535293</v>
      </c>
      <c r="C1967" s="15" t="n">
        <v>0.0940691762597972</v>
      </c>
      <c r="D1967" s="14" t="n">
        <f aca="false">Summary!$B$5-B1967</f>
        <v>4719.26014647068</v>
      </c>
      <c r="E1967" s="15" t="n">
        <f aca="false">B1967/Summary!$B$5-1</f>
        <v>-0.0471926014647068</v>
      </c>
    </row>
    <row r="1968" customFormat="false" ht="15" hidden="false" customHeight="false" outlineLevel="0" collapsed="false">
      <c r="A1968" s="0" t="n">
        <v>1967</v>
      </c>
      <c r="B1968" s="14" t="n">
        <v>86174.4849378979</v>
      </c>
      <c r="C1968" s="15" t="n">
        <v>0.168879668956818</v>
      </c>
      <c r="D1968" s="14" t="n">
        <f aca="false">Summary!$B$5-B1968</f>
        <v>13825.5150621021</v>
      </c>
      <c r="E1968" s="15" t="n">
        <f aca="false">B1968/Summary!$B$5-1</f>
        <v>-0.138255150621021</v>
      </c>
    </row>
    <row r="1969" customFormat="false" ht="15" hidden="false" customHeight="false" outlineLevel="0" collapsed="false">
      <c r="A1969" s="0" t="n">
        <v>1968</v>
      </c>
      <c r="B1969" s="14" t="n">
        <v>136067.915984766</v>
      </c>
      <c r="C1969" s="15" t="n">
        <v>0.077026690646531</v>
      </c>
      <c r="D1969" s="14" t="n">
        <f aca="false">Summary!$B$5-B1969</f>
        <v>-36067.9159847656</v>
      </c>
      <c r="E1969" s="15" t="n">
        <f aca="false">B1969/Summary!$B$5-1</f>
        <v>0.360679159847656</v>
      </c>
    </row>
    <row r="1970" customFormat="false" ht="15" hidden="false" customHeight="false" outlineLevel="0" collapsed="false">
      <c r="A1970" s="0" t="n">
        <v>1969</v>
      </c>
      <c r="B1970" s="14" t="n">
        <v>96850.6987272217</v>
      </c>
      <c r="C1970" s="15" t="n">
        <v>0.196201091526854</v>
      </c>
      <c r="D1970" s="14" t="n">
        <f aca="false">Summary!$B$5-B1970</f>
        <v>3149.30127277831</v>
      </c>
      <c r="E1970" s="15" t="n">
        <f aca="false">B1970/Summary!$B$5-1</f>
        <v>-0.031493012727783</v>
      </c>
    </row>
    <row r="1971" customFormat="false" ht="15" hidden="false" customHeight="false" outlineLevel="0" collapsed="false">
      <c r="A1971" s="0" t="n">
        <v>1970</v>
      </c>
      <c r="B1971" s="14" t="n">
        <v>107084.353458496</v>
      </c>
      <c r="C1971" s="15" t="n">
        <v>0.0679908828871578</v>
      </c>
      <c r="D1971" s="14" t="n">
        <f aca="false">Summary!$B$5-B1971</f>
        <v>-7084.3534584958</v>
      </c>
      <c r="E1971" s="15" t="n">
        <f aca="false">B1971/Summary!$B$5-1</f>
        <v>0.0708435345849581</v>
      </c>
    </row>
    <row r="1972" customFormat="false" ht="15" hidden="false" customHeight="false" outlineLevel="0" collapsed="false">
      <c r="A1972" s="0" t="n">
        <v>1971</v>
      </c>
      <c r="B1972" s="14" t="n">
        <v>120311.155776052</v>
      </c>
      <c r="C1972" s="15" t="n">
        <v>0.0672280846609925</v>
      </c>
      <c r="D1972" s="14" t="n">
        <f aca="false">Summary!$B$5-B1972</f>
        <v>-20311.1557760524</v>
      </c>
      <c r="E1972" s="15" t="n">
        <f aca="false">B1972/Summary!$B$5-1</f>
        <v>0.203111557760524</v>
      </c>
    </row>
    <row r="1973" customFormat="false" ht="15" hidden="false" customHeight="false" outlineLevel="0" collapsed="false">
      <c r="A1973" s="0" t="n">
        <v>1972</v>
      </c>
      <c r="B1973" s="14" t="n">
        <v>106727.264625465</v>
      </c>
      <c r="C1973" s="15" t="n">
        <v>0.132714308747419</v>
      </c>
      <c r="D1973" s="14" t="n">
        <f aca="false">Summary!$B$5-B1973</f>
        <v>-6727.26462546521</v>
      </c>
      <c r="E1973" s="15" t="n">
        <f aca="false">B1973/Summary!$B$5-1</f>
        <v>0.067272646254652</v>
      </c>
    </row>
    <row r="1974" customFormat="false" ht="15" hidden="false" customHeight="false" outlineLevel="0" collapsed="false">
      <c r="A1974" s="0" t="n">
        <v>1973</v>
      </c>
      <c r="B1974" s="14" t="n">
        <v>99410.9586970218</v>
      </c>
      <c r="C1974" s="15" t="n">
        <v>0.149690709041469</v>
      </c>
      <c r="D1974" s="14" t="n">
        <f aca="false">Summary!$B$5-B1974</f>
        <v>589.041302978207</v>
      </c>
      <c r="E1974" s="15" t="n">
        <f aca="false">B1974/Summary!$B$5-1</f>
        <v>-0.0058904130297821</v>
      </c>
    </row>
    <row r="1975" customFormat="false" ht="15" hidden="false" customHeight="false" outlineLevel="0" collapsed="false">
      <c r="A1975" s="0" t="n">
        <v>1974</v>
      </c>
      <c r="B1975" s="14" t="n">
        <v>98232.6557192981</v>
      </c>
      <c r="C1975" s="15" t="n">
        <v>0.101483185912603</v>
      </c>
      <c r="D1975" s="14" t="n">
        <f aca="false">Summary!$B$5-B1975</f>
        <v>1767.34428070186</v>
      </c>
      <c r="E1975" s="15" t="n">
        <f aca="false">B1975/Summary!$B$5-1</f>
        <v>-0.0176734428070185</v>
      </c>
    </row>
    <row r="1976" customFormat="false" ht="15" hidden="false" customHeight="false" outlineLevel="0" collapsed="false">
      <c r="A1976" s="0" t="n">
        <v>1975</v>
      </c>
      <c r="B1976" s="14" t="n">
        <v>89976.4971134978</v>
      </c>
      <c r="C1976" s="15" t="n">
        <v>0.166028121430063</v>
      </c>
      <c r="D1976" s="14" t="n">
        <f aca="false">Summary!$B$5-B1976</f>
        <v>10023.5028865022</v>
      </c>
      <c r="E1976" s="15" t="n">
        <f aca="false">B1976/Summary!$B$5-1</f>
        <v>-0.100235028865022</v>
      </c>
    </row>
    <row r="1977" customFormat="false" ht="15" hidden="false" customHeight="false" outlineLevel="0" collapsed="false">
      <c r="A1977" s="0" t="n">
        <v>1976</v>
      </c>
      <c r="B1977" s="14" t="n">
        <v>115758.85014819</v>
      </c>
      <c r="C1977" s="15" t="n">
        <v>0.0807854443946747</v>
      </c>
      <c r="D1977" s="14" t="n">
        <f aca="false">Summary!$B$5-B1977</f>
        <v>-15758.85014819</v>
      </c>
      <c r="E1977" s="15" t="n">
        <f aca="false">B1977/Summary!$B$5-1</f>
        <v>0.1575885014819</v>
      </c>
    </row>
    <row r="1978" customFormat="false" ht="15" hidden="false" customHeight="false" outlineLevel="0" collapsed="false">
      <c r="A1978" s="0" t="n">
        <v>1977</v>
      </c>
      <c r="B1978" s="14" t="n">
        <v>113655.837553107</v>
      </c>
      <c r="C1978" s="15" t="n">
        <v>0.0631364390532335</v>
      </c>
      <c r="D1978" s="14" t="n">
        <f aca="false">Summary!$B$5-B1978</f>
        <v>-13655.8375531065</v>
      </c>
      <c r="E1978" s="15" t="n">
        <f aca="false">B1978/Summary!$B$5-1</f>
        <v>0.136558375531065</v>
      </c>
    </row>
    <row r="1979" customFormat="false" ht="15" hidden="false" customHeight="false" outlineLevel="0" collapsed="false">
      <c r="A1979" s="0" t="n">
        <v>1978</v>
      </c>
      <c r="B1979" s="14" t="n">
        <v>106285.566470411</v>
      </c>
      <c r="C1979" s="15" t="n">
        <v>0.136012388952193</v>
      </c>
      <c r="D1979" s="14" t="n">
        <f aca="false">Summary!$B$5-B1979</f>
        <v>-6285.5664704114</v>
      </c>
      <c r="E1979" s="15" t="n">
        <f aca="false">B1979/Summary!$B$5-1</f>
        <v>0.0628556647041141</v>
      </c>
    </row>
    <row r="1980" customFormat="false" ht="15" hidden="false" customHeight="false" outlineLevel="0" collapsed="false">
      <c r="A1980" s="0" t="n">
        <v>1979</v>
      </c>
      <c r="B1980" s="14" t="n">
        <v>109675.950613618</v>
      </c>
      <c r="C1980" s="15" t="n">
        <v>0.0987889540508966</v>
      </c>
      <c r="D1980" s="14" t="n">
        <f aca="false">Summary!$B$5-B1980</f>
        <v>-9675.9506136182</v>
      </c>
      <c r="E1980" s="15" t="n">
        <f aca="false">B1980/Summary!$B$5-1</f>
        <v>0.0967595061361821</v>
      </c>
    </row>
    <row r="1981" customFormat="false" ht="15" hidden="false" customHeight="false" outlineLevel="0" collapsed="false">
      <c r="A1981" s="0" t="n">
        <v>1980</v>
      </c>
      <c r="B1981" s="14" t="n">
        <v>104247.177184556</v>
      </c>
      <c r="C1981" s="15" t="n">
        <v>0.114395016837086</v>
      </c>
      <c r="D1981" s="14" t="n">
        <f aca="false">Summary!$B$5-B1981</f>
        <v>-4247.17718455561</v>
      </c>
      <c r="E1981" s="15" t="n">
        <f aca="false">B1981/Summary!$B$5-1</f>
        <v>0.0424717718455561</v>
      </c>
    </row>
    <row r="1982" customFormat="false" ht="15" hidden="false" customHeight="false" outlineLevel="0" collapsed="false">
      <c r="A1982" s="0" t="n">
        <v>1981</v>
      </c>
      <c r="B1982" s="14" t="n">
        <v>111701.096744396</v>
      </c>
      <c r="C1982" s="15" t="n">
        <v>0.0733805302432868</v>
      </c>
      <c r="D1982" s="14" t="n">
        <f aca="false">Summary!$B$5-B1982</f>
        <v>-11701.0967443963</v>
      </c>
      <c r="E1982" s="15" t="n">
        <f aca="false">B1982/Summary!$B$5-1</f>
        <v>0.117010967443963</v>
      </c>
    </row>
    <row r="1983" customFormat="false" ht="15" hidden="false" customHeight="false" outlineLevel="0" collapsed="false">
      <c r="A1983" s="0" t="n">
        <v>1982</v>
      </c>
      <c r="B1983" s="14" t="n">
        <v>113855.853180231</v>
      </c>
      <c r="C1983" s="15" t="n">
        <v>0.0784849867583075</v>
      </c>
      <c r="D1983" s="14" t="n">
        <f aca="false">Summary!$B$5-B1983</f>
        <v>-13855.8531802312</v>
      </c>
      <c r="E1983" s="15" t="n">
        <f aca="false">B1983/Summary!$B$5-1</f>
        <v>0.138558531802312</v>
      </c>
    </row>
    <row r="1984" customFormat="false" ht="15" hidden="false" customHeight="false" outlineLevel="0" collapsed="false">
      <c r="A1984" s="0" t="n">
        <v>1983</v>
      </c>
      <c r="B1984" s="14" t="n">
        <v>111657.608632599</v>
      </c>
      <c r="C1984" s="15" t="n">
        <v>0.0795219615339468</v>
      </c>
      <c r="D1984" s="14" t="n">
        <f aca="false">Summary!$B$5-B1984</f>
        <v>-11657.6086325987</v>
      </c>
      <c r="E1984" s="15" t="n">
        <f aca="false">B1984/Summary!$B$5-1</f>
        <v>0.116576086325987</v>
      </c>
    </row>
    <row r="1985" customFormat="false" ht="15" hidden="false" customHeight="false" outlineLevel="0" collapsed="false">
      <c r="A1985" s="0" t="n">
        <v>1984</v>
      </c>
      <c r="B1985" s="14" t="n">
        <v>95937.3861449784</v>
      </c>
      <c r="C1985" s="15" t="n">
        <v>0.104490152698732</v>
      </c>
      <c r="D1985" s="14" t="n">
        <f aca="false">Summary!$B$5-B1985</f>
        <v>4062.61385502163</v>
      </c>
      <c r="E1985" s="15" t="n">
        <f aca="false">B1985/Summary!$B$5-1</f>
        <v>-0.0406261385502162</v>
      </c>
    </row>
    <row r="1986" customFormat="false" ht="15" hidden="false" customHeight="false" outlineLevel="0" collapsed="false">
      <c r="A1986" s="0" t="n">
        <v>1985</v>
      </c>
      <c r="B1986" s="14" t="n">
        <v>91920.1893991798</v>
      </c>
      <c r="C1986" s="15" t="n">
        <v>0.116100220959961</v>
      </c>
      <c r="D1986" s="14" t="n">
        <f aca="false">Summary!$B$5-B1986</f>
        <v>8079.81060082023</v>
      </c>
      <c r="E1986" s="15" t="n">
        <f aca="false">B1986/Summary!$B$5-1</f>
        <v>-0.0807981060082023</v>
      </c>
    </row>
    <row r="1987" customFormat="false" ht="15" hidden="false" customHeight="false" outlineLevel="0" collapsed="false">
      <c r="A1987" s="0" t="n">
        <v>1986</v>
      </c>
      <c r="B1987" s="14" t="n">
        <v>96219.732124209</v>
      </c>
      <c r="C1987" s="15" t="n">
        <v>0.105971915519862</v>
      </c>
      <c r="D1987" s="14" t="n">
        <f aca="false">Summary!$B$5-B1987</f>
        <v>3780.26787579103</v>
      </c>
      <c r="E1987" s="15" t="n">
        <f aca="false">B1987/Summary!$B$5-1</f>
        <v>-0.0378026787579103</v>
      </c>
    </row>
    <row r="1988" customFormat="false" ht="15" hidden="false" customHeight="false" outlineLevel="0" collapsed="false">
      <c r="A1988" s="0" t="n">
        <v>1987</v>
      </c>
      <c r="B1988" s="14" t="n">
        <v>89880.9580860728</v>
      </c>
      <c r="C1988" s="15" t="n">
        <v>0.172576809686945</v>
      </c>
      <c r="D1988" s="14" t="n">
        <f aca="false">Summary!$B$5-B1988</f>
        <v>10119.0419139272</v>
      </c>
      <c r="E1988" s="15" t="n">
        <f aca="false">B1988/Summary!$B$5-1</f>
        <v>-0.101190419139272</v>
      </c>
    </row>
    <row r="1989" customFormat="false" ht="15" hidden="false" customHeight="false" outlineLevel="0" collapsed="false">
      <c r="A1989" s="0" t="n">
        <v>1988</v>
      </c>
      <c r="B1989" s="14" t="n">
        <v>117180.279308546</v>
      </c>
      <c r="C1989" s="15" t="n">
        <v>0.0808290084654241</v>
      </c>
      <c r="D1989" s="14" t="n">
        <f aca="false">Summary!$B$5-B1989</f>
        <v>-17180.2793085457</v>
      </c>
      <c r="E1989" s="15" t="n">
        <f aca="false">B1989/Summary!$B$5-1</f>
        <v>0.171802793085457</v>
      </c>
    </row>
    <row r="1990" customFormat="false" ht="15" hidden="false" customHeight="false" outlineLevel="0" collapsed="false">
      <c r="A1990" s="0" t="n">
        <v>1989</v>
      </c>
      <c r="B1990" s="14" t="n">
        <v>128139.16072558</v>
      </c>
      <c r="C1990" s="15" t="n">
        <v>0.0460522074228394</v>
      </c>
      <c r="D1990" s="14" t="n">
        <f aca="false">Summary!$B$5-B1990</f>
        <v>-28139.1607255795</v>
      </c>
      <c r="E1990" s="15" t="n">
        <f aca="false">B1990/Summary!$B$5-1</f>
        <v>0.281391607255795</v>
      </c>
    </row>
    <row r="1991" customFormat="false" ht="15" hidden="false" customHeight="false" outlineLevel="0" collapsed="false">
      <c r="A1991" s="0" t="n">
        <v>1990</v>
      </c>
      <c r="B1991" s="14" t="n">
        <v>78031.811802308</v>
      </c>
      <c r="C1991" s="15" t="n">
        <v>0.241600793035978</v>
      </c>
      <c r="D1991" s="14" t="n">
        <f aca="false">Summary!$B$5-B1991</f>
        <v>21968.188197692</v>
      </c>
      <c r="E1991" s="15" t="n">
        <f aca="false">B1991/Summary!$B$5-1</f>
        <v>-0.21968188197692</v>
      </c>
    </row>
    <row r="1992" customFormat="false" ht="15" hidden="false" customHeight="false" outlineLevel="0" collapsed="false">
      <c r="A1992" s="0" t="n">
        <v>1991</v>
      </c>
      <c r="B1992" s="14" t="n">
        <v>86373.2707229859</v>
      </c>
      <c r="C1992" s="15" t="n">
        <v>0.209415609371462</v>
      </c>
      <c r="D1992" s="14" t="n">
        <f aca="false">Summary!$B$5-B1992</f>
        <v>13626.7292770141</v>
      </c>
      <c r="E1992" s="15" t="n">
        <f aca="false">B1992/Summary!$B$5-1</f>
        <v>-0.136267292770141</v>
      </c>
    </row>
    <row r="1993" customFormat="false" ht="15" hidden="false" customHeight="false" outlineLevel="0" collapsed="false">
      <c r="A1993" s="0" t="n">
        <v>1992</v>
      </c>
      <c r="B1993" s="14" t="n">
        <v>117772.771117932</v>
      </c>
      <c r="C1993" s="15" t="n">
        <v>0.0803740280690978</v>
      </c>
      <c r="D1993" s="14" t="n">
        <f aca="false">Summary!$B$5-B1993</f>
        <v>-17772.7711179316</v>
      </c>
      <c r="E1993" s="15" t="n">
        <f aca="false">B1993/Summary!$B$5-1</f>
        <v>0.177727711179316</v>
      </c>
    </row>
    <row r="1994" customFormat="false" ht="15" hidden="false" customHeight="false" outlineLevel="0" collapsed="false">
      <c r="A1994" s="0" t="n">
        <v>1993</v>
      </c>
      <c r="B1994" s="14" t="n">
        <v>122628.692941812</v>
      </c>
      <c r="C1994" s="15" t="n">
        <v>0.0647044600095368</v>
      </c>
      <c r="D1994" s="14" t="n">
        <f aca="false">Summary!$B$5-B1994</f>
        <v>-22628.6929418118</v>
      </c>
      <c r="E1994" s="15" t="n">
        <f aca="false">B1994/Summary!$B$5-1</f>
        <v>0.226286929418118</v>
      </c>
    </row>
    <row r="1995" customFormat="false" ht="15" hidden="false" customHeight="false" outlineLevel="0" collapsed="false">
      <c r="A1995" s="0" t="n">
        <v>1994</v>
      </c>
      <c r="B1995" s="14" t="n">
        <v>95699.9354411327</v>
      </c>
      <c r="C1995" s="15" t="n">
        <v>0.123115297330094</v>
      </c>
      <c r="D1995" s="14" t="n">
        <f aca="false">Summary!$B$5-B1995</f>
        <v>4300.06455886729</v>
      </c>
      <c r="E1995" s="15" t="n">
        <f aca="false">B1995/Summary!$B$5-1</f>
        <v>-0.0430006455886729</v>
      </c>
    </row>
    <row r="1996" customFormat="false" ht="15" hidden="false" customHeight="false" outlineLevel="0" collapsed="false">
      <c r="A1996" s="0" t="n">
        <v>1995</v>
      </c>
      <c r="B1996" s="14" t="n">
        <v>95663.685940474</v>
      </c>
      <c r="C1996" s="15" t="n">
        <v>0.127347621818973</v>
      </c>
      <c r="D1996" s="14" t="n">
        <f aca="false">Summary!$B$5-B1996</f>
        <v>4336.31405952599</v>
      </c>
      <c r="E1996" s="15" t="n">
        <f aca="false">B1996/Summary!$B$5-1</f>
        <v>-0.0433631405952599</v>
      </c>
    </row>
    <row r="1997" customFormat="false" ht="15" hidden="false" customHeight="false" outlineLevel="0" collapsed="false">
      <c r="A1997" s="0" t="n">
        <v>1996</v>
      </c>
      <c r="B1997" s="14" t="n">
        <v>103859.353119969</v>
      </c>
      <c r="C1997" s="15" t="n">
        <v>0.10349765479378</v>
      </c>
      <c r="D1997" s="14" t="n">
        <f aca="false">Summary!$B$5-B1997</f>
        <v>-3859.3531199686</v>
      </c>
      <c r="E1997" s="15" t="n">
        <f aca="false">B1997/Summary!$B$5-1</f>
        <v>0.0385935311996859</v>
      </c>
    </row>
    <row r="1998" customFormat="false" ht="15" hidden="false" customHeight="false" outlineLevel="0" collapsed="false">
      <c r="A1998" s="0" t="n">
        <v>1997</v>
      </c>
      <c r="B1998" s="14" t="n">
        <v>82276.7666387893</v>
      </c>
      <c r="C1998" s="15" t="n">
        <v>0.217899910155747</v>
      </c>
      <c r="D1998" s="14" t="n">
        <f aca="false">Summary!$B$5-B1998</f>
        <v>17723.2333612107</v>
      </c>
      <c r="E1998" s="15" t="n">
        <f aca="false">B1998/Summary!$B$5-1</f>
        <v>-0.177232333612107</v>
      </c>
    </row>
    <row r="1999" customFormat="false" ht="15" hidden="false" customHeight="false" outlineLevel="0" collapsed="false">
      <c r="A1999" s="0" t="n">
        <v>1998</v>
      </c>
      <c r="B1999" s="14" t="n">
        <v>108695.026766446</v>
      </c>
      <c r="C1999" s="15" t="n">
        <v>0.0906803318003766</v>
      </c>
      <c r="D1999" s="14" t="n">
        <f aca="false">Summary!$B$5-B1999</f>
        <v>-8695.02676644579</v>
      </c>
      <c r="E1999" s="15" t="n">
        <f aca="false">B1999/Summary!$B$5-1</f>
        <v>0.086950267664458</v>
      </c>
    </row>
    <row r="2000" customFormat="false" ht="15" hidden="false" customHeight="false" outlineLevel="0" collapsed="false">
      <c r="A2000" s="0" t="n">
        <v>1999</v>
      </c>
      <c r="B2000" s="14" t="n">
        <v>130301.762868933</v>
      </c>
      <c r="C2000" s="15" t="n">
        <v>0.0611515469629623</v>
      </c>
      <c r="D2000" s="14" t="n">
        <f aca="false">Summary!$B$5-B2000</f>
        <v>-30301.7628689333</v>
      </c>
      <c r="E2000" s="15" t="n">
        <f aca="false">B2000/Summary!$B$5-1</f>
        <v>0.303017628689333</v>
      </c>
    </row>
    <row r="2001" customFormat="false" ht="15" hidden="false" customHeight="false" outlineLevel="0" collapsed="false">
      <c r="A2001" s="0" t="n">
        <v>2000</v>
      </c>
      <c r="B2001" s="14" t="n">
        <v>107549.270352801</v>
      </c>
      <c r="C2001" s="15" t="n">
        <v>0.122410197883011</v>
      </c>
      <c r="D2001" s="14" t="n">
        <f aca="false">Summary!$B$5-B2001</f>
        <v>-7549.2703528007</v>
      </c>
      <c r="E2001" s="15" t="n">
        <f aca="false">B2001/Summary!$B$5-1</f>
        <v>0.0754927035280071</v>
      </c>
    </row>
    <row r="2002" customFormat="false" ht="15" hidden="false" customHeight="false" outlineLevel="0" collapsed="false">
      <c r="A2002" s="0" t="n">
        <v>2001</v>
      </c>
      <c r="B2002" s="14" t="n">
        <v>114489.973043032</v>
      </c>
      <c r="C2002" s="15" t="n">
        <v>0.0684021258963314</v>
      </c>
      <c r="D2002" s="14" t="n">
        <f aca="false">Summary!$B$5-B2002</f>
        <v>-14489.9730430318</v>
      </c>
      <c r="E2002" s="15" t="n">
        <f aca="false">B2002/Summary!$B$5-1</f>
        <v>0.144899730430318</v>
      </c>
    </row>
    <row r="2003" customFormat="false" ht="15" hidden="false" customHeight="false" outlineLevel="0" collapsed="false">
      <c r="A2003" s="0" t="n">
        <v>2002</v>
      </c>
      <c r="B2003" s="14" t="n">
        <v>110426.464160612</v>
      </c>
      <c r="C2003" s="15" t="n">
        <v>0.0597624614044263</v>
      </c>
      <c r="D2003" s="14" t="n">
        <f aca="false">Summary!$B$5-B2003</f>
        <v>-10426.4641606115</v>
      </c>
      <c r="E2003" s="15" t="n">
        <f aca="false">B2003/Summary!$B$5-1</f>
        <v>0.104264641606115</v>
      </c>
    </row>
    <row r="2004" customFormat="false" ht="15" hidden="false" customHeight="false" outlineLevel="0" collapsed="false">
      <c r="A2004" s="0" t="n">
        <v>2003</v>
      </c>
      <c r="B2004" s="14" t="n">
        <v>106411.271528808</v>
      </c>
      <c r="C2004" s="15" t="n">
        <v>0.113155926857016</v>
      </c>
      <c r="D2004" s="14" t="n">
        <f aca="false">Summary!$B$5-B2004</f>
        <v>-6411.27152880809</v>
      </c>
      <c r="E2004" s="15" t="n">
        <f aca="false">B2004/Summary!$B$5-1</f>
        <v>0.0641127152880809</v>
      </c>
    </row>
    <row r="2005" customFormat="false" ht="15" hidden="false" customHeight="false" outlineLevel="0" collapsed="false">
      <c r="A2005" s="0" t="n">
        <v>2004</v>
      </c>
      <c r="B2005" s="14" t="n">
        <v>111213.205703069</v>
      </c>
      <c r="C2005" s="15" t="n">
        <v>0.0685124082368513</v>
      </c>
      <c r="D2005" s="14" t="n">
        <f aca="false">Summary!$B$5-B2005</f>
        <v>-11213.2057030692</v>
      </c>
      <c r="E2005" s="15" t="n">
        <f aca="false">B2005/Summary!$B$5-1</f>
        <v>0.112132057030692</v>
      </c>
    </row>
    <row r="2006" customFormat="false" ht="15" hidden="false" customHeight="false" outlineLevel="0" collapsed="false">
      <c r="A2006" s="0" t="n">
        <v>2005</v>
      </c>
      <c r="B2006" s="14" t="n">
        <v>102482.848342821</v>
      </c>
      <c r="C2006" s="15" t="n">
        <v>0.0793755425619939</v>
      </c>
      <c r="D2006" s="14" t="n">
        <f aca="false">Summary!$B$5-B2006</f>
        <v>-2482.84834282121</v>
      </c>
      <c r="E2006" s="15" t="n">
        <f aca="false">B2006/Summary!$B$5-1</f>
        <v>0.024828483428212</v>
      </c>
    </row>
    <row r="2007" customFormat="false" ht="15" hidden="false" customHeight="false" outlineLevel="0" collapsed="false">
      <c r="A2007" s="0" t="n">
        <v>2006</v>
      </c>
      <c r="B2007" s="14" t="n">
        <v>99245.0036228092</v>
      </c>
      <c r="C2007" s="15" t="n">
        <v>0.138202203000946</v>
      </c>
      <c r="D2007" s="14" t="n">
        <f aca="false">Summary!$B$5-B2007</f>
        <v>754.996377190779</v>
      </c>
      <c r="E2007" s="15" t="n">
        <f aca="false">B2007/Summary!$B$5-1</f>
        <v>-0.00754996377190775</v>
      </c>
    </row>
    <row r="2008" customFormat="false" ht="15" hidden="false" customHeight="false" outlineLevel="0" collapsed="false">
      <c r="A2008" s="0" t="n">
        <v>2007</v>
      </c>
      <c r="B2008" s="14" t="n">
        <v>91726.3811956348</v>
      </c>
      <c r="C2008" s="15" t="n">
        <v>0.10639113531095</v>
      </c>
      <c r="D2008" s="14" t="n">
        <f aca="false">Summary!$B$5-B2008</f>
        <v>8273.61880436524</v>
      </c>
      <c r="E2008" s="15" t="n">
        <f aca="false">B2008/Summary!$B$5-1</f>
        <v>-0.0827361880436524</v>
      </c>
    </row>
    <row r="2009" customFormat="false" ht="15" hidden="false" customHeight="false" outlineLevel="0" collapsed="false">
      <c r="A2009" s="0" t="n">
        <v>2008</v>
      </c>
      <c r="B2009" s="14" t="n">
        <v>102731.538563505</v>
      </c>
      <c r="C2009" s="15" t="n">
        <v>0.0866436053965831</v>
      </c>
      <c r="D2009" s="14" t="n">
        <f aca="false">Summary!$B$5-B2009</f>
        <v>-2731.5385635047</v>
      </c>
      <c r="E2009" s="15" t="n">
        <f aca="false">B2009/Summary!$B$5-1</f>
        <v>0.027315385635047</v>
      </c>
    </row>
    <row r="2010" customFormat="false" ht="15" hidden="false" customHeight="false" outlineLevel="0" collapsed="false">
      <c r="A2010" s="0" t="n">
        <v>2009</v>
      </c>
      <c r="B2010" s="14" t="n">
        <v>106394.50030436</v>
      </c>
      <c r="C2010" s="15" t="n">
        <v>0.102809500733302</v>
      </c>
      <c r="D2010" s="14" t="n">
        <f aca="false">Summary!$B$5-B2010</f>
        <v>-6394.50030435959</v>
      </c>
      <c r="E2010" s="15" t="n">
        <f aca="false">B2010/Summary!$B$5-1</f>
        <v>0.063945003043596</v>
      </c>
    </row>
    <row r="2011" customFormat="false" ht="15" hidden="false" customHeight="false" outlineLevel="0" collapsed="false">
      <c r="A2011" s="0" t="n">
        <v>2010</v>
      </c>
      <c r="B2011" s="14" t="n">
        <v>103021.463969956</v>
      </c>
      <c r="C2011" s="15" t="n">
        <v>0.161948288152326</v>
      </c>
      <c r="D2011" s="14" t="n">
        <f aca="false">Summary!$B$5-B2011</f>
        <v>-3021.4639699558</v>
      </c>
      <c r="E2011" s="15" t="n">
        <f aca="false">B2011/Summary!$B$5-1</f>
        <v>0.030214639699558</v>
      </c>
    </row>
    <row r="2012" customFormat="false" ht="15" hidden="false" customHeight="false" outlineLevel="0" collapsed="false">
      <c r="A2012" s="0" t="n">
        <v>2011</v>
      </c>
      <c r="B2012" s="14" t="n">
        <v>105582.94592535</v>
      </c>
      <c r="C2012" s="15" t="n">
        <v>0.0892840172404398</v>
      </c>
      <c r="D2012" s="14" t="n">
        <f aca="false">Summary!$B$5-B2012</f>
        <v>-5582.9459253497</v>
      </c>
      <c r="E2012" s="15" t="n">
        <f aca="false">B2012/Summary!$B$5-1</f>
        <v>0.0558294592534971</v>
      </c>
    </row>
    <row r="2013" customFormat="false" ht="15" hidden="false" customHeight="false" outlineLevel="0" collapsed="false">
      <c r="A2013" s="0" t="n">
        <v>2012</v>
      </c>
      <c r="B2013" s="14" t="n">
        <v>96710.4420015892</v>
      </c>
      <c r="C2013" s="15" t="n">
        <v>0.0803044109546032</v>
      </c>
      <c r="D2013" s="14" t="n">
        <f aca="false">Summary!$B$5-B2013</f>
        <v>3289.5579984108</v>
      </c>
      <c r="E2013" s="15" t="n">
        <f aca="false">B2013/Summary!$B$5-1</f>
        <v>-0.0328955799841081</v>
      </c>
    </row>
    <row r="2014" customFormat="false" ht="15" hidden="false" customHeight="false" outlineLevel="0" collapsed="false">
      <c r="A2014" s="0" t="n">
        <v>2013</v>
      </c>
      <c r="B2014" s="14" t="n">
        <v>116796.118933825</v>
      </c>
      <c r="C2014" s="15" t="n">
        <v>0.111954836411612</v>
      </c>
      <c r="D2014" s="14" t="n">
        <f aca="false">Summary!$B$5-B2014</f>
        <v>-16796.1189338248</v>
      </c>
      <c r="E2014" s="15" t="n">
        <f aca="false">B2014/Summary!$B$5-1</f>
        <v>0.167961189338248</v>
      </c>
    </row>
    <row r="2015" customFormat="false" ht="15" hidden="false" customHeight="false" outlineLevel="0" collapsed="false">
      <c r="A2015" s="0" t="n">
        <v>2014</v>
      </c>
      <c r="B2015" s="14" t="n">
        <v>114912.774389976</v>
      </c>
      <c r="C2015" s="15" t="n">
        <v>0.0815765076843319</v>
      </c>
      <c r="D2015" s="14" t="n">
        <f aca="false">Summary!$B$5-B2015</f>
        <v>-14912.7743899755</v>
      </c>
      <c r="E2015" s="15" t="n">
        <f aca="false">B2015/Summary!$B$5-1</f>
        <v>0.149127743899755</v>
      </c>
    </row>
    <row r="2016" customFormat="false" ht="15" hidden="false" customHeight="false" outlineLevel="0" collapsed="false">
      <c r="A2016" s="0" t="n">
        <v>2015</v>
      </c>
      <c r="B2016" s="14" t="n">
        <v>109377.011652712</v>
      </c>
      <c r="C2016" s="15" t="n">
        <v>0.094579466931327</v>
      </c>
      <c r="D2016" s="14" t="n">
        <f aca="false">Summary!$B$5-B2016</f>
        <v>-9377.0116527122</v>
      </c>
      <c r="E2016" s="15" t="n">
        <f aca="false">B2016/Summary!$B$5-1</f>
        <v>0.0937701165271221</v>
      </c>
    </row>
    <row r="2017" customFormat="false" ht="15" hidden="false" customHeight="false" outlineLevel="0" collapsed="false">
      <c r="A2017" s="0" t="n">
        <v>2016</v>
      </c>
      <c r="B2017" s="14" t="n">
        <v>108355.249308826</v>
      </c>
      <c r="C2017" s="15" t="n">
        <v>0.118684321646424</v>
      </c>
      <c r="D2017" s="14" t="n">
        <f aca="false">Summary!$B$5-B2017</f>
        <v>-8355.2493088255</v>
      </c>
      <c r="E2017" s="15" t="n">
        <f aca="false">B2017/Summary!$B$5-1</f>
        <v>0.083552493088255</v>
      </c>
    </row>
    <row r="2018" customFormat="false" ht="15" hidden="false" customHeight="false" outlineLevel="0" collapsed="false">
      <c r="A2018" s="0" t="n">
        <v>2017</v>
      </c>
      <c r="B2018" s="14" t="n">
        <v>123062.204670756</v>
      </c>
      <c r="C2018" s="15" t="n">
        <v>0.0733901279690623</v>
      </c>
      <c r="D2018" s="14" t="n">
        <f aca="false">Summary!$B$5-B2018</f>
        <v>-23062.2046707557</v>
      </c>
      <c r="E2018" s="15" t="n">
        <f aca="false">B2018/Summary!$B$5-1</f>
        <v>0.230622046707557</v>
      </c>
    </row>
    <row r="2019" customFormat="false" ht="15" hidden="false" customHeight="false" outlineLevel="0" collapsed="false">
      <c r="A2019" s="0" t="n">
        <v>2018</v>
      </c>
      <c r="B2019" s="14" t="n">
        <v>98879.8009681362</v>
      </c>
      <c r="C2019" s="15" t="n">
        <v>0.0968131738731107</v>
      </c>
      <c r="D2019" s="14" t="n">
        <f aca="false">Summary!$B$5-B2019</f>
        <v>1120.19903186383</v>
      </c>
      <c r="E2019" s="15" t="n">
        <f aca="false">B2019/Summary!$B$5-1</f>
        <v>-0.0112019903186382</v>
      </c>
    </row>
    <row r="2020" customFormat="false" ht="15" hidden="false" customHeight="false" outlineLevel="0" collapsed="false">
      <c r="A2020" s="0" t="n">
        <v>2019</v>
      </c>
      <c r="B2020" s="14" t="n">
        <v>145690.871109025</v>
      </c>
      <c r="C2020" s="15" t="n">
        <v>0.0505249602602693</v>
      </c>
      <c r="D2020" s="14" t="n">
        <f aca="false">Summary!$B$5-B2020</f>
        <v>-45690.8711090247</v>
      </c>
      <c r="E2020" s="15" t="n">
        <f aca="false">B2020/Summary!$B$5-1</f>
        <v>0.456908711090247</v>
      </c>
    </row>
    <row r="2021" customFormat="false" ht="15" hidden="false" customHeight="false" outlineLevel="0" collapsed="false">
      <c r="A2021" s="0" t="n">
        <v>2020</v>
      </c>
      <c r="B2021" s="14" t="n">
        <v>101213.895463336</v>
      </c>
      <c r="C2021" s="15" t="n">
        <v>0.0902772415681016</v>
      </c>
      <c r="D2021" s="14" t="n">
        <f aca="false">Summary!$B$5-B2021</f>
        <v>-1213.895463336</v>
      </c>
      <c r="E2021" s="15" t="n">
        <f aca="false">B2021/Summary!$B$5-1</f>
        <v>0.0121389546333599</v>
      </c>
    </row>
    <row r="2022" customFormat="false" ht="15" hidden="false" customHeight="false" outlineLevel="0" collapsed="false">
      <c r="A2022" s="0" t="n">
        <v>2021</v>
      </c>
      <c r="B2022" s="14" t="n">
        <v>113598.371131106</v>
      </c>
      <c r="C2022" s="15" t="n">
        <v>0.100808283046189</v>
      </c>
      <c r="D2022" s="14" t="n">
        <f aca="false">Summary!$B$5-B2022</f>
        <v>-13598.371131106</v>
      </c>
      <c r="E2022" s="15" t="n">
        <f aca="false">B2022/Summary!$B$5-1</f>
        <v>0.13598371131106</v>
      </c>
    </row>
    <row r="2023" customFormat="false" ht="15" hidden="false" customHeight="false" outlineLevel="0" collapsed="false">
      <c r="A2023" s="0" t="n">
        <v>2022</v>
      </c>
      <c r="B2023" s="14" t="n">
        <v>105963.428346755</v>
      </c>
      <c r="C2023" s="15" t="n">
        <v>0.118871886049743</v>
      </c>
      <c r="D2023" s="14" t="n">
        <f aca="false">Summary!$B$5-B2023</f>
        <v>-5963.4283467552</v>
      </c>
      <c r="E2023" s="15" t="n">
        <f aca="false">B2023/Summary!$B$5-1</f>
        <v>0.0596342834675521</v>
      </c>
    </row>
    <row r="2024" customFormat="false" ht="15" hidden="false" customHeight="false" outlineLevel="0" collapsed="false">
      <c r="A2024" s="0" t="n">
        <v>2023</v>
      </c>
      <c r="B2024" s="14" t="n">
        <v>133605.840379002</v>
      </c>
      <c r="C2024" s="15" t="n">
        <v>0.0594527236282952</v>
      </c>
      <c r="D2024" s="14" t="n">
        <f aca="false">Summary!$B$5-B2024</f>
        <v>-33605.8403790016</v>
      </c>
      <c r="E2024" s="15" t="n">
        <f aca="false">B2024/Summary!$B$5-1</f>
        <v>0.336058403790016</v>
      </c>
    </row>
    <row r="2025" customFormat="false" ht="15" hidden="false" customHeight="false" outlineLevel="0" collapsed="false">
      <c r="A2025" s="0" t="n">
        <v>2024</v>
      </c>
      <c r="B2025" s="14" t="n">
        <v>131312.100328219</v>
      </c>
      <c r="C2025" s="15" t="n">
        <v>0.0519956053176065</v>
      </c>
      <c r="D2025" s="14" t="n">
        <f aca="false">Summary!$B$5-B2025</f>
        <v>-31312.1003282192</v>
      </c>
      <c r="E2025" s="15" t="n">
        <f aca="false">B2025/Summary!$B$5-1</f>
        <v>0.313121003282192</v>
      </c>
    </row>
    <row r="2026" customFormat="false" ht="15" hidden="false" customHeight="false" outlineLevel="0" collapsed="false">
      <c r="A2026" s="0" t="n">
        <v>2025</v>
      </c>
      <c r="B2026" s="14" t="n">
        <v>108432.952413029</v>
      </c>
      <c r="C2026" s="15" t="n">
        <v>0.075945514382292</v>
      </c>
      <c r="D2026" s="14" t="n">
        <f aca="false">Summary!$B$5-B2026</f>
        <v>-8432.9524130286</v>
      </c>
      <c r="E2026" s="15" t="n">
        <f aca="false">B2026/Summary!$B$5-1</f>
        <v>0.0843295241302859</v>
      </c>
    </row>
    <row r="2027" customFormat="false" ht="15" hidden="false" customHeight="false" outlineLevel="0" collapsed="false">
      <c r="A2027" s="0" t="n">
        <v>2026</v>
      </c>
      <c r="B2027" s="14" t="n">
        <v>130437.970386396</v>
      </c>
      <c r="C2027" s="15" t="n">
        <v>0.0704262536328075</v>
      </c>
      <c r="D2027" s="14" t="n">
        <f aca="false">Summary!$B$5-B2027</f>
        <v>-30437.9703863957</v>
      </c>
      <c r="E2027" s="15" t="n">
        <f aca="false">B2027/Summary!$B$5-1</f>
        <v>0.304379703863957</v>
      </c>
    </row>
    <row r="2028" customFormat="false" ht="15" hidden="false" customHeight="false" outlineLevel="0" collapsed="false">
      <c r="A2028" s="0" t="n">
        <v>2027</v>
      </c>
      <c r="B2028" s="14" t="n">
        <v>97720.8379286403</v>
      </c>
      <c r="C2028" s="15" t="n">
        <v>0.100232306046976</v>
      </c>
      <c r="D2028" s="14" t="n">
        <f aca="false">Summary!$B$5-B2028</f>
        <v>2279.16207135971</v>
      </c>
      <c r="E2028" s="15" t="n">
        <f aca="false">B2028/Summary!$B$5-1</f>
        <v>-0.0227916207135971</v>
      </c>
    </row>
    <row r="2029" customFormat="false" ht="15" hidden="false" customHeight="false" outlineLevel="0" collapsed="false">
      <c r="A2029" s="0" t="n">
        <v>2028</v>
      </c>
      <c r="B2029" s="14" t="n">
        <v>107663.238714623</v>
      </c>
      <c r="C2029" s="15" t="n">
        <v>0.0771164113090831</v>
      </c>
      <c r="D2029" s="14" t="n">
        <f aca="false">Summary!$B$5-B2029</f>
        <v>-7663.23871462321</v>
      </c>
      <c r="E2029" s="15" t="n">
        <f aca="false">B2029/Summary!$B$5-1</f>
        <v>0.076632387146232</v>
      </c>
    </row>
    <row r="2030" customFormat="false" ht="15" hidden="false" customHeight="false" outlineLevel="0" collapsed="false">
      <c r="A2030" s="0" t="n">
        <v>2029</v>
      </c>
      <c r="B2030" s="14" t="n">
        <v>96284.8742725485</v>
      </c>
      <c r="C2030" s="15" t="n">
        <v>0.101417779234239</v>
      </c>
      <c r="D2030" s="14" t="n">
        <f aca="false">Summary!$B$5-B2030</f>
        <v>3715.12572745154</v>
      </c>
      <c r="E2030" s="15" t="n">
        <f aca="false">B2030/Summary!$B$5-1</f>
        <v>-0.0371512572745154</v>
      </c>
    </row>
    <row r="2031" customFormat="false" ht="15" hidden="false" customHeight="false" outlineLevel="0" collapsed="false">
      <c r="A2031" s="0" t="n">
        <v>2030</v>
      </c>
      <c r="B2031" s="14" t="n">
        <v>103666.680971131</v>
      </c>
      <c r="C2031" s="15" t="n">
        <v>0.127047226455979</v>
      </c>
      <c r="D2031" s="14" t="n">
        <f aca="false">Summary!$B$5-B2031</f>
        <v>-3666.6809711308</v>
      </c>
      <c r="E2031" s="15" t="n">
        <f aca="false">B2031/Summary!$B$5-1</f>
        <v>0.0366668097113081</v>
      </c>
    </row>
    <row r="2032" customFormat="false" ht="15" hidden="false" customHeight="false" outlineLevel="0" collapsed="false">
      <c r="A2032" s="0" t="n">
        <v>2031</v>
      </c>
      <c r="B2032" s="14" t="n">
        <v>101727.565800319</v>
      </c>
      <c r="C2032" s="15" t="n">
        <v>0.142397618254141</v>
      </c>
      <c r="D2032" s="14" t="n">
        <f aca="false">Summary!$B$5-B2032</f>
        <v>-1727.56580031849</v>
      </c>
      <c r="E2032" s="15" t="n">
        <f aca="false">B2032/Summary!$B$5-1</f>
        <v>0.017275658003185</v>
      </c>
    </row>
    <row r="2033" customFormat="false" ht="15" hidden="false" customHeight="false" outlineLevel="0" collapsed="false">
      <c r="A2033" s="0" t="n">
        <v>2032</v>
      </c>
      <c r="B2033" s="14" t="n">
        <v>116544.21974005</v>
      </c>
      <c r="C2033" s="15" t="n">
        <v>0.0955263435429371</v>
      </c>
      <c r="D2033" s="14" t="n">
        <f aca="false">Summary!$B$5-B2033</f>
        <v>-16544.2197400503</v>
      </c>
      <c r="E2033" s="15" t="n">
        <f aca="false">B2033/Summary!$B$5-1</f>
        <v>0.165442197400503</v>
      </c>
    </row>
    <row r="2034" customFormat="false" ht="15" hidden="false" customHeight="false" outlineLevel="0" collapsed="false">
      <c r="A2034" s="0" t="n">
        <v>2033</v>
      </c>
      <c r="B2034" s="14" t="n">
        <v>101983.476702776</v>
      </c>
      <c r="C2034" s="15" t="n">
        <v>0.0637914814128966</v>
      </c>
      <c r="D2034" s="14" t="n">
        <f aca="false">Summary!$B$5-B2034</f>
        <v>-1983.4767027756</v>
      </c>
      <c r="E2034" s="15" t="n">
        <f aca="false">B2034/Summary!$B$5-1</f>
        <v>0.0198347670277561</v>
      </c>
    </row>
    <row r="2035" customFormat="false" ht="15" hidden="false" customHeight="false" outlineLevel="0" collapsed="false">
      <c r="A2035" s="0" t="n">
        <v>2034</v>
      </c>
      <c r="B2035" s="14" t="n">
        <v>100660.012376768</v>
      </c>
      <c r="C2035" s="15" t="n">
        <v>0.112317175606146</v>
      </c>
      <c r="D2035" s="14" t="n">
        <f aca="false">Summary!$B$5-B2035</f>
        <v>-660.012376768005</v>
      </c>
      <c r="E2035" s="15" t="n">
        <f aca="false">B2035/Summary!$B$5-1</f>
        <v>0.00660012376768004</v>
      </c>
    </row>
    <row r="2036" customFormat="false" ht="15" hidden="false" customHeight="false" outlineLevel="0" collapsed="false">
      <c r="A2036" s="0" t="n">
        <v>2035</v>
      </c>
      <c r="B2036" s="14" t="n">
        <v>104767.84201007</v>
      </c>
      <c r="C2036" s="15" t="n">
        <v>0.0735200650231921</v>
      </c>
      <c r="D2036" s="14" t="n">
        <f aca="false">Summary!$B$5-B2036</f>
        <v>-4767.8420100704</v>
      </c>
      <c r="E2036" s="15" t="n">
        <f aca="false">B2036/Summary!$B$5-1</f>
        <v>0.0476784201007039</v>
      </c>
    </row>
    <row r="2037" customFormat="false" ht="15" hidden="false" customHeight="false" outlineLevel="0" collapsed="false">
      <c r="A2037" s="0" t="n">
        <v>2036</v>
      </c>
      <c r="B2037" s="14" t="n">
        <v>108783.443158166</v>
      </c>
      <c r="C2037" s="15" t="n">
        <v>0.0908151718081606</v>
      </c>
      <c r="D2037" s="14" t="n">
        <f aca="false">Summary!$B$5-B2037</f>
        <v>-8783.44315816621</v>
      </c>
      <c r="E2037" s="15" t="n">
        <f aca="false">B2037/Summary!$B$5-1</f>
        <v>0.0878344315816622</v>
      </c>
    </row>
    <row r="2038" customFormat="false" ht="15" hidden="false" customHeight="false" outlineLevel="0" collapsed="false">
      <c r="A2038" s="0" t="n">
        <v>2037</v>
      </c>
      <c r="B2038" s="14" t="n">
        <v>131131.732554075</v>
      </c>
      <c r="C2038" s="15" t="n">
        <v>0.0669553180982889</v>
      </c>
      <c r="D2038" s="14" t="n">
        <f aca="false">Summary!$B$5-B2038</f>
        <v>-31131.7325540746</v>
      </c>
      <c r="E2038" s="15" t="n">
        <f aca="false">B2038/Summary!$B$5-1</f>
        <v>0.311317325540746</v>
      </c>
    </row>
    <row r="2039" customFormat="false" ht="15" hidden="false" customHeight="false" outlineLevel="0" collapsed="false">
      <c r="A2039" s="0" t="n">
        <v>2038</v>
      </c>
      <c r="B2039" s="14" t="n">
        <v>90294.9101334194</v>
      </c>
      <c r="C2039" s="15" t="n">
        <v>0.0970508986658056</v>
      </c>
      <c r="D2039" s="14" t="n">
        <f aca="false">Summary!$B$5-B2039</f>
        <v>9705.08986658056</v>
      </c>
      <c r="E2039" s="15" t="n">
        <f aca="false">B2039/Summary!$B$5-1</f>
        <v>-0.0970508986658056</v>
      </c>
    </row>
    <row r="2040" customFormat="false" ht="15" hidden="false" customHeight="false" outlineLevel="0" collapsed="false">
      <c r="A2040" s="0" t="n">
        <v>2039</v>
      </c>
      <c r="B2040" s="14" t="n">
        <v>102450.963150566</v>
      </c>
      <c r="C2040" s="15" t="n">
        <v>0.0834907479616854</v>
      </c>
      <c r="D2040" s="14" t="n">
        <f aca="false">Summary!$B$5-B2040</f>
        <v>-2450.9631505662</v>
      </c>
      <c r="E2040" s="15" t="n">
        <f aca="false">B2040/Summary!$B$5-1</f>
        <v>0.0245096315056619</v>
      </c>
    </row>
    <row r="2041" customFormat="false" ht="15" hidden="false" customHeight="false" outlineLevel="0" collapsed="false">
      <c r="A2041" s="0" t="n">
        <v>2040</v>
      </c>
      <c r="B2041" s="14" t="n">
        <v>93154.122423156</v>
      </c>
      <c r="C2041" s="15" t="n">
        <v>0.137066751667847</v>
      </c>
      <c r="D2041" s="14" t="n">
        <f aca="false">Summary!$B$5-B2041</f>
        <v>6845.87757684398</v>
      </c>
      <c r="E2041" s="15" t="n">
        <f aca="false">B2041/Summary!$B$5-1</f>
        <v>-0.0684587757684398</v>
      </c>
    </row>
    <row r="2042" customFormat="false" ht="15" hidden="false" customHeight="false" outlineLevel="0" collapsed="false">
      <c r="A2042" s="0" t="n">
        <v>2041</v>
      </c>
      <c r="B2042" s="14" t="n">
        <v>127497.804226946</v>
      </c>
      <c r="C2042" s="15" t="n">
        <v>0.0491340049549057</v>
      </c>
      <c r="D2042" s="14" t="n">
        <f aca="false">Summary!$B$5-B2042</f>
        <v>-27497.8042269456</v>
      </c>
      <c r="E2042" s="15" t="n">
        <f aca="false">B2042/Summary!$B$5-1</f>
        <v>0.274978042269456</v>
      </c>
    </row>
    <row r="2043" customFormat="false" ht="15" hidden="false" customHeight="false" outlineLevel="0" collapsed="false">
      <c r="A2043" s="0" t="n">
        <v>2042</v>
      </c>
      <c r="B2043" s="14" t="n">
        <v>102482.744793684</v>
      </c>
      <c r="C2043" s="15" t="n">
        <v>0.0934892933311268</v>
      </c>
      <c r="D2043" s="14" t="n">
        <f aca="false">Summary!$B$5-B2043</f>
        <v>-2482.7447936838</v>
      </c>
      <c r="E2043" s="15" t="n">
        <f aca="false">B2043/Summary!$B$5-1</f>
        <v>0.024827447936838</v>
      </c>
    </row>
    <row r="2044" customFormat="false" ht="15" hidden="false" customHeight="false" outlineLevel="0" collapsed="false">
      <c r="A2044" s="0" t="n">
        <v>2043</v>
      </c>
      <c r="B2044" s="14" t="n">
        <v>94981.2542982951</v>
      </c>
      <c r="C2044" s="15" t="n">
        <v>0.120631522197059</v>
      </c>
      <c r="D2044" s="14" t="n">
        <f aca="false">Summary!$B$5-B2044</f>
        <v>5018.74570170487</v>
      </c>
      <c r="E2044" s="15" t="n">
        <f aca="false">B2044/Summary!$B$5-1</f>
        <v>-0.0501874570170487</v>
      </c>
    </row>
    <row r="2045" customFormat="false" ht="15" hidden="false" customHeight="false" outlineLevel="0" collapsed="false">
      <c r="A2045" s="0" t="n">
        <v>2044</v>
      </c>
      <c r="B2045" s="14" t="n">
        <v>126058.749178739</v>
      </c>
      <c r="C2045" s="15" t="n">
        <v>0.0526435546113891</v>
      </c>
      <c r="D2045" s="14" t="n">
        <f aca="false">Summary!$B$5-B2045</f>
        <v>-26058.7491787388</v>
      </c>
      <c r="E2045" s="15" t="n">
        <f aca="false">B2045/Summary!$B$5-1</f>
        <v>0.260587491787388</v>
      </c>
    </row>
    <row r="2046" customFormat="false" ht="15" hidden="false" customHeight="false" outlineLevel="0" collapsed="false">
      <c r="A2046" s="0" t="n">
        <v>2045</v>
      </c>
      <c r="B2046" s="14" t="n">
        <v>88522.0392490512</v>
      </c>
      <c r="C2046" s="15" t="n">
        <v>0.155142156643719</v>
      </c>
      <c r="D2046" s="14" t="n">
        <f aca="false">Summary!$B$5-B2046</f>
        <v>11477.9607509488</v>
      </c>
      <c r="E2046" s="15" t="n">
        <f aca="false">B2046/Summary!$B$5-1</f>
        <v>-0.114779607509488</v>
      </c>
    </row>
    <row r="2047" customFormat="false" ht="15" hidden="false" customHeight="false" outlineLevel="0" collapsed="false">
      <c r="A2047" s="0" t="n">
        <v>2046</v>
      </c>
      <c r="B2047" s="14" t="n">
        <v>105414.526226882</v>
      </c>
      <c r="C2047" s="15" t="n">
        <v>0.113211051001064</v>
      </c>
      <c r="D2047" s="14" t="n">
        <f aca="false">Summary!$B$5-B2047</f>
        <v>-5414.52622688199</v>
      </c>
      <c r="E2047" s="15" t="n">
        <f aca="false">B2047/Summary!$B$5-1</f>
        <v>0.0541452622688199</v>
      </c>
    </row>
    <row r="2048" customFormat="false" ht="15" hidden="false" customHeight="false" outlineLevel="0" collapsed="false">
      <c r="A2048" s="0" t="n">
        <v>2047</v>
      </c>
      <c r="B2048" s="14" t="n">
        <v>115272.427664681</v>
      </c>
      <c r="C2048" s="15" t="n">
        <v>0.0776384617307976</v>
      </c>
      <c r="D2048" s="14" t="n">
        <f aca="false">Summary!$B$5-B2048</f>
        <v>-15272.427664681</v>
      </c>
      <c r="E2048" s="15" t="n">
        <f aca="false">B2048/Summary!$B$5-1</f>
        <v>0.15272427664681</v>
      </c>
    </row>
    <row r="2049" customFormat="false" ht="15" hidden="false" customHeight="false" outlineLevel="0" collapsed="false">
      <c r="A2049" s="0" t="n">
        <v>2048</v>
      </c>
      <c r="B2049" s="14" t="n">
        <v>106614.718259353</v>
      </c>
      <c r="C2049" s="15" t="n">
        <v>0.083517949181956</v>
      </c>
      <c r="D2049" s="14" t="n">
        <f aca="false">Summary!$B$5-B2049</f>
        <v>-6614.71825935339</v>
      </c>
      <c r="E2049" s="15" t="n">
        <f aca="false">B2049/Summary!$B$5-1</f>
        <v>0.066147182593534</v>
      </c>
    </row>
    <row r="2050" customFormat="false" ht="15" hidden="false" customHeight="false" outlineLevel="0" collapsed="false">
      <c r="A2050" s="0" t="n">
        <v>2049</v>
      </c>
      <c r="B2050" s="14" t="n">
        <v>87699.9404844439</v>
      </c>
      <c r="C2050" s="15" t="n">
        <v>0.136574117494016</v>
      </c>
      <c r="D2050" s="14" t="n">
        <f aca="false">Summary!$B$5-B2050</f>
        <v>12300.0595155561</v>
      </c>
      <c r="E2050" s="15" t="n">
        <f aca="false">B2050/Summary!$B$5-1</f>
        <v>-0.123000595155561</v>
      </c>
    </row>
    <row r="2051" customFormat="false" ht="15" hidden="false" customHeight="false" outlineLevel="0" collapsed="false">
      <c r="A2051" s="0" t="n">
        <v>2050</v>
      </c>
      <c r="B2051" s="14" t="n">
        <v>110403.346016288</v>
      </c>
      <c r="C2051" s="15" t="n">
        <v>0.0673887643329081</v>
      </c>
      <c r="D2051" s="14" t="n">
        <f aca="false">Summary!$B$5-B2051</f>
        <v>-10403.3460162877</v>
      </c>
      <c r="E2051" s="15" t="n">
        <f aca="false">B2051/Summary!$B$5-1</f>
        <v>0.104033460162877</v>
      </c>
    </row>
    <row r="2052" customFormat="false" ht="15" hidden="false" customHeight="false" outlineLevel="0" collapsed="false">
      <c r="A2052" s="0" t="n">
        <v>2051</v>
      </c>
      <c r="B2052" s="14" t="n">
        <v>114750.955660533</v>
      </c>
      <c r="C2052" s="15" t="n">
        <v>0.0806508308702543</v>
      </c>
      <c r="D2052" s="14" t="n">
        <f aca="false">Summary!$B$5-B2052</f>
        <v>-14750.9556605332</v>
      </c>
      <c r="E2052" s="15" t="n">
        <f aca="false">B2052/Summary!$B$5-1</f>
        <v>0.147509556605332</v>
      </c>
    </row>
    <row r="2053" customFormat="false" ht="15" hidden="false" customHeight="false" outlineLevel="0" collapsed="false">
      <c r="A2053" s="0" t="n">
        <v>2052</v>
      </c>
      <c r="B2053" s="14" t="n">
        <v>105870.689941673</v>
      </c>
      <c r="C2053" s="15" t="n">
        <v>0.096205198748493</v>
      </c>
      <c r="D2053" s="14" t="n">
        <f aca="false">Summary!$B$5-B2053</f>
        <v>-5870.689941673</v>
      </c>
      <c r="E2053" s="15" t="n">
        <f aca="false">B2053/Summary!$B$5-1</f>
        <v>0.0587068994167299</v>
      </c>
    </row>
    <row r="2054" customFormat="false" ht="15" hidden="false" customHeight="false" outlineLevel="0" collapsed="false">
      <c r="A2054" s="0" t="n">
        <v>2053</v>
      </c>
      <c r="B2054" s="14" t="n">
        <v>100952.862928198</v>
      </c>
      <c r="C2054" s="15" t="n">
        <v>0.0708237813750542</v>
      </c>
      <c r="D2054" s="14" t="n">
        <f aca="false">Summary!$B$5-B2054</f>
        <v>-952.862928197603</v>
      </c>
      <c r="E2054" s="15" t="n">
        <f aca="false">B2054/Summary!$B$5-1</f>
        <v>0.00952862928197606</v>
      </c>
    </row>
    <row r="2055" customFormat="false" ht="15" hidden="false" customHeight="false" outlineLevel="0" collapsed="false">
      <c r="A2055" s="0" t="n">
        <v>2054</v>
      </c>
      <c r="B2055" s="14" t="n">
        <v>102683.044943343</v>
      </c>
      <c r="C2055" s="15" t="n">
        <v>0.0839181588415833</v>
      </c>
      <c r="D2055" s="14" t="n">
        <f aca="false">Summary!$B$5-B2055</f>
        <v>-2683.04494334249</v>
      </c>
      <c r="E2055" s="15" t="n">
        <f aca="false">B2055/Summary!$B$5-1</f>
        <v>0.0268304494334251</v>
      </c>
    </row>
    <row r="2056" customFormat="false" ht="15" hidden="false" customHeight="false" outlineLevel="0" collapsed="false">
      <c r="A2056" s="0" t="n">
        <v>2055</v>
      </c>
      <c r="B2056" s="14" t="n">
        <v>104320.391862453</v>
      </c>
      <c r="C2056" s="15" t="n">
        <v>0.0945650335530961</v>
      </c>
      <c r="D2056" s="14" t="n">
        <f aca="false">Summary!$B$5-B2056</f>
        <v>-4320.3918624533</v>
      </c>
      <c r="E2056" s="15" t="n">
        <f aca="false">B2056/Summary!$B$5-1</f>
        <v>0.043203918624533</v>
      </c>
    </row>
    <row r="2057" customFormat="false" ht="15" hidden="false" customHeight="false" outlineLevel="0" collapsed="false">
      <c r="A2057" s="0" t="n">
        <v>2056</v>
      </c>
      <c r="B2057" s="14" t="n">
        <v>134308.23504517</v>
      </c>
      <c r="C2057" s="15" t="n">
        <v>0.0431821282468156</v>
      </c>
      <c r="D2057" s="14" t="n">
        <f aca="false">Summary!$B$5-B2057</f>
        <v>-34308.2350451701</v>
      </c>
      <c r="E2057" s="15" t="n">
        <f aca="false">B2057/Summary!$B$5-1</f>
        <v>0.343082350451701</v>
      </c>
    </row>
    <row r="2058" customFormat="false" ht="15" hidden="false" customHeight="false" outlineLevel="0" collapsed="false">
      <c r="A2058" s="0" t="n">
        <v>2057</v>
      </c>
      <c r="B2058" s="14" t="n">
        <v>98737.9318176805</v>
      </c>
      <c r="C2058" s="15" t="n">
        <v>0.112891977033502</v>
      </c>
      <c r="D2058" s="14" t="n">
        <f aca="false">Summary!$B$5-B2058</f>
        <v>1262.06818231952</v>
      </c>
      <c r="E2058" s="15" t="n">
        <f aca="false">B2058/Summary!$B$5-1</f>
        <v>-0.0126206818231952</v>
      </c>
    </row>
    <row r="2059" customFormat="false" ht="15" hidden="false" customHeight="false" outlineLevel="0" collapsed="false">
      <c r="A2059" s="0" t="n">
        <v>2058</v>
      </c>
      <c r="B2059" s="14" t="n">
        <v>115562.202078395</v>
      </c>
      <c r="C2059" s="15" t="n">
        <v>0.0450438621590913</v>
      </c>
      <c r="D2059" s="14" t="n">
        <f aca="false">Summary!$B$5-B2059</f>
        <v>-15562.2020783946</v>
      </c>
      <c r="E2059" s="15" t="n">
        <f aca="false">B2059/Summary!$B$5-1</f>
        <v>0.155622020783946</v>
      </c>
    </row>
    <row r="2060" customFormat="false" ht="15" hidden="false" customHeight="false" outlineLevel="0" collapsed="false">
      <c r="A2060" s="0" t="n">
        <v>2059</v>
      </c>
      <c r="B2060" s="14" t="n">
        <v>114690.381675862</v>
      </c>
      <c r="C2060" s="15" t="n">
        <v>0.09983924030938</v>
      </c>
      <c r="D2060" s="14" t="n">
        <f aca="false">Summary!$B$5-B2060</f>
        <v>-14690.3816758624</v>
      </c>
      <c r="E2060" s="15" t="n">
        <f aca="false">B2060/Summary!$B$5-1</f>
        <v>0.146903816758624</v>
      </c>
    </row>
    <row r="2061" customFormat="false" ht="15" hidden="false" customHeight="false" outlineLevel="0" collapsed="false">
      <c r="A2061" s="0" t="n">
        <v>2060</v>
      </c>
      <c r="B2061" s="14" t="n">
        <v>119256.375412079</v>
      </c>
      <c r="C2061" s="15" t="n">
        <v>0.0987976569842446</v>
      </c>
      <c r="D2061" s="14" t="n">
        <f aca="false">Summary!$B$5-B2061</f>
        <v>-19256.3754120788</v>
      </c>
      <c r="E2061" s="15" t="n">
        <f aca="false">B2061/Summary!$B$5-1</f>
        <v>0.192563754120788</v>
      </c>
    </row>
    <row r="2062" customFormat="false" ht="15" hidden="false" customHeight="false" outlineLevel="0" collapsed="false">
      <c r="A2062" s="0" t="n">
        <v>2061</v>
      </c>
      <c r="B2062" s="14" t="n">
        <v>101036.930843543</v>
      </c>
      <c r="C2062" s="15" t="n">
        <v>0.119682348264213</v>
      </c>
      <c r="D2062" s="14" t="n">
        <f aca="false">Summary!$B$5-B2062</f>
        <v>-1036.93084354331</v>
      </c>
      <c r="E2062" s="15" t="n">
        <f aca="false">B2062/Summary!$B$5-1</f>
        <v>0.010369308435433</v>
      </c>
    </row>
    <row r="2063" customFormat="false" ht="15" hidden="false" customHeight="false" outlineLevel="0" collapsed="false">
      <c r="A2063" s="0" t="n">
        <v>2062</v>
      </c>
      <c r="B2063" s="14" t="n">
        <v>120105.92624444</v>
      </c>
      <c r="C2063" s="15" t="n">
        <v>0.0581864313279731</v>
      </c>
      <c r="D2063" s="14" t="n">
        <f aca="false">Summary!$B$5-B2063</f>
        <v>-20105.9262444398</v>
      </c>
      <c r="E2063" s="15" t="n">
        <f aca="false">B2063/Summary!$B$5-1</f>
        <v>0.201059262444398</v>
      </c>
    </row>
    <row r="2064" customFormat="false" ht="15" hidden="false" customHeight="false" outlineLevel="0" collapsed="false">
      <c r="A2064" s="0" t="n">
        <v>2063</v>
      </c>
      <c r="B2064" s="14" t="n">
        <v>100301.694642259</v>
      </c>
      <c r="C2064" s="15" t="n">
        <v>0.140346019876082</v>
      </c>
      <c r="D2064" s="14" t="n">
        <f aca="false">Summary!$B$5-B2064</f>
        <v>-301.694642258895</v>
      </c>
      <c r="E2064" s="15" t="n">
        <f aca="false">B2064/Summary!$B$5-1</f>
        <v>0.00301694642258887</v>
      </c>
    </row>
    <row r="2065" customFormat="false" ht="15" hidden="false" customHeight="false" outlineLevel="0" collapsed="false">
      <c r="A2065" s="0" t="n">
        <v>2064</v>
      </c>
      <c r="B2065" s="14" t="n">
        <v>103138.034707887</v>
      </c>
      <c r="C2065" s="15" t="n">
        <v>0.0824750891339626</v>
      </c>
      <c r="D2065" s="14" t="n">
        <f aca="false">Summary!$B$5-B2065</f>
        <v>-3138.0347078871</v>
      </c>
      <c r="E2065" s="15" t="n">
        <f aca="false">B2065/Summary!$B$5-1</f>
        <v>0.0313803470788709</v>
      </c>
    </row>
    <row r="2066" customFormat="false" ht="15" hidden="false" customHeight="false" outlineLevel="0" collapsed="false">
      <c r="A2066" s="0" t="n">
        <v>2065</v>
      </c>
      <c r="B2066" s="14" t="n">
        <v>103662.039726422</v>
      </c>
      <c r="C2066" s="15" t="n">
        <v>0.0936329236188275</v>
      </c>
      <c r="D2066" s="14" t="n">
        <f aca="false">Summary!$B$5-B2066</f>
        <v>-3662.0397264221</v>
      </c>
      <c r="E2066" s="15" t="n">
        <f aca="false">B2066/Summary!$B$5-1</f>
        <v>0.036620397264221</v>
      </c>
    </row>
    <row r="2067" customFormat="false" ht="15" hidden="false" customHeight="false" outlineLevel="0" collapsed="false">
      <c r="A2067" s="0" t="n">
        <v>2066</v>
      </c>
      <c r="B2067" s="14" t="n">
        <v>105526.630746098</v>
      </c>
      <c r="C2067" s="15" t="n">
        <v>0.0941316431945848</v>
      </c>
      <c r="D2067" s="14" t="n">
        <f aca="false">Summary!$B$5-B2067</f>
        <v>-5526.63074609821</v>
      </c>
      <c r="E2067" s="15" t="n">
        <f aca="false">B2067/Summary!$B$5-1</f>
        <v>0.055266307460982</v>
      </c>
    </row>
    <row r="2068" customFormat="false" ht="15" hidden="false" customHeight="false" outlineLevel="0" collapsed="false">
      <c r="A2068" s="0" t="n">
        <v>2067</v>
      </c>
      <c r="B2068" s="14" t="n">
        <v>85453.1352094358</v>
      </c>
      <c r="C2068" s="15" t="n">
        <v>0.204777174995387</v>
      </c>
      <c r="D2068" s="14" t="n">
        <f aca="false">Summary!$B$5-B2068</f>
        <v>14546.8647905642</v>
      </c>
      <c r="E2068" s="15" t="n">
        <f aca="false">B2068/Summary!$B$5-1</f>
        <v>-0.145468647905642</v>
      </c>
    </row>
    <row r="2069" customFormat="false" ht="15" hidden="false" customHeight="false" outlineLevel="0" collapsed="false">
      <c r="A2069" s="0" t="n">
        <v>2068</v>
      </c>
      <c r="B2069" s="14" t="n">
        <v>94409.4481615159</v>
      </c>
      <c r="C2069" s="15" t="n">
        <v>0.0946460686281356</v>
      </c>
      <c r="D2069" s="14" t="n">
        <f aca="false">Summary!$B$5-B2069</f>
        <v>5590.5518384841</v>
      </c>
      <c r="E2069" s="15" t="n">
        <f aca="false">B2069/Summary!$B$5-1</f>
        <v>-0.0559055183848409</v>
      </c>
    </row>
    <row r="2070" customFormat="false" ht="15" hidden="false" customHeight="false" outlineLevel="0" collapsed="false">
      <c r="A2070" s="0" t="n">
        <v>2069</v>
      </c>
      <c r="B2070" s="14" t="n">
        <v>109140.798774692</v>
      </c>
      <c r="C2070" s="15" t="n">
        <v>0.0868081459592073</v>
      </c>
      <c r="D2070" s="14" t="n">
        <f aca="false">Summary!$B$5-B2070</f>
        <v>-9140.7987746915</v>
      </c>
      <c r="E2070" s="15" t="n">
        <f aca="false">B2070/Summary!$B$5-1</f>
        <v>0.0914079877469149</v>
      </c>
    </row>
    <row r="2071" customFormat="false" ht="15" hidden="false" customHeight="false" outlineLevel="0" collapsed="false">
      <c r="A2071" s="0" t="n">
        <v>2070</v>
      </c>
      <c r="B2071" s="14" t="n">
        <v>97581.5561811766</v>
      </c>
      <c r="C2071" s="15" t="n">
        <v>0.0886318381360154</v>
      </c>
      <c r="D2071" s="14" t="n">
        <f aca="false">Summary!$B$5-B2071</f>
        <v>2418.44381882341</v>
      </c>
      <c r="E2071" s="15" t="n">
        <f aca="false">B2071/Summary!$B$5-1</f>
        <v>-0.024184438188234</v>
      </c>
    </row>
    <row r="2072" customFormat="false" ht="15" hidden="false" customHeight="false" outlineLevel="0" collapsed="false">
      <c r="A2072" s="0" t="n">
        <v>2071</v>
      </c>
      <c r="B2072" s="14" t="n">
        <v>111436.584641184</v>
      </c>
      <c r="C2072" s="15" t="n">
        <v>0.0968340190671041</v>
      </c>
      <c r="D2072" s="14" t="n">
        <f aca="false">Summary!$B$5-B2072</f>
        <v>-11436.5846411841</v>
      </c>
      <c r="E2072" s="15" t="n">
        <f aca="false">B2072/Summary!$B$5-1</f>
        <v>0.114365846411841</v>
      </c>
    </row>
    <row r="2073" customFormat="false" ht="15" hidden="false" customHeight="false" outlineLevel="0" collapsed="false">
      <c r="A2073" s="0" t="n">
        <v>2072</v>
      </c>
      <c r="B2073" s="14" t="n">
        <v>103627.183166946</v>
      </c>
      <c r="C2073" s="15" t="n">
        <v>0.0824867752487816</v>
      </c>
      <c r="D2073" s="14" t="n">
        <f aca="false">Summary!$B$5-B2073</f>
        <v>-3627.18316694591</v>
      </c>
      <c r="E2073" s="15" t="n">
        <f aca="false">B2073/Summary!$B$5-1</f>
        <v>0.036271831669459</v>
      </c>
    </row>
    <row r="2074" customFormat="false" ht="15" hidden="false" customHeight="false" outlineLevel="0" collapsed="false">
      <c r="A2074" s="0" t="n">
        <v>2073</v>
      </c>
      <c r="B2074" s="14" t="n">
        <v>117626.3060778</v>
      </c>
      <c r="C2074" s="15" t="n">
        <v>0.062977303521205</v>
      </c>
      <c r="D2074" s="14" t="n">
        <f aca="false">Summary!$B$5-B2074</f>
        <v>-17626.3060778002</v>
      </c>
      <c r="E2074" s="15" t="n">
        <f aca="false">B2074/Summary!$B$5-1</f>
        <v>0.176263060778002</v>
      </c>
    </row>
    <row r="2075" customFormat="false" ht="15" hidden="false" customHeight="false" outlineLevel="0" collapsed="false">
      <c r="A2075" s="0" t="n">
        <v>2074</v>
      </c>
      <c r="B2075" s="14" t="n">
        <v>86491.4182043291</v>
      </c>
      <c r="C2075" s="15" t="n">
        <v>0.151149138065189</v>
      </c>
      <c r="D2075" s="14" t="n">
        <f aca="false">Summary!$B$5-B2075</f>
        <v>13508.5817956709</v>
      </c>
      <c r="E2075" s="15" t="n">
        <f aca="false">B2075/Summary!$B$5-1</f>
        <v>-0.135085817956709</v>
      </c>
    </row>
    <row r="2076" customFormat="false" ht="15" hidden="false" customHeight="false" outlineLevel="0" collapsed="false">
      <c r="A2076" s="0" t="n">
        <v>2075</v>
      </c>
      <c r="B2076" s="14" t="n">
        <v>85595.336511275</v>
      </c>
      <c r="C2076" s="15" t="n">
        <v>0.145082386498501</v>
      </c>
      <c r="D2076" s="14" t="n">
        <f aca="false">Summary!$B$5-B2076</f>
        <v>14404.6634887251</v>
      </c>
      <c r="E2076" s="15" t="n">
        <f aca="false">B2076/Summary!$B$5-1</f>
        <v>-0.144046634887251</v>
      </c>
    </row>
    <row r="2077" customFormat="false" ht="15" hidden="false" customHeight="false" outlineLevel="0" collapsed="false">
      <c r="A2077" s="0" t="n">
        <v>2076</v>
      </c>
      <c r="B2077" s="14" t="n">
        <v>93179.6107254049</v>
      </c>
      <c r="C2077" s="15" t="n">
        <v>0.143248828994531</v>
      </c>
      <c r="D2077" s="14" t="n">
        <f aca="false">Summary!$B$5-B2077</f>
        <v>6820.38927459507</v>
      </c>
      <c r="E2077" s="15" t="n">
        <f aca="false">B2077/Summary!$B$5-1</f>
        <v>-0.0682038927459507</v>
      </c>
    </row>
    <row r="2078" customFormat="false" ht="15" hidden="false" customHeight="false" outlineLevel="0" collapsed="false">
      <c r="A2078" s="0" t="n">
        <v>2077</v>
      </c>
      <c r="B2078" s="14" t="n">
        <v>93446.4098224846</v>
      </c>
      <c r="C2078" s="15" t="n">
        <v>0.156000104416643</v>
      </c>
      <c r="D2078" s="14" t="n">
        <f aca="false">Summary!$B$5-B2078</f>
        <v>6553.59017751541</v>
      </c>
      <c r="E2078" s="15" t="n">
        <f aca="false">B2078/Summary!$B$5-1</f>
        <v>-0.065535901775154</v>
      </c>
    </row>
    <row r="2079" customFormat="false" ht="15" hidden="false" customHeight="false" outlineLevel="0" collapsed="false">
      <c r="A2079" s="0" t="n">
        <v>2078</v>
      </c>
      <c r="B2079" s="14" t="n">
        <v>131464.545271774</v>
      </c>
      <c r="C2079" s="15" t="n">
        <v>0.057035760921985</v>
      </c>
      <c r="D2079" s="14" t="n">
        <f aca="false">Summary!$B$5-B2079</f>
        <v>-31464.5452717741</v>
      </c>
      <c r="E2079" s="15" t="n">
        <f aca="false">B2079/Summary!$B$5-1</f>
        <v>0.314645452717741</v>
      </c>
    </row>
    <row r="2080" customFormat="false" ht="15" hidden="false" customHeight="false" outlineLevel="0" collapsed="false">
      <c r="A2080" s="0" t="n">
        <v>2079</v>
      </c>
      <c r="B2080" s="14" t="n">
        <v>107489.814247093</v>
      </c>
      <c r="C2080" s="15" t="n">
        <v>0.130657745560001</v>
      </c>
      <c r="D2080" s="14" t="n">
        <f aca="false">Summary!$B$5-B2080</f>
        <v>-7489.8142470927</v>
      </c>
      <c r="E2080" s="15" t="n">
        <f aca="false">B2080/Summary!$B$5-1</f>
        <v>0.074898142470927</v>
      </c>
    </row>
    <row r="2081" customFormat="false" ht="15" hidden="false" customHeight="false" outlineLevel="0" collapsed="false">
      <c r="A2081" s="0" t="n">
        <v>2080</v>
      </c>
      <c r="B2081" s="14" t="n">
        <v>112598.334988796</v>
      </c>
      <c r="C2081" s="15" t="n">
        <v>0.064577418894991</v>
      </c>
      <c r="D2081" s="14" t="n">
        <f aca="false">Summary!$B$5-B2081</f>
        <v>-12598.3349887958</v>
      </c>
      <c r="E2081" s="15" t="n">
        <f aca="false">B2081/Summary!$B$5-1</f>
        <v>0.125983349887958</v>
      </c>
    </row>
    <row r="2082" customFormat="false" ht="15" hidden="false" customHeight="false" outlineLevel="0" collapsed="false">
      <c r="A2082" s="0" t="n">
        <v>2081</v>
      </c>
      <c r="B2082" s="14" t="n">
        <v>113369.687857269</v>
      </c>
      <c r="C2082" s="15" t="n">
        <v>0.0521518201239709</v>
      </c>
      <c r="D2082" s="14" t="n">
        <f aca="false">Summary!$B$5-B2082</f>
        <v>-13369.6878572691</v>
      </c>
      <c r="E2082" s="15" t="n">
        <f aca="false">B2082/Summary!$B$5-1</f>
        <v>0.133696878572691</v>
      </c>
    </row>
    <row r="2083" customFormat="false" ht="15" hidden="false" customHeight="false" outlineLevel="0" collapsed="false">
      <c r="A2083" s="0" t="n">
        <v>2082</v>
      </c>
      <c r="B2083" s="14" t="n">
        <v>98737.8486438486</v>
      </c>
      <c r="C2083" s="15" t="n">
        <v>0.111409589357472</v>
      </c>
      <c r="D2083" s="14" t="n">
        <f aca="false">Summary!$B$5-B2083</f>
        <v>1262.15135615136</v>
      </c>
      <c r="E2083" s="15" t="n">
        <f aca="false">B2083/Summary!$B$5-1</f>
        <v>-0.0126215135615135</v>
      </c>
    </row>
    <row r="2084" customFormat="false" ht="15" hidden="false" customHeight="false" outlineLevel="0" collapsed="false">
      <c r="A2084" s="0" t="n">
        <v>2083</v>
      </c>
      <c r="B2084" s="14" t="n">
        <v>125296.627534884</v>
      </c>
      <c r="C2084" s="15" t="n">
        <v>0.0607937060274769</v>
      </c>
      <c r="D2084" s="14" t="n">
        <f aca="false">Summary!$B$5-B2084</f>
        <v>-25296.6275348844</v>
      </c>
      <c r="E2084" s="15" t="n">
        <f aca="false">B2084/Summary!$B$5-1</f>
        <v>0.252966275348844</v>
      </c>
    </row>
    <row r="2085" customFormat="false" ht="15" hidden="false" customHeight="false" outlineLevel="0" collapsed="false">
      <c r="A2085" s="0" t="n">
        <v>2084</v>
      </c>
      <c r="B2085" s="14" t="n">
        <v>123661.712783928</v>
      </c>
      <c r="C2085" s="15" t="n">
        <v>0.0537913175285386</v>
      </c>
      <c r="D2085" s="14" t="n">
        <f aca="false">Summary!$B$5-B2085</f>
        <v>-23661.7127839276</v>
      </c>
      <c r="E2085" s="15" t="n">
        <f aca="false">B2085/Summary!$B$5-1</f>
        <v>0.236617127839276</v>
      </c>
    </row>
    <row r="2086" customFormat="false" ht="15" hidden="false" customHeight="false" outlineLevel="0" collapsed="false">
      <c r="A2086" s="0" t="n">
        <v>2085</v>
      </c>
      <c r="B2086" s="14" t="n">
        <v>95049.5239040343</v>
      </c>
      <c r="C2086" s="15" t="n">
        <v>0.0958863978498902</v>
      </c>
      <c r="D2086" s="14" t="n">
        <f aca="false">Summary!$B$5-B2086</f>
        <v>4950.4760959657</v>
      </c>
      <c r="E2086" s="15" t="n">
        <f aca="false">B2086/Summary!$B$5-1</f>
        <v>-0.0495047609596569</v>
      </c>
    </row>
    <row r="2087" customFormat="false" ht="15" hidden="false" customHeight="false" outlineLevel="0" collapsed="false">
      <c r="A2087" s="0" t="n">
        <v>2086</v>
      </c>
      <c r="B2087" s="14" t="n">
        <v>114426.035150658</v>
      </c>
      <c r="C2087" s="15" t="n">
        <v>0.0821072394073372</v>
      </c>
      <c r="D2087" s="14" t="n">
        <f aca="false">Summary!$B$5-B2087</f>
        <v>-14426.0351506576</v>
      </c>
      <c r="E2087" s="15" t="n">
        <f aca="false">B2087/Summary!$B$5-1</f>
        <v>0.144260351506576</v>
      </c>
    </row>
    <row r="2088" customFormat="false" ht="15" hidden="false" customHeight="false" outlineLevel="0" collapsed="false">
      <c r="A2088" s="0" t="n">
        <v>2087</v>
      </c>
      <c r="B2088" s="14" t="n">
        <v>109946.408204219</v>
      </c>
      <c r="C2088" s="15" t="n">
        <v>0.0897633016641249</v>
      </c>
      <c r="D2088" s="14" t="n">
        <f aca="false">Summary!$B$5-B2088</f>
        <v>-9946.40820421861</v>
      </c>
      <c r="E2088" s="15" t="n">
        <f aca="false">B2088/Summary!$B$5-1</f>
        <v>0.0994640820421862</v>
      </c>
    </row>
    <row r="2089" customFormat="false" ht="15" hidden="false" customHeight="false" outlineLevel="0" collapsed="false">
      <c r="A2089" s="0" t="n">
        <v>2088</v>
      </c>
      <c r="B2089" s="14" t="n">
        <v>101284.921547109</v>
      </c>
      <c r="C2089" s="15" t="n">
        <v>0.0855797596844031</v>
      </c>
      <c r="D2089" s="14" t="n">
        <f aca="false">Summary!$B$5-B2089</f>
        <v>-1284.9215471091</v>
      </c>
      <c r="E2089" s="15" t="n">
        <f aca="false">B2089/Summary!$B$5-1</f>
        <v>0.0128492154710911</v>
      </c>
    </row>
    <row r="2090" customFormat="false" ht="15" hidden="false" customHeight="false" outlineLevel="0" collapsed="false">
      <c r="A2090" s="0" t="n">
        <v>2089</v>
      </c>
      <c r="B2090" s="14" t="n">
        <v>99782.9977655645</v>
      </c>
      <c r="C2090" s="15" t="n">
        <v>0.144260810950374</v>
      </c>
      <c r="D2090" s="14" t="n">
        <f aca="false">Summary!$B$5-B2090</f>
        <v>217.002234435524</v>
      </c>
      <c r="E2090" s="15" t="n">
        <f aca="false">B2090/Summary!$B$5-1</f>
        <v>-0.00217002234435526</v>
      </c>
    </row>
    <row r="2091" customFormat="false" ht="15" hidden="false" customHeight="false" outlineLevel="0" collapsed="false">
      <c r="A2091" s="0" t="n">
        <v>2090</v>
      </c>
      <c r="B2091" s="14" t="n">
        <v>112170.048128971</v>
      </c>
      <c r="C2091" s="15" t="n">
        <v>0.102492527844131</v>
      </c>
      <c r="D2091" s="14" t="n">
        <f aca="false">Summary!$B$5-B2091</f>
        <v>-12170.0481289707</v>
      </c>
      <c r="E2091" s="15" t="n">
        <f aca="false">B2091/Summary!$B$5-1</f>
        <v>0.121700481289707</v>
      </c>
    </row>
    <row r="2092" customFormat="false" ht="15" hidden="false" customHeight="false" outlineLevel="0" collapsed="false">
      <c r="A2092" s="0" t="n">
        <v>2091</v>
      </c>
      <c r="B2092" s="14" t="n">
        <v>113373.450631954</v>
      </c>
      <c r="C2092" s="15" t="n">
        <v>0.0741776409856692</v>
      </c>
      <c r="D2092" s="14" t="n">
        <f aca="false">Summary!$B$5-B2092</f>
        <v>-13373.4506319543</v>
      </c>
      <c r="E2092" s="15" t="n">
        <f aca="false">B2092/Summary!$B$5-1</f>
        <v>0.133734506319543</v>
      </c>
    </row>
    <row r="2093" customFormat="false" ht="15" hidden="false" customHeight="false" outlineLevel="0" collapsed="false">
      <c r="A2093" s="0" t="n">
        <v>2092</v>
      </c>
      <c r="B2093" s="14" t="n">
        <v>130137.112385122</v>
      </c>
      <c r="C2093" s="15" t="n">
        <v>0.0521661707493892</v>
      </c>
      <c r="D2093" s="14" t="n">
        <f aca="false">Summary!$B$5-B2093</f>
        <v>-30137.1123851215</v>
      </c>
      <c r="E2093" s="15" t="n">
        <f aca="false">B2093/Summary!$B$5-1</f>
        <v>0.301371123851215</v>
      </c>
    </row>
    <row r="2094" customFormat="false" ht="15" hidden="false" customHeight="false" outlineLevel="0" collapsed="false">
      <c r="A2094" s="0" t="n">
        <v>2093</v>
      </c>
      <c r="B2094" s="14" t="n">
        <v>90014.711900888</v>
      </c>
      <c r="C2094" s="15" t="n">
        <v>0.148815911693585</v>
      </c>
      <c r="D2094" s="14" t="n">
        <f aca="false">Summary!$B$5-B2094</f>
        <v>9985.28809911205</v>
      </c>
      <c r="E2094" s="15" t="n">
        <f aca="false">B2094/Summary!$B$5-1</f>
        <v>-0.0998528809911204</v>
      </c>
    </row>
    <row r="2095" customFormat="false" ht="15" hidden="false" customHeight="false" outlineLevel="0" collapsed="false">
      <c r="A2095" s="0" t="n">
        <v>2094</v>
      </c>
      <c r="B2095" s="14" t="n">
        <v>104289.16653186</v>
      </c>
      <c r="C2095" s="15" t="n">
        <v>0.158177307351138</v>
      </c>
      <c r="D2095" s="14" t="n">
        <f aca="false">Summary!$B$5-B2095</f>
        <v>-4289.16653185969</v>
      </c>
      <c r="E2095" s="15" t="n">
        <f aca="false">B2095/Summary!$B$5-1</f>
        <v>0.0428916653185969</v>
      </c>
    </row>
    <row r="2096" customFormat="false" ht="15" hidden="false" customHeight="false" outlineLevel="0" collapsed="false">
      <c r="A2096" s="0" t="n">
        <v>2095</v>
      </c>
      <c r="B2096" s="14" t="n">
        <v>98031.862293406</v>
      </c>
      <c r="C2096" s="15" t="n">
        <v>0.12645065703033</v>
      </c>
      <c r="D2096" s="14" t="n">
        <f aca="false">Summary!$B$5-B2096</f>
        <v>1968.13770659399</v>
      </c>
      <c r="E2096" s="15" t="n">
        <f aca="false">B2096/Summary!$B$5-1</f>
        <v>-0.0196813770659399</v>
      </c>
    </row>
    <row r="2097" customFormat="false" ht="15" hidden="false" customHeight="false" outlineLevel="0" collapsed="false">
      <c r="A2097" s="0" t="n">
        <v>2096</v>
      </c>
      <c r="B2097" s="14" t="n">
        <v>118129.097970828</v>
      </c>
      <c r="C2097" s="15" t="n">
        <v>0.109962197938307</v>
      </c>
      <c r="D2097" s="14" t="n">
        <f aca="false">Summary!$B$5-B2097</f>
        <v>-18129.0979708277</v>
      </c>
      <c r="E2097" s="15" t="n">
        <f aca="false">B2097/Summary!$B$5-1</f>
        <v>0.181290979708277</v>
      </c>
    </row>
    <row r="2098" customFormat="false" ht="15" hidden="false" customHeight="false" outlineLevel="0" collapsed="false">
      <c r="A2098" s="0" t="n">
        <v>2097</v>
      </c>
      <c r="B2098" s="14" t="n">
        <v>82165.2493366063</v>
      </c>
      <c r="C2098" s="15" t="n">
        <v>0.21501877051128</v>
      </c>
      <c r="D2098" s="14" t="n">
        <f aca="false">Summary!$B$5-B2098</f>
        <v>17834.7506633937</v>
      </c>
      <c r="E2098" s="15" t="n">
        <f aca="false">B2098/Summary!$B$5-1</f>
        <v>-0.178347506633937</v>
      </c>
    </row>
    <row r="2099" customFormat="false" ht="15" hidden="false" customHeight="false" outlineLevel="0" collapsed="false">
      <c r="A2099" s="0" t="n">
        <v>2098</v>
      </c>
      <c r="B2099" s="14" t="n">
        <v>107794.60382487</v>
      </c>
      <c r="C2099" s="15" t="n">
        <v>0.096201926502284</v>
      </c>
      <c r="D2099" s="14" t="n">
        <f aca="false">Summary!$B$5-B2099</f>
        <v>-7794.6038248699</v>
      </c>
      <c r="E2099" s="15" t="n">
        <f aca="false">B2099/Summary!$B$5-1</f>
        <v>0.077946038248699</v>
      </c>
    </row>
    <row r="2100" customFormat="false" ht="15" hidden="false" customHeight="false" outlineLevel="0" collapsed="false">
      <c r="A2100" s="0" t="n">
        <v>2099</v>
      </c>
      <c r="B2100" s="14" t="n">
        <v>117067.43566311</v>
      </c>
      <c r="C2100" s="15" t="n">
        <v>0.0552802928632862</v>
      </c>
      <c r="D2100" s="14" t="n">
        <f aca="false">Summary!$B$5-B2100</f>
        <v>-17067.4356631096</v>
      </c>
      <c r="E2100" s="15" t="n">
        <f aca="false">B2100/Summary!$B$5-1</f>
        <v>0.170674356631096</v>
      </c>
    </row>
    <row r="2101" customFormat="false" ht="15" hidden="false" customHeight="false" outlineLevel="0" collapsed="false">
      <c r="A2101" s="0" t="n">
        <v>2100</v>
      </c>
      <c r="B2101" s="14" t="n">
        <v>91865.5886098721</v>
      </c>
      <c r="C2101" s="15" t="n">
        <v>0.111750033244054</v>
      </c>
      <c r="D2101" s="14" t="n">
        <f aca="false">Summary!$B$5-B2101</f>
        <v>8134.41139012789</v>
      </c>
      <c r="E2101" s="15" t="n">
        <f aca="false">B2101/Summary!$B$5-1</f>
        <v>-0.0813441139012789</v>
      </c>
    </row>
    <row r="2102" customFormat="false" ht="15" hidden="false" customHeight="false" outlineLevel="0" collapsed="false">
      <c r="A2102" s="0" t="n">
        <v>2101</v>
      </c>
      <c r="B2102" s="14" t="n">
        <v>129532.124656133</v>
      </c>
      <c r="C2102" s="15" t="n">
        <v>0.0625241103497056</v>
      </c>
      <c r="D2102" s="14" t="n">
        <f aca="false">Summary!$B$5-B2102</f>
        <v>-29532.1246561334</v>
      </c>
      <c r="E2102" s="15" t="n">
        <f aca="false">B2102/Summary!$B$5-1</f>
        <v>0.295321246561334</v>
      </c>
    </row>
    <row r="2103" customFormat="false" ht="15" hidden="false" customHeight="false" outlineLevel="0" collapsed="false">
      <c r="A2103" s="0" t="n">
        <v>2102</v>
      </c>
      <c r="B2103" s="14" t="n">
        <v>128717.17675371</v>
      </c>
      <c r="C2103" s="15" t="n">
        <v>0.0522111373663694</v>
      </c>
      <c r="D2103" s="14" t="n">
        <f aca="false">Summary!$B$5-B2103</f>
        <v>-28717.1767537099</v>
      </c>
      <c r="E2103" s="15" t="n">
        <f aca="false">B2103/Summary!$B$5-1</f>
        <v>0.287171767537099</v>
      </c>
    </row>
    <row r="2104" customFormat="false" ht="15" hidden="false" customHeight="false" outlineLevel="0" collapsed="false">
      <c r="A2104" s="0" t="n">
        <v>2103</v>
      </c>
      <c r="B2104" s="14" t="n">
        <v>88711.5334577059</v>
      </c>
      <c r="C2104" s="15" t="n">
        <v>0.151148642047877</v>
      </c>
      <c r="D2104" s="14" t="n">
        <f aca="false">Summary!$B$5-B2104</f>
        <v>11288.4665422941</v>
      </c>
      <c r="E2104" s="15" t="n">
        <f aca="false">B2104/Summary!$B$5-1</f>
        <v>-0.112884665422941</v>
      </c>
    </row>
    <row r="2105" customFormat="false" ht="15" hidden="false" customHeight="false" outlineLevel="0" collapsed="false">
      <c r="A2105" s="0" t="n">
        <v>2104</v>
      </c>
      <c r="B2105" s="14" t="n">
        <v>97763.6455059825</v>
      </c>
      <c r="C2105" s="15" t="n">
        <v>0.145954150195831</v>
      </c>
      <c r="D2105" s="14" t="n">
        <f aca="false">Summary!$B$5-B2105</f>
        <v>2236.35449401755</v>
      </c>
      <c r="E2105" s="15" t="n">
        <f aca="false">B2105/Summary!$B$5-1</f>
        <v>-0.0223635449401755</v>
      </c>
    </row>
    <row r="2106" customFormat="false" ht="15" hidden="false" customHeight="false" outlineLevel="0" collapsed="false">
      <c r="A2106" s="0" t="n">
        <v>2105</v>
      </c>
      <c r="B2106" s="14" t="n">
        <v>106377.872333144</v>
      </c>
      <c r="C2106" s="15" t="n">
        <v>0.122409427947968</v>
      </c>
      <c r="D2106" s="14" t="n">
        <f aca="false">Summary!$B$5-B2106</f>
        <v>-6377.8723331443</v>
      </c>
      <c r="E2106" s="15" t="n">
        <f aca="false">B2106/Summary!$B$5-1</f>
        <v>0.0637787233314431</v>
      </c>
    </row>
    <row r="2107" customFormat="false" ht="15" hidden="false" customHeight="false" outlineLevel="0" collapsed="false">
      <c r="A2107" s="0" t="n">
        <v>2106</v>
      </c>
      <c r="B2107" s="14" t="n">
        <v>86182.7574405789</v>
      </c>
      <c r="C2107" s="15" t="n">
        <v>0.198578363200806</v>
      </c>
      <c r="D2107" s="14" t="n">
        <f aca="false">Summary!$B$5-B2107</f>
        <v>13817.2425594211</v>
      </c>
      <c r="E2107" s="15" t="n">
        <f aca="false">B2107/Summary!$B$5-1</f>
        <v>-0.138172425594211</v>
      </c>
    </row>
    <row r="2108" customFormat="false" ht="15" hidden="false" customHeight="false" outlineLevel="0" collapsed="false">
      <c r="A2108" s="0" t="n">
        <v>2107</v>
      </c>
      <c r="B2108" s="14" t="n">
        <v>104845.212044046</v>
      </c>
      <c r="C2108" s="15" t="n">
        <v>0.0800615337772141</v>
      </c>
      <c r="D2108" s="14" t="n">
        <f aca="false">Summary!$B$5-B2108</f>
        <v>-4845.21204404561</v>
      </c>
      <c r="E2108" s="15" t="n">
        <f aca="false">B2108/Summary!$B$5-1</f>
        <v>0.048452120440456</v>
      </c>
    </row>
    <row r="2109" customFormat="false" ht="15" hidden="false" customHeight="false" outlineLevel="0" collapsed="false">
      <c r="A2109" s="0" t="n">
        <v>2108</v>
      </c>
      <c r="B2109" s="14" t="n">
        <v>103804.398579109</v>
      </c>
      <c r="C2109" s="15" t="n">
        <v>0.0797593118393045</v>
      </c>
      <c r="D2109" s="14" t="n">
        <f aca="false">Summary!$B$5-B2109</f>
        <v>-3804.3985791094</v>
      </c>
      <c r="E2109" s="15" t="n">
        <f aca="false">B2109/Summary!$B$5-1</f>
        <v>0.0380439857910939</v>
      </c>
    </row>
    <row r="2110" customFormat="false" ht="15" hidden="false" customHeight="false" outlineLevel="0" collapsed="false">
      <c r="A2110" s="0" t="n">
        <v>2109</v>
      </c>
      <c r="B2110" s="14" t="n">
        <v>113977.322787404</v>
      </c>
      <c r="C2110" s="15" t="n">
        <v>0.110234685870431</v>
      </c>
      <c r="D2110" s="14" t="n">
        <f aca="false">Summary!$B$5-B2110</f>
        <v>-13977.3227874037</v>
      </c>
      <c r="E2110" s="15" t="n">
        <f aca="false">B2110/Summary!$B$5-1</f>
        <v>0.139773227874037</v>
      </c>
    </row>
    <row r="2111" customFormat="false" ht="15" hidden="false" customHeight="false" outlineLevel="0" collapsed="false">
      <c r="A2111" s="0" t="n">
        <v>2110</v>
      </c>
      <c r="B2111" s="14" t="n">
        <v>138208.616497938</v>
      </c>
      <c r="C2111" s="15" t="n">
        <v>0.0471692903873661</v>
      </c>
      <c r="D2111" s="14" t="n">
        <f aca="false">Summary!$B$5-B2111</f>
        <v>-38208.6164979376</v>
      </c>
      <c r="E2111" s="15" t="n">
        <f aca="false">B2111/Summary!$B$5-1</f>
        <v>0.382086164979376</v>
      </c>
    </row>
    <row r="2112" customFormat="false" ht="15" hidden="false" customHeight="false" outlineLevel="0" collapsed="false">
      <c r="A2112" s="0" t="n">
        <v>2111</v>
      </c>
      <c r="B2112" s="14" t="n">
        <v>105947.107383713</v>
      </c>
      <c r="C2112" s="15" t="n">
        <v>0.0858557898837756</v>
      </c>
      <c r="D2112" s="14" t="n">
        <f aca="false">Summary!$B$5-B2112</f>
        <v>-5947.1073837134</v>
      </c>
      <c r="E2112" s="15" t="n">
        <f aca="false">B2112/Summary!$B$5-1</f>
        <v>0.059471073837134</v>
      </c>
    </row>
    <row r="2113" customFormat="false" ht="15" hidden="false" customHeight="false" outlineLevel="0" collapsed="false">
      <c r="A2113" s="0" t="n">
        <v>2112</v>
      </c>
      <c r="B2113" s="14" t="n">
        <v>108452.977679141</v>
      </c>
      <c r="C2113" s="15" t="n">
        <v>0.111893904195713</v>
      </c>
      <c r="D2113" s="14" t="n">
        <f aca="false">Summary!$B$5-B2113</f>
        <v>-8452.9776791405</v>
      </c>
      <c r="E2113" s="15" t="n">
        <f aca="false">B2113/Summary!$B$5-1</f>
        <v>0.0845297767914051</v>
      </c>
    </row>
    <row r="2114" customFormat="false" ht="15" hidden="false" customHeight="false" outlineLevel="0" collapsed="false">
      <c r="A2114" s="0" t="n">
        <v>2113</v>
      </c>
      <c r="B2114" s="14" t="n">
        <v>82752.8567897254</v>
      </c>
      <c r="C2114" s="15" t="n">
        <v>0.186992963013487</v>
      </c>
      <c r="D2114" s="14" t="n">
        <f aca="false">Summary!$B$5-B2114</f>
        <v>17247.1432102746</v>
      </c>
      <c r="E2114" s="15" t="n">
        <f aca="false">B2114/Summary!$B$5-1</f>
        <v>-0.172471432102746</v>
      </c>
    </row>
    <row r="2115" customFormat="false" ht="15" hidden="false" customHeight="false" outlineLevel="0" collapsed="false">
      <c r="A2115" s="0" t="n">
        <v>2114</v>
      </c>
      <c r="B2115" s="14" t="n">
        <v>96102.9243774664</v>
      </c>
      <c r="C2115" s="15" t="n">
        <v>0.162973821447691</v>
      </c>
      <c r="D2115" s="14" t="n">
        <f aca="false">Summary!$B$5-B2115</f>
        <v>3897.07562253362</v>
      </c>
      <c r="E2115" s="15" t="n">
        <f aca="false">B2115/Summary!$B$5-1</f>
        <v>-0.0389707562253362</v>
      </c>
    </row>
    <row r="2116" customFormat="false" ht="15" hidden="false" customHeight="false" outlineLevel="0" collapsed="false">
      <c r="A2116" s="0" t="n">
        <v>2115</v>
      </c>
      <c r="B2116" s="14" t="n">
        <v>111322.86190776</v>
      </c>
      <c r="C2116" s="15" t="n">
        <v>0.090308074258428</v>
      </c>
      <c r="D2116" s="14" t="n">
        <f aca="false">Summary!$B$5-B2116</f>
        <v>-11322.8619077596</v>
      </c>
      <c r="E2116" s="15" t="n">
        <f aca="false">B2116/Summary!$B$5-1</f>
        <v>0.113228619077596</v>
      </c>
    </row>
    <row r="2117" customFormat="false" ht="15" hidden="false" customHeight="false" outlineLevel="0" collapsed="false">
      <c r="A2117" s="0" t="n">
        <v>2116</v>
      </c>
      <c r="B2117" s="14" t="n">
        <v>118035.240575061</v>
      </c>
      <c r="C2117" s="15" t="n">
        <v>0.0504222562693588</v>
      </c>
      <c r="D2117" s="14" t="n">
        <f aca="false">Summary!$B$5-B2117</f>
        <v>-18035.2405750609</v>
      </c>
      <c r="E2117" s="15" t="n">
        <f aca="false">B2117/Summary!$B$5-1</f>
        <v>0.180352405750609</v>
      </c>
    </row>
    <row r="2118" customFormat="false" ht="15" hidden="false" customHeight="false" outlineLevel="0" collapsed="false">
      <c r="A2118" s="0" t="n">
        <v>2117</v>
      </c>
      <c r="B2118" s="14" t="n">
        <v>108767.483043151</v>
      </c>
      <c r="C2118" s="15" t="n">
        <v>0.0892497811452441</v>
      </c>
      <c r="D2118" s="14" t="n">
        <f aca="false">Summary!$B$5-B2118</f>
        <v>-8767.4830431508</v>
      </c>
      <c r="E2118" s="15" t="n">
        <f aca="false">B2118/Summary!$B$5-1</f>
        <v>0.087674830431508</v>
      </c>
    </row>
    <row r="2119" customFormat="false" ht="15" hidden="false" customHeight="false" outlineLevel="0" collapsed="false">
      <c r="A2119" s="0" t="n">
        <v>2118</v>
      </c>
      <c r="B2119" s="14" t="n">
        <v>128779.662253223</v>
      </c>
      <c r="C2119" s="15" t="n">
        <v>0.0855327190858709</v>
      </c>
      <c r="D2119" s="14" t="n">
        <f aca="false">Summary!$B$5-B2119</f>
        <v>-28779.662253223</v>
      </c>
      <c r="E2119" s="15" t="n">
        <f aca="false">B2119/Summary!$B$5-1</f>
        <v>0.28779662253223</v>
      </c>
    </row>
    <row r="2120" customFormat="false" ht="15" hidden="false" customHeight="false" outlineLevel="0" collapsed="false">
      <c r="A2120" s="0" t="n">
        <v>2119</v>
      </c>
      <c r="B2120" s="14" t="n">
        <v>105919.698852456</v>
      </c>
      <c r="C2120" s="15" t="n">
        <v>0.104015182393853</v>
      </c>
      <c r="D2120" s="14" t="n">
        <f aca="false">Summary!$B$5-B2120</f>
        <v>-5919.69885245551</v>
      </c>
      <c r="E2120" s="15" t="n">
        <f aca="false">B2120/Summary!$B$5-1</f>
        <v>0.0591969885245551</v>
      </c>
    </row>
    <row r="2121" customFormat="false" ht="15" hidden="false" customHeight="false" outlineLevel="0" collapsed="false">
      <c r="A2121" s="0" t="n">
        <v>2120</v>
      </c>
      <c r="B2121" s="14" t="n">
        <v>111898.730075352</v>
      </c>
      <c r="C2121" s="15" t="n">
        <v>0.0852952879502569</v>
      </c>
      <c r="D2121" s="14" t="n">
        <f aca="false">Summary!$B$5-B2121</f>
        <v>-11898.7300753515</v>
      </c>
      <c r="E2121" s="15" t="n">
        <f aca="false">B2121/Summary!$B$5-1</f>
        <v>0.118987300753515</v>
      </c>
    </row>
    <row r="2122" customFormat="false" ht="15" hidden="false" customHeight="false" outlineLevel="0" collapsed="false">
      <c r="A2122" s="0" t="n">
        <v>2121</v>
      </c>
      <c r="B2122" s="14" t="n">
        <v>106906.014532283</v>
      </c>
      <c r="C2122" s="15" t="n">
        <v>0.0627862137288698</v>
      </c>
      <c r="D2122" s="14" t="n">
        <f aca="false">Summary!$B$5-B2122</f>
        <v>-6906.0145322828</v>
      </c>
      <c r="E2122" s="15" t="n">
        <f aca="false">B2122/Summary!$B$5-1</f>
        <v>0.0690601453228281</v>
      </c>
    </row>
    <row r="2123" customFormat="false" ht="15" hidden="false" customHeight="false" outlineLevel="0" collapsed="false">
      <c r="A2123" s="0" t="n">
        <v>2122</v>
      </c>
      <c r="B2123" s="14" t="n">
        <v>101711.393933631</v>
      </c>
      <c r="C2123" s="15" t="n">
        <v>0.0967618590247165</v>
      </c>
      <c r="D2123" s="14" t="n">
        <f aca="false">Summary!$B$5-B2123</f>
        <v>-1711.39393363131</v>
      </c>
      <c r="E2123" s="15" t="n">
        <f aca="false">B2123/Summary!$B$5-1</f>
        <v>0.0171139393363131</v>
      </c>
    </row>
    <row r="2124" customFormat="false" ht="15" hidden="false" customHeight="false" outlineLevel="0" collapsed="false">
      <c r="A2124" s="0" t="n">
        <v>2123</v>
      </c>
      <c r="B2124" s="14" t="n">
        <v>107202.412712343</v>
      </c>
      <c r="C2124" s="15" t="n">
        <v>0.0717269421152066</v>
      </c>
      <c r="D2124" s="14" t="n">
        <f aca="false">Summary!$B$5-B2124</f>
        <v>-7202.4127123425</v>
      </c>
      <c r="E2124" s="15" t="n">
        <f aca="false">B2124/Summary!$B$5-1</f>
        <v>0.072024127123425</v>
      </c>
    </row>
    <row r="2125" customFormat="false" ht="15" hidden="false" customHeight="false" outlineLevel="0" collapsed="false">
      <c r="A2125" s="0" t="n">
        <v>2124</v>
      </c>
      <c r="B2125" s="14" t="n">
        <v>102760.836879696</v>
      </c>
      <c r="C2125" s="15" t="n">
        <v>0.0828022851048483</v>
      </c>
      <c r="D2125" s="14" t="n">
        <f aca="false">Summary!$B$5-B2125</f>
        <v>-2760.8368796959</v>
      </c>
      <c r="E2125" s="15" t="n">
        <f aca="false">B2125/Summary!$B$5-1</f>
        <v>0.0276083687969591</v>
      </c>
    </row>
    <row r="2126" customFormat="false" ht="15" hidden="false" customHeight="false" outlineLevel="0" collapsed="false">
      <c r="A2126" s="0" t="n">
        <v>2125</v>
      </c>
      <c r="B2126" s="14" t="n">
        <v>106002.039852576</v>
      </c>
      <c r="C2126" s="15" t="n">
        <v>0.0975526561162495</v>
      </c>
      <c r="D2126" s="14" t="n">
        <f aca="false">Summary!$B$5-B2126</f>
        <v>-6002.039852576</v>
      </c>
      <c r="E2126" s="15" t="n">
        <f aca="false">B2126/Summary!$B$5-1</f>
        <v>0.0600203985257599</v>
      </c>
    </row>
    <row r="2127" customFormat="false" ht="15" hidden="false" customHeight="false" outlineLevel="0" collapsed="false">
      <c r="A2127" s="0" t="n">
        <v>2126</v>
      </c>
      <c r="B2127" s="14" t="n">
        <v>97350.0888217596</v>
      </c>
      <c r="C2127" s="15" t="n">
        <v>0.0868533193339389</v>
      </c>
      <c r="D2127" s="14" t="n">
        <f aca="false">Summary!$B$5-B2127</f>
        <v>2649.91117824042</v>
      </c>
      <c r="E2127" s="15" t="n">
        <f aca="false">B2127/Summary!$B$5-1</f>
        <v>-0.0264991117824042</v>
      </c>
    </row>
    <row r="2128" customFormat="false" ht="15" hidden="false" customHeight="false" outlineLevel="0" collapsed="false">
      <c r="A2128" s="0" t="n">
        <v>2127</v>
      </c>
      <c r="B2128" s="14" t="n">
        <v>125749.813414538</v>
      </c>
      <c r="C2128" s="15" t="n">
        <v>0.0691913028107186</v>
      </c>
      <c r="D2128" s="14" t="n">
        <f aca="false">Summary!$B$5-B2128</f>
        <v>-25749.813414538</v>
      </c>
      <c r="E2128" s="15" t="n">
        <f aca="false">B2128/Summary!$B$5-1</f>
        <v>0.25749813414538</v>
      </c>
    </row>
    <row r="2129" customFormat="false" ht="15" hidden="false" customHeight="false" outlineLevel="0" collapsed="false">
      <c r="A2129" s="0" t="n">
        <v>2128</v>
      </c>
      <c r="B2129" s="14" t="n">
        <v>121772.405764472</v>
      </c>
      <c r="C2129" s="15" t="n">
        <v>0.0597970136404437</v>
      </c>
      <c r="D2129" s="14" t="n">
        <f aca="false">Summary!$B$5-B2129</f>
        <v>-21772.4057644724</v>
      </c>
      <c r="E2129" s="15" t="n">
        <f aca="false">B2129/Summary!$B$5-1</f>
        <v>0.217724057644724</v>
      </c>
    </row>
    <row r="2130" customFormat="false" ht="15" hidden="false" customHeight="false" outlineLevel="0" collapsed="false">
      <c r="A2130" s="0" t="n">
        <v>2129</v>
      </c>
      <c r="B2130" s="14" t="n">
        <v>117301.4290404</v>
      </c>
      <c r="C2130" s="15" t="n">
        <v>0.104763198962954</v>
      </c>
      <c r="D2130" s="14" t="n">
        <f aca="false">Summary!$B$5-B2130</f>
        <v>-17301.4290403997</v>
      </c>
      <c r="E2130" s="15" t="n">
        <f aca="false">B2130/Summary!$B$5-1</f>
        <v>0.173014290403997</v>
      </c>
    </row>
    <row r="2131" customFormat="false" ht="15" hidden="false" customHeight="false" outlineLevel="0" collapsed="false">
      <c r="A2131" s="0" t="n">
        <v>2130</v>
      </c>
      <c r="B2131" s="14" t="n">
        <v>94506.1406546191</v>
      </c>
      <c r="C2131" s="15" t="n">
        <v>0.111032001576022</v>
      </c>
      <c r="D2131" s="14" t="n">
        <f aca="false">Summary!$B$5-B2131</f>
        <v>5493.85934538086</v>
      </c>
      <c r="E2131" s="15" t="n">
        <f aca="false">B2131/Summary!$B$5-1</f>
        <v>-0.0549385934538086</v>
      </c>
    </row>
    <row r="2132" customFormat="false" ht="15" hidden="false" customHeight="false" outlineLevel="0" collapsed="false">
      <c r="A2132" s="0" t="n">
        <v>2131</v>
      </c>
      <c r="B2132" s="14" t="n">
        <v>100444.256637805</v>
      </c>
      <c r="C2132" s="15" t="n">
        <v>0.0892524335751207</v>
      </c>
      <c r="D2132" s="14" t="n">
        <f aca="false">Summary!$B$5-B2132</f>
        <v>-444.2566378052</v>
      </c>
      <c r="E2132" s="15" t="n">
        <f aca="false">B2132/Summary!$B$5-1</f>
        <v>0.00444256637805207</v>
      </c>
    </row>
    <row r="2133" customFormat="false" ht="15" hidden="false" customHeight="false" outlineLevel="0" collapsed="false">
      <c r="A2133" s="0" t="n">
        <v>2132</v>
      </c>
      <c r="B2133" s="14" t="n">
        <v>94646.7033979287</v>
      </c>
      <c r="C2133" s="15" t="n">
        <v>0.140061664654197</v>
      </c>
      <c r="D2133" s="14" t="n">
        <f aca="false">Summary!$B$5-B2133</f>
        <v>5353.29660207135</v>
      </c>
      <c r="E2133" s="15" t="n">
        <f aca="false">B2133/Summary!$B$5-1</f>
        <v>-0.0535329660207136</v>
      </c>
    </row>
    <row r="2134" customFormat="false" ht="15" hidden="false" customHeight="false" outlineLevel="0" collapsed="false">
      <c r="A2134" s="0" t="n">
        <v>2133</v>
      </c>
      <c r="B2134" s="14" t="n">
        <v>108190.098222661</v>
      </c>
      <c r="C2134" s="15" t="n">
        <v>0.0758168374487467</v>
      </c>
      <c r="D2134" s="14" t="n">
        <f aca="false">Summary!$B$5-B2134</f>
        <v>-8190.0982226613</v>
      </c>
      <c r="E2134" s="15" t="n">
        <f aca="false">B2134/Summary!$B$5-1</f>
        <v>0.081900982226613</v>
      </c>
    </row>
    <row r="2135" customFormat="false" ht="15" hidden="false" customHeight="false" outlineLevel="0" collapsed="false">
      <c r="A2135" s="0" t="n">
        <v>2134</v>
      </c>
      <c r="B2135" s="14" t="n">
        <v>102513.30124672</v>
      </c>
      <c r="C2135" s="15" t="n">
        <v>0.0991193376772267</v>
      </c>
      <c r="D2135" s="14" t="n">
        <f aca="false">Summary!$B$5-B2135</f>
        <v>-2513.30124672029</v>
      </c>
      <c r="E2135" s="15" t="n">
        <f aca="false">B2135/Summary!$B$5-1</f>
        <v>0.0251330124672029</v>
      </c>
    </row>
    <row r="2136" customFormat="false" ht="15" hidden="false" customHeight="false" outlineLevel="0" collapsed="false">
      <c r="A2136" s="0" t="n">
        <v>2135</v>
      </c>
      <c r="B2136" s="14" t="n">
        <v>103558.19558846</v>
      </c>
      <c r="C2136" s="15" t="n">
        <v>0.0688875937060016</v>
      </c>
      <c r="D2136" s="14" t="n">
        <f aca="false">Summary!$B$5-B2136</f>
        <v>-3558.19558846</v>
      </c>
      <c r="E2136" s="15" t="n">
        <f aca="false">B2136/Summary!$B$5-1</f>
        <v>0.0355819558846</v>
      </c>
    </row>
    <row r="2137" customFormat="false" ht="15" hidden="false" customHeight="false" outlineLevel="0" collapsed="false">
      <c r="A2137" s="0" t="n">
        <v>2136</v>
      </c>
      <c r="B2137" s="14" t="n">
        <v>92822.5007096851</v>
      </c>
      <c r="C2137" s="15" t="n">
        <v>0.148958253643932</v>
      </c>
      <c r="D2137" s="14" t="n">
        <f aca="false">Summary!$B$5-B2137</f>
        <v>7177.49929031494</v>
      </c>
      <c r="E2137" s="15" t="n">
        <f aca="false">B2137/Summary!$B$5-1</f>
        <v>-0.0717749929031494</v>
      </c>
    </row>
    <row r="2138" customFormat="false" ht="15" hidden="false" customHeight="false" outlineLevel="0" collapsed="false">
      <c r="A2138" s="0" t="n">
        <v>2137</v>
      </c>
      <c r="B2138" s="14" t="n">
        <v>102660.149048819</v>
      </c>
      <c r="C2138" s="15" t="n">
        <v>0.130554304689969</v>
      </c>
      <c r="D2138" s="14" t="n">
        <f aca="false">Summary!$B$5-B2138</f>
        <v>-2660.1490488186</v>
      </c>
      <c r="E2138" s="15" t="n">
        <f aca="false">B2138/Summary!$B$5-1</f>
        <v>0.0266014904881859</v>
      </c>
    </row>
    <row r="2139" customFormat="false" ht="15" hidden="false" customHeight="false" outlineLevel="0" collapsed="false">
      <c r="A2139" s="0" t="n">
        <v>2138</v>
      </c>
      <c r="B2139" s="14" t="n">
        <v>101672.79342358</v>
      </c>
      <c r="C2139" s="15" t="n">
        <v>0.0992071321445239</v>
      </c>
      <c r="D2139" s="14" t="n">
        <f aca="false">Summary!$B$5-B2139</f>
        <v>-1672.7934235797</v>
      </c>
      <c r="E2139" s="15" t="n">
        <f aca="false">B2139/Summary!$B$5-1</f>
        <v>0.0167279342357971</v>
      </c>
    </row>
    <row r="2140" customFormat="false" ht="15" hidden="false" customHeight="false" outlineLevel="0" collapsed="false">
      <c r="A2140" s="0" t="n">
        <v>2139</v>
      </c>
      <c r="B2140" s="14" t="n">
        <v>124860.438772875</v>
      </c>
      <c r="C2140" s="15" t="n">
        <v>0.0665771640039264</v>
      </c>
      <c r="D2140" s="14" t="n">
        <f aca="false">Summary!$B$5-B2140</f>
        <v>-24860.4387728751</v>
      </c>
      <c r="E2140" s="15" t="n">
        <f aca="false">B2140/Summary!$B$5-1</f>
        <v>0.248604387728751</v>
      </c>
    </row>
    <row r="2141" customFormat="false" ht="15" hidden="false" customHeight="false" outlineLevel="0" collapsed="false">
      <c r="A2141" s="0" t="n">
        <v>2140</v>
      </c>
      <c r="B2141" s="14" t="n">
        <v>100890.507727498</v>
      </c>
      <c r="C2141" s="15" t="n">
        <v>0.0867654994316685</v>
      </c>
      <c r="D2141" s="14" t="n">
        <f aca="false">Summary!$B$5-B2141</f>
        <v>-890.507727497898</v>
      </c>
      <c r="E2141" s="15" t="n">
        <f aca="false">B2141/Summary!$B$5-1</f>
        <v>0.00890507727497902</v>
      </c>
    </row>
    <row r="2142" customFormat="false" ht="15" hidden="false" customHeight="false" outlineLevel="0" collapsed="false">
      <c r="A2142" s="0" t="n">
        <v>2141</v>
      </c>
      <c r="B2142" s="14" t="n">
        <v>96017.8442472156</v>
      </c>
      <c r="C2142" s="15" t="n">
        <v>0.122663030283291</v>
      </c>
      <c r="D2142" s="14" t="n">
        <f aca="false">Summary!$B$5-B2142</f>
        <v>3982.15575278437</v>
      </c>
      <c r="E2142" s="15" t="n">
        <f aca="false">B2142/Summary!$B$5-1</f>
        <v>-0.0398215575278437</v>
      </c>
    </row>
    <row r="2143" customFormat="false" ht="15" hidden="false" customHeight="false" outlineLevel="0" collapsed="false">
      <c r="A2143" s="0" t="n">
        <v>2142</v>
      </c>
      <c r="B2143" s="14" t="n">
        <v>103705.091459026</v>
      </c>
      <c r="C2143" s="15" t="n">
        <v>0.0891548282761893</v>
      </c>
      <c r="D2143" s="14" t="n">
        <f aca="false">Summary!$B$5-B2143</f>
        <v>-3705.09145902609</v>
      </c>
      <c r="E2143" s="15" t="n">
        <f aca="false">B2143/Summary!$B$5-1</f>
        <v>0.0370509145902609</v>
      </c>
    </row>
    <row r="2144" customFormat="false" ht="15" hidden="false" customHeight="false" outlineLevel="0" collapsed="false">
      <c r="A2144" s="0" t="n">
        <v>2143</v>
      </c>
      <c r="B2144" s="14" t="n">
        <v>96435.6868616822</v>
      </c>
      <c r="C2144" s="15" t="n">
        <v>0.111155666589774</v>
      </c>
      <c r="D2144" s="14" t="n">
        <f aca="false">Summary!$B$5-B2144</f>
        <v>3564.31313831784</v>
      </c>
      <c r="E2144" s="15" t="n">
        <f aca="false">B2144/Summary!$B$5-1</f>
        <v>-0.0356431313831784</v>
      </c>
    </row>
    <row r="2145" customFormat="false" ht="15" hidden="false" customHeight="false" outlineLevel="0" collapsed="false">
      <c r="A2145" s="0" t="n">
        <v>2144</v>
      </c>
      <c r="B2145" s="14" t="n">
        <v>108546.969889952</v>
      </c>
      <c r="C2145" s="15" t="n">
        <v>0.097401920703309</v>
      </c>
      <c r="D2145" s="14" t="n">
        <f aca="false">Summary!$B$5-B2145</f>
        <v>-8546.96988995159</v>
      </c>
      <c r="E2145" s="15" t="n">
        <f aca="false">B2145/Summary!$B$5-1</f>
        <v>0.0854696988995158</v>
      </c>
    </row>
    <row r="2146" customFormat="false" ht="15" hidden="false" customHeight="false" outlineLevel="0" collapsed="false">
      <c r="A2146" s="0" t="n">
        <v>2145</v>
      </c>
      <c r="B2146" s="14" t="n">
        <v>110201.309809782</v>
      </c>
      <c r="C2146" s="15" t="n">
        <v>0.0721569383285201</v>
      </c>
      <c r="D2146" s="14" t="n">
        <f aca="false">Summary!$B$5-B2146</f>
        <v>-10201.3098097816</v>
      </c>
      <c r="E2146" s="15" t="n">
        <f aca="false">B2146/Summary!$B$5-1</f>
        <v>0.102013098097816</v>
      </c>
    </row>
    <row r="2147" customFormat="false" ht="15" hidden="false" customHeight="false" outlineLevel="0" collapsed="false">
      <c r="A2147" s="0" t="n">
        <v>2146</v>
      </c>
      <c r="B2147" s="14" t="n">
        <v>119795.678175487</v>
      </c>
      <c r="C2147" s="15" t="n">
        <v>0.0750813931731068</v>
      </c>
      <c r="D2147" s="14" t="n">
        <f aca="false">Summary!$B$5-B2147</f>
        <v>-19795.678175487</v>
      </c>
      <c r="E2147" s="15" t="n">
        <f aca="false">B2147/Summary!$B$5-1</f>
        <v>0.19795678175487</v>
      </c>
    </row>
    <row r="2148" customFormat="false" ht="15" hidden="false" customHeight="false" outlineLevel="0" collapsed="false">
      <c r="A2148" s="0" t="n">
        <v>2147</v>
      </c>
      <c r="B2148" s="14" t="n">
        <v>99980.0256064575</v>
      </c>
      <c r="C2148" s="15" t="n">
        <v>0.121449453675677</v>
      </c>
      <c r="D2148" s="14" t="n">
        <f aca="false">Summary!$B$5-B2148</f>
        <v>19.9743935424776</v>
      </c>
      <c r="E2148" s="15" t="n">
        <f aca="false">B2148/Summary!$B$5-1</f>
        <v>-0.000199743935424768</v>
      </c>
    </row>
    <row r="2149" customFormat="false" ht="15" hidden="false" customHeight="false" outlineLevel="0" collapsed="false">
      <c r="A2149" s="0" t="n">
        <v>2148</v>
      </c>
      <c r="B2149" s="14" t="n">
        <v>106982.094179863</v>
      </c>
      <c r="C2149" s="15" t="n">
        <v>0.0758193155120952</v>
      </c>
      <c r="D2149" s="14" t="n">
        <f aca="false">Summary!$B$5-B2149</f>
        <v>-6982.0941798634</v>
      </c>
      <c r="E2149" s="15" t="n">
        <f aca="false">B2149/Summary!$B$5-1</f>
        <v>0.069820941798634</v>
      </c>
    </row>
    <row r="2150" customFormat="false" ht="15" hidden="false" customHeight="false" outlineLevel="0" collapsed="false">
      <c r="A2150" s="0" t="n">
        <v>2149</v>
      </c>
      <c r="B2150" s="14" t="n">
        <v>102137.240987363</v>
      </c>
      <c r="C2150" s="15" t="n">
        <v>0.0986743811754305</v>
      </c>
      <c r="D2150" s="14" t="n">
        <f aca="false">Summary!$B$5-B2150</f>
        <v>-2137.2409873632</v>
      </c>
      <c r="E2150" s="15" t="n">
        <f aca="false">B2150/Summary!$B$5-1</f>
        <v>0.0213724098736321</v>
      </c>
    </row>
    <row r="2151" customFormat="false" ht="15" hidden="false" customHeight="false" outlineLevel="0" collapsed="false">
      <c r="A2151" s="0" t="n">
        <v>2150</v>
      </c>
      <c r="B2151" s="14" t="n">
        <v>127666.707213986</v>
      </c>
      <c r="C2151" s="15" t="n">
        <v>0.0508076812643554</v>
      </c>
      <c r="D2151" s="14" t="n">
        <f aca="false">Summary!$B$5-B2151</f>
        <v>-27666.7072139859</v>
      </c>
      <c r="E2151" s="15" t="n">
        <f aca="false">B2151/Summary!$B$5-1</f>
        <v>0.276667072139859</v>
      </c>
    </row>
    <row r="2152" customFormat="false" ht="15" hidden="false" customHeight="false" outlineLevel="0" collapsed="false">
      <c r="A2152" s="0" t="n">
        <v>2151</v>
      </c>
      <c r="B2152" s="14" t="n">
        <v>98981.9626194324</v>
      </c>
      <c r="C2152" s="15" t="n">
        <v>0.0972133710910392</v>
      </c>
      <c r="D2152" s="14" t="n">
        <f aca="false">Summary!$B$5-B2152</f>
        <v>1018.03738056764</v>
      </c>
      <c r="E2152" s="15" t="n">
        <f aca="false">B2152/Summary!$B$5-1</f>
        <v>-0.0101803738056764</v>
      </c>
    </row>
    <row r="2153" customFormat="false" ht="15" hidden="false" customHeight="false" outlineLevel="0" collapsed="false">
      <c r="A2153" s="0" t="n">
        <v>2152</v>
      </c>
      <c r="B2153" s="14" t="n">
        <v>103599.611134511</v>
      </c>
      <c r="C2153" s="15" t="n">
        <v>0.0587822467132028</v>
      </c>
      <c r="D2153" s="14" t="n">
        <f aca="false">Summary!$B$5-B2153</f>
        <v>-3599.61113451079</v>
      </c>
      <c r="E2153" s="15" t="n">
        <f aca="false">B2153/Summary!$B$5-1</f>
        <v>0.0359961113451079</v>
      </c>
    </row>
    <row r="2154" customFormat="false" ht="15" hidden="false" customHeight="false" outlineLevel="0" collapsed="false">
      <c r="A2154" s="0" t="n">
        <v>2153</v>
      </c>
      <c r="B2154" s="14" t="n">
        <v>98508.2301020524</v>
      </c>
      <c r="C2154" s="15" t="n">
        <v>0.103856559240623</v>
      </c>
      <c r="D2154" s="14" t="n">
        <f aca="false">Summary!$B$5-B2154</f>
        <v>1491.7698979476</v>
      </c>
      <c r="E2154" s="15" t="n">
        <f aca="false">B2154/Summary!$B$5-1</f>
        <v>-0.0149176989794759</v>
      </c>
    </row>
    <row r="2155" customFormat="false" ht="15" hidden="false" customHeight="false" outlineLevel="0" collapsed="false">
      <c r="A2155" s="0" t="n">
        <v>2154</v>
      </c>
      <c r="B2155" s="14" t="n">
        <v>162652.703296717</v>
      </c>
      <c r="C2155" s="15" t="n">
        <v>0.114578748495794</v>
      </c>
      <c r="D2155" s="14" t="n">
        <f aca="false">Summary!$B$5-B2155</f>
        <v>-62652.7032967165</v>
      </c>
      <c r="E2155" s="15" t="n">
        <f aca="false">B2155/Summary!$B$5-1</f>
        <v>0.626527032967165</v>
      </c>
    </row>
    <row r="2156" customFormat="false" ht="15" hidden="false" customHeight="false" outlineLevel="0" collapsed="false">
      <c r="A2156" s="0" t="n">
        <v>2155</v>
      </c>
      <c r="B2156" s="14" t="n">
        <v>104862.247282073</v>
      </c>
      <c r="C2156" s="15" t="n">
        <v>0.0984706580606862</v>
      </c>
      <c r="D2156" s="14" t="n">
        <f aca="false">Summary!$B$5-B2156</f>
        <v>-4862.2472820726</v>
      </c>
      <c r="E2156" s="15" t="n">
        <f aca="false">B2156/Summary!$B$5-1</f>
        <v>0.0486224728207261</v>
      </c>
    </row>
    <row r="2157" customFormat="false" ht="15" hidden="false" customHeight="false" outlineLevel="0" collapsed="false">
      <c r="A2157" s="0" t="n">
        <v>2156</v>
      </c>
      <c r="B2157" s="14" t="n">
        <v>109142.84114716</v>
      </c>
      <c r="C2157" s="15" t="n">
        <v>0.0721248641998733</v>
      </c>
      <c r="D2157" s="14" t="n">
        <f aca="false">Summary!$B$5-B2157</f>
        <v>-9142.8411471603</v>
      </c>
      <c r="E2157" s="15" t="n">
        <f aca="false">B2157/Summary!$B$5-1</f>
        <v>0.0914284114716031</v>
      </c>
    </row>
    <row r="2158" customFormat="false" ht="15" hidden="false" customHeight="false" outlineLevel="0" collapsed="false">
      <c r="A2158" s="0" t="n">
        <v>2157</v>
      </c>
      <c r="B2158" s="14" t="n">
        <v>97413.7942155564</v>
      </c>
      <c r="C2158" s="15" t="n">
        <v>0.113712846112332</v>
      </c>
      <c r="D2158" s="14" t="n">
        <f aca="false">Summary!$B$5-B2158</f>
        <v>2586.20578444365</v>
      </c>
      <c r="E2158" s="15" t="n">
        <f aca="false">B2158/Summary!$B$5-1</f>
        <v>-0.0258620578444365</v>
      </c>
    </row>
    <row r="2159" customFormat="false" ht="15" hidden="false" customHeight="false" outlineLevel="0" collapsed="false">
      <c r="A2159" s="0" t="n">
        <v>2158</v>
      </c>
      <c r="B2159" s="14" t="n">
        <v>113362.227413026</v>
      </c>
      <c r="C2159" s="15" t="n">
        <v>0.10887315044405</v>
      </c>
      <c r="D2159" s="14" t="n">
        <f aca="false">Summary!$B$5-B2159</f>
        <v>-13362.2274130261</v>
      </c>
      <c r="E2159" s="15" t="n">
        <f aca="false">B2159/Summary!$B$5-1</f>
        <v>0.133622274130261</v>
      </c>
    </row>
    <row r="2160" customFormat="false" ht="15" hidden="false" customHeight="false" outlineLevel="0" collapsed="false">
      <c r="A2160" s="0" t="n">
        <v>2159</v>
      </c>
      <c r="B2160" s="14" t="n">
        <v>100980.207981156</v>
      </c>
      <c r="C2160" s="15" t="n">
        <v>0.136056912902189</v>
      </c>
      <c r="D2160" s="14" t="n">
        <f aca="false">Summary!$B$5-B2160</f>
        <v>-980.207981155996</v>
      </c>
      <c r="E2160" s="15" t="n">
        <f aca="false">B2160/Summary!$B$5-1</f>
        <v>0.00980207981155989</v>
      </c>
    </row>
    <row r="2161" customFormat="false" ht="15" hidden="false" customHeight="false" outlineLevel="0" collapsed="false">
      <c r="A2161" s="0" t="n">
        <v>2160</v>
      </c>
      <c r="B2161" s="14" t="n">
        <v>105688.388022633</v>
      </c>
      <c r="C2161" s="15" t="n">
        <v>0.0782600967499501</v>
      </c>
      <c r="D2161" s="14" t="n">
        <f aca="false">Summary!$B$5-B2161</f>
        <v>-5688.3880226326</v>
      </c>
      <c r="E2161" s="15" t="n">
        <f aca="false">B2161/Summary!$B$5-1</f>
        <v>0.0568838802263261</v>
      </c>
    </row>
    <row r="2162" customFormat="false" ht="15" hidden="false" customHeight="false" outlineLevel="0" collapsed="false">
      <c r="A2162" s="0" t="n">
        <v>2161</v>
      </c>
      <c r="B2162" s="14" t="n">
        <v>93457.7144116838</v>
      </c>
      <c r="C2162" s="15" t="n">
        <v>0.158056536395876</v>
      </c>
      <c r="D2162" s="14" t="n">
        <f aca="false">Summary!$B$5-B2162</f>
        <v>6542.28558831624</v>
      </c>
      <c r="E2162" s="15" t="n">
        <f aca="false">B2162/Summary!$B$5-1</f>
        <v>-0.0654228558831624</v>
      </c>
    </row>
    <row r="2163" customFormat="false" ht="15" hidden="false" customHeight="false" outlineLevel="0" collapsed="false">
      <c r="A2163" s="0" t="n">
        <v>2162</v>
      </c>
      <c r="B2163" s="14" t="n">
        <v>111738.102962984</v>
      </c>
      <c r="C2163" s="15" t="n">
        <v>0.0990909140887358</v>
      </c>
      <c r="D2163" s="14" t="n">
        <f aca="false">Summary!$B$5-B2163</f>
        <v>-11738.1029629837</v>
      </c>
      <c r="E2163" s="15" t="n">
        <f aca="false">B2163/Summary!$B$5-1</f>
        <v>0.117381029629837</v>
      </c>
    </row>
    <row r="2164" customFormat="false" ht="15" hidden="false" customHeight="false" outlineLevel="0" collapsed="false">
      <c r="A2164" s="0" t="n">
        <v>2163</v>
      </c>
      <c r="B2164" s="14" t="n">
        <v>111339.825119901</v>
      </c>
      <c r="C2164" s="15" t="n">
        <v>0.13188621430921</v>
      </c>
      <c r="D2164" s="14" t="n">
        <f aca="false">Summary!$B$5-B2164</f>
        <v>-11339.8251199012</v>
      </c>
      <c r="E2164" s="15" t="n">
        <f aca="false">B2164/Summary!$B$5-1</f>
        <v>0.113398251199012</v>
      </c>
    </row>
    <row r="2165" customFormat="false" ht="15" hidden="false" customHeight="false" outlineLevel="0" collapsed="false">
      <c r="A2165" s="0" t="n">
        <v>2164</v>
      </c>
      <c r="B2165" s="14" t="n">
        <v>114604.485951586</v>
      </c>
      <c r="C2165" s="15" t="n">
        <v>0.144152434104669</v>
      </c>
      <c r="D2165" s="14" t="n">
        <f aca="false">Summary!$B$5-B2165</f>
        <v>-14604.4859515863</v>
      </c>
      <c r="E2165" s="15" t="n">
        <f aca="false">B2165/Summary!$B$5-1</f>
        <v>0.146044859515863</v>
      </c>
    </row>
    <row r="2166" customFormat="false" ht="15" hidden="false" customHeight="false" outlineLevel="0" collapsed="false">
      <c r="A2166" s="0" t="n">
        <v>2165</v>
      </c>
      <c r="B2166" s="14" t="n">
        <v>102670.001202231</v>
      </c>
      <c r="C2166" s="15" t="n">
        <v>0.100888489279807</v>
      </c>
      <c r="D2166" s="14" t="n">
        <f aca="false">Summary!$B$5-B2166</f>
        <v>-2670.00120223071</v>
      </c>
      <c r="E2166" s="15" t="n">
        <f aca="false">B2166/Summary!$B$5-1</f>
        <v>0.0267000120223071</v>
      </c>
    </row>
    <row r="2167" customFormat="false" ht="15" hidden="false" customHeight="false" outlineLevel="0" collapsed="false">
      <c r="A2167" s="0" t="n">
        <v>2166</v>
      </c>
      <c r="B2167" s="14" t="n">
        <v>147433.573812601</v>
      </c>
      <c r="C2167" s="15" t="n">
        <v>0.0644690324350659</v>
      </c>
      <c r="D2167" s="14" t="n">
        <f aca="false">Summary!$B$5-B2167</f>
        <v>-47433.5738126006</v>
      </c>
      <c r="E2167" s="15" t="n">
        <f aca="false">B2167/Summary!$B$5-1</f>
        <v>0.474335738126006</v>
      </c>
    </row>
    <row r="2168" customFormat="false" ht="15" hidden="false" customHeight="false" outlineLevel="0" collapsed="false">
      <c r="A2168" s="0" t="n">
        <v>2167</v>
      </c>
      <c r="B2168" s="14" t="n">
        <v>130136.82448413</v>
      </c>
      <c r="C2168" s="15" t="n">
        <v>0.0462976751862029</v>
      </c>
      <c r="D2168" s="14" t="n">
        <f aca="false">Summary!$B$5-B2168</f>
        <v>-30136.8244841298</v>
      </c>
      <c r="E2168" s="15" t="n">
        <f aca="false">B2168/Summary!$B$5-1</f>
        <v>0.301368244841298</v>
      </c>
    </row>
    <row r="2169" customFormat="false" ht="15" hidden="false" customHeight="false" outlineLevel="0" collapsed="false">
      <c r="A2169" s="0" t="n">
        <v>2168</v>
      </c>
      <c r="B2169" s="14" t="n">
        <v>124369.492726083</v>
      </c>
      <c r="C2169" s="15" t="n">
        <v>0.0538813361430387</v>
      </c>
      <c r="D2169" s="14" t="n">
        <f aca="false">Summary!$B$5-B2169</f>
        <v>-24369.4927260828</v>
      </c>
      <c r="E2169" s="15" t="n">
        <f aca="false">B2169/Summary!$B$5-1</f>
        <v>0.243694927260828</v>
      </c>
    </row>
    <row r="2170" customFormat="false" ht="15" hidden="false" customHeight="false" outlineLevel="0" collapsed="false">
      <c r="A2170" s="0" t="n">
        <v>2169</v>
      </c>
      <c r="B2170" s="14" t="n">
        <v>113344.708741994</v>
      </c>
      <c r="C2170" s="15" t="n">
        <v>0.0974900864037904</v>
      </c>
      <c r="D2170" s="14" t="n">
        <f aca="false">Summary!$B$5-B2170</f>
        <v>-13344.7087419935</v>
      </c>
      <c r="E2170" s="15" t="n">
        <f aca="false">B2170/Summary!$B$5-1</f>
        <v>0.133447087419935</v>
      </c>
    </row>
    <row r="2171" customFormat="false" ht="15" hidden="false" customHeight="false" outlineLevel="0" collapsed="false">
      <c r="A2171" s="0" t="n">
        <v>2170</v>
      </c>
      <c r="B2171" s="14" t="n">
        <v>130255.756410546</v>
      </c>
      <c r="C2171" s="15" t="n">
        <v>0.0421984374085389</v>
      </c>
      <c r="D2171" s="14" t="n">
        <f aca="false">Summary!$B$5-B2171</f>
        <v>-30255.7564105459</v>
      </c>
      <c r="E2171" s="15" t="n">
        <f aca="false">B2171/Summary!$B$5-1</f>
        <v>0.302557564105459</v>
      </c>
    </row>
    <row r="2172" customFormat="false" ht="15" hidden="false" customHeight="false" outlineLevel="0" collapsed="false">
      <c r="A2172" s="0" t="n">
        <v>2171</v>
      </c>
      <c r="B2172" s="14" t="n">
        <v>114191.012424886</v>
      </c>
      <c r="C2172" s="15" t="n">
        <v>0.0974695253366087</v>
      </c>
      <c r="D2172" s="14" t="n">
        <f aca="false">Summary!$B$5-B2172</f>
        <v>-14191.0124248862</v>
      </c>
      <c r="E2172" s="15" t="n">
        <f aca="false">B2172/Summary!$B$5-1</f>
        <v>0.141910124248862</v>
      </c>
    </row>
    <row r="2173" customFormat="false" ht="15" hidden="false" customHeight="false" outlineLevel="0" collapsed="false">
      <c r="A2173" s="0" t="n">
        <v>2172</v>
      </c>
      <c r="B2173" s="14" t="n">
        <v>110494.381097875</v>
      </c>
      <c r="C2173" s="15" t="n">
        <v>0.155331571049445</v>
      </c>
      <c r="D2173" s="14" t="n">
        <f aca="false">Summary!$B$5-B2173</f>
        <v>-10494.3810978748</v>
      </c>
      <c r="E2173" s="15" t="n">
        <f aca="false">B2173/Summary!$B$5-1</f>
        <v>0.104943810978748</v>
      </c>
    </row>
    <row r="2174" customFormat="false" ht="15" hidden="false" customHeight="false" outlineLevel="0" collapsed="false">
      <c r="A2174" s="0" t="n">
        <v>2173</v>
      </c>
      <c r="B2174" s="14" t="n">
        <v>128351.583003583</v>
      </c>
      <c r="C2174" s="15" t="n">
        <v>0.0967228227014171</v>
      </c>
      <c r="D2174" s="14" t="n">
        <f aca="false">Summary!$B$5-B2174</f>
        <v>-28351.583003583</v>
      </c>
      <c r="E2174" s="15" t="n">
        <f aca="false">B2174/Summary!$B$5-1</f>
        <v>0.28351583003583</v>
      </c>
    </row>
    <row r="2175" customFormat="false" ht="15" hidden="false" customHeight="false" outlineLevel="0" collapsed="false">
      <c r="A2175" s="0" t="n">
        <v>2174</v>
      </c>
      <c r="B2175" s="14" t="n">
        <v>109366.796493515</v>
      </c>
      <c r="C2175" s="15" t="n">
        <v>0.106496865529427</v>
      </c>
      <c r="D2175" s="14" t="n">
        <f aca="false">Summary!$B$5-B2175</f>
        <v>-9366.79649351499</v>
      </c>
      <c r="E2175" s="15" t="n">
        <f aca="false">B2175/Summary!$B$5-1</f>
        <v>0.09366796493515</v>
      </c>
    </row>
    <row r="2176" customFormat="false" ht="15" hidden="false" customHeight="false" outlineLevel="0" collapsed="false">
      <c r="A2176" s="0" t="n">
        <v>2175</v>
      </c>
      <c r="B2176" s="14" t="n">
        <v>143428.817460358</v>
      </c>
      <c r="C2176" s="15" t="n">
        <v>0.10026134878234</v>
      </c>
      <c r="D2176" s="14" t="n">
        <f aca="false">Summary!$B$5-B2176</f>
        <v>-43428.8174603577</v>
      </c>
      <c r="E2176" s="15" t="n">
        <f aca="false">B2176/Summary!$B$5-1</f>
        <v>0.434288174603577</v>
      </c>
    </row>
    <row r="2177" customFormat="false" ht="15" hidden="false" customHeight="false" outlineLevel="0" collapsed="false">
      <c r="A2177" s="0" t="n">
        <v>2176</v>
      </c>
      <c r="B2177" s="14" t="n">
        <v>99240.675421199</v>
      </c>
      <c r="C2177" s="15" t="n">
        <v>0.124161391514909</v>
      </c>
      <c r="D2177" s="14" t="n">
        <f aca="false">Summary!$B$5-B2177</f>
        <v>759.324578800995</v>
      </c>
      <c r="E2177" s="15" t="n">
        <f aca="false">B2177/Summary!$B$5-1</f>
        <v>-0.00759324578800991</v>
      </c>
    </row>
    <row r="2178" customFormat="false" ht="15" hidden="false" customHeight="false" outlineLevel="0" collapsed="false">
      <c r="A2178" s="0" t="n">
        <v>2177</v>
      </c>
      <c r="B2178" s="14" t="n">
        <v>117968.164092493</v>
      </c>
      <c r="C2178" s="15" t="n">
        <v>0.0731300067703251</v>
      </c>
      <c r="D2178" s="14" t="n">
        <f aca="false">Summary!$B$5-B2178</f>
        <v>-17968.1640924933</v>
      </c>
      <c r="E2178" s="15" t="n">
        <f aca="false">B2178/Summary!$B$5-1</f>
        <v>0.179681640924933</v>
      </c>
    </row>
    <row r="2179" customFormat="false" ht="15" hidden="false" customHeight="false" outlineLevel="0" collapsed="false">
      <c r="A2179" s="0" t="n">
        <v>2178</v>
      </c>
      <c r="B2179" s="14" t="n">
        <v>122186.195890838</v>
      </c>
      <c r="C2179" s="15" t="n">
        <v>0.064345110128528</v>
      </c>
      <c r="D2179" s="14" t="n">
        <f aca="false">Summary!$B$5-B2179</f>
        <v>-22186.1958908381</v>
      </c>
      <c r="E2179" s="15" t="n">
        <f aca="false">B2179/Summary!$B$5-1</f>
        <v>0.221861958908381</v>
      </c>
    </row>
    <row r="2180" customFormat="false" ht="15" hidden="false" customHeight="false" outlineLevel="0" collapsed="false">
      <c r="A2180" s="0" t="n">
        <v>2179</v>
      </c>
      <c r="B2180" s="14" t="n">
        <v>122333.167288328</v>
      </c>
      <c r="C2180" s="15" t="n">
        <v>0.140876757189526</v>
      </c>
      <c r="D2180" s="14" t="n">
        <f aca="false">Summary!$B$5-B2180</f>
        <v>-22333.1672883283</v>
      </c>
      <c r="E2180" s="15" t="n">
        <f aca="false">B2180/Summary!$B$5-1</f>
        <v>0.223331672883283</v>
      </c>
    </row>
    <row r="2181" customFormat="false" ht="15" hidden="false" customHeight="false" outlineLevel="0" collapsed="false">
      <c r="A2181" s="0" t="n">
        <v>2180</v>
      </c>
      <c r="B2181" s="14" t="n">
        <v>129712.519097326</v>
      </c>
      <c r="C2181" s="15" t="n">
        <v>0.0742401357571964</v>
      </c>
      <c r="D2181" s="14" t="n">
        <f aca="false">Summary!$B$5-B2181</f>
        <v>-29712.5190973261</v>
      </c>
      <c r="E2181" s="15" t="n">
        <f aca="false">B2181/Summary!$B$5-1</f>
        <v>0.297125190973261</v>
      </c>
    </row>
    <row r="2182" customFormat="false" ht="15" hidden="false" customHeight="false" outlineLevel="0" collapsed="false">
      <c r="A2182" s="0" t="n">
        <v>2181</v>
      </c>
      <c r="B2182" s="14" t="n">
        <v>115994.97658778</v>
      </c>
      <c r="C2182" s="15" t="n">
        <v>0.061738902153071</v>
      </c>
      <c r="D2182" s="14" t="n">
        <f aca="false">Summary!$B$5-B2182</f>
        <v>-15994.9765877795</v>
      </c>
      <c r="E2182" s="15" t="n">
        <f aca="false">B2182/Summary!$B$5-1</f>
        <v>0.159949765877795</v>
      </c>
    </row>
    <row r="2183" customFormat="false" ht="15" hidden="false" customHeight="false" outlineLevel="0" collapsed="false">
      <c r="A2183" s="0" t="n">
        <v>2182</v>
      </c>
      <c r="B2183" s="14" t="n">
        <v>121511.085761933</v>
      </c>
      <c r="C2183" s="15" t="n">
        <v>0.05613636125917</v>
      </c>
      <c r="D2183" s="14" t="n">
        <f aca="false">Summary!$B$5-B2183</f>
        <v>-21511.0857619331</v>
      </c>
      <c r="E2183" s="15" t="n">
        <f aca="false">B2183/Summary!$B$5-1</f>
        <v>0.215110857619331</v>
      </c>
    </row>
    <row r="2184" customFormat="false" ht="15" hidden="false" customHeight="false" outlineLevel="0" collapsed="false">
      <c r="A2184" s="0" t="n">
        <v>2183</v>
      </c>
      <c r="B2184" s="14" t="n">
        <v>100413.316236942</v>
      </c>
      <c r="C2184" s="15" t="n">
        <v>0.104142193326644</v>
      </c>
      <c r="D2184" s="14" t="n">
        <f aca="false">Summary!$B$5-B2184</f>
        <v>-413.316236941901</v>
      </c>
      <c r="E2184" s="15" t="n">
        <f aca="false">B2184/Summary!$B$5-1</f>
        <v>0.00413316236941896</v>
      </c>
    </row>
    <row r="2185" customFormat="false" ht="15" hidden="false" customHeight="false" outlineLevel="0" collapsed="false">
      <c r="A2185" s="0" t="n">
        <v>2184</v>
      </c>
      <c r="B2185" s="14" t="n">
        <v>108005.216348702</v>
      </c>
      <c r="C2185" s="15" t="n">
        <v>0.0730356578538359</v>
      </c>
      <c r="D2185" s="14" t="n">
        <f aca="false">Summary!$B$5-B2185</f>
        <v>-8005.2163487019</v>
      </c>
      <c r="E2185" s="15" t="n">
        <f aca="false">B2185/Summary!$B$5-1</f>
        <v>0.0800521634870191</v>
      </c>
    </row>
    <row r="2186" customFormat="false" ht="15" hidden="false" customHeight="false" outlineLevel="0" collapsed="false">
      <c r="A2186" s="0" t="n">
        <v>2185</v>
      </c>
      <c r="B2186" s="14" t="n">
        <v>114494.237789637</v>
      </c>
      <c r="C2186" s="15" t="n">
        <v>0.108178779060652</v>
      </c>
      <c r="D2186" s="14" t="n">
        <f aca="false">Summary!$B$5-B2186</f>
        <v>-14494.2377896373</v>
      </c>
      <c r="E2186" s="15" t="n">
        <f aca="false">B2186/Summary!$B$5-1</f>
        <v>0.144942377896373</v>
      </c>
    </row>
    <row r="2187" customFormat="false" ht="15" hidden="false" customHeight="false" outlineLevel="0" collapsed="false">
      <c r="A2187" s="0" t="n">
        <v>2186</v>
      </c>
      <c r="B2187" s="14" t="n">
        <v>107008.891469095</v>
      </c>
      <c r="C2187" s="15" t="n">
        <v>0.0922318004003572</v>
      </c>
      <c r="D2187" s="14" t="n">
        <f aca="false">Summary!$B$5-B2187</f>
        <v>-7008.8914690947</v>
      </c>
      <c r="E2187" s="15" t="n">
        <f aca="false">B2187/Summary!$B$5-1</f>
        <v>0.0700889146909469</v>
      </c>
    </row>
    <row r="2188" customFormat="false" ht="15" hidden="false" customHeight="false" outlineLevel="0" collapsed="false">
      <c r="A2188" s="0" t="n">
        <v>2187</v>
      </c>
      <c r="B2188" s="14" t="n">
        <v>121239.128045734</v>
      </c>
      <c r="C2188" s="15" t="n">
        <v>0.0847648288399491</v>
      </c>
      <c r="D2188" s="14" t="n">
        <f aca="false">Summary!$B$5-B2188</f>
        <v>-21239.1280457344</v>
      </c>
      <c r="E2188" s="15" t="n">
        <f aca="false">B2188/Summary!$B$5-1</f>
        <v>0.212391280457344</v>
      </c>
    </row>
    <row r="2189" customFormat="false" ht="15" hidden="false" customHeight="false" outlineLevel="0" collapsed="false">
      <c r="A2189" s="0" t="n">
        <v>2188</v>
      </c>
      <c r="B2189" s="14" t="n">
        <v>132869.318389568</v>
      </c>
      <c r="C2189" s="15" t="n">
        <v>0.0707958573118647</v>
      </c>
      <c r="D2189" s="14" t="n">
        <f aca="false">Summary!$B$5-B2189</f>
        <v>-32869.3183895683</v>
      </c>
      <c r="E2189" s="15" t="n">
        <f aca="false">B2189/Summary!$B$5-1</f>
        <v>0.328693183895683</v>
      </c>
    </row>
    <row r="2190" customFormat="false" ht="15" hidden="false" customHeight="false" outlineLevel="0" collapsed="false">
      <c r="A2190" s="0" t="n">
        <v>2189</v>
      </c>
      <c r="B2190" s="14" t="n">
        <v>101784.434472773</v>
      </c>
      <c r="C2190" s="15" t="n">
        <v>0.0738780828356067</v>
      </c>
      <c r="D2190" s="14" t="n">
        <f aca="false">Summary!$B$5-B2190</f>
        <v>-1784.4344727726</v>
      </c>
      <c r="E2190" s="15" t="n">
        <f aca="false">B2190/Summary!$B$5-1</f>
        <v>0.0178443447277259</v>
      </c>
    </row>
    <row r="2191" customFormat="false" ht="15" hidden="false" customHeight="false" outlineLevel="0" collapsed="false">
      <c r="A2191" s="0" t="n">
        <v>2190</v>
      </c>
      <c r="B2191" s="14" t="n">
        <v>124773.322694675</v>
      </c>
      <c r="C2191" s="15" t="n">
        <v>0.0674537937439147</v>
      </c>
      <c r="D2191" s="14" t="n">
        <f aca="false">Summary!$B$5-B2191</f>
        <v>-24773.3226946752</v>
      </c>
      <c r="E2191" s="15" t="n">
        <f aca="false">B2191/Summary!$B$5-1</f>
        <v>0.247733226946752</v>
      </c>
    </row>
    <row r="2192" customFormat="false" ht="15" hidden="false" customHeight="false" outlineLevel="0" collapsed="false">
      <c r="A2192" s="0" t="n">
        <v>2191</v>
      </c>
      <c r="B2192" s="14" t="n">
        <v>125256.835391756</v>
      </c>
      <c r="C2192" s="15" t="n">
        <v>0.0716725291078278</v>
      </c>
      <c r="D2192" s="14" t="n">
        <f aca="false">Summary!$B$5-B2192</f>
        <v>-25256.8353917555</v>
      </c>
      <c r="E2192" s="15" t="n">
        <f aca="false">B2192/Summary!$B$5-1</f>
        <v>0.252568353917555</v>
      </c>
    </row>
    <row r="2193" customFormat="false" ht="15" hidden="false" customHeight="false" outlineLevel="0" collapsed="false">
      <c r="A2193" s="0" t="n">
        <v>2192</v>
      </c>
      <c r="B2193" s="14" t="n">
        <v>102908.757785534</v>
      </c>
      <c r="C2193" s="15" t="n">
        <v>0.138834721933859</v>
      </c>
      <c r="D2193" s="14" t="n">
        <f aca="false">Summary!$B$5-B2193</f>
        <v>-2908.7577855338</v>
      </c>
      <c r="E2193" s="15" t="n">
        <f aca="false">B2193/Summary!$B$5-1</f>
        <v>0.0290875778553381</v>
      </c>
    </row>
    <row r="2194" customFormat="false" ht="15" hidden="false" customHeight="false" outlineLevel="0" collapsed="false">
      <c r="A2194" s="0" t="n">
        <v>2193</v>
      </c>
      <c r="B2194" s="14" t="n">
        <v>121312.708957164</v>
      </c>
      <c r="C2194" s="15" t="n">
        <v>0.0916138164883756</v>
      </c>
      <c r="D2194" s="14" t="n">
        <f aca="false">Summary!$B$5-B2194</f>
        <v>-21312.7089571644</v>
      </c>
      <c r="E2194" s="15" t="n">
        <f aca="false">B2194/Summary!$B$5-1</f>
        <v>0.213127089571644</v>
      </c>
    </row>
    <row r="2195" customFormat="false" ht="15" hidden="false" customHeight="false" outlineLevel="0" collapsed="false">
      <c r="A2195" s="0" t="n">
        <v>2194</v>
      </c>
      <c r="B2195" s="14" t="n">
        <v>112142.68039507</v>
      </c>
      <c r="C2195" s="15" t="n">
        <v>0.0627064108925217</v>
      </c>
      <c r="D2195" s="14" t="n">
        <f aca="false">Summary!$B$5-B2195</f>
        <v>-12142.6803950701</v>
      </c>
      <c r="E2195" s="15" t="n">
        <f aca="false">B2195/Summary!$B$5-1</f>
        <v>0.121426803950701</v>
      </c>
    </row>
    <row r="2196" customFormat="false" ht="15" hidden="false" customHeight="false" outlineLevel="0" collapsed="false">
      <c r="A2196" s="0" t="n">
        <v>2195</v>
      </c>
      <c r="B2196" s="14" t="n">
        <v>96077.6541869156</v>
      </c>
      <c r="C2196" s="15" t="n">
        <v>0.0862008586817172</v>
      </c>
      <c r="D2196" s="14" t="n">
        <f aca="false">Summary!$B$5-B2196</f>
        <v>3922.34581308439</v>
      </c>
      <c r="E2196" s="15" t="n">
        <f aca="false">B2196/Summary!$B$5-1</f>
        <v>-0.0392234581308439</v>
      </c>
    </row>
    <row r="2197" customFormat="false" ht="15" hidden="false" customHeight="false" outlineLevel="0" collapsed="false">
      <c r="A2197" s="0" t="n">
        <v>2196</v>
      </c>
      <c r="B2197" s="14" t="n">
        <v>121089.626803892</v>
      </c>
      <c r="C2197" s="15" t="n">
        <v>0.0493830739653866</v>
      </c>
      <c r="D2197" s="14" t="n">
        <f aca="false">Summary!$B$5-B2197</f>
        <v>-21089.6268038923</v>
      </c>
      <c r="E2197" s="15" t="n">
        <f aca="false">B2197/Summary!$B$5-1</f>
        <v>0.210896268038923</v>
      </c>
    </row>
    <row r="2198" customFormat="false" ht="15" hidden="false" customHeight="false" outlineLevel="0" collapsed="false">
      <c r="A2198" s="0" t="n">
        <v>2197</v>
      </c>
      <c r="B2198" s="14" t="n">
        <v>93772.0477616405</v>
      </c>
      <c r="C2198" s="15" t="n">
        <v>0.133351410424045</v>
      </c>
      <c r="D2198" s="14" t="n">
        <f aca="false">Summary!$B$5-B2198</f>
        <v>6227.95223835947</v>
      </c>
      <c r="E2198" s="15" t="n">
        <f aca="false">B2198/Summary!$B$5-1</f>
        <v>-0.0622795223835947</v>
      </c>
    </row>
    <row r="2199" customFormat="false" ht="15" hidden="false" customHeight="false" outlineLevel="0" collapsed="false">
      <c r="A2199" s="0" t="n">
        <v>2198</v>
      </c>
      <c r="B2199" s="14" t="n">
        <v>111023.931370046</v>
      </c>
      <c r="C2199" s="15" t="n">
        <v>0.0633668302380684</v>
      </c>
      <c r="D2199" s="14" t="n">
        <f aca="false">Summary!$B$5-B2199</f>
        <v>-11023.9313700457</v>
      </c>
      <c r="E2199" s="15" t="n">
        <f aca="false">B2199/Summary!$B$5-1</f>
        <v>0.110239313700457</v>
      </c>
    </row>
    <row r="2200" customFormat="false" ht="15" hidden="false" customHeight="false" outlineLevel="0" collapsed="false">
      <c r="A2200" s="0" t="n">
        <v>2199</v>
      </c>
      <c r="B2200" s="14" t="n">
        <v>132104.728368336</v>
      </c>
      <c r="C2200" s="15" t="n">
        <v>0.0535563534397501</v>
      </c>
      <c r="D2200" s="14" t="n">
        <f aca="false">Summary!$B$5-B2200</f>
        <v>-32104.7283683358</v>
      </c>
      <c r="E2200" s="15" t="n">
        <f aca="false">B2200/Summary!$B$5-1</f>
        <v>0.321047283683358</v>
      </c>
    </row>
    <row r="2201" customFormat="false" ht="15" hidden="false" customHeight="false" outlineLevel="0" collapsed="false">
      <c r="A2201" s="0" t="n">
        <v>2200</v>
      </c>
      <c r="B2201" s="14" t="n">
        <v>105591.577998523</v>
      </c>
      <c r="C2201" s="15" t="n">
        <v>0.102570249102713</v>
      </c>
      <c r="D2201" s="14" t="n">
        <f aca="false">Summary!$B$5-B2201</f>
        <v>-5591.57799852311</v>
      </c>
      <c r="E2201" s="15" t="n">
        <f aca="false">B2201/Summary!$B$5-1</f>
        <v>0.055915779985231</v>
      </c>
    </row>
    <row r="2202" customFormat="false" ht="15" hidden="false" customHeight="false" outlineLevel="0" collapsed="false">
      <c r="A2202" s="0" t="n">
        <v>2201</v>
      </c>
      <c r="B2202" s="14" t="n">
        <v>119337.321033731</v>
      </c>
      <c r="C2202" s="15" t="n">
        <v>0.106386080429601</v>
      </c>
      <c r="D2202" s="14" t="n">
        <f aca="false">Summary!$B$5-B2202</f>
        <v>-19337.3210337307</v>
      </c>
      <c r="E2202" s="15" t="n">
        <f aca="false">B2202/Summary!$B$5-1</f>
        <v>0.193373210337307</v>
      </c>
    </row>
    <row r="2203" customFormat="false" ht="15" hidden="false" customHeight="false" outlineLevel="0" collapsed="false">
      <c r="A2203" s="0" t="n">
        <v>2202</v>
      </c>
      <c r="B2203" s="14" t="n">
        <v>110166.250824293</v>
      </c>
      <c r="C2203" s="15" t="n">
        <v>0.116532609459945</v>
      </c>
      <c r="D2203" s="14" t="n">
        <f aca="false">Summary!$B$5-B2203</f>
        <v>-10166.2508242925</v>
      </c>
      <c r="E2203" s="15" t="n">
        <f aca="false">B2203/Summary!$B$5-1</f>
        <v>0.101662508242925</v>
      </c>
    </row>
    <row r="2204" customFormat="false" ht="15" hidden="false" customHeight="false" outlineLevel="0" collapsed="false">
      <c r="A2204" s="0" t="n">
        <v>2203</v>
      </c>
      <c r="B2204" s="14" t="n">
        <v>99738.1446884653</v>
      </c>
      <c r="C2204" s="15" t="n">
        <v>0.152119291879876</v>
      </c>
      <c r="D2204" s="14" t="n">
        <f aca="false">Summary!$B$5-B2204</f>
        <v>261.855311534746</v>
      </c>
      <c r="E2204" s="15" t="n">
        <f aca="false">B2204/Summary!$B$5-1</f>
        <v>-0.00261855311534742</v>
      </c>
    </row>
    <row r="2205" customFormat="false" ht="15" hidden="false" customHeight="false" outlineLevel="0" collapsed="false">
      <c r="A2205" s="0" t="n">
        <v>2204</v>
      </c>
      <c r="B2205" s="14" t="n">
        <v>91262.1028957108</v>
      </c>
      <c r="C2205" s="15" t="n">
        <v>0.107713824853061</v>
      </c>
      <c r="D2205" s="14" t="n">
        <f aca="false">Summary!$B$5-B2205</f>
        <v>8737.89710428916</v>
      </c>
      <c r="E2205" s="15" t="n">
        <f aca="false">B2205/Summary!$B$5-1</f>
        <v>-0.0873789710428916</v>
      </c>
    </row>
    <row r="2206" customFormat="false" ht="15" hidden="false" customHeight="false" outlineLevel="0" collapsed="false">
      <c r="A2206" s="0" t="n">
        <v>2205</v>
      </c>
      <c r="B2206" s="14" t="n">
        <v>108885.997487854</v>
      </c>
      <c r="C2206" s="15" t="n">
        <v>0.11873124785401</v>
      </c>
      <c r="D2206" s="14" t="n">
        <f aca="false">Summary!$B$5-B2206</f>
        <v>-8885.9974878541</v>
      </c>
      <c r="E2206" s="15" t="n">
        <f aca="false">B2206/Summary!$B$5-1</f>
        <v>0.088859974878541</v>
      </c>
    </row>
    <row r="2207" customFormat="false" ht="15" hidden="false" customHeight="false" outlineLevel="0" collapsed="false">
      <c r="A2207" s="0" t="n">
        <v>2206</v>
      </c>
      <c r="B2207" s="14" t="n">
        <v>113786.28114493</v>
      </c>
      <c r="C2207" s="15" t="n">
        <v>0.060794887563721</v>
      </c>
      <c r="D2207" s="14" t="n">
        <f aca="false">Summary!$B$5-B2207</f>
        <v>-13786.2811449296</v>
      </c>
      <c r="E2207" s="15" t="n">
        <f aca="false">B2207/Summary!$B$5-1</f>
        <v>0.137862811449296</v>
      </c>
    </row>
    <row r="2208" customFormat="false" ht="15" hidden="false" customHeight="false" outlineLevel="0" collapsed="false">
      <c r="A2208" s="0" t="n">
        <v>2207</v>
      </c>
      <c r="B2208" s="14" t="n">
        <v>99897.8266204708</v>
      </c>
      <c r="C2208" s="15" t="n">
        <v>0.0918118135192217</v>
      </c>
      <c r="D2208" s="14" t="n">
        <f aca="false">Summary!$B$5-B2208</f>
        <v>102.173379529238</v>
      </c>
      <c r="E2208" s="15" t="n">
        <f aca="false">B2208/Summary!$B$5-1</f>
        <v>-0.00102173379529236</v>
      </c>
    </row>
    <row r="2209" customFormat="false" ht="15" hidden="false" customHeight="false" outlineLevel="0" collapsed="false">
      <c r="A2209" s="0" t="n">
        <v>2208</v>
      </c>
      <c r="B2209" s="14" t="n">
        <v>105780.253338604</v>
      </c>
      <c r="C2209" s="15" t="n">
        <v>0.0897726799925778</v>
      </c>
      <c r="D2209" s="14" t="n">
        <f aca="false">Summary!$B$5-B2209</f>
        <v>-5780.25333860421</v>
      </c>
      <c r="E2209" s="15" t="n">
        <f aca="false">B2209/Summary!$B$5-1</f>
        <v>0.0578025333860421</v>
      </c>
    </row>
    <row r="2210" customFormat="false" ht="15" hidden="false" customHeight="false" outlineLevel="0" collapsed="false">
      <c r="A2210" s="0" t="n">
        <v>2209</v>
      </c>
      <c r="B2210" s="14" t="n">
        <v>128984.857436747</v>
      </c>
      <c r="C2210" s="15" t="n">
        <v>0.0626236793127349</v>
      </c>
      <c r="D2210" s="14" t="n">
        <f aca="false">Summary!$B$5-B2210</f>
        <v>-28984.8574367467</v>
      </c>
      <c r="E2210" s="15" t="n">
        <f aca="false">B2210/Summary!$B$5-1</f>
        <v>0.289848574367467</v>
      </c>
    </row>
    <row r="2211" customFormat="false" ht="15" hidden="false" customHeight="false" outlineLevel="0" collapsed="false">
      <c r="A2211" s="0" t="n">
        <v>2210</v>
      </c>
      <c r="B2211" s="14" t="n">
        <v>99487.0092329133</v>
      </c>
      <c r="C2211" s="15" t="n">
        <v>0.115151040478489</v>
      </c>
      <c r="D2211" s="14" t="n">
        <f aca="false">Summary!$B$5-B2211</f>
        <v>512.990767086681</v>
      </c>
      <c r="E2211" s="15" t="n">
        <f aca="false">B2211/Summary!$B$5-1</f>
        <v>-0.00512990767086685</v>
      </c>
    </row>
    <row r="2212" customFormat="false" ht="15" hidden="false" customHeight="false" outlineLevel="0" collapsed="false">
      <c r="A2212" s="0" t="n">
        <v>2211</v>
      </c>
      <c r="B2212" s="14" t="n">
        <v>95203.034014744</v>
      </c>
      <c r="C2212" s="15" t="n">
        <v>0.112448272673405</v>
      </c>
      <c r="D2212" s="14" t="n">
        <f aca="false">Summary!$B$5-B2212</f>
        <v>4796.96598525604</v>
      </c>
      <c r="E2212" s="15" t="n">
        <f aca="false">B2212/Summary!$B$5-1</f>
        <v>-0.0479696598525604</v>
      </c>
    </row>
    <row r="2213" customFormat="false" ht="15" hidden="false" customHeight="false" outlineLevel="0" collapsed="false">
      <c r="A2213" s="0" t="n">
        <v>2212</v>
      </c>
      <c r="B2213" s="14" t="n">
        <v>95384.7970481172</v>
      </c>
      <c r="C2213" s="15" t="n">
        <v>0.108510559687431</v>
      </c>
      <c r="D2213" s="14" t="n">
        <f aca="false">Summary!$B$5-B2213</f>
        <v>4615.20295188279</v>
      </c>
      <c r="E2213" s="15" t="n">
        <f aca="false">B2213/Summary!$B$5-1</f>
        <v>-0.0461520295188279</v>
      </c>
    </row>
    <row r="2214" customFormat="false" ht="15" hidden="false" customHeight="false" outlineLevel="0" collapsed="false">
      <c r="A2214" s="0" t="n">
        <v>2213</v>
      </c>
      <c r="B2214" s="14" t="n">
        <v>124115.88217414</v>
      </c>
      <c r="C2214" s="15" t="n">
        <v>0.0474560099999848</v>
      </c>
      <c r="D2214" s="14" t="n">
        <f aca="false">Summary!$B$5-B2214</f>
        <v>-24115.8821741398</v>
      </c>
      <c r="E2214" s="15" t="n">
        <f aca="false">B2214/Summary!$B$5-1</f>
        <v>0.241158821741398</v>
      </c>
    </row>
    <row r="2215" customFormat="false" ht="15" hidden="false" customHeight="false" outlineLevel="0" collapsed="false">
      <c r="A2215" s="0" t="n">
        <v>2214</v>
      </c>
      <c r="B2215" s="14" t="n">
        <v>110768.082041382</v>
      </c>
      <c r="C2215" s="15" t="n">
        <v>0.0707906269083416</v>
      </c>
      <c r="D2215" s="14" t="n">
        <f aca="false">Summary!$B$5-B2215</f>
        <v>-10768.0820413823</v>
      </c>
      <c r="E2215" s="15" t="n">
        <f aca="false">B2215/Summary!$B$5-1</f>
        <v>0.107680820413823</v>
      </c>
    </row>
    <row r="2216" customFormat="false" ht="15" hidden="false" customHeight="false" outlineLevel="0" collapsed="false">
      <c r="A2216" s="0" t="n">
        <v>2215</v>
      </c>
      <c r="B2216" s="14" t="n">
        <v>114696.158519015</v>
      </c>
      <c r="C2216" s="15" t="n">
        <v>0.0794134740078248</v>
      </c>
      <c r="D2216" s="14" t="n">
        <f aca="false">Summary!$B$5-B2216</f>
        <v>-14696.1585190147</v>
      </c>
      <c r="E2216" s="15" t="n">
        <f aca="false">B2216/Summary!$B$5-1</f>
        <v>0.146961585190147</v>
      </c>
    </row>
    <row r="2217" customFormat="false" ht="15" hidden="false" customHeight="false" outlineLevel="0" collapsed="false">
      <c r="A2217" s="0" t="n">
        <v>2216</v>
      </c>
      <c r="B2217" s="14" t="n">
        <v>101025.95458846</v>
      </c>
      <c r="C2217" s="15" t="n">
        <v>0.112674731108174</v>
      </c>
      <c r="D2217" s="14" t="n">
        <f aca="false">Summary!$B$5-B2217</f>
        <v>-1025.95458845991</v>
      </c>
      <c r="E2217" s="15" t="n">
        <f aca="false">B2217/Summary!$B$5-1</f>
        <v>0.0102595458845991</v>
      </c>
    </row>
    <row r="2218" customFormat="false" ht="15" hidden="false" customHeight="false" outlineLevel="0" collapsed="false">
      <c r="A2218" s="0" t="n">
        <v>2217</v>
      </c>
      <c r="B2218" s="14" t="n">
        <v>105743.24478561</v>
      </c>
      <c r="C2218" s="15" t="n">
        <v>0.115367844201273</v>
      </c>
      <c r="D2218" s="14" t="n">
        <f aca="false">Summary!$B$5-B2218</f>
        <v>-5743.2447856103</v>
      </c>
      <c r="E2218" s="15" t="n">
        <f aca="false">B2218/Summary!$B$5-1</f>
        <v>0.057432447856103</v>
      </c>
    </row>
    <row r="2219" customFormat="false" ht="15" hidden="false" customHeight="false" outlineLevel="0" collapsed="false">
      <c r="A2219" s="0" t="n">
        <v>2218</v>
      </c>
      <c r="B2219" s="14" t="n">
        <v>96430.8472212688</v>
      </c>
      <c r="C2219" s="15" t="n">
        <v>0.0931259325064213</v>
      </c>
      <c r="D2219" s="14" t="n">
        <f aca="false">Summary!$B$5-B2219</f>
        <v>3569.15277873116</v>
      </c>
      <c r="E2219" s="15" t="n">
        <f aca="false">B2219/Summary!$B$5-1</f>
        <v>-0.0356915277873117</v>
      </c>
    </row>
    <row r="2220" customFormat="false" ht="15" hidden="false" customHeight="false" outlineLevel="0" collapsed="false">
      <c r="A2220" s="0" t="n">
        <v>2219</v>
      </c>
      <c r="B2220" s="14" t="n">
        <v>120965.897512246</v>
      </c>
      <c r="C2220" s="15" t="n">
        <v>0.100820162396835</v>
      </c>
      <c r="D2220" s="14" t="n">
        <f aca="false">Summary!$B$5-B2220</f>
        <v>-20965.8975122463</v>
      </c>
      <c r="E2220" s="15" t="n">
        <f aca="false">B2220/Summary!$B$5-1</f>
        <v>0.209658975122463</v>
      </c>
    </row>
    <row r="2221" customFormat="false" ht="15" hidden="false" customHeight="false" outlineLevel="0" collapsed="false">
      <c r="A2221" s="0" t="n">
        <v>2220</v>
      </c>
      <c r="B2221" s="14" t="n">
        <v>112982.241195777</v>
      </c>
      <c r="C2221" s="15" t="n">
        <v>0.0775756849397635</v>
      </c>
      <c r="D2221" s="14" t="n">
        <f aca="false">Summary!$B$5-B2221</f>
        <v>-12982.2411957772</v>
      </c>
      <c r="E2221" s="15" t="n">
        <f aca="false">B2221/Summary!$B$5-1</f>
        <v>0.129822411957772</v>
      </c>
    </row>
    <row r="2222" customFormat="false" ht="15" hidden="false" customHeight="false" outlineLevel="0" collapsed="false">
      <c r="A2222" s="0" t="n">
        <v>2221</v>
      </c>
      <c r="B2222" s="14" t="n">
        <v>91460.129350187</v>
      </c>
      <c r="C2222" s="15" t="n">
        <v>0.124940379463325</v>
      </c>
      <c r="D2222" s="14" t="n">
        <f aca="false">Summary!$B$5-B2222</f>
        <v>8539.87064981298</v>
      </c>
      <c r="E2222" s="15" t="n">
        <f aca="false">B2222/Summary!$B$5-1</f>
        <v>-0.0853987064981298</v>
      </c>
    </row>
    <row r="2223" customFormat="false" ht="15" hidden="false" customHeight="false" outlineLevel="0" collapsed="false">
      <c r="A2223" s="0" t="n">
        <v>2222</v>
      </c>
      <c r="B2223" s="14" t="n">
        <v>103080.863716967</v>
      </c>
      <c r="C2223" s="15" t="n">
        <v>0.135344829427575</v>
      </c>
      <c r="D2223" s="14" t="n">
        <f aca="false">Summary!$B$5-B2223</f>
        <v>-3080.8637169671</v>
      </c>
      <c r="E2223" s="15" t="n">
        <f aca="false">B2223/Summary!$B$5-1</f>
        <v>0.030808637169671</v>
      </c>
    </row>
    <row r="2224" customFormat="false" ht="15" hidden="false" customHeight="false" outlineLevel="0" collapsed="false">
      <c r="A2224" s="0" t="n">
        <v>2223</v>
      </c>
      <c r="B2224" s="14" t="n">
        <v>123161.450469289</v>
      </c>
      <c r="C2224" s="15" t="n">
        <v>0.0957194601318084</v>
      </c>
      <c r="D2224" s="14" t="n">
        <f aca="false">Summary!$B$5-B2224</f>
        <v>-23161.4504692886</v>
      </c>
      <c r="E2224" s="15" t="n">
        <f aca="false">B2224/Summary!$B$5-1</f>
        <v>0.231614504692886</v>
      </c>
    </row>
    <row r="2225" customFormat="false" ht="15" hidden="false" customHeight="false" outlineLevel="0" collapsed="false">
      <c r="A2225" s="0" t="n">
        <v>2224</v>
      </c>
      <c r="B2225" s="14" t="n">
        <v>118797.371866484</v>
      </c>
      <c r="C2225" s="15" t="n">
        <v>0.0516487723913048</v>
      </c>
      <c r="D2225" s="14" t="n">
        <f aca="false">Summary!$B$5-B2225</f>
        <v>-18797.371866484</v>
      </c>
      <c r="E2225" s="15" t="n">
        <f aca="false">B2225/Summary!$B$5-1</f>
        <v>0.18797371866484</v>
      </c>
    </row>
    <row r="2226" customFormat="false" ht="15" hidden="false" customHeight="false" outlineLevel="0" collapsed="false">
      <c r="A2226" s="0" t="n">
        <v>2225</v>
      </c>
      <c r="B2226" s="14" t="n">
        <v>106621.324483257</v>
      </c>
      <c r="C2226" s="15" t="n">
        <v>0.144756237152097</v>
      </c>
      <c r="D2226" s="14" t="n">
        <f aca="false">Summary!$B$5-B2226</f>
        <v>-6621.3244832568</v>
      </c>
      <c r="E2226" s="15" t="n">
        <f aca="false">B2226/Summary!$B$5-1</f>
        <v>0.0662132448325681</v>
      </c>
    </row>
    <row r="2227" customFormat="false" ht="15" hidden="false" customHeight="false" outlineLevel="0" collapsed="false">
      <c r="A2227" s="0" t="n">
        <v>2226</v>
      </c>
      <c r="B2227" s="14" t="n">
        <v>98007.0710743195</v>
      </c>
      <c r="C2227" s="15" t="n">
        <v>0.138849679654052</v>
      </c>
      <c r="D2227" s="14" t="n">
        <f aca="false">Summary!$B$5-B2227</f>
        <v>1992.92892568051</v>
      </c>
      <c r="E2227" s="15" t="n">
        <f aca="false">B2227/Summary!$B$5-1</f>
        <v>-0.019929289256805</v>
      </c>
    </row>
    <row r="2228" customFormat="false" ht="15" hidden="false" customHeight="false" outlineLevel="0" collapsed="false">
      <c r="A2228" s="0" t="n">
        <v>2227</v>
      </c>
      <c r="B2228" s="14" t="n">
        <v>103060.667514014</v>
      </c>
      <c r="C2228" s="15" t="n">
        <v>0.0784156478350979</v>
      </c>
      <c r="D2228" s="14" t="n">
        <f aca="false">Summary!$B$5-B2228</f>
        <v>-3060.667514014</v>
      </c>
      <c r="E2228" s="15" t="n">
        <f aca="false">B2228/Summary!$B$5-1</f>
        <v>0.0306066751401399</v>
      </c>
    </row>
    <row r="2229" customFormat="false" ht="15" hidden="false" customHeight="false" outlineLevel="0" collapsed="false">
      <c r="A2229" s="0" t="n">
        <v>2228</v>
      </c>
      <c r="B2229" s="14" t="n">
        <v>125079.332101842</v>
      </c>
      <c r="C2229" s="15" t="n">
        <v>0.0472578179918755</v>
      </c>
      <c r="D2229" s="14" t="n">
        <f aca="false">Summary!$B$5-B2229</f>
        <v>-25079.3321018423</v>
      </c>
      <c r="E2229" s="15" t="n">
        <f aca="false">B2229/Summary!$B$5-1</f>
        <v>0.250793321018423</v>
      </c>
    </row>
    <row r="2230" customFormat="false" ht="15" hidden="false" customHeight="false" outlineLevel="0" collapsed="false">
      <c r="A2230" s="0" t="n">
        <v>2229</v>
      </c>
      <c r="B2230" s="14" t="n">
        <v>138324.08426386</v>
      </c>
      <c r="C2230" s="15" t="n">
        <v>0.0687083157547407</v>
      </c>
      <c r="D2230" s="14" t="n">
        <f aca="false">Summary!$B$5-B2230</f>
        <v>-38324.0842638604</v>
      </c>
      <c r="E2230" s="15" t="n">
        <f aca="false">B2230/Summary!$B$5-1</f>
        <v>0.383240842638604</v>
      </c>
    </row>
    <row r="2231" customFormat="false" ht="15" hidden="false" customHeight="false" outlineLevel="0" collapsed="false">
      <c r="A2231" s="0" t="n">
        <v>2230</v>
      </c>
      <c r="B2231" s="14" t="n">
        <v>123646.263591223</v>
      </c>
      <c r="C2231" s="15" t="n">
        <v>0.038813053130599</v>
      </c>
      <c r="D2231" s="14" t="n">
        <f aca="false">Summary!$B$5-B2231</f>
        <v>-23646.2635912226</v>
      </c>
      <c r="E2231" s="15" t="n">
        <f aca="false">B2231/Summary!$B$5-1</f>
        <v>0.236462635912226</v>
      </c>
    </row>
    <row r="2232" customFormat="false" ht="15" hidden="false" customHeight="false" outlineLevel="0" collapsed="false">
      <c r="A2232" s="0" t="n">
        <v>2231</v>
      </c>
      <c r="B2232" s="14" t="n">
        <v>91690.3703280182</v>
      </c>
      <c r="C2232" s="15" t="n">
        <v>0.125000335390139</v>
      </c>
      <c r="D2232" s="14" t="n">
        <f aca="false">Summary!$B$5-B2232</f>
        <v>8309.62967198185</v>
      </c>
      <c r="E2232" s="15" t="n">
        <f aca="false">B2232/Summary!$B$5-1</f>
        <v>-0.0830962967198184</v>
      </c>
    </row>
    <row r="2233" customFormat="false" ht="15" hidden="false" customHeight="false" outlineLevel="0" collapsed="false">
      <c r="A2233" s="0" t="n">
        <v>2232</v>
      </c>
      <c r="B2233" s="14" t="n">
        <v>113330.490045667</v>
      </c>
      <c r="C2233" s="15" t="n">
        <v>0.091734430213284</v>
      </c>
      <c r="D2233" s="14" t="n">
        <f aca="false">Summary!$B$5-B2233</f>
        <v>-13330.4900456669</v>
      </c>
      <c r="E2233" s="15" t="n">
        <f aca="false">B2233/Summary!$B$5-1</f>
        <v>0.133304900456669</v>
      </c>
    </row>
    <row r="2234" customFormat="false" ht="15" hidden="false" customHeight="false" outlineLevel="0" collapsed="false">
      <c r="A2234" s="0" t="n">
        <v>2233</v>
      </c>
      <c r="B2234" s="14" t="n">
        <v>87548.5779124606</v>
      </c>
      <c r="C2234" s="15" t="n">
        <v>0.186879392001611</v>
      </c>
      <c r="D2234" s="14" t="n">
        <f aca="false">Summary!$B$5-B2234</f>
        <v>12451.4220875394</v>
      </c>
      <c r="E2234" s="15" t="n">
        <f aca="false">B2234/Summary!$B$5-1</f>
        <v>-0.124514220875394</v>
      </c>
    </row>
    <row r="2235" customFormat="false" ht="15" hidden="false" customHeight="false" outlineLevel="0" collapsed="false">
      <c r="A2235" s="0" t="n">
        <v>2234</v>
      </c>
      <c r="B2235" s="14" t="n">
        <v>97514.5447356724</v>
      </c>
      <c r="C2235" s="15" t="n">
        <v>0.199178052204817</v>
      </c>
      <c r="D2235" s="14" t="n">
        <f aca="false">Summary!$B$5-B2235</f>
        <v>2485.45526432761</v>
      </c>
      <c r="E2235" s="15" t="n">
        <f aca="false">B2235/Summary!$B$5-1</f>
        <v>-0.0248545526432761</v>
      </c>
    </row>
    <row r="2236" customFormat="false" ht="15" hidden="false" customHeight="false" outlineLevel="0" collapsed="false">
      <c r="A2236" s="0" t="n">
        <v>2235</v>
      </c>
      <c r="B2236" s="14" t="n">
        <v>109745.74242216</v>
      </c>
      <c r="C2236" s="15" t="n">
        <v>0.145647509174177</v>
      </c>
      <c r="D2236" s="14" t="n">
        <f aca="false">Summary!$B$5-B2236</f>
        <v>-9745.7424221596</v>
      </c>
      <c r="E2236" s="15" t="n">
        <f aca="false">B2236/Summary!$B$5-1</f>
        <v>0.097457424221596</v>
      </c>
    </row>
    <row r="2237" customFormat="false" ht="15" hidden="false" customHeight="false" outlineLevel="0" collapsed="false">
      <c r="A2237" s="0" t="n">
        <v>2236</v>
      </c>
      <c r="B2237" s="14" t="n">
        <v>97547.3835444038</v>
      </c>
      <c r="C2237" s="15" t="n">
        <v>0.141214189118981</v>
      </c>
      <c r="D2237" s="14" t="n">
        <f aca="false">Summary!$B$5-B2237</f>
        <v>2452.61645559617</v>
      </c>
      <c r="E2237" s="15" t="n">
        <f aca="false">B2237/Summary!$B$5-1</f>
        <v>-0.0245261645559617</v>
      </c>
    </row>
    <row r="2238" customFormat="false" ht="15" hidden="false" customHeight="false" outlineLevel="0" collapsed="false">
      <c r="A2238" s="0" t="n">
        <v>2237</v>
      </c>
      <c r="B2238" s="14" t="n">
        <v>109638.125120943</v>
      </c>
      <c r="C2238" s="15" t="n">
        <v>0.0806910051792459</v>
      </c>
      <c r="D2238" s="14" t="n">
        <f aca="false">Summary!$B$5-B2238</f>
        <v>-9638.1251209428</v>
      </c>
      <c r="E2238" s="15" t="n">
        <f aca="false">B2238/Summary!$B$5-1</f>
        <v>0.096381251209428</v>
      </c>
    </row>
    <row r="2239" customFormat="false" ht="15" hidden="false" customHeight="false" outlineLevel="0" collapsed="false">
      <c r="A2239" s="0" t="n">
        <v>2238</v>
      </c>
      <c r="B2239" s="14" t="n">
        <v>114158.217288434</v>
      </c>
      <c r="C2239" s="15" t="n">
        <v>0.117734190570103</v>
      </c>
      <c r="D2239" s="14" t="n">
        <f aca="false">Summary!$B$5-B2239</f>
        <v>-14158.2172884338</v>
      </c>
      <c r="E2239" s="15" t="n">
        <f aca="false">B2239/Summary!$B$5-1</f>
        <v>0.141582172884338</v>
      </c>
    </row>
    <row r="2240" customFormat="false" ht="15" hidden="false" customHeight="false" outlineLevel="0" collapsed="false">
      <c r="A2240" s="0" t="n">
        <v>2239</v>
      </c>
      <c r="B2240" s="14" t="n">
        <v>148359.654788693</v>
      </c>
      <c r="C2240" s="15" t="n">
        <v>0.0449730300679244</v>
      </c>
      <c r="D2240" s="14" t="n">
        <f aca="false">Summary!$B$5-B2240</f>
        <v>-48359.6547886933</v>
      </c>
      <c r="E2240" s="15" t="n">
        <f aca="false">B2240/Summary!$B$5-1</f>
        <v>0.483596547886933</v>
      </c>
    </row>
    <row r="2241" customFormat="false" ht="15" hidden="false" customHeight="false" outlineLevel="0" collapsed="false">
      <c r="A2241" s="0" t="n">
        <v>2240</v>
      </c>
      <c r="B2241" s="14" t="n">
        <v>108718.131710101</v>
      </c>
      <c r="C2241" s="15" t="n">
        <v>0.0730431831444263</v>
      </c>
      <c r="D2241" s="14" t="n">
        <f aca="false">Summary!$B$5-B2241</f>
        <v>-8718.1317101013</v>
      </c>
      <c r="E2241" s="15" t="n">
        <f aca="false">B2241/Summary!$B$5-1</f>
        <v>0.087181317101013</v>
      </c>
    </row>
    <row r="2242" customFormat="false" ht="15" hidden="false" customHeight="false" outlineLevel="0" collapsed="false">
      <c r="A2242" s="0" t="n">
        <v>2241</v>
      </c>
      <c r="B2242" s="14" t="n">
        <v>130192.563361287</v>
      </c>
      <c r="C2242" s="15" t="n">
        <v>0.0733688721658137</v>
      </c>
      <c r="D2242" s="14" t="n">
        <f aca="false">Summary!$B$5-B2242</f>
        <v>-30192.5633612871</v>
      </c>
      <c r="E2242" s="15" t="n">
        <f aca="false">B2242/Summary!$B$5-1</f>
        <v>0.301925633612871</v>
      </c>
    </row>
    <row r="2243" customFormat="false" ht="15" hidden="false" customHeight="false" outlineLevel="0" collapsed="false">
      <c r="A2243" s="0" t="n">
        <v>2242</v>
      </c>
      <c r="B2243" s="14" t="n">
        <v>106444.620855165</v>
      </c>
      <c r="C2243" s="15" t="n">
        <v>0.0914512425262848</v>
      </c>
      <c r="D2243" s="14" t="n">
        <f aca="false">Summary!$B$5-B2243</f>
        <v>-6444.6208551654</v>
      </c>
      <c r="E2243" s="15" t="n">
        <f aca="false">B2243/Summary!$B$5-1</f>
        <v>0.064446208551654</v>
      </c>
    </row>
    <row r="2244" customFormat="false" ht="15" hidden="false" customHeight="false" outlineLevel="0" collapsed="false">
      <c r="A2244" s="0" t="n">
        <v>2243</v>
      </c>
      <c r="B2244" s="14" t="n">
        <v>116828.5945952</v>
      </c>
      <c r="C2244" s="15" t="n">
        <v>0.0602899045161005</v>
      </c>
      <c r="D2244" s="14" t="n">
        <f aca="false">Summary!$B$5-B2244</f>
        <v>-16828.5945951997</v>
      </c>
      <c r="E2244" s="15" t="n">
        <f aca="false">B2244/Summary!$B$5-1</f>
        <v>0.168285945951997</v>
      </c>
    </row>
    <row r="2245" customFormat="false" ht="15" hidden="false" customHeight="false" outlineLevel="0" collapsed="false">
      <c r="A2245" s="0" t="n">
        <v>2244</v>
      </c>
      <c r="B2245" s="14" t="n">
        <v>126794.084528876</v>
      </c>
      <c r="C2245" s="15" t="n">
        <v>0.0713516749897249</v>
      </c>
      <c r="D2245" s="14" t="n">
        <f aca="false">Summary!$B$5-B2245</f>
        <v>-26794.0845288764</v>
      </c>
      <c r="E2245" s="15" t="n">
        <f aca="false">B2245/Summary!$B$5-1</f>
        <v>0.267940845288764</v>
      </c>
    </row>
    <row r="2246" customFormat="false" ht="15" hidden="false" customHeight="false" outlineLevel="0" collapsed="false">
      <c r="A2246" s="0" t="n">
        <v>2245</v>
      </c>
      <c r="B2246" s="14" t="n">
        <v>108513.689092648</v>
      </c>
      <c r="C2246" s="15" t="n">
        <v>0.170073531555363</v>
      </c>
      <c r="D2246" s="14" t="n">
        <f aca="false">Summary!$B$5-B2246</f>
        <v>-8513.689092648</v>
      </c>
      <c r="E2246" s="15" t="n">
        <f aca="false">B2246/Summary!$B$5-1</f>
        <v>0.08513689092648</v>
      </c>
    </row>
    <row r="2247" customFormat="false" ht="15" hidden="false" customHeight="false" outlineLevel="0" collapsed="false">
      <c r="A2247" s="0" t="n">
        <v>2246</v>
      </c>
      <c r="B2247" s="14" t="n">
        <v>109029.393785067</v>
      </c>
      <c r="C2247" s="15" t="n">
        <v>0.0988956506128436</v>
      </c>
      <c r="D2247" s="14" t="n">
        <f aca="false">Summary!$B$5-B2247</f>
        <v>-9029.3937850674</v>
      </c>
      <c r="E2247" s="15" t="n">
        <f aca="false">B2247/Summary!$B$5-1</f>
        <v>0.090293937850674</v>
      </c>
    </row>
    <row r="2248" customFormat="false" ht="15" hidden="false" customHeight="false" outlineLevel="0" collapsed="false">
      <c r="A2248" s="0" t="n">
        <v>2247</v>
      </c>
      <c r="B2248" s="14" t="n">
        <v>107450.358225907</v>
      </c>
      <c r="C2248" s="15" t="n">
        <v>0.0907234704321674</v>
      </c>
      <c r="D2248" s="14" t="n">
        <f aca="false">Summary!$B$5-B2248</f>
        <v>-7450.3582259067</v>
      </c>
      <c r="E2248" s="15" t="n">
        <f aca="false">B2248/Summary!$B$5-1</f>
        <v>0.074503582259067</v>
      </c>
    </row>
    <row r="2249" customFormat="false" ht="15" hidden="false" customHeight="false" outlineLevel="0" collapsed="false">
      <c r="A2249" s="0" t="n">
        <v>2248</v>
      </c>
      <c r="B2249" s="14" t="n">
        <v>101726.560133535</v>
      </c>
      <c r="C2249" s="15" t="n">
        <v>0.168990073210557</v>
      </c>
      <c r="D2249" s="14" t="n">
        <f aca="false">Summary!$B$5-B2249</f>
        <v>-1726.5601335354</v>
      </c>
      <c r="E2249" s="15" t="n">
        <f aca="false">B2249/Summary!$B$5-1</f>
        <v>0.017265601335354</v>
      </c>
    </row>
    <row r="2250" customFormat="false" ht="15" hidden="false" customHeight="false" outlineLevel="0" collapsed="false">
      <c r="A2250" s="0" t="n">
        <v>2249</v>
      </c>
      <c r="B2250" s="14" t="n">
        <v>81379.8079428354</v>
      </c>
      <c r="C2250" s="15" t="n">
        <v>0.226758847708474</v>
      </c>
      <c r="D2250" s="14" t="n">
        <f aca="false">Summary!$B$5-B2250</f>
        <v>18620.1920571646</v>
      </c>
      <c r="E2250" s="15" t="n">
        <f aca="false">B2250/Summary!$B$5-1</f>
        <v>-0.186201920571646</v>
      </c>
    </row>
    <row r="2251" customFormat="false" ht="15" hidden="false" customHeight="false" outlineLevel="0" collapsed="false">
      <c r="A2251" s="0" t="n">
        <v>2250</v>
      </c>
      <c r="B2251" s="14" t="n">
        <v>127604.486448922</v>
      </c>
      <c r="C2251" s="15" t="n">
        <v>0.0439811073062013</v>
      </c>
      <c r="D2251" s="14" t="n">
        <f aca="false">Summary!$B$5-B2251</f>
        <v>-27604.4864489217</v>
      </c>
      <c r="E2251" s="15" t="n">
        <f aca="false">B2251/Summary!$B$5-1</f>
        <v>0.276044864489217</v>
      </c>
    </row>
    <row r="2252" customFormat="false" ht="15" hidden="false" customHeight="false" outlineLevel="0" collapsed="false">
      <c r="A2252" s="0" t="n">
        <v>2251</v>
      </c>
      <c r="B2252" s="14" t="n">
        <v>100600.155090004</v>
      </c>
      <c r="C2252" s="15" t="n">
        <v>0.148869048074549</v>
      </c>
      <c r="D2252" s="14" t="n">
        <f aca="false">Summary!$B$5-B2252</f>
        <v>-600.155090004104</v>
      </c>
      <c r="E2252" s="15" t="n">
        <f aca="false">B2252/Summary!$B$5-1</f>
        <v>0.00600155090004106</v>
      </c>
    </row>
    <row r="2253" customFormat="false" ht="15" hidden="false" customHeight="false" outlineLevel="0" collapsed="false">
      <c r="A2253" s="0" t="n">
        <v>2252</v>
      </c>
      <c r="B2253" s="14" t="n">
        <v>107503.886980056</v>
      </c>
      <c r="C2253" s="15" t="n">
        <v>0.0749066211094405</v>
      </c>
      <c r="D2253" s="14" t="n">
        <f aca="false">Summary!$B$5-B2253</f>
        <v>-7503.8869800555</v>
      </c>
      <c r="E2253" s="15" t="n">
        <f aca="false">B2253/Summary!$B$5-1</f>
        <v>0.0750388698005551</v>
      </c>
    </row>
    <row r="2254" customFormat="false" ht="15" hidden="false" customHeight="false" outlineLevel="0" collapsed="false">
      <c r="A2254" s="0" t="n">
        <v>2253</v>
      </c>
      <c r="B2254" s="14" t="n">
        <v>96885.4811284499</v>
      </c>
      <c r="C2254" s="15" t="n">
        <v>0.10846159937109</v>
      </c>
      <c r="D2254" s="14" t="n">
        <f aca="false">Summary!$B$5-B2254</f>
        <v>3114.5188715501</v>
      </c>
      <c r="E2254" s="15" t="n">
        <f aca="false">B2254/Summary!$B$5-1</f>
        <v>-0.031145188715501</v>
      </c>
    </row>
    <row r="2255" customFormat="false" ht="15" hidden="false" customHeight="false" outlineLevel="0" collapsed="false">
      <c r="A2255" s="0" t="n">
        <v>2254</v>
      </c>
      <c r="B2255" s="14" t="n">
        <v>111914.041407598</v>
      </c>
      <c r="C2255" s="15" t="n">
        <v>0.0837108187284413</v>
      </c>
      <c r="D2255" s="14" t="n">
        <f aca="false">Summary!$B$5-B2255</f>
        <v>-11914.0414075979</v>
      </c>
      <c r="E2255" s="15" t="n">
        <f aca="false">B2255/Summary!$B$5-1</f>
        <v>0.119140414075979</v>
      </c>
    </row>
    <row r="2256" customFormat="false" ht="15" hidden="false" customHeight="false" outlineLevel="0" collapsed="false">
      <c r="A2256" s="0" t="n">
        <v>2255</v>
      </c>
      <c r="B2256" s="14" t="n">
        <v>108072.203210829</v>
      </c>
      <c r="C2256" s="15" t="n">
        <v>0.100245948044344</v>
      </c>
      <c r="D2256" s="14" t="n">
        <f aca="false">Summary!$B$5-B2256</f>
        <v>-8072.20321082851</v>
      </c>
      <c r="E2256" s="15" t="n">
        <f aca="false">B2256/Summary!$B$5-1</f>
        <v>0.0807220321082851</v>
      </c>
    </row>
    <row r="2257" customFormat="false" ht="15" hidden="false" customHeight="false" outlineLevel="0" collapsed="false">
      <c r="A2257" s="0" t="n">
        <v>2256</v>
      </c>
      <c r="B2257" s="14" t="n">
        <v>111900.836341813</v>
      </c>
      <c r="C2257" s="15" t="n">
        <v>0.0796637915735261</v>
      </c>
      <c r="D2257" s="14" t="n">
        <f aca="false">Summary!$B$5-B2257</f>
        <v>-11900.8363418133</v>
      </c>
      <c r="E2257" s="15" t="n">
        <f aca="false">B2257/Summary!$B$5-1</f>
        <v>0.119008363418133</v>
      </c>
    </row>
    <row r="2258" customFormat="false" ht="15" hidden="false" customHeight="false" outlineLevel="0" collapsed="false">
      <c r="A2258" s="0" t="n">
        <v>2257</v>
      </c>
      <c r="B2258" s="14" t="n">
        <v>98610.2959818959</v>
      </c>
      <c r="C2258" s="15" t="n">
        <v>0.130480797683295</v>
      </c>
      <c r="D2258" s="14" t="n">
        <f aca="false">Summary!$B$5-B2258</f>
        <v>1389.70401810411</v>
      </c>
      <c r="E2258" s="15" t="n">
        <f aca="false">B2258/Summary!$B$5-1</f>
        <v>-0.0138970401810411</v>
      </c>
    </row>
    <row r="2259" customFormat="false" ht="15" hidden="false" customHeight="false" outlineLevel="0" collapsed="false">
      <c r="A2259" s="0" t="n">
        <v>2258</v>
      </c>
      <c r="B2259" s="14" t="n">
        <v>110927.518871749</v>
      </c>
      <c r="C2259" s="15" t="n">
        <v>0.0622925688458189</v>
      </c>
      <c r="D2259" s="14" t="n">
        <f aca="false">Summary!$B$5-B2259</f>
        <v>-10927.5188717488</v>
      </c>
      <c r="E2259" s="15" t="n">
        <f aca="false">B2259/Summary!$B$5-1</f>
        <v>0.109275188717488</v>
      </c>
    </row>
    <row r="2260" customFormat="false" ht="15" hidden="false" customHeight="false" outlineLevel="0" collapsed="false">
      <c r="A2260" s="0" t="n">
        <v>2259</v>
      </c>
      <c r="B2260" s="14" t="n">
        <v>106339.834968149</v>
      </c>
      <c r="C2260" s="15" t="n">
        <v>0.0582889590876959</v>
      </c>
      <c r="D2260" s="14" t="n">
        <f aca="false">Summary!$B$5-B2260</f>
        <v>-6339.83496814891</v>
      </c>
      <c r="E2260" s="15" t="n">
        <f aca="false">B2260/Summary!$B$5-1</f>
        <v>0.0633983496814892</v>
      </c>
    </row>
    <row r="2261" customFormat="false" ht="15" hidden="false" customHeight="false" outlineLevel="0" collapsed="false">
      <c r="A2261" s="0" t="n">
        <v>2260</v>
      </c>
      <c r="B2261" s="14" t="n">
        <v>105617.237292052</v>
      </c>
      <c r="C2261" s="15" t="n">
        <v>0.0805865636325872</v>
      </c>
      <c r="D2261" s="14" t="n">
        <f aca="false">Summary!$B$5-B2261</f>
        <v>-5617.23729205241</v>
      </c>
      <c r="E2261" s="15" t="n">
        <f aca="false">B2261/Summary!$B$5-1</f>
        <v>0.0561723729205241</v>
      </c>
    </row>
    <row r="2262" customFormat="false" ht="15" hidden="false" customHeight="false" outlineLevel="0" collapsed="false">
      <c r="A2262" s="0" t="n">
        <v>2261</v>
      </c>
      <c r="B2262" s="14" t="n">
        <v>109874.754795574</v>
      </c>
      <c r="C2262" s="15" t="n">
        <v>0.0857831542475003</v>
      </c>
      <c r="D2262" s="14" t="n">
        <f aca="false">Summary!$B$5-B2262</f>
        <v>-9874.75479557421</v>
      </c>
      <c r="E2262" s="15" t="n">
        <f aca="false">B2262/Summary!$B$5-1</f>
        <v>0.098747547955742</v>
      </c>
    </row>
    <row r="2263" customFormat="false" ht="15" hidden="false" customHeight="false" outlineLevel="0" collapsed="false">
      <c r="A2263" s="0" t="n">
        <v>2262</v>
      </c>
      <c r="B2263" s="14" t="n">
        <v>100119.444956709</v>
      </c>
      <c r="C2263" s="15" t="n">
        <v>0.0969778478171958</v>
      </c>
      <c r="D2263" s="14" t="n">
        <f aca="false">Summary!$B$5-B2263</f>
        <v>-119.444956708699</v>
      </c>
      <c r="E2263" s="15" t="n">
        <f aca="false">B2263/Summary!$B$5-1</f>
        <v>0.00119444956708703</v>
      </c>
    </row>
    <row r="2264" customFormat="false" ht="15" hidden="false" customHeight="false" outlineLevel="0" collapsed="false">
      <c r="A2264" s="0" t="n">
        <v>2263</v>
      </c>
      <c r="B2264" s="14" t="n">
        <v>113325.543587857</v>
      </c>
      <c r="C2264" s="15" t="n">
        <v>0.0595792086055451</v>
      </c>
      <c r="D2264" s="14" t="n">
        <f aca="false">Summary!$B$5-B2264</f>
        <v>-13325.5435878573</v>
      </c>
      <c r="E2264" s="15" t="n">
        <f aca="false">B2264/Summary!$B$5-1</f>
        <v>0.133255435878573</v>
      </c>
    </row>
    <row r="2265" customFormat="false" ht="15" hidden="false" customHeight="false" outlineLevel="0" collapsed="false">
      <c r="A2265" s="0" t="n">
        <v>2264</v>
      </c>
      <c r="B2265" s="14" t="n">
        <v>113694.339311079</v>
      </c>
      <c r="C2265" s="15" t="n">
        <v>0.0731929474108909</v>
      </c>
      <c r="D2265" s="14" t="n">
        <f aca="false">Summary!$B$5-B2265</f>
        <v>-13694.339311079</v>
      </c>
      <c r="E2265" s="15" t="n">
        <f aca="false">B2265/Summary!$B$5-1</f>
        <v>0.13694339311079</v>
      </c>
    </row>
    <row r="2266" customFormat="false" ht="15" hidden="false" customHeight="false" outlineLevel="0" collapsed="false">
      <c r="A2266" s="0" t="n">
        <v>2265</v>
      </c>
      <c r="B2266" s="14" t="n">
        <v>101455.966577357</v>
      </c>
      <c r="C2266" s="15" t="n">
        <v>0.145939955283676</v>
      </c>
      <c r="D2266" s="14" t="n">
        <f aca="false">Summary!$B$5-B2266</f>
        <v>-1455.9665773571</v>
      </c>
      <c r="E2266" s="15" t="n">
        <f aca="false">B2266/Summary!$B$5-1</f>
        <v>0.0145596657735709</v>
      </c>
    </row>
    <row r="2267" customFormat="false" ht="15" hidden="false" customHeight="false" outlineLevel="0" collapsed="false">
      <c r="A2267" s="0" t="n">
        <v>2266</v>
      </c>
      <c r="B2267" s="14" t="n">
        <v>123155.568931137</v>
      </c>
      <c r="C2267" s="15" t="n">
        <v>0.0657694319611921</v>
      </c>
      <c r="D2267" s="14" t="n">
        <f aca="false">Summary!$B$5-B2267</f>
        <v>-23155.5689311366</v>
      </c>
      <c r="E2267" s="15" t="n">
        <f aca="false">B2267/Summary!$B$5-1</f>
        <v>0.231555689311366</v>
      </c>
    </row>
    <row r="2268" customFormat="false" ht="15" hidden="false" customHeight="false" outlineLevel="0" collapsed="false">
      <c r="A2268" s="0" t="n">
        <v>2267</v>
      </c>
      <c r="B2268" s="14" t="n">
        <v>105642.152129616</v>
      </c>
      <c r="C2268" s="15" t="n">
        <v>0.0661526219073616</v>
      </c>
      <c r="D2268" s="14" t="n">
        <f aca="false">Summary!$B$5-B2268</f>
        <v>-5642.15212961601</v>
      </c>
      <c r="E2268" s="15" t="n">
        <f aca="false">B2268/Summary!$B$5-1</f>
        <v>0.0564215212961601</v>
      </c>
    </row>
    <row r="2269" customFormat="false" ht="15" hidden="false" customHeight="false" outlineLevel="0" collapsed="false">
      <c r="A2269" s="0" t="n">
        <v>2268</v>
      </c>
      <c r="B2269" s="14" t="n">
        <v>108832.536609208</v>
      </c>
      <c r="C2269" s="15" t="n">
        <v>0.112129971292227</v>
      </c>
      <c r="D2269" s="14" t="n">
        <f aca="false">Summary!$B$5-B2269</f>
        <v>-8832.53660920799</v>
      </c>
      <c r="E2269" s="15" t="n">
        <f aca="false">B2269/Summary!$B$5-1</f>
        <v>0.08832536609208</v>
      </c>
    </row>
    <row r="2270" customFormat="false" ht="15" hidden="false" customHeight="false" outlineLevel="0" collapsed="false">
      <c r="A2270" s="0" t="n">
        <v>2269</v>
      </c>
      <c r="B2270" s="14" t="n">
        <v>115650.488102733</v>
      </c>
      <c r="C2270" s="15" t="n">
        <v>0.0825388798589958</v>
      </c>
      <c r="D2270" s="14" t="n">
        <f aca="false">Summary!$B$5-B2270</f>
        <v>-15650.4881027326</v>
      </c>
      <c r="E2270" s="15" t="n">
        <f aca="false">B2270/Summary!$B$5-1</f>
        <v>0.156504881027326</v>
      </c>
    </row>
    <row r="2271" customFormat="false" ht="15" hidden="false" customHeight="false" outlineLevel="0" collapsed="false">
      <c r="A2271" s="0" t="n">
        <v>2270</v>
      </c>
      <c r="B2271" s="14" t="n">
        <v>121046.052794009</v>
      </c>
      <c r="C2271" s="15" t="n">
        <v>0.0563541920906446</v>
      </c>
      <c r="D2271" s="14" t="n">
        <f aca="false">Summary!$B$5-B2271</f>
        <v>-21046.0527940092</v>
      </c>
      <c r="E2271" s="15" t="n">
        <f aca="false">B2271/Summary!$B$5-1</f>
        <v>0.210460527940092</v>
      </c>
    </row>
    <row r="2272" customFormat="false" ht="15" hidden="false" customHeight="false" outlineLevel="0" collapsed="false">
      <c r="A2272" s="0" t="n">
        <v>2271</v>
      </c>
      <c r="B2272" s="14" t="n">
        <v>106861.66648779</v>
      </c>
      <c r="C2272" s="15" t="n">
        <v>0.0956868041656056</v>
      </c>
      <c r="D2272" s="14" t="n">
        <f aca="false">Summary!$B$5-B2272</f>
        <v>-6861.6664877899</v>
      </c>
      <c r="E2272" s="15" t="n">
        <f aca="false">B2272/Summary!$B$5-1</f>
        <v>0.068616664877899</v>
      </c>
    </row>
    <row r="2273" customFormat="false" ht="15" hidden="false" customHeight="false" outlineLevel="0" collapsed="false">
      <c r="A2273" s="0" t="n">
        <v>2272</v>
      </c>
      <c r="B2273" s="14" t="n">
        <v>103652.946888115</v>
      </c>
      <c r="C2273" s="15" t="n">
        <v>0.106783575856755</v>
      </c>
      <c r="D2273" s="14" t="n">
        <f aca="false">Summary!$B$5-B2273</f>
        <v>-3652.9468881154</v>
      </c>
      <c r="E2273" s="15" t="n">
        <f aca="false">B2273/Summary!$B$5-1</f>
        <v>0.0365294688811539</v>
      </c>
    </row>
    <row r="2274" customFormat="false" ht="15" hidden="false" customHeight="false" outlineLevel="0" collapsed="false">
      <c r="A2274" s="0" t="n">
        <v>2273</v>
      </c>
      <c r="B2274" s="14" t="n">
        <v>118631.855629704</v>
      </c>
      <c r="C2274" s="15" t="n">
        <v>0.08476743677942</v>
      </c>
      <c r="D2274" s="14" t="n">
        <f aca="false">Summary!$B$5-B2274</f>
        <v>-18631.8556297043</v>
      </c>
      <c r="E2274" s="15" t="n">
        <f aca="false">B2274/Summary!$B$5-1</f>
        <v>0.186318556297043</v>
      </c>
    </row>
    <row r="2275" customFormat="false" ht="15" hidden="false" customHeight="false" outlineLevel="0" collapsed="false">
      <c r="A2275" s="0" t="n">
        <v>2274</v>
      </c>
      <c r="B2275" s="14" t="n">
        <v>97681.5829232543</v>
      </c>
      <c r="C2275" s="15" t="n">
        <v>0.0884982140956812</v>
      </c>
      <c r="D2275" s="14" t="n">
        <f aca="false">Summary!$B$5-B2275</f>
        <v>2318.41707674567</v>
      </c>
      <c r="E2275" s="15" t="n">
        <f aca="false">B2275/Summary!$B$5-1</f>
        <v>-0.0231841707674567</v>
      </c>
    </row>
    <row r="2276" customFormat="false" ht="15" hidden="false" customHeight="false" outlineLevel="0" collapsed="false">
      <c r="A2276" s="0" t="n">
        <v>2275</v>
      </c>
      <c r="B2276" s="14" t="n">
        <v>107020.235371511</v>
      </c>
      <c r="C2276" s="15" t="n">
        <v>0.0852072205982675</v>
      </c>
      <c r="D2276" s="14" t="n">
        <f aca="false">Summary!$B$5-B2276</f>
        <v>-7020.2353715114</v>
      </c>
      <c r="E2276" s="15" t="n">
        <f aca="false">B2276/Summary!$B$5-1</f>
        <v>0.070202353715114</v>
      </c>
    </row>
    <row r="2277" customFormat="false" ht="15" hidden="false" customHeight="false" outlineLevel="0" collapsed="false">
      <c r="A2277" s="0" t="n">
        <v>2276</v>
      </c>
      <c r="B2277" s="14" t="n">
        <v>115752.334961029</v>
      </c>
      <c r="C2277" s="15" t="n">
        <v>0.0867668993896229</v>
      </c>
      <c r="D2277" s="14" t="n">
        <f aca="false">Summary!$B$5-B2277</f>
        <v>-15752.3349610287</v>
      </c>
      <c r="E2277" s="15" t="n">
        <f aca="false">B2277/Summary!$B$5-1</f>
        <v>0.157523349610287</v>
      </c>
    </row>
    <row r="2278" customFormat="false" ht="15" hidden="false" customHeight="false" outlineLevel="0" collapsed="false">
      <c r="A2278" s="0" t="n">
        <v>2277</v>
      </c>
      <c r="B2278" s="14" t="n">
        <v>113535.36767462</v>
      </c>
      <c r="C2278" s="15" t="n">
        <v>0.0791409702235288</v>
      </c>
      <c r="D2278" s="14" t="n">
        <f aca="false">Summary!$B$5-B2278</f>
        <v>-13535.3676746202</v>
      </c>
      <c r="E2278" s="15" t="n">
        <f aca="false">B2278/Summary!$B$5-1</f>
        <v>0.135353676746202</v>
      </c>
    </row>
    <row r="2279" customFormat="false" ht="15" hidden="false" customHeight="false" outlineLevel="0" collapsed="false">
      <c r="A2279" s="0" t="n">
        <v>2278</v>
      </c>
      <c r="B2279" s="14" t="n">
        <v>104300.936370827</v>
      </c>
      <c r="C2279" s="15" t="n">
        <v>0.0896997789341171</v>
      </c>
      <c r="D2279" s="14" t="n">
        <f aca="false">Summary!$B$5-B2279</f>
        <v>-4300.9363708271</v>
      </c>
      <c r="E2279" s="15" t="n">
        <f aca="false">B2279/Summary!$B$5-1</f>
        <v>0.0430093637082709</v>
      </c>
    </row>
    <row r="2280" customFormat="false" ht="15" hidden="false" customHeight="false" outlineLevel="0" collapsed="false">
      <c r="A2280" s="0" t="n">
        <v>2279</v>
      </c>
      <c r="B2280" s="14" t="n">
        <v>112277.053376501</v>
      </c>
      <c r="C2280" s="15" t="n">
        <v>0.0950106137798434</v>
      </c>
      <c r="D2280" s="14" t="n">
        <f aca="false">Summary!$B$5-B2280</f>
        <v>-12277.0533765006</v>
      </c>
      <c r="E2280" s="15" t="n">
        <f aca="false">B2280/Summary!$B$5-1</f>
        <v>0.122770533765006</v>
      </c>
    </row>
    <row r="2281" customFormat="false" ht="15" hidden="false" customHeight="false" outlineLevel="0" collapsed="false">
      <c r="A2281" s="0" t="n">
        <v>2280</v>
      </c>
      <c r="B2281" s="14" t="n">
        <v>110734.758112524</v>
      </c>
      <c r="C2281" s="15" t="n">
        <v>0.083788151234346</v>
      </c>
      <c r="D2281" s="14" t="n">
        <f aca="false">Summary!$B$5-B2281</f>
        <v>-10734.7581125239</v>
      </c>
      <c r="E2281" s="15" t="n">
        <f aca="false">B2281/Summary!$B$5-1</f>
        <v>0.107347581125239</v>
      </c>
    </row>
    <row r="2282" customFormat="false" ht="15" hidden="false" customHeight="false" outlineLevel="0" collapsed="false">
      <c r="A2282" s="0" t="n">
        <v>2281</v>
      </c>
      <c r="B2282" s="14" t="n">
        <v>106236.172675061</v>
      </c>
      <c r="C2282" s="15" t="n">
        <v>0.0950259379492489</v>
      </c>
      <c r="D2282" s="14" t="n">
        <f aca="false">Summary!$B$5-B2282</f>
        <v>-6236.172675061</v>
      </c>
      <c r="E2282" s="15" t="n">
        <f aca="false">B2282/Summary!$B$5-1</f>
        <v>0.06236172675061</v>
      </c>
    </row>
    <row r="2283" customFormat="false" ht="15" hidden="false" customHeight="false" outlineLevel="0" collapsed="false">
      <c r="A2283" s="0" t="n">
        <v>2282</v>
      </c>
      <c r="B2283" s="14" t="n">
        <v>112094.925773267</v>
      </c>
      <c r="C2283" s="15" t="n">
        <v>0.0945008194318616</v>
      </c>
      <c r="D2283" s="14" t="n">
        <f aca="false">Summary!$B$5-B2283</f>
        <v>-12094.9257732669</v>
      </c>
      <c r="E2283" s="15" t="n">
        <f aca="false">B2283/Summary!$B$5-1</f>
        <v>0.120949257732669</v>
      </c>
    </row>
    <row r="2284" customFormat="false" ht="15" hidden="false" customHeight="false" outlineLevel="0" collapsed="false">
      <c r="A2284" s="0" t="n">
        <v>2283</v>
      </c>
      <c r="B2284" s="14" t="n">
        <v>98672.8307450895</v>
      </c>
      <c r="C2284" s="15" t="n">
        <v>0.0723448870036156</v>
      </c>
      <c r="D2284" s="14" t="n">
        <f aca="false">Summary!$B$5-B2284</f>
        <v>1327.16925491049</v>
      </c>
      <c r="E2284" s="15" t="n">
        <f aca="false">B2284/Summary!$B$5-1</f>
        <v>-0.0132716925491049</v>
      </c>
    </row>
    <row r="2285" customFormat="false" ht="15" hidden="false" customHeight="false" outlineLevel="0" collapsed="false">
      <c r="A2285" s="0" t="n">
        <v>2284</v>
      </c>
      <c r="B2285" s="14" t="n">
        <v>101562.007548745</v>
      </c>
      <c r="C2285" s="15" t="n">
        <v>0.0785336737430233</v>
      </c>
      <c r="D2285" s="14" t="n">
        <f aca="false">Summary!$B$5-B2285</f>
        <v>-1562.0075487454</v>
      </c>
      <c r="E2285" s="15" t="n">
        <f aca="false">B2285/Summary!$B$5-1</f>
        <v>0.015620075487454</v>
      </c>
    </row>
    <row r="2286" customFormat="false" ht="15" hidden="false" customHeight="false" outlineLevel="0" collapsed="false">
      <c r="A2286" s="0" t="n">
        <v>2285</v>
      </c>
      <c r="B2286" s="14" t="n">
        <v>101504.287009542</v>
      </c>
      <c r="C2286" s="15" t="n">
        <v>0.164452953181795</v>
      </c>
      <c r="D2286" s="14" t="n">
        <f aca="false">Summary!$B$5-B2286</f>
        <v>-1504.28700954191</v>
      </c>
      <c r="E2286" s="15" t="n">
        <f aca="false">B2286/Summary!$B$5-1</f>
        <v>0.015042870095419</v>
      </c>
    </row>
    <row r="2287" customFormat="false" ht="15" hidden="false" customHeight="false" outlineLevel="0" collapsed="false">
      <c r="A2287" s="0" t="n">
        <v>2286</v>
      </c>
      <c r="B2287" s="14" t="n">
        <v>109371.581850163</v>
      </c>
      <c r="C2287" s="15" t="n">
        <v>0.103943536076763</v>
      </c>
      <c r="D2287" s="14" t="n">
        <f aca="false">Summary!$B$5-B2287</f>
        <v>-9371.5818501633</v>
      </c>
      <c r="E2287" s="15" t="n">
        <f aca="false">B2287/Summary!$B$5-1</f>
        <v>0.0937158185016331</v>
      </c>
    </row>
    <row r="2288" customFormat="false" ht="15" hidden="false" customHeight="false" outlineLevel="0" collapsed="false">
      <c r="A2288" s="0" t="n">
        <v>2287</v>
      </c>
      <c r="B2288" s="14" t="n">
        <v>126966.639774756</v>
      </c>
      <c r="C2288" s="15" t="n">
        <v>0.0623554910330764</v>
      </c>
      <c r="D2288" s="14" t="n">
        <f aca="false">Summary!$B$5-B2288</f>
        <v>-26966.6397747555</v>
      </c>
      <c r="E2288" s="15" t="n">
        <f aca="false">B2288/Summary!$B$5-1</f>
        <v>0.269666397747555</v>
      </c>
    </row>
    <row r="2289" customFormat="false" ht="15" hidden="false" customHeight="false" outlineLevel="0" collapsed="false">
      <c r="A2289" s="0" t="n">
        <v>2288</v>
      </c>
      <c r="B2289" s="14" t="n">
        <v>113581.525353773</v>
      </c>
      <c r="C2289" s="15" t="n">
        <v>0.0593098808512529</v>
      </c>
      <c r="D2289" s="14" t="n">
        <f aca="false">Summary!$B$5-B2289</f>
        <v>-13581.5253537729</v>
      </c>
      <c r="E2289" s="15" t="n">
        <f aca="false">B2289/Summary!$B$5-1</f>
        <v>0.135815253537729</v>
      </c>
    </row>
    <row r="2290" customFormat="false" ht="15" hidden="false" customHeight="false" outlineLevel="0" collapsed="false">
      <c r="A2290" s="0" t="n">
        <v>2289</v>
      </c>
      <c r="B2290" s="14" t="n">
        <v>104818.639837295</v>
      </c>
      <c r="C2290" s="15" t="n">
        <v>0.0954333937300038</v>
      </c>
      <c r="D2290" s="14" t="n">
        <f aca="false">Summary!$B$5-B2290</f>
        <v>-4818.6398372949</v>
      </c>
      <c r="E2290" s="15" t="n">
        <f aca="false">B2290/Summary!$B$5-1</f>
        <v>0.0481863983729491</v>
      </c>
    </row>
    <row r="2291" customFormat="false" ht="15" hidden="false" customHeight="false" outlineLevel="0" collapsed="false">
      <c r="A2291" s="0" t="n">
        <v>2290</v>
      </c>
      <c r="B2291" s="14" t="n">
        <v>111712.42108303</v>
      </c>
      <c r="C2291" s="15" t="n">
        <v>0.062083012016792</v>
      </c>
      <c r="D2291" s="14" t="n">
        <f aca="false">Summary!$B$5-B2291</f>
        <v>-11712.4210830302</v>
      </c>
      <c r="E2291" s="15" t="n">
        <f aca="false">B2291/Summary!$B$5-1</f>
        <v>0.117124210830302</v>
      </c>
    </row>
    <row r="2292" customFormat="false" ht="15" hidden="false" customHeight="false" outlineLevel="0" collapsed="false">
      <c r="A2292" s="0" t="n">
        <v>2291</v>
      </c>
      <c r="B2292" s="14" t="n">
        <v>137938.822749766</v>
      </c>
      <c r="C2292" s="15" t="n">
        <v>0.0804927750317793</v>
      </c>
      <c r="D2292" s="14" t="n">
        <f aca="false">Summary!$B$5-B2292</f>
        <v>-37938.8227497659</v>
      </c>
      <c r="E2292" s="15" t="n">
        <f aca="false">B2292/Summary!$B$5-1</f>
        <v>0.379388227497659</v>
      </c>
    </row>
    <row r="2293" customFormat="false" ht="15" hidden="false" customHeight="false" outlineLevel="0" collapsed="false">
      <c r="A2293" s="0" t="n">
        <v>2292</v>
      </c>
      <c r="B2293" s="14" t="n">
        <v>108983.621817618</v>
      </c>
      <c r="C2293" s="15" t="n">
        <v>0.0581066447203747</v>
      </c>
      <c r="D2293" s="14" t="n">
        <f aca="false">Summary!$B$5-B2293</f>
        <v>-8983.62181761841</v>
      </c>
      <c r="E2293" s="15" t="n">
        <f aca="false">B2293/Summary!$B$5-1</f>
        <v>0.089836218176184</v>
      </c>
    </row>
    <row r="2294" customFormat="false" ht="15" hidden="false" customHeight="false" outlineLevel="0" collapsed="false">
      <c r="A2294" s="0" t="n">
        <v>2293</v>
      </c>
      <c r="B2294" s="14" t="n">
        <v>94351.6684297948</v>
      </c>
      <c r="C2294" s="15" t="n">
        <v>0.0949015559427355</v>
      </c>
      <c r="D2294" s="14" t="n">
        <f aca="false">Summary!$B$5-B2294</f>
        <v>5648.33157020522</v>
      </c>
      <c r="E2294" s="15" t="n">
        <f aca="false">B2294/Summary!$B$5-1</f>
        <v>-0.0564833157020522</v>
      </c>
    </row>
    <row r="2295" customFormat="false" ht="15" hidden="false" customHeight="false" outlineLevel="0" collapsed="false">
      <c r="A2295" s="0" t="n">
        <v>2294</v>
      </c>
      <c r="B2295" s="14" t="n">
        <v>118647.259599739</v>
      </c>
      <c r="C2295" s="15" t="n">
        <v>0.0849732748498374</v>
      </c>
      <c r="D2295" s="14" t="n">
        <f aca="false">Summary!$B$5-B2295</f>
        <v>-18647.259599739</v>
      </c>
      <c r="E2295" s="15" t="n">
        <f aca="false">B2295/Summary!$B$5-1</f>
        <v>0.18647259599739</v>
      </c>
    </row>
    <row r="2296" customFormat="false" ht="15" hidden="false" customHeight="false" outlineLevel="0" collapsed="false">
      <c r="A2296" s="0" t="n">
        <v>2295</v>
      </c>
      <c r="B2296" s="14" t="n">
        <v>135372.738667343</v>
      </c>
      <c r="C2296" s="15" t="n">
        <v>0.0543116994136507</v>
      </c>
      <c r="D2296" s="14" t="n">
        <f aca="false">Summary!$B$5-B2296</f>
        <v>-35372.7386673428</v>
      </c>
      <c r="E2296" s="15" t="n">
        <f aca="false">B2296/Summary!$B$5-1</f>
        <v>0.353727386673428</v>
      </c>
    </row>
    <row r="2297" customFormat="false" ht="15" hidden="false" customHeight="false" outlineLevel="0" collapsed="false">
      <c r="A2297" s="0" t="n">
        <v>2296</v>
      </c>
      <c r="B2297" s="14" t="n">
        <v>117871.145355577</v>
      </c>
      <c r="C2297" s="15" t="n">
        <v>0.0569191434132823</v>
      </c>
      <c r="D2297" s="14" t="n">
        <f aca="false">Summary!$B$5-B2297</f>
        <v>-17871.1453555765</v>
      </c>
      <c r="E2297" s="15" t="n">
        <f aca="false">B2297/Summary!$B$5-1</f>
        <v>0.178711453555765</v>
      </c>
    </row>
    <row r="2298" customFormat="false" ht="15" hidden="false" customHeight="false" outlineLevel="0" collapsed="false">
      <c r="A2298" s="0" t="n">
        <v>2297</v>
      </c>
      <c r="B2298" s="14" t="n">
        <v>101638.834973478</v>
      </c>
      <c r="C2298" s="15" t="n">
        <v>0.112357540421125</v>
      </c>
      <c r="D2298" s="14" t="n">
        <f aca="false">Summary!$B$5-B2298</f>
        <v>-1638.8349734784</v>
      </c>
      <c r="E2298" s="15" t="n">
        <f aca="false">B2298/Summary!$B$5-1</f>
        <v>0.0163883497347841</v>
      </c>
    </row>
    <row r="2299" customFormat="false" ht="15" hidden="false" customHeight="false" outlineLevel="0" collapsed="false">
      <c r="A2299" s="0" t="n">
        <v>2298</v>
      </c>
      <c r="B2299" s="14" t="n">
        <v>88758.1984533396</v>
      </c>
      <c r="C2299" s="15" t="n">
        <v>0.187023423915526</v>
      </c>
      <c r="D2299" s="14" t="n">
        <f aca="false">Summary!$B$5-B2299</f>
        <v>11241.8015466604</v>
      </c>
      <c r="E2299" s="15" t="n">
        <f aca="false">B2299/Summary!$B$5-1</f>
        <v>-0.112418015466604</v>
      </c>
    </row>
    <row r="2300" customFormat="false" ht="15" hidden="false" customHeight="false" outlineLevel="0" collapsed="false">
      <c r="A2300" s="0" t="n">
        <v>2299</v>
      </c>
      <c r="B2300" s="14" t="n">
        <v>108655.081774686</v>
      </c>
      <c r="C2300" s="15" t="n">
        <v>0.0634914181965933</v>
      </c>
      <c r="D2300" s="14" t="n">
        <f aca="false">Summary!$B$5-B2300</f>
        <v>-8655.0817746861</v>
      </c>
      <c r="E2300" s="15" t="n">
        <f aca="false">B2300/Summary!$B$5-1</f>
        <v>0.086550817746861</v>
      </c>
    </row>
    <row r="2301" customFormat="false" ht="15" hidden="false" customHeight="false" outlineLevel="0" collapsed="false">
      <c r="A2301" s="0" t="n">
        <v>2300</v>
      </c>
      <c r="B2301" s="14" t="n">
        <v>124369.354810236</v>
      </c>
      <c r="C2301" s="15" t="n">
        <v>0.053200982732771</v>
      </c>
      <c r="D2301" s="14" t="n">
        <f aca="false">Summary!$B$5-B2301</f>
        <v>-24369.3548102362</v>
      </c>
      <c r="E2301" s="15" t="n">
        <f aca="false">B2301/Summary!$B$5-1</f>
        <v>0.243693548102362</v>
      </c>
    </row>
    <row r="2302" customFormat="false" ht="15" hidden="false" customHeight="false" outlineLevel="0" collapsed="false">
      <c r="A2302" s="0" t="n">
        <v>2301</v>
      </c>
      <c r="B2302" s="14" t="n">
        <v>86129.1071776966</v>
      </c>
      <c r="C2302" s="15" t="n">
        <v>0.192505943801201</v>
      </c>
      <c r="D2302" s="14" t="n">
        <f aca="false">Summary!$B$5-B2302</f>
        <v>13870.8928223034</v>
      </c>
      <c r="E2302" s="15" t="n">
        <f aca="false">B2302/Summary!$B$5-1</f>
        <v>-0.138708928223034</v>
      </c>
    </row>
    <row r="2303" customFormat="false" ht="15" hidden="false" customHeight="false" outlineLevel="0" collapsed="false">
      <c r="A2303" s="0" t="n">
        <v>2302</v>
      </c>
      <c r="B2303" s="14" t="n">
        <v>119233.850711126</v>
      </c>
      <c r="C2303" s="15" t="n">
        <v>0.102737970142325</v>
      </c>
      <c r="D2303" s="14" t="n">
        <f aca="false">Summary!$B$5-B2303</f>
        <v>-19233.850711126</v>
      </c>
      <c r="E2303" s="15" t="n">
        <f aca="false">B2303/Summary!$B$5-1</f>
        <v>0.19233850711126</v>
      </c>
    </row>
    <row r="2304" customFormat="false" ht="15" hidden="false" customHeight="false" outlineLevel="0" collapsed="false">
      <c r="A2304" s="0" t="n">
        <v>2303</v>
      </c>
      <c r="B2304" s="14" t="n">
        <v>106382.719084525</v>
      </c>
      <c r="C2304" s="15" t="n">
        <v>0.0699900114520098</v>
      </c>
      <c r="D2304" s="14" t="n">
        <f aca="false">Summary!$B$5-B2304</f>
        <v>-6382.7190845248</v>
      </c>
      <c r="E2304" s="15" t="n">
        <f aca="false">B2304/Summary!$B$5-1</f>
        <v>0.0638271908452479</v>
      </c>
    </row>
    <row r="2305" customFormat="false" ht="15" hidden="false" customHeight="false" outlineLevel="0" collapsed="false">
      <c r="A2305" s="0" t="n">
        <v>2304</v>
      </c>
      <c r="B2305" s="14" t="n">
        <v>125344.640660192</v>
      </c>
      <c r="C2305" s="15" t="n">
        <v>0.0526577362538516</v>
      </c>
      <c r="D2305" s="14" t="n">
        <f aca="false">Summary!$B$5-B2305</f>
        <v>-25344.6406601921</v>
      </c>
      <c r="E2305" s="15" t="n">
        <f aca="false">B2305/Summary!$B$5-1</f>
        <v>0.253446406601921</v>
      </c>
    </row>
    <row r="2306" customFormat="false" ht="15" hidden="false" customHeight="false" outlineLevel="0" collapsed="false">
      <c r="A2306" s="0" t="n">
        <v>2305</v>
      </c>
      <c r="B2306" s="14" t="n">
        <v>90271.6287370846</v>
      </c>
      <c r="C2306" s="15" t="n">
        <v>0.100618115423928</v>
      </c>
      <c r="D2306" s="14" t="n">
        <f aca="false">Summary!$B$5-B2306</f>
        <v>9728.37126291543</v>
      </c>
      <c r="E2306" s="15" t="n">
        <f aca="false">B2306/Summary!$B$5-1</f>
        <v>-0.0972837126291544</v>
      </c>
    </row>
    <row r="2307" customFormat="false" ht="15" hidden="false" customHeight="false" outlineLevel="0" collapsed="false">
      <c r="A2307" s="0" t="n">
        <v>2306</v>
      </c>
      <c r="B2307" s="14" t="n">
        <v>105773.423396329</v>
      </c>
      <c r="C2307" s="15" t="n">
        <v>0.103830405015828</v>
      </c>
      <c r="D2307" s="14" t="n">
        <f aca="false">Summary!$B$5-B2307</f>
        <v>-5773.42339632921</v>
      </c>
      <c r="E2307" s="15" t="n">
        <f aca="false">B2307/Summary!$B$5-1</f>
        <v>0.057734233963292</v>
      </c>
    </row>
    <row r="2308" customFormat="false" ht="15" hidden="false" customHeight="false" outlineLevel="0" collapsed="false">
      <c r="A2308" s="0" t="n">
        <v>2307</v>
      </c>
      <c r="B2308" s="14" t="n">
        <v>122911.72588624</v>
      </c>
      <c r="C2308" s="15" t="n">
        <v>0.0411154973559026</v>
      </c>
      <c r="D2308" s="14" t="n">
        <f aca="false">Summary!$B$5-B2308</f>
        <v>-22911.7258862397</v>
      </c>
      <c r="E2308" s="15" t="n">
        <f aca="false">B2308/Summary!$B$5-1</f>
        <v>0.229117258862397</v>
      </c>
    </row>
    <row r="2309" customFormat="false" ht="15" hidden="false" customHeight="false" outlineLevel="0" collapsed="false">
      <c r="A2309" s="0" t="n">
        <v>2308</v>
      </c>
      <c r="B2309" s="14" t="n">
        <v>113213.851270017</v>
      </c>
      <c r="C2309" s="15" t="n">
        <v>0.0476602403095853</v>
      </c>
      <c r="D2309" s="14" t="n">
        <f aca="false">Summary!$B$5-B2309</f>
        <v>-13213.8512700174</v>
      </c>
      <c r="E2309" s="15" t="n">
        <f aca="false">B2309/Summary!$B$5-1</f>
        <v>0.132138512700174</v>
      </c>
    </row>
    <row r="2310" customFormat="false" ht="15" hidden="false" customHeight="false" outlineLevel="0" collapsed="false">
      <c r="A2310" s="0" t="n">
        <v>2309</v>
      </c>
      <c r="B2310" s="14" t="n">
        <v>100606.479125088</v>
      </c>
      <c r="C2310" s="15" t="n">
        <v>0.0670367807216337</v>
      </c>
      <c r="D2310" s="14" t="n">
        <f aca="false">Summary!$B$5-B2310</f>
        <v>-606.479125088401</v>
      </c>
      <c r="E2310" s="15" t="n">
        <f aca="false">B2310/Summary!$B$5-1</f>
        <v>0.00606479125088399</v>
      </c>
    </row>
    <row r="2311" customFormat="false" ht="15" hidden="false" customHeight="false" outlineLevel="0" collapsed="false">
      <c r="A2311" s="0" t="n">
        <v>2310</v>
      </c>
      <c r="B2311" s="14" t="n">
        <v>106445.401222593</v>
      </c>
      <c r="C2311" s="15" t="n">
        <v>0.0771707702087353</v>
      </c>
      <c r="D2311" s="14" t="n">
        <f aca="false">Summary!$B$5-B2311</f>
        <v>-6445.4012225934</v>
      </c>
      <c r="E2311" s="15" t="n">
        <f aca="false">B2311/Summary!$B$5-1</f>
        <v>0.0644540122259341</v>
      </c>
    </row>
    <row r="2312" customFormat="false" ht="15" hidden="false" customHeight="false" outlineLevel="0" collapsed="false">
      <c r="A2312" s="0" t="n">
        <v>2311</v>
      </c>
      <c r="B2312" s="14" t="n">
        <v>124537.129324193</v>
      </c>
      <c r="C2312" s="15" t="n">
        <v>0.0463235866320101</v>
      </c>
      <c r="D2312" s="14" t="n">
        <f aca="false">Summary!$B$5-B2312</f>
        <v>-24537.1293241927</v>
      </c>
      <c r="E2312" s="15" t="n">
        <f aca="false">B2312/Summary!$B$5-1</f>
        <v>0.245371293241927</v>
      </c>
    </row>
    <row r="2313" customFormat="false" ht="15" hidden="false" customHeight="false" outlineLevel="0" collapsed="false">
      <c r="A2313" s="0" t="n">
        <v>2312</v>
      </c>
      <c r="B2313" s="14" t="n">
        <v>94522.4622027053</v>
      </c>
      <c r="C2313" s="15" t="n">
        <v>0.0944730612720571</v>
      </c>
      <c r="D2313" s="14" t="n">
        <f aca="false">Summary!$B$5-B2313</f>
        <v>5477.53779729472</v>
      </c>
      <c r="E2313" s="15" t="n">
        <f aca="false">B2313/Summary!$B$5-1</f>
        <v>-0.0547753779729472</v>
      </c>
    </row>
    <row r="2314" customFormat="false" ht="15" hidden="false" customHeight="false" outlineLevel="0" collapsed="false">
      <c r="A2314" s="0" t="n">
        <v>2313</v>
      </c>
      <c r="B2314" s="14" t="n">
        <v>96873.0033809603</v>
      </c>
      <c r="C2314" s="15" t="n">
        <v>0.140502435724285</v>
      </c>
      <c r="D2314" s="14" t="n">
        <f aca="false">Summary!$B$5-B2314</f>
        <v>3126.99661903975</v>
      </c>
      <c r="E2314" s="15" t="n">
        <f aca="false">B2314/Summary!$B$5-1</f>
        <v>-0.0312699661903976</v>
      </c>
    </row>
    <row r="2315" customFormat="false" ht="15" hidden="false" customHeight="false" outlineLevel="0" collapsed="false">
      <c r="A2315" s="0" t="n">
        <v>2314</v>
      </c>
      <c r="B2315" s="14" t="n">
        <v>98422.0655924339</v>
      </c>
      <c r="C2315" s="15" t="n">
        <v>0.097907146885256</v>
      </c>
      <c r="D2315" s="14" t="n">
        <f aca="false">Summary!$B$5-B2315</f>
        <v>1577.93440756614</v>
      </c>
      <c r="E2315" s="15" t="n">
        <f aca="false">B2315/Summary!$B$5-1</f>
        <v>-0.0157793440756614</v>
      </c>
    </row>
    <row r="2316" customFormat="false" ht="15" hidden="false" customHeight="false" outlineLevel="0" collapsed="false">
      <c r="A2316" s="0" t="n">
        <v>2315</v>
      </c>
      <c r="B2316" s="14" t="n">
        <v>87972.59610069</v>
      </c>
      <c r="C2316" s="15" t="n">
        <v>0.122749771342561</v>
      </c>
      <c r="D2316" s="14" t="n">
        <f aca="false">Summary!$B$5-B2316</f>
        <v>12027.40389931</v>
      </c>
      <c r="E2316" s="15" t="n">
        <f aca="false">B2316/Summary!$B$5-1</f>
        <v>-0.1202740389931</v>
      </c>
    </row>
    <row r="2317" customFormat="false" ht="15" hidden="false" customHeight="false" outlineLevel="0" collapsed="false">
      <c r="A2317" s="0" t="n">
        <v>2316</v>
      </c>
      <c r="B2317" s="14" t="n">
        <v>101767.951552845</v>
      </c>
      <c r="C2317" s="15" t="n">
        <v>0.0738928487357594</v>
      </c>
      <c r="D2317" s="14" t="n">
        <f aca="false">Summary!$B$5-B2317</f>
        <v>-1767.9515528452</v>
      </c>
      <c r="E2317" s="15" t="n">
        <f aca="false">B2317/Summary!$B$5-1</f>
        <v>0.0176795155284519</v>
      </c>
    </row>
    <row r="2318" customFormat="false" ht="15" hidden="false" customHeight="false" outlineLevel="0" collapsed="false">
      <c r="A2318" s="0" t="n">
        <v>2317</v>
      </c>
      <c r="B2318" s="14" t="n">
        <v>112429.291780511</v>
      </c>
      <c r="C2318" s="15" t="n">
        <v>0.0626984127131451</v>
      </c>
      <c r="D2318" s="14" t="n">
        <f aca="false">Summary!$B$5-B2318</f>
        <v>-12429.2917805114</v>
      </c>
      <c r="E2318" s="15" t="n">
        <f aca="false">B2318/Summary!$B$5-1</f>
        <v>0.124292917805114</v>
      </c>
    </row>
    <row r="2319" customFormat="false" ht="15" hidden="false" customHeight="false" outlineLevel="0" collapsed="false">
      <c r="A2319" s="0" t="n">
        <v>2318</v>
      </c>
      <c r="B2319" s="14" t="n">
        <v>96332.1135789815</v>
      </c>
      <c r="C2319" s="15" t="n">
        <v>0.0993642596550683</v>
      </c>
      <c r="D2319" s="14" t="n">
        <f aca="false">Summary!$B$5-B2319</f>
        <v>3667.88642101848</v>
      </c>
      <c r="E2319" s="15" t="n">
        <f aca="false">B2319/Summary!$B$5-1</f>
        <v>-0.0366788642101849</v>
      </c>
    </row>
    <row r="2320" customFormat="false" ht="15" hidden="false" customHeight="false" outlineLevel="0" collapsed="false">
      <c r="A2320" s="0" t="n">
        <v>2319</v>
      </c>
      <c r="B2320" s="14" t="n">
        <v>97096.0835323543</v>
      </c>
      <c r="C2320" s="15" t="n">
        <v>0.15084801041555</v>
      </c>
      <c r="D2320" s="14" t="n">
        <f aca="false">Summary!$B$5-B2320</f>
        <v>2903.9164676457</v>
      </c>
      <c r="E2320" s="15" t="n">
        <f aca="false">B2320/Summary!$B$5-1</f>
        <v>-0.029039164676457</v>
      </c>
    </row>
    <row r="2321" customFormat="false" ht="15" hidden="false" customHeight="false" outlineLevel="0" collapsed="false">
      <c r="A2321" s="0" t="n">
        <v>2320</v>
      </c>
      <c r="B2321" s="14" t="n">
        <v>102949.091139846</v>
      </c>
      <c r="C2321" s="15" t="n">
        <v>0.113894497471405</v>
      </c>
      <c r="D2321" s="14" t="n">
        <f aca="false">Summary!$B$5-B2321</f>
        <v>-2949.0911398459</v>
      </c>
      <c r="E2321" s="15" t="n">
        <f aca="false">B2321/Summary!$B$5-1</f>
        <v>0.0294909113984589</v>
      </c>
    </row>
    <row r="2322" customFormat="false" ht="15" hidden="false" customHeight="false" outlineLevel="0" collapsed="false">
      <c r="A2322" s="0" t="n">
        <v>2321</v>
      </c>
      <c r="B2322" s="14" t="n">
        <v>116658.768457361</v>
      </c>
      <c r="C2322" s="15" t="n">
        <v>0.118593093302593</v>
      </c>
      <c r="D2322" s="14" t="n">
        <f aca="false">Summary!$B$5-B2322</f>
        <v>-16658.7684573614</v>
      </c>
      <c r="E2322" s="15" t="n">
        <f aca="false">B2322/Summary!$B$5-1</f>
        <v>0.166587684573614</v>
      </c>
    </row>
    <row r="2323" customFormat="false" ht="15" hidden="false" customHeight="false" outlineLevel="0" collapsed="false">
      <c r="A2323" s="0" t="n">
        <v>2322</v>
      </c>
      <c r="B2323" s="14" t="n">
        <v>82106.597552563</v>
      </c>
      <c r="C2323" s="15" t="n">
        <v>0.208300142851444</v>
      </c>
      <c r="D2323" s="14" t="n">
        <f aca="false">Summary!$B$5-B2323</f>
        <v>17893.4024474371</v>
      </c>
      <c r="E2323" s="15" t="n">
        <f aca="false">B2323/Summary!$B$5-1</f>
        <v>-0.178934024474371</v>
      </c>
    </row>
    <row r="2324" customFormat="false" ht="15" hidden="false" customHeight="false" outlineLevel="0" collapsed="false">
      <c r="A2324" s="0" t="n">
        <v>2323</v>
      </c>
      <c r="B2324" s="14" t="n">
        <v>93554.9760569347</v>
      </c>
      <c r="C2324" s="15" t="n">
        <v>0.126630038865532</v>
      </c>
      <c r="D2324" s="14" t="n">
        <f aca="false">Summary!$B$5-B2324</f>
        <v>6445.02394306532</v>
      </c>
      <c r="E2324" s="15" t="n">
        <f aca="false">B2324/Summary!$B$5-1</f>
        <v>-0.0644502394306532</v>
      </c>
    </row>
    <row r="2325" customFormat="false" ht="15" hidden="false" customHeight="false" outlineLevel="0" collapsed="false">
      <c r="A2325" s="0" t="n">
        <v>2324</v>
      </c>
      <c r="B2325" s="14" t="n">
        <v>92671.355843147</v>
      </c>
      <c r="C2325" s="15" t="n">
        <v>0.148553402479742</v>
      </c>
      <c r="D2325" s="14" t="n">
        <f aca="false">Summary!$B$5-B2325</f>
        <v>7328.64415685297</v>
      </c>
      <c r="E2325" s="15" t="n">
        <f aca="false">B2325/Summary!$B$5-1</f>
        <v>-0.0732864415685297</v>
      </c>
    </row>
    <row r="2326" customFormat="false" ht="15" hidden="false" customHeight="false" outlineLevel="0" collapsed="false">
      <c r="A2326" s="0" t="n">
        <v>2325</v>
      </c>
      <c r="B2326" s="14" t="n">
        <v>108232.714180974</v>
      </c>
      <c r="C2326" s="15" t="n">
        <v>0.0962370590626064</v>
      </c>
      <c r="D2326" s="14" t="n">
        <f aca="false">Summary!$B$5-B2326</f>
        <v>-8232.7141809735</v>
      </c>
      <c r="E2326" s="15" t="n">
        <f aca="false">B2326/Summary!$B$5-1</f>
        <v>0.0823271418097351</v>
      </c>
    </row>
    <row r="2327" customFormat="false" ht="15" hidden="false" customHeight="false" outlineLevel="0" collapsed="false">
      <c r="A2327" s="0" t="n">
        <v>2326</v>
      </c>
      <c r="B2327" s="14" t="n">
        <v>114936.869277062</v>
      </c>
      <c r="C2327" s="15" t="n">
        <v>0.087325385501141</v>
      </c>
      <c r="D2327" s="14" t="n">
        <f aca="false">Summary!$B$5-B2327</f>
        <v>-14936.869277062</v>
      </c>
      <c r="E2327" s="15" t="n">
        <f aca="false">B2327/Summary!$B$5-1</f>
        <v>0.14936869277062</v>
      </c>
    </row>
    <row r="2328" customFormat="false" ht="15" hidden="false" customHeight="false" outlineLevel="0" collapsed="false">
      <c r="A2328" s="0" t="n">
        <v>2327</v>
      </c>
      <c r="B2328" s="14" t="n">
        <v>126285.270072904</v>
      </c>
      <c r="C2328" s="15" t="n">
        <v>0.0797067590406607</v>
      </c>
      <c r="D2328" s="14" t="n">
        <f aca="false">Summary!$B$5-B2328</f>
        <v>-26285.2700729042</v>
      </c>
      <c r="E2328" s="15" t="n">
        <f aca="false">B2328/Summary!$B$5-1</f>
        <v>0.262852700729042</v>
      </c>
    </row>
    <row r="2329" customFormat="false" ht="15" hidden="false" customHeight="false" outlineLevel="0" collapsed="false">
      <c r="A2329" s="0" t="n">
        <v>2328</v>
      </c>
      <c r="B2329" s="14" t="n">
        <v>147277.806281034</v>
      </c>
      <c r="C2329" s="15" t="n">
        <v>0.0565212745518368</v>
      </c>
      <c r="D2329" s="14" t="n">
        <f aca="false">Summary!$B$5-B2329</f>
        <v>-47277.8062810336</v>
      </c>
      <c r="E2329" s="15" t="n">
        <f aca="false">B2329/Summary!$B$5-1</f>
        <v>0.472778062810336</v>
      </c>
    </row>
    <row r="2330" customFormat="false" ht="15" hidden="false" customHeight="false" outlineLevel="0" collapsed="false">
      <c r="A2330" s="0" t="n">
        <v>2329</v>
      </c>
      <c r="B2330" s="14" t="n">
        <v>124726.961300587</v>
      </c>
      <c r="C2330" s="15" t="n">
        <v>0.056022281178558</v>
      </c>
      <c r="D2330" s="14" t="n">
        <f aca="false">Summary!$B$5-B2330</f>
        <v>-24726.9613005868</v>
      </c>
      <c r="E2330" s="15" t="n">
        <f aca="false">B2330/Summary!$B$5-1</f>
        <v>0.247269613005868</v>
      </c>
    </row>
    <row r="2331" customFormat="false" ht="15" hidden="false" customHeight="false" outlineLevel="0" collapsed="false">
      <c r="A2331" s="0" t="n">
        <v>2330</v>
      </c>
      <c r="B2331" s="14" t="n">
        <v>101051.490837925</v>
      </c>
      <c r="C2331" s="15" t="n">
        <v>0.0851537875248087</v>
      </c>
      <c r="D2331" s="14" t="n">
        <f aca="false">Summary!$B$5-B2331</f>
        <v>-1051.49083792471</v>
      </c>
      <c r="E2331" s="15" t="n">
        <f aca="false">B2331/Summary!$B$5-1</f>
        <v>0.0105149083792471</v>
      </c>
    </row>
    <row r="2332" customFormat="false" ht="15" hidden="false" customHeight="false" outlineLevel="0" collapsed="false">
      <c r="A2332" s="0" t="n">
        <v>2331</v>
      </c>
      <c r="B2332" s="14" t="n">
        <v>125736.156967233</v>
      </c>
      <c r="C2332" s="15" t="n">
        <v>0.0772565948136543</v>
      </c>
      <c r="D2332" s="14" t="n">
        <f aca="false">Summary!$B$5-B2332</f>
        <v>-25736.1569672331</v>
      </c>
      <c r="E2332" s="15" t="n">
        <f aca="false">B2332/Summary!$B$5-1</f>
        <v>0.257361569672331</v>
      </c>
    </row>
    <row r="2333" customFormat="false" ht="15" hidden="false" customHeight="false" outlineLevel="0" collapsed="false">
      <c r="A2333" s="0" t="n">
        <v>2332</v>
      </c>
      <c r="B2333" s="14" t="n">
        <v>111173.420122556</v>
      </c>
      <c r="C2333" s="15" t="n">
        <v>0.0633364385115286</v>
      </c>
      <c r="D2333" s="14" t="n">
        <f aca="false">Summary!$B$5-B2333</f>
        <v>-11173.4201225559</v>
      </c>
      <c r="E2333" s="15" t="n">
        <f aca="false">B2333/Summary!$B$5-1</f>
        <v>0.111734201225559</v>
      </c>
    </row>
    <row r="2334" customFormat="false" ht="15" hidden="false" customHeight="false" outlineLevel="0" collapsed="false">
      <c r="A2334" s="0" t="n">
        <v>2333</v>
      </c>
      <c r="B2334" s="14" t="n">
        <v>138581.342824412</v>
      </c>
      <c r="C2334" s="15" t="n">
        <v>0.0989589246456588</v>
      </c>
      <c r="D2334" s="14" t="n">
        <f aca="false">Summary!$B$5-B2334</f>
        <v>-38581.3428244124</v>
      </c>
      <c r="E2334" s="15" t="n">
        <f aca="false">B2334/Summary!$B$5-1</f>
        <v>0.385813428244124</v>
      </c>
    </row>
    <row r="2335" customFormat="false" ht="15" hidden="false" customHeight="false" outlineLevel="0" collapsed="false">
      <c r="A2335" s="0" t="n">
        <v>2334</v>
      </c>
      <c r="B2335" s="14" t="n">
        <v>91983.4223936798</v>
      </c>
      <c r="C2335" s="15" t="n">
        <v>0.139606951400366</v>
      </c>
      <c r="D2335" s="14" t="n">
        <f aca="false">Summary!$B$5-B2335</f>
        <v>8016.57760632018</v>
      </c>
      <c r="E2335" s="15" t="n">
        <f aca="false">B2335/Summary!$B$5-1</f>
        <v>-0.0801657760632017</v>
      </c>
    </row>
    <row r="2336" customFormat="false" ht="15" hidden="false" customHeight="false" outlineLevel="0" collapsed="false">
      <c r="A2336" s="0" t="n">
        <v>2335</v>
      </c>
      <c r="B2336" s="14" t="n">
        <v>119233.646658037</v>
      </c>
      <c r="C2336" s="15" t="n">
        <v>0.0748211902557596</v>
      </c>
      <c r="D2336" s="14" t="n">
        <f aca="false">Summary!$B$5-B2336</f>
        <v>-19233.6466580371</v>
      </c>
      <c r="E2336" s="15" t="n">
        <f aca="false">B2336/Summary!$B$5-1</f>
        <v>0.192336466580371</v>
      </c>
    </row>
    <row r="2337" customFormat="false" ht="15" hidden="false" customHeight="false" outlineLevel="0" collapsed="false">
      <c r="A2337" s="0" t="n">
        <v>2336</v>
      </c>
      <c r="B2337" s="14" t="n">
        <v>115125.277693147</v>
      </c>
      <c r="C2337" s="15" t="n">
        <v>0.0896663460869102</v>
      </c>
      <c r="D2337" s="14" t="n">
        <f aca="false">Summary!$B$5-B2337</f>
        <v>-15125.2776931467</v>
      </c>
      <c r="E2337" s="15" t="n">
        <f aca="false">B2337/Summary!$B$5-1</f>
        <v>0.151252776931467</v>
      </c>
    </row>
    <row r="2338" customFormat="false" ht="15" hidden="false" customHeight="false" outlineLevel="0" collapsed="false">
      <c r="A2338" s="0" t="n">
        <v>2337</v>
      </c>
      <c r="B2338" s="14" t="n">
        <v>114773.613170886</v>
      </c>
      <c r="C2338" s="15" t="n">
        <v>0.0472338433270049</v>
      </c>
      <c r="D2338" s="14" t="n">
        <f aca="false">Summary!$B$5-B2338</f>
        <v>-14773.6131708857</v>
      </c>
      <c r="E2338" s="15" t="n">
        <f aca="false">B2338/Summary!$B$5-1</f>
        <v>0.147736131708857</v>
      </c>
    </row>
    <row r="2339" customFormat="false" ht="15" hidden="false" customHeight="false" outlineLevel="0" collapsed="false">
      <c r="A2339" s="0" t="n">
        <v>2338</v>
      </c>
      <c r="B2339" s="14" t="n">
        <v>103781.244614871</v>
      </c>
      <c r="C2339" s="15" t="n">
        <v>0.0657711390070785</v>
      </c>
      <c r="D2339" s="14" t="n">
        <f aca="false">Summary!$B$5-B2339</f>
        <v>-3781.24461487131</v>
      </c>
      <c r="E2339" s="15" t="n">
        <f aca="false">B2339/Summary!$B$5-1</f>
        <v>0.037812446148713</v>
      </c>
    </row>
    <row r="2340" customFormat="false" ht="15" hidden="false" customHeight="false" outlineLevel="0" collapsed="false">
      <c r="A2340" s="0" t="n">
        <v>2339</v>
      </c>
      <c r="B2340" s="14" t="n">
        <v>137057.389933586</v>
      </c>
      <c r="C2340" s="15" t="n">
        <v>0.0871808219231899</v>
      </c>
      <c r="D2340" s="14" t="n">
        <f aca="false">Summary!$B$5-B2340</f>
        <v>-37057.3899335862</v>
      </c>
      <c r="E2340" s="15" t="n">
        <f aca="false">B2340/Summary!$B$5-1</f>
        <v>0.370573899335862</v>
      </c>
    </row>
    <row r="2341" customFormat="false" ht="15" hidden="false" customHeight="false" outlineLevel="0" collapsed="false">
      <c r="A2341" s="0" t="n">
        <v>2340</v>
      </c>
      <c r="B2341" s="14" t="n">
        <v>125761.928196272</v>
      </c>
      <c r="C2341" s="15" t="n">
        <v>0.0890911355275109</v>
      </c>
      <c r="D2341" s="14" t="n">
        <f aca="false">Summary!$B$5-B2341</f>
        <v>-25761.9281962717</v>
      </c>
      <c r="E2341" s="15" t="n">
        <f aca="false">B2341/Summary!$B$5-1</f>
        <v>0.257619281962717</v>
      </c>
    </row>
    <row r="2342" customFormat="false" ht="15" hidden="false" customHeight="false" outlineLevel="0" collapsed="false">
      <c r="A2342" s="0" t="n">
        <v>2341</v>
      </c>
      <c r="B2342" s="14" t="n">
        <v>96388.7349294118</v>
      </c>
      <c r="C2342" s="15" t="n">
        <v>0.140922066344526</v>
      </c>
      <c r="D2342" s="14" t="n">
        <f aca="false">Summary!$B$5-B2342</f>
        <v>3611.26507058824</v>
      </c>
      <c r="E2342" s="15" t="n">
        <f aca="false">B2342/Summary!$B$5-1</f>
        <v>-0.0361126507058824</v>
      </c>
    </row>
    <row r="2343" customFormat="false" ht="15" hidden="false" customHeight="false" outlineLevel="0" collapsed="false">
      <c r="A2343" s="0" t="n">
        <v>2342</v>
      </c>
      <c r="B2343" s="14" t="n">
        <v>97004.4287819293</v>
      </c>
      <c r="C2343" s="15" t="n">
        <v>0.136019469300344</v>
      </c>
      <c r="D2343" s="14" t="n">
        <f aca="false">Summary!$B$5-B2343</f>
        <v>2995.57121807075</v>
      </c>
      <c r="E2343" s="15" t="n">
        <f aca="false">B2343/Summary!$B$5-1</f>
        <v>-0.0299557121807075</v>
      </c>
    </row>
    <row r="2344" customFormat="false" ht="15" hidden="false" customHeight="false" outlineLevel="0" collapsed="false">
      <c r="A2344" s="0" t="n">
        <v>2343</v>
      </c>
      <c r="B2344" s="14" t="n">
        <v>114646.192312026</v>
      </c>
      <c r="C2344" s="15" t="n">
        <v>0.101298046328083</v>
      </c>
      <c r="D2344" s="14" t="n">
        <f aca="false">Summary!$B$5-B2344</f>
        <v>-14646.1923120255</v>
      </c>
      <c r="E2344" s="15" t="n">
        <f aca="false">B2344/Summary!$B$5-1</f>
        <v>0.146461923120255</v>
      </c>
    </row>
    <row r="2345" customFormat="false" ht="15" hidden="false" customHeight="false" outlineLevel="0" collapsed="false">
      <c r="A2345" s="0" t="n">
        <v>2344</v>
      </c>
      <c r="B2345" s="14" t="n">
        <v>105893.695454083</v>
      </c>
      <c r="C2345" s="15" t="n">
        <v>0.0744222241487771</v>
      </c>
      <c r="D2345" s="14" t="n">
        <f aca="false">Summary!$B$5-B2345</f>
        <v>-5893.6954540827</v>
      </c>
      <c r="E2345" s="15" t="n">
        <f aca="false">B2345/Summary!$B$5-1</f>
        <v>0.0589369545408269</v>
      </c>
    </row>
    <row r="2346" customFormat="false" ht="15" hidden="false" customHeight="false" outlineLevel="0" collapsed="false">
      <c r="A2346" s="0" t="n">
        <v>2345</v>
      </c>
      <c r="B2346" s="14" t="n">
        <v>95127.5286434085</v>
      </c>
      <c r="C2346" s="15" t="n">
        <v>0.0912169522175385</v>
      </c>
      <c r="D2346" s="14" t="n">
        <f aca="false">Summary!$B$5-B2346</f>
        <v>4872.47135659153</v>
      </c>
      <c r="E2346" s="15" t="n">
        <f aca="false">B2346/Summary!$B$5-1</f>
        <v>-0.0487247135659153</v>
      </c>
    </row>
    <row r="2347" customFormat="false" ht="15" hidden="false" customHeight="false" outlineLevel="0" collapsed="false">
      <c r="A2347" s="0" t="n">
        <v>2346</v>
      </c>
      <c r="B2347" s="14" t="n">
        <v>108935.022414013</v>
      </c>
      <c r="C2347" s="15" t="n">
        <v>0.0984562616045122</v>
      </c>
      <c r="D2347" s="14" t="n">
        <f aca="false">Summary!$B$5-B2347</f>
        <v>-8935.02241401321</v>
      </c>
      <c r="E2347" s="15" t="n">
        <f aca="false">B2347/Summary!$B$5-1</f>
        <v>0.0893502241401321</v>
      </c>
    </row>
    <row r="2348" customFormat="false" ht="15" hidden="false" customHeight="false" outlineLevel="0" collapsed="false">
      <c r="A2348" s="0" t="n">
        <v>2347</v>
      </c>
      <c r="B2348" s="14" t="n">
        <v>133290.706896244</v>
      </c>
      <c r="C2348" s="15" t="n">
        <v>0.0921669260821871</v>
      </c>
      <c r="D2348" s="14" t="n">
        <f aca="false">Summary!$B$5-B2348</f>
        <v>-33290.7068962441</v>
      </c>
      <c r="E2348" s="15" t="n">
        <f aca="false">B2348/Summary!$B$5-1</f>
        <v>0.332907068962441</v>
      </c>
    </row>
    <row r="2349" customFormat="false" ht="15" hidden="false" customHeight="false" outlineLevel="0" collapsed="false">
      <c r="A2349" s="0" t="n">
        <v>2348</v>
      </c>
      <c r="B2349" s="14" t="n">
        <v>119721.490207304</v>
      </c>
      <c r="C2349" s="15" t="n">
        <v>0.0805022010583046</v>
      </c>
      <c r="D2349" s="14" t="n">
        <f aca="false">Summary!$B$5-B2349</f>
        <v>-19721.4902073042</v>
      </c>
      <c r="E2349" s="15" t="n">
        <f aca="false">B2349/Summary!$B$5-1</f>
        <v>0.197214902073042</v>
      </c>
    </row>
    <row r="2350" customFormat="false" ht="15" hidden="false" customHeight="false" outlineLevel="0" collapsed="false">
      <c r="A2350" s="0" t="n">
        <v>2349</v>
      </c>
      <c r="B2350" s="14" t="n">
        <v>114486.282076125</v>
      </c>
      <c r="C2350" s="15" t="n">
        <v>0.0452142879099893</v>
      </c>
      <c r="D2350" s="14" t="n">
        <f aca="false">Summary!$B$5-B2350</f>
        <v>-14486.2820761248</v>
      </c>
      <c r="E2350" s="15" t="n">
        <f aca="false">B2350/Summary!$B$5-1</f>
        <v>0.144862820761248</v>
      </c>
    </row>
    <row r="2351" customFormat="false" ht="15" hidden="false" customHeight="false" outlineLevel="0" collapsed="false">
      <c r="A2351" s="0" t="n">
        <v>2350</v>
      </c>
      <c r="B2351" s="14" t="n">
        <v>125843.878306388</v>
      </c>
      <c r="C2351" s="15" t="n">
        <v>0.0911168841753798</v>
      </c>
      <c r="D2351" s="14" t="n">
        <f aca="false">Summary!$B$5-B2351</f>
        <v>-25843.878306388</v>
      </c>
      <c r="E2351" s="15" t="n">
        <f aca="false">B2351/Summary!$B$5-1</f>
        <v>0.25843878306388</v>
      </c>
    </row>
    <row r="2352" customFormat="false" ht="15" hidden="false" customHeight="false" outlineLevel="0" collapsed="false">
      <c r="A2352" s="0" t="n">
        <v>2351</v>
      </c>
      <c r="B2352" s="14" t="n">
        <v>142678.164426971</v>
      </c>
      <c r="C2352" s="15" t="n">
        <v>0.0677954060615945</v>
      </c>
      <c r="D2352" s="14" t="n">
        <f aca="false">Summary!$B$5-B2352</f>
        <v>-42678.1644269709</v>
      </c>
      <c r="E2352" s="15" t="n">
        <f aca="false">B2352/Summary!$B$5-1</f>
        <v>0.426781644269709</v>
      </c>
    </row>
    <row r="2353" customFormat="false" ht="15" hidden="false" customHeight="false" outlineLevel="0" collapsed="false">
      <c r="A2353" s="0" t="n">
        <v>2352</v>
      </c>
      <c r="B2353" s="14" t="n">
        <v>99965.1830976905</v>
      </c>
      <c r="C2353" s="15" t="n">
        <v>0.130030971816193</v>
      </c>
      <c r="D2353" s="14" t="n">
        <f aca="false">Summary!$B$5-B2353</f>
        <v>34.8169023095106</v>
      </c>
      <c r="E2353" s="15" t="n">
        <f aca="false">B2353/Summary!$B$5-1</f>
        <v>-0.000348169023095091</v>
      </c>
    </row>
    <row r="2354" customFormat="false" ht="15" hidden="false" customHeight="false" outlineLevel="0" collapsed="false">
      <c r="A2354" s="0" t="n">
        <v>2353</v>
      </c>
      <c r="B2354" s="14" t="n">
        <v>118785.712467029</v>
      </c>
      <c r="C2354" s="15" t="n">
        <v>0.081495285865428</v>
      </c>
      <c r="D2354" s="14" t="n">
        <f aca="false">Summary!$B$5-B2354</f>
        <v>-18785.7124670293</v>
      </c>
      <c r="E2354" s="15" t="n">
        <f aca="false">B2354/Summary!$B$5-1</f>
        <v>0.187857124670293</v>
      </c>
    </row>
    <row r="2355" customFormat="false" ht="15" hidden="false" customHeight="false" outlineLevel="0" collapsed="false">
      <c r="A2355" s="0" t="n">
        <v>2354</v>
      </c>
      <c r="B2355" s="14" t="n">
        <v>100437.215366129</v>
      </c>
      <c r="C2355" s="15" t="n">
        <v>0.126717280998598</v>
      </c>
      <c r="D2355" s="14" t="n">
        <f aca="false">Summary!$B$5-B2355</f>
        <v>-437.215366128701</v>
      </c>
      <c r="E2355" s="15" t="n">
        <f aca="false">B2355/Summary!$B$5-1</f>
        <v>0.00437215366128707</v>
      </c>
    </row>
    <row r="2356" customFormat="false" ht="15" hidden="false" customHeight="false" outlineLevel="0" collapsed="false">
      <c r="A2356" s="0" t="n">
        <v>2355</v>
      </c>
      <c r="B2356" s="14" t="n">
        <v>102140.984901373</v>
      </c>
      <c r="C2356" s="15" t="n">
        <v>0.0990970395054295</v>
      </c>
      <c r="D2356" s="14" t="n">
        <f aca="false">Summary!$B$5-B2356</f>
        <v>-2140.98490137341</v>
      </c>
      <c r="E2356" s="15" t="n">
        <f aca="false">B2356/Summary!$B$5-1</f>
        <v>0.021409849013734</v>
      </c>
    </row>
    <row r="2357" customFormat="false" ht="15" hidden="false" customHeight="false" outlineLevel="0" collapsed="false">
      <c r="A2357" s="0" t="n">
        <v>2356</v>
      </c>
      <c r="B2357" s="14" t="n">
        <v>118155.250310385</v>
      </c>
      <c r="C2357" s="15" t="n">
        <v>0.0647762813584971</v>
      </c>
      <c r="D2357" s="14" t="n">
        <f aca="false">Summary!$B$5-B2357</f>
        <v>-18155.250310385</v>
      </c>
      <c r="E2357" s="15" t="n">
        <f aca="false">B2357/Summary!$B$5-1</f>
        <v>0.18155250310385</v>
      </c>
    </row>
    <row r="2358" customFormat="false" ht="15" hidden="false" customHeight="false" outlineLevel="0" collapsed="false">
      <c r="A2358" s="0" t="n">
        <v>2357</v>
      </c>
      <c r="B2358" s="14" t="n">
        <v>124546.710180978</v>
      </c>
      <c r="C2358" s="15" t="n">
        <v>0.0680418781226263</v>
      </c>
      <c r="D2358" s="14" t="n">
        <f aca="false">Summary!$B$5-B2358</f>
        <v>-24546.7101809783</v>
      </c>
      <c r="E2358" s="15" t="n">
        <f aca="false">B2358/Summary!$B$5-1</f>
        <v>0.245467101809783</v>
      </c>
    </row>
    <row r="2359" customFormat="false" ht="15" hidden="false" customHeight="false" outlineLevel="0" collapsed="false">
      <c r="A2359" s="0" t="n">
        <v>2358</v>
      </c>
      <c r="B2359" s="14" t="n">
        <v>98329.6126385032</v>
      </c>
      <c r="C2359" s="15" t="n">
        <v>0.15694452141439</v>
      </c>
      <c r="D2359" s="14" t="n">
        <f aca="false">Summary!$B$5-B2359</f>
        <v>1670.38736149676</v>
      </c>
      <c r="E2359" s="15" t="n">
        <f aca="false">B2359/Summary!$B$5-1</f>
        <v>-0.0167038736149676</v>
      </c>
    </row>
    <row r="2360" customFormat="false" ht="15" hidden="false" customHeight="false" outlineLevel="0" collapsed="false">
      <c r="A2360" s="0" t="n">
        <v>2359</v>
      </c>
      <c r="B2360" s="14" t="n">
        <v>98361.5081066233</v>
      </c>
      <c r="C2360" s="15" t="n">
        <v>0.167759345583917</v>
      </c>
      <c r="D2360" s="14" t="n">
        <f aca="false">Summary!$B$5-B2360</f>
        <v>1638.49189337669</v>
      </c>
      <c r="E2360" s="15" t="n">
        <f aca="false">B2360/Summary!$B$5-1</f>
        <v>-0.0163849189337669</v>
      </c>
    </row>
    <row r="2361" customFormat="false" ht="15" hidden="false" customHeight="false" outlineLevel="0" collapsed="false">
      <c r="A2361" s="0" t="n">
        <v>2360</v>
      </c>
      <c r="B2361" s="14" t="n">
        <v>126900.363615757</v>
      </c>
      <c r="C2361" s="15" t="n">
        <v>0.096047423319698</v>
      </c>
      <c r="D2361" s="14" t="n">
        <f aca="false">Summary!$B$5-B2361</f>
        <v>-26900.3636157573</v>
      </c>
      <c r="E2361" s="15" t="n">
        <f aca="false">B2361/Summary!$B$5-1</f>
        <v>0.269003636157573</v>
      </c>
    </row>
    <row r="2362" customFormat="false" ht="15" hidden="false" customHeight="false" outlineLevel="0" collapsed="false">
      <c r="A2362" s="0" t="n">
        <v>2361</v>
      </c>
      <c r="B2362" s="14" t="n">
        <v>97940.1936670562</v>
      </c>
      <c r="C2362" s="15" t="n">
        <v>0.120755403518223</v>
      </c>
      <c r="D2362" s="14" t="n">
        <f aca="false">Summary!$B$5-B2362</f>
        <v>2059.80633294382</v>
      </c>
      <c r="E2362" s="15" t="n">
        <f aca="false">B2362/Summary!$B$5-1</f>
        <v>-0.0205980633294381</v>
      </c>
    </row>
    <row r="2363" customFormat="false" ht="15" hidden="false" customHeight="false" outlineLevel="0" collapsed="false">
      <c r="A2363" s="0" t="n">
        <v>2362</v>
      </c>
      <c r="B2363" s="14" t="n">
        <v>110524.440101096</v>
      </c>
      <c r="C2363" s="15" t="n">
        <v>0.102565224656367</v>
      </c>
      <c r="D2363" s="14" t="n">
        <f aca="false">Summary!$B$5-B2363</f>
        <v>-10524.4401010956</v>
      </c>
      <c r="E2363" s="15" t="n">
        <f aca="false">B2363/Summary!$B$5-1</f>
        <v>0.105244401010956</v>
      </c>
    </row>
    <row r="2364" customFormat="false" ht="15" hidden="false" customHeight="false" outlineLevel="0" collapsed="false">
      <c r="A2364" s="0" t="n">
        <v>2363</v>
      </c>
      <c r="B2364" s="14" t="n">
        <v>109581.192555662</v>
      </c>
      <c r="C2364" s="15" t="n">
        <v>0.0499782730013717</v>
      </c>
      <c r="D2364" s="14" t="n">
        <f aca="false">Summary!$B$5-B2364</f>
        <v>-9581.192555662</v>
      </c>
      <c r="E2364" s="15" t="n">
        <f aca="false">B2364/Summary!$B$5-1</f>
        <v>0.0958119255566199</v>
      </c>
    </row>
    <row r="2365" customFormat="false" ht="15" hidden="false" customHeight="false" outlineLevel="0" collapsed="false">
      <c r="A2365" s="0" t="n">
        <v>2364</v>
      </c>
      <c r="B2365" s="14" t="n">
        <v>99968.3295726364</v>
      </c>
      <c r="C2365" s="15" t="n">
        <v>0.0703104452181379</v>
      </c>
      <c r="D2365" s="14" t="n">
        <f aca="false">Summary!$B$5-B2365</f>
        <v>31.6704273636133</v>
      </c>
      <c r="E2365" s="15" t="n">
        <f aca="false">B2365/Summary!$B$5-1</f>
        <v>-0.00031670427363617</v>
      </c>
    </row>
    <row r="2366" customFormat="false" ht="15" hidden="false" customHeight="false" outlineLevel="0" collapsed="false">
      <c r="A2366" s="0" t="n">
        <v>2365</v>
      </c>
      <c r="B2366" s="14" t="n">
        <v>107743.747231897</v>
      </c>
      <c r="C2366" s="15" t="n">
        <v>0.094929515131546</v>
      </c>
      <c r="D2366" s="14" t="n">
        <f aca="false">Summary!$B$5-B2366</f>
        <v>-7743.7472318974</v>
      </c>
      <c r="E2366" s="15" t="n">
        <f aca="false">B2366/Summary!$B$5-1</f>
        <v>0.0774374723189741</v>
      </c>
    </row>
    <row r="2367" customFormat="false" ht="15" hidden="false" customHeight="false" outlineLevel="0" collapsed="false">
      <c r="A2367" s="0" t="n">
        <v>2366</v>
      </c>
      <c r="B2367" s="14" t="n">
        <v>104847.301881337</v>
      </c>
      <c r="C2367" s="15" t="n">
        <v>0.098705933290467</v>
      </c>
      <c r="D2367" s="14" t="n">
        <f aca="false">Summary!$B$5-B2367</f>
        <v>-4847.30188133669</v>
      </c>
      <c r="E2367" s="15" t="n">
        <f aca="false">B2367/Summary!$B$5-1</f>
        <v>0.0484730188133669</v>
      </c>
    </row>
    <row r="2368" customFormat="false" ht="15" hidden="false" customHeight="false" outlineLevel="0" collapsed="false">
      <c r="A2368" s="0" t="n">
        <v>2367</v>
      </c>
      <c r="B2368" s="14" t="n">
        <v>87419.6075217302</v>
      </c>
      <c r="C2368" s="15" t="n">
        <v>0.154007976497566</v>
      </c>
      <c r="D2368" s="14" t="n">
        <f aca="false">Summary!$B$5-B2368</f>
        <v>12580.3924782698</v>
      </c>
      <c r="E2368" s="15" t="n">
        <f aca="false">B2368/Summary!$B$5-1</f>
        <v>-0.125803924782698</v>
      </c>
    </row>
    <row r="2369" customFormat="false" ht="15" hidden="false" customHeight="false" outlineLevel="0" collapsed="false">
      <c r="A2369" s="0" t="n">
        <v>2368</v>
      </c>
      <c r="B2369" s="14" t="n">
        <v>102406.304075572</v>
      </c>
      <c r="C2369" s="15" t="n">
        <v>0.142170500416971</v>
      </c>
      <c r="D2369" s="14" t="n">
        <f aca="false">Summary!$B$5-B2369</f>
        <v>-2406.30407557169</v>
      </c>
      <c r="E2369" s="15" t="n">
        <f aca="false">B2369/Summary!$B$5-1</f>
        <v>0.024063040755717</v>
      </c>
    </row>
    <row r="2370" customFormat="false" ht="15" hidden="false" customHeight="false" outlineLevel="0" collapsed="false">
      <c r="A2370" s="0" t="n">
        <v>2369</v>
      </c>
      <c r="B2370" s="14" t="n">
        <v>107057.314107344</v>
      </c>
      <c r="C2370" s="15" t="n">
        <v>0.132540668543235</v>
      </c>
      <c r="D2370" s="14" t="n">
        <f aca="false">Summary!$B$5-B2370</f>
        <v>-7057.3141073436</v>
      </c>
      <c r="E2370" s="15" t="n">
        <f aca="false">B2370/Summary!$B$5-1</f>
        <v>0.070573141073436</v>
      </c>
    </row>
    <row r="2371" customFormat="false" ht="15" hidden="false" customHeight="false" outlineLevel="0" collapsed="false">
      <c r="A2371" s="0" t="n">
        <v>2370</v>
      </c>
      <c r="B2371" s="14" t="n">
        <v>99225.0691516456</v>
      </c>
      <c r="C2371" s="15" t="n">
        <v>0.0975086560693022</v>
      </c>
      <c r="D2371" s="14" t="n">
        <f aca="false">Summary!$B$5-B2371</f>
        <v>774.930848354386</v>
      </c>
      <c r="E2371" s="15" t="n">
        <f aca="false">B2371/Summary!$B$5-1</f>
        <v>-0.00774930848354383</v>
      </c>
    </row>
    <row r="2372" customFormat="false" ht="15" hidden="false" customHeight="false" outlineLevel="0" collapsed="false">
      <c r="A2372" s="0" t="n">
        <v>2371</v>
      </c>
      <c r="B2372" s="14" t="n">
        <v>112177.550122064</v>
      </c>
      <c r="C2372" s="15" t="n">
        <v>0.0727163089158376</v>
      </c>
      <c r="D2372" s="14" t="n">
        <f aca="false">Summary!$B$5-B2372</f>
        <v>-12177.5501220635</v>
      </c>
      <c r="E2372" s="15" t="n">
        <f aca="false">B2372/Summary!$B$5-1</f>
        <v>0.121775501220635</v>
      </c>
    </row>
    <row r="2373" customFormat="false" ht="15" hidden="false" customHeight="false" outlineLevel="0" collapsed="false">
      <c r="A2373" s="0" t="n">
        <v>2372</v>
      </c>
      <c r="B2373" s="14" t="n">
        <v>110947.318082266</v>
      </c>
      <c r="C2373" s="15" t="n">
        <v>0.0724667043763768</v>
      </c>
      <c r="D2373" s="14" t="n">
        <f aca="false">Summary!$B$5-B2373</f>
        <v>-10947.3180822656</v>
      </c>
      <c r="E2373" s="15" t="n">
        <f aca="false">B2373/Summary!$B$5-1</f>
        <v>0.109473180822656</v>
      </c>
    </row>
    <row r="2374" customFormat="false" ht="15" hidden="false" customHeight="false" outlineLevel="0" collapsed="false">
      <c r="A2374" s="0" t="n">
        <v>2373</v>
      </c>
      <c r="B2374" s="14" t="n">
        <v>137046.168147559</v>
      </c>
      <c r="C2374" s="15" t="n">
        <v>0.0510641863230363</v>
      </c>
      <c r="D2374" s="14" t="n">
        <f aca="false">Summary!$B$5-B2374</f>
        <v>-37046.1681475592</v>
      </c>
      <c r="E2374" s="15" t="n">
        <f aca="false">B2374/Summary!$B$5-1</f>
        <v>0.370461681475592</v>
      </c>
    </row>
    <row r="2375" customFormat="false" ht="15" hidden="false" customHeight="false" outlineLevel="0" collapsed="false">
      <c r="A2375" s="0" t="n">
        <v>2374</v>
      </c>
      <c r="B2375" s="14" t="n">
        <v>99156.5894255084</v>
      </c>
      <c r="C2375" s="15" t="n">
        <v>0.0927315174889131</v>
      </c>
      <c r="D2375" s="14" t="n">
        <f aca="false">Summary!$B$5-B2375</f>
        <v>843.410574491616</v>
      </c>
      <c r="E2375" s="15" t="n">
        <f aca="false">B2375/Summary!$B$5-1</f>
        <v>-0.00843410574491621</v>
      </c>
    </row>
    <row r="2376" customFormat="false" ht="15" hidden="false" customHeight="false" outlineLevel="0" collapsed="false">
      <c r="A2376" s="0" t="n">
        <v>2375</v>
      </c>
      <c r="B2376" s="14" t="n">
        <v>103791.97321258</v>
      </c>
      <c r="C2376" s="15" t="n">
        <v>0.133385064359383</v>
      </c>
      <c r="D2376" s="14" t="n">
        <f aca="false">Summary!$B$5-B2376</f>
        <v>-3791.9732125796</v>
      </c>
      <c r="E2376" s="15" t="n">
        <f aca="false">B2376/Summary!$B$5-1</f>
        <v>0.037919732125796</v>
      </c>
    </row>
    <row r="2377" customFormat="false" ht="15" hidden="false" customHeight="false" outlineLevel="0" collapsed="false">
      <c r="A2377" s="0" t="n">
        <v>2376</v>
      </c>
      <c r="B2377" s="14" t="n">
        <v>107351.559234246</v>
      </c>
      <c r="C2377" s="15" t="n">
        <v>0.130713632196684</v>
      </c>
      <c r="D2377" s="14" t="n">
        <f aca="false">Summary!$B$5-B2377</f>
        <v>-7351.5592342457</v>
      </c>
      <c r="E2377" s="15" t="n">
        <f aca="false">B2377/Summary!$B$5-1</f>
        <v>0.0735155923424569</v>
      </c>
    </row>
    <row r="2378" customFormat="false" ht="15" hidden="false" customHeight="false" outlineLevel="0" collapsed="false">
      <c r="A2378" s="0" t="n">
        <v>2377</v>
      </c>
      <c r="B2378" s="14" t="n">
        <v>104378.939408188</v>
      </c>
      <c r="C2378" s="15" t="n">
        <v>0.0822306037151066</v>
      </c>
      <c r="D2378" s="14" t="n">
        <f aca="false">Summary!$B$5-B2378</f>
        <v>-4378.9394081877</v>
      </c>
      <c r="E2378" s="15" t="n">
        <f aca="false">B2378/Summary!$B$5-1</f>
        <v>0.043789394081877</v>
      </c>
    </row>
    <row r="2379" customFormat="false" ht="15" hidden="false" customHeight="false" outlineLevel="0" collapsed="false">
      <c r="A2379" s="0" t="n">
        <v>2378</v>
      </c>
      <c r="B2379" s="14" t="n">
        <v>107475.968483328</v>
      </c>
      <c r="C2379" s="15" t="n">
        <v>0.0552907208823502</v>
      </c>
      <c r="D2379" s="14" t="n">
        <f aca="false">Summary!$B$5-B2379</f>
        <v>-7475.9684833283</v>
      </c>
      <c r="E2379" s="15" t="n">
        <f aca="false">B2379/Summary!$B$5-1</f>
        <v>0.074759684833283</v>
      </c>
    </row>
    <row r="2380" customFormat="false" ht="15" hidden="false" customHeight="false" outlineLevel="0" collapsed="false">
      <c r="A2380" s="0" t="n">
        <v>2379</v>
      </c>
      <c r="B2380" s="14" t="n">
        <v>126327.689785</v>
      </c>
      <c r="C2380" s="15" t="n">
        <v>0.0515514928980068</v>
      </c>
      <c r="D2380" s="14" t="n">
        <f aca="false">Summary!$B$5-B2380</f>
        <v>-26327.6897849996</v>
      </c>
      <c r="E2380" s="15" t="n">
        <f aca="false">B2380/Summary!$B$5-1</f>
        <v>0.263276897849996</v>
      </c>
    </row>
    <row r="2381" customFormat="false" ht="15" hidden="false" customHeight="false" outlineLevel="0" collapsed="false">
      <c r="A2381" s="0" t="n">
        <v>2380</v>
      </c>
      <c r="B2381" s="14" t="n">
        <v>98004.1487825743</v>
      </c>
      <c r="C2381" s="15" t="n">
        <v>0.129934479368194</v>
      </c>
      <c r="D2381" s="14" t="n">
        <f aca="false">Summary!$B$5-B2381</f>
        <v>1995.85121742572</v>
      </c>
      <c r="E2381" s="15" t="n">
        <f aca="false">B2381/Summary!$B$5-1</f>
        <v>-0.0199585121742571</v>
      </c>
    </row>
    <row r="2382" customFormat="false" ht="15" hidden="false" customHeight="false" outlineLevel="0" collapsed="false">
      <c r="A2382" s="0" t="n">
        <v>2381</v>
      </c>
      <c r="B2382" s="14" t="n">
        <v>124800.497294938</v>
      </c>
      <c r="C2382" s="15" t="n">
        <v>0.0421374254209764</v>
      </c>
      <c r="D2382" s="14" t="n">
        <f aca="false">Summary!$B$5-B2382</f>
        <v>-24800.4972949382</v>
      </c>
      <c r="E2382" s="15" t="n">
        <f aca="false">B2382/Summary!$B$5-1</f>
        <v>0.248004972949382</v>
      </c>
    </row>
    <row r="2383" customFormat="false" ht="15" hidden="false" customHeight="false" outlineLevel="0" collapsed="false">
      <c r="A2383" s="0" t="n">
        <v>2382</v>
      </c>
      <c r="B2383" s="14" t="n">
        <v>98656.0626014439</v>
      </c>
      <c r="C2383" s="15" t="n">
        <v>0.14172139185997</v>
      </c>
      <c r="D2383" s="14" t="n">
        <f aca="false">Summary!$B$5-B2383</f>
        <v>1343.93739855611</v>
      </c>
      <c r="E2383" s="15" t="n">
        <f aca="false">B2383/Summary!$B$5-1</f>
        <v>-0.0134393739855611</v>
      </c>
    </row>
    <row r="2384" customFormat="false" ht="15" hidden="false" customHeight="false" outlineLevel="0" collapsed="false">
      <c r="A2384" s="0" t="n">
        <v>2383</v>
      </c>
      <c r="B2384" s="14" t="n">
        <v>85267.90692927</v>
      </c>
      <c r="C2384" s="15" t="n">
        <v>0.18247621449537</v>
      </c>
      <c r="D2384" s="14" t="n">
        <f aca="false">Summary!$B$5-B2384</f>
        <v>14732.09307073</v>
      </c>
      <c r="E2384" s="15" t="n">
        <f aca="false">B2384/Summary!$B$5-1</f>
        <v>-0.1473209307073</v>
      </c>
    </row>
    <row r="2385" customFormat="false" ht="15" hidden="false" customHeight="false" outlineLevel="0" collapsed="false">
      <c r="A2385" s="0" t="n">
        <v>2384</v>
      </c>
      <c r="B2385" s="14" t="n">
        <v>92473.9791004986</v>
      </c>
      <c r="C2385" s="15" t="n">
        <v>0.213871353874089</v>
      </c>
      <c r="D2385" s="14" t="n">
        <f aca="false">Summary!$B$5-B2385</f>
        <v>7526.02089950143</v>
      </c>
      <c r="E2385" s="15" t="n">
        <f aca="false">B2385/Summary!$B$5-1</f>
        <v>-0.0752602089950143</v>
      </c>
    </row>
    <row r="2386" customFormat="false" ht="15" hidden="false" customHeight="false" outlineLevel="0" collapsed="false">
      <c r="A2386" s="0" t="n">
        <v>2385</v>
      </c>
      <c r="B2386" s="14" t="n">
        <v>125120.586622224</v>
      </c>
      <c r="C2386" s="15" t="n">
        <v>0.0815150500403652</v>
      </c>
      <c r="D2386" s="14" t="n">
        <f aca="false">Summary!$B$5-B2386</f>
        <v>-25120.5866222235</v>
      </c>
      <c r="E2386" s="15" t="n">
        <f aca="false">B2386/Summary!$B$5-1</f>
        <v>0.251205866222235</v>
      </c>
    </row>
    <row r="2387" customFormat="false" ht="15" hidden="false" customHeight="false" outlineLevel="0" collapsed="false">
      <c r="A2387" s="0" t="n">
        <v>2386</v>
      </c>
      <c r="B2387" s="14" t="n">
        <v>101226.902086113</v>
      </c>
      <c r="C2387" s="15" t="n">
        <v>0.100482623474745</v>
      </c>
      <c r="D2387" s="14" t="n">
        <f aca="false">Summary!$B$5-B2387</f>
        <v>-1226.90208611279</v>
      </c>
      <c r="E2387" s="15" t="n">
        <f aca="false">B2387/Summary!$B$5-1</f>
        <v>0.012269020861128</v>
      </c>
    </row>
    <row r="2388" customFormat="false" ht="15" hidden="false" customHeight="false" outlineLevel="0" collapsed="false">
      <c r="A2388" s="0" t="n">
        <v>2387</v>
      </c>
      <c r="B2388" s="14" t="n">
        <v>123240.040465194</v>
      </c>
      <c r="C2388" s="15" t="n">
        <v>0.0918007802558243</v>
      </c>
      <c r="D2388" s="14" t="n">
        <f aca="false">Summary!$B$5-B2388</f>
        <v>-23240.0404651938</v>
      </c>
      <c r="E2388" s="15" t="n">
        <f aca="false">B2388/Summary!$B$5-1</f>
        <v>0.232400404651938</v>
      </c>
    </row>
    <row r="2389" customFormat="false" ht="15" hidden="false" customHeight="false" outlineLevel="0" collapsed="false">
      <c r="A2389" s="0" t="n">
        <v>2388</v>
      </c>
      <c r="B2389" s="14" t="n">
        <v>107416.685160726</v>
      </c>
      <c r="C2389" s="15" t="n">
        <v>0.14831225464976</v>
      </c>
      <c r="D2389" s="14" t="n">
        <f aca="false">Summary!$B$5-B2389</f>
        <v>-7416.68516072621</v>
      </c>
      <c r="E2389" s="15" t="n">
        <f aca="false">B2389/Summary!$B$5-1</f>
        <v>0.074166851607262</v>
      </c>
    </row>
    <row r="2390" customFormat="false" ht="15" hidden="false" customHeight="false" outlineLevel="0" collapsed="false">
      <c r="A2390" s="0" t="n">
        <v>2389</v>
      </c>
      <c r="B2390" s="14" t="n">
        <v>96800.9412226302</v>
      </c>
      <c r="C2390" s="15" t="n">
        <v>0.123574945822567</v>
      </c>
      <c r="D2390" s="14" t="n">
        <f aca="false">Summary!$B$5-B2390</f>
        <v>3199.05877736976</v>
      </c>
      <c r="E2390" s="15" t="n">
        <f aca="false">B2390/Summary!$B$5-1</f>
        <v>-0.0319905877736977</v>
      </c>
    </row>
    <row r="2391" customFormat="false" ht="15" hidden="false" customHeight="false" outlineLevel="0" collapsed="false">
      <c r="A2391" s="0" t="n">
        <v>2390</v>
      </c>
      <c r="B2391" s="14" t="n">
        <v>102382.090976063</v>
      </c>
      <c r="C2391" s="15" t="n">
        <v>0.13770330965722</v>
      </c>
      <c r="D2391" s="14" t="n">
        <f aca="false">Summary!$B$5-B2391</f>
        <v>-2382.09097606329</v>
      </c>
      <c r="E2391" s="15" t="n">
        <f aca="false">B2391/Summary!$B$5-1</f>
        <v>0.023820909760633</v>
      </c>
    </row>
    <row r="2392" customFormat="false" ht="15" hidden="false" customHeight="false" outlineLevel="0" collapsed="false">
      <c r="A2392" s="0" t="n">
        <v>2391</v>
      </c>
      <c r="B2392" s="14" t="n">
        <v>100425.287375167</v>
      </c>
      <c r="C2392" s="15" t="n">
        <v>0.0713740772384269</v>
      </c>
      <c r="D2392" s="14" t="n">
        <f aca="false">Summary!$B$5-B2392</f>
        <v>-425.287375166998</v>
      </c>
      <c r="E2392" s="15" t="n">
        <f aca="false">B2392/Summary!$B$5-1</f>
        <v>0.00425287375167005</v>
      </c>
    </row>
    <row r="2393" customFormat="false" ht="15" hidden="false" customHeight="false" outlineLevel="0" collapsed="false">
      <c r="A2393" s="0" t="n">
        <v>2392</v>
      </c>
      <c r="B2393" s="14" t="n">
        <v>118722.836830065</v>
      </c>
      <c r="C2393" s="15" t="n">
        <v>0.0530514888089481</v>
      </c>
      <c r="D2393" s="14" t="n">
        <f aca="false">Summary!$B$5-B2393</f>
        <v>-18722.8368300645</v>
      </c>
      <c r="E2393" s="15" t="n">
        <f aca="false">B2393/Summary!$B$5-1</f>
        <v>0.187228368300645</v>
      </c>
    </row>
    <row r="2394" customFormat="false" ht="15" hidden="false" customHeight="false" outlineLevel="0" collapsed="false">
      <c r="A2394" s="0" t="n">
        <v>2393</v>
      </c>
      <c r="B2394" s="14" t="n">
        <v>112011.112567493</v>
      </c>
      <c r="C2394" s="15" t="n">
        <v>0.090616030760149</v>
      </c>
      <c r="D2394" s="14" t="n">
        <f aca="false">Summary!$B$5-B2394</f>
        <v>-12011.112567493</v>
      </c>
      <c r="E2394" s="15" t="n">
        <f aca="false">B2394/Summary!$B$5-1</f>
        <v>0.12011112567493</v>
      </c>
    </row>
    <row r="2395" customFormat="false" ht="15" hidden="false" customHeight="false" outlineLevel="0" collapsed="false">
      <c r="A2395" s="0" t="n">
        <v>2394</v>
      </c>
      <c r="B2395" s="14" t="n">
        <v>97878.3155081011</v>
      </c>
      <c r="C2395" s="15" t="n">
        <v>0.111736139555804</v>
      </c>
      <c r="D2395" s="14" t="n">
        <f aca="false">Summary!$B$5-B2395</f>
        <v>2121.68449189889</v>
      </c>
      <c r="E2395" s="15" t="n">
        <f aca="false">B2395/Summary!$B$5-1</f>
        <v>-0.0212168449189889</v>
      </c>
    </row>
    <row r="2396" customFormat="false" ht="15" hidden="false" customHeight="false" outlineLevel="0" collapsed="false">
      <c r="A2396" s="0" t="n">
        <v>2395</v>
      </c>
      <c r="B2396" s="14" t="n">
        <v>95295.7885466824</v>
      </c>
      <c r="C2396" s="15" t="n">
        <v>0.134006406996695</v>
      </c>
      <c r="D2396" s="14" t="n">
        <f aca="false">Summary!$B$5-B2396</f>
        <v>4704.21145331764</v>
      </c>
      <c r="E2396" s="15" t="n">
        <f aca="false">B2396/Summary!$B$5-1</f>
        <v>-0.0470421145331763</v>
      </c>
    </row>
    <row r="2397" customFormat="false" ht="15" hidden="false" customHeight="false" outlineLevel="0" collapsed="false">
      <c r="A2397" s="0" t="n">
        <v>2396</v>
      </c>
      <c r="B2397" s="14" t="n">
        <v>96716.6602710882</v>
      </c>
      <c r="C2397" s="15" t="n">
        <v>0.162612173237244</v>
      </c>
      <c r="D2397" s="14" t="n">
        <f aca="false">Summary!$B$5-B2397</f>
        <v>3283.33972891183</v>
      </c>
      <c r="E2397" s="15" t="n">
        <f aca="false">B2397/Summary!$B$5-1</f>
        <v>-0.0328333972891183</v>
      </c>
    </row>
    <row r="2398" customFormat="false" ht="15" hidden="false" customHeight="false" outlineLevel="0" collapsed="false">
      <c r="A2398" s="0" t="n">
        <v>2397</v>
      </c>
      <c r="B2398" s="14" t="n">
        <v>110756.649296701</v>
      </c>
      <c r="C2398" s="15" t="n">
        <v>0.0777028786711017</v>
      </c>
      <c r="D2398" s="14" t="n">
        <f aca="false">Summary!$B$5-B2398</f>
        <v>-10756.6492967007</v>
      </c>
      <c r="E2398" s="15" t="n">
        <f aca="false">B2398/Summary!$B$5-1</f>
        <v>0.107566492967007</v>
      </c>
    </row>
    <row r="2399" customFormat="false" ht="15" hidden="false" customHeight="false" outlineLevel="0" collapsed="false">
      <c r="A2399" s="0" t="n">
        <v>2398</v>
      </c>
      <c r="B2399" s="14" t="n">
        <v>126518.326495084</v>
      </c>
      <c r="C2399" s="15" t="n">
        <v>0.0799202227230106</v>
      </c>
      <c r="D2399" s="14" t="n">
        <f aca="false">Summary!$B$5-B2399</f>
        <v>-26518.3264950844</v>
      </c>
      <c r="E2399" s="15" t="n">
        <f aca="false">B2399/Summary!$B$5-1</f>
        <v>0.265183264950844</v>
      </c>
    </row>
    <row r="2400" customFormat="false" ht="15" hidden="false" customHeight="false" outlineLevel="0" collapsed="false">
      <c r="A2400" s="0" t="n">
        <v>2399</v>
      </c>
      <c r="B2400" s="14" t="n">
        <v>118611.699224791</v>
      </c>
      <c r="C2400" s="15" t="n">
        <v>0.0856169693960247</v>
      </c>
      <c r="D2400" s="14" t="n">
        <f aca="false">Summary!$B$5-B2400</f>
        <v>-18611.699224791</v>
      </c>
      <c r="E2400" s="15" t="n">
        <f aca="false">B2400/Summary!$B$5-1</f>
        <v>0.18611699224791</v>
      </c>
    </row>
    <row r="2401" customFormat="false" ht="15" hidden="false" customHeight="false" outlineLevel="0" collapsed="false">
      <c r="A2401" s="0" t="n">
        <v>2400</v>
      </c>
      <c r="B2401" s="14" t="n">
        <v>98494.5010671372</v>
      </c>
      <c r="C2401" s="15" t="n">
        <v>0.102053585081402</v>
      </c>
      <c r="D2401" s="14" t="n">
        <f aca="false">Summary!$B$5-B2401</f>
        <v>1505.49893286281</v>
      </c>
      <c r="E2401" s="15" t="n">
        <f aca="false">B2401/Summary!$B$5-1</f>
        <v>-0.0150549893286281</v>
      </c>
    </row>
    <row r="2402" customFormat="false" ht="15" hidden="false" customHeight="false" outlineLevel="0" collapsed="false">
      <c r="A2402" s="0" t="n">
        <v>2401</v>
      </c>
      <c r="B2402" s="14" t="n">
        <v>110673.541659769</v>
      </c>
      <c r="C2402" s="15" t="n">
        <v>0.0595216929538105</v>
      </c>
      <c r="D2402" s="14" t="n">
        <f aca="false">Summary!$B$5-B2402</f>
        <v>-10673.5416597691</v>
      </c>
      <c r="E2402" s="15" t="n">
        <f aca="false">B2402/Summary!$B$5-1</f>
        <v>0.106735416597691</v>
      </c>
    </row>
    <row r="2403" customFormat="false" ht="15" hidden="false" customHeight="false" outlineLevel="0" collapsed="false">
      <c r="A2403" s="0" t="n">
        <v>2402</v>
      </c>
      <c r="B2403" s="14" t="n">
        <v>103676.94173276</v>
      </c>
      <c r="C2403" s="15" t="n">
        <v>0.11018455762158</v>
      </c>
      <c r="D2403" s="14" t="n">
        <f aca="false">Summary!$B$5-B2403</f>
        <v>-3676.94173275981</v>
      </c>
      <c r="E2403" s="15" t="n">
        <f aca="false">B2403/Summary!$B$5-1</f>
        <v>0.0367694173275981</v>
      </c>
    </row>
    <row r="2404" customFormat="false" ht="15" hidden="false" customHeight="false" outlineLevel="0" collapsed="false">
      <c r="A2404" s="0" t="n">
        <v>2403</v>
      </c>
      <c r="B2404" s="14" t="n">
        <v>134743.02674476</v>
      </c>
      <c r="C2404" s="15" t="n">
        <v>0.0427498985176626</v>
      </c>
      <c r="D2404" s="14" t="n">
        <f aca="false">Summary!$B$5-B2404</f>
        <v>-34743.0267447595</v>
      </c>
      <c r="E2404" s="15" t="n">
        <f aca="false">B2404/Summary!$B$5-1</f>
        <v>0.347430267447595</v>
      </c>
    </row>
    <row r="2405" customFormat="false" ht="15" hidden="false" customHeight="false" outlineLevel="0" collapsed="false">
      <c r="A2405" s="0" t="n">
        <v>2404</v>
      </c>
      <c r="B2405" s="14" t="n">
        <v>108976.404024232</v>
      </c>
      <c r="C2405" s="15" t="n">
        <v>0.0732925228254796</v>
      </c>
      <c r="D2405" s="14" t="n">
        <f aca="false">Summary!$B$5-B2405</f>
        <v>-8976.40402423219</v>
      </c>
      <c r="E2405" s="15" t="n">
        <f aca="false">B2405/Summary!$B$5-1</f>
        <v>0.0897640402423219</v>
      </c>
    </row>
    <row r="2406" customFormat="false" ht="15" hidden="false" customHeight="false" outlineLevel="0" collapsed="false">
      <c r="A2406" s="0" t="n">
        <v>2405</v>
      </c>
      <c r="B2406" s="14" t="n">
        <v>114518.509504853</v>
      </c>
      <c r="C2406" s="15" t="n">
        <v>0.0712622483251137</v>
      </c>
      <c r="D2406" s="14" t="n">
        <f aca="false">Summary!$B$5-B2406</f>
        <v>-14518.5095048534</v>
      </c>
      <c r="E2406" s="15" t="n">
        <f aca="false">B2406/Summary!$B$5-1</f>
        <v>0.145185095048534</v>
      </c>
    </row>
    <row r="2407" customFormat="false" ht="15" hidden="false" customHeight="false" outlineLevel="0" collapsed="false">
      <c r="A2407" s="0" t="n">
        <v>2406</v>
      </c>
      <c r="B2407" s="14" t="n">
        <v>110931.42893168</v>
      </c>
      <c r="C2407" s="15" t="n">
        <v>0.0975579360258323</v>
      </c>
      <c r="D2407" s="14" t="n">
        <f aca="false">Summary!$B$5-B2407</f>
        <v>-10931.4289316799</v>
      </c>
      <c r="E2407" s="15" t="n">
        <f aca="false">B2407/Summary!$B$5-1</f>
        <v>0.109314289316799</v>
      </c>
    </row>
    <row r="2408" customFormat="false" ht="15" hidden="false" customHeight="false" outlineLevel="0" collapsed="false">
      <c r="A2408" s="0" t="n">
        <v>2407</v>
      </c>
      <c r="B2408" s="14" t="n">
        <v>101075.921549707</v>
      </c>
      <c r="C2408" s="15" t="n">
        <v>0.148730647422086</v>
      </c>
      <c r="D2408" s="14" t="n">
        <f aca="false">Summary!$B$5-B2408</f>
        <v>-1075.9215497065</v>
      </c>
      <c r="E2408" s="15" t="n">
        <f aca="false">B2408/Summary!$B$5-1</f>
        <v>0.010759215497065</v>
      </c>
    </row>
    <row r="2409" customFormat="false" ht="15" hidden="false" customHeight="false" outlineLevel="0" collapsed="false">
      <c r="A2409" s="0" t="n">
        <v>2408</v>
      </c>
      <c r="B2409" s="14" t="n">
        <v>108206.524606178</v>
      </c>
      <c r="C2409" s="15" t="n">
        <v>0.110463668973996</v>
      </c>
      <c r="D2409" s="14" t="n">
        <f aca="false">Summary!$B$5-B2409</f>
        <v>-8206.52460617801</v>
      </c>
      <c r="E2409" s="15" t="n">
        <f aca="false">B2409/Summary!$B$5-1</f>
        <v>0.0820652460617801</v>
      </c>
    </row>
    <row r="2410" customFormat="false" ht="15" hidden="false" customHeight="false" outlineLevel="0" collapsed="false">
      <c r="A2410" s="0" t="n">
        <v>2409</v>
      </c>
      <c r="B2410" s="14" t="n">
        <v>107566.545545661</v>
      </c>
      <c r="C2410" s="15" t="n">
        <v>0.125239038711535</v>
      </c>
      <c r="D2410" s="14" t="n">
        <f aca="false">Summary!$B$5-B2410</f>
        <v>-7566.5455456607</v>
      </c>
      <c r="E2410" s="15" t="n">
        <f aca="false">B2410/Summary!$B$5-1</f>
        <v>0.075665455456607</v>
      </c>
    </row>
    <row r="2411" customFormat="false" ht="15" hidden="false" customHeight="false" outlineLevel="0" collapsed="false">
      <c r="A2411" s="0" t="n">
        <v>2410</v>
      </c>
      <c r="B2411" s="14" t="n">
        <v>108539.497384684</v>
      </c>
      <c r="C2411" s="15" t="n">
        <v>0.101420794251826</v>
      </c>
      <c r="D2411" s="14" t="n">
        <f aca="false">Summary!$B$5-B2411</f>
        <v>-8539.4973846842</v>
      </c>
      <c r="E2411" s="15" t="n">
        <f aca="false">B2411/Summary!$B$5-1</f>
        <v>0.085394973846842</v>
      </c>
    </row>
    <row r="2412" customFormat="false" ht="15" hidden="false" customHeight="false" outlineLevel="0" collapsed="false">
      <c r="A2412" s="0" t="n">
        <v>2411</v>
      </c>
      <c r="B2412" s="14" t="n">
        <v>121564.710040069</v>
      </c>
      <c r="C2412" s="15" t="n">
        <v>0.0722451298579407</v>
      </c>
      <c r="D2412" s="14" t="n">
        <f aca="false">Summary!$B$5-B2412</f>
        <v>-21564.7100400692</v>
      </c>
      <c r="E2412" s="15" t="n">
        <f aca="false">B2412/Summary!$B$5-1</f>
        <v>0.215647100400692</v>
      </c>
    </row>
    <row r="2413" customFormat="false" ht="15" hidden="false" customHeight="false" outlineLevel="0" collapsed="false">
      <c r="A2413" s="0" t="n">
        <v>2412</v>
      </c>
      <c r="B2413" s="14" t="n">
        <v>117944.931999216</v>
      </c>
      <c r="C2413" s="15" t="n">
        <v>0.064298318436717</v>
      </c>
      <c r="D2413" s="14" t="n">
        <f aca="false">Summary!$B$5-B2413</f>
        <v>-17944.9319992163</v>
      </c>
      <c r="E2413" s="15" t="n">
        <f aca="false">B2413/Summary!$B$5-1</f>
        <v>0.179449319992163</v>
      </c>
    </row>
    <row r="2414" customFormat="false" ht="15" hidden="false" customHeight="false" outlineLevel="0" collapsed="false">
      <c r="A2414" s="0" t="n">
        <v>2413</v>
      </c>
      <c r="B2414" s="14" t="n">
        <v>85941.8036146869</v>
      </c>
      <c r="C2414" s="15" t="n">
        <v>0.172157332048949</v>
      </c>
      <c r="D2414" s="14" t="n">
        <f aca="false">Summary!$B$5-B2414</f>
        <v>14058.1963853131</v>
      </c>
      <c r="E2414" s="15" t="n">
        <f aca="false">B2414/Summary!$B$5-1</f>
        <v>-0.140581963853131</v>
      </c>
    </row>
    <row r="2415" customFormat="false" ht="15" hidden="false" customHeight="false" outlineLevel="0" collapsed="false">
      <c r="A2415" s="0" t="n">
        <v>2414</v>
      </c>
      <c r="B2415" s="14" t="n">
        <v>96046.7180269879</v>
      </c>
      <c r="C2415" s="15" t="n">
        <v>0.132899642033042</v>
      </c>
      <c r="D2415" s="14" t="n">
        <f aca="false">Summary!$B$5-B2415</f>
        <v>3953.28197301214</v>
      </c>
      <c r="E2415" s="15" t="n">
        <f aca="false">B2415/Summary!$B$5-1</f>
        <v>-0.0395328197301215</v>
      </c>
    </row>
    <row r="2416" customFormat="false" ht="15" hidden="false" customHeight="false" outlineLevel="0" collapsed="false">
      <c r="A2416" s="0" t="n">
        <v>2415</v>
      </c>
      <c r="B2416" s="14" t="n">
        <v>113258.984427849</v>
      </c>
      <c r="C2416" s="15" t="n">
        <v>0.068449335442807</v>
      </c>
      <c r="D2416" s="14" t="n">
        <f aca="false">Summary!$B$5-B2416</f>
        <v>-13258.9844278489</v>
      </c>
      <c r="E2416" s="15" t="n">
        <f aca="false">B2416/Summary!$B$5-1</f>
        <v>0.132589844278489</v>
      </c>
    </row>
    <row r="2417" customFormat="false" ht="15" hidden="false" customHeight="false" outlineLevel="0" collapsed="false">
      <c r="A2417" s="0" t="n">
        <v>2416</v>
      </c>
      <c r="B2417" s="14" t="n">
        <v>103535.101410236</v>
      </c>
      <c r="C2417" s="15" t="n">
        <v>0.0916731742590764</v>
      </c>
      <c r="D2417" s="14" t="n">
        <f aca="false">Summary!$B$5-B2417</f>
        <v>-3535.1014102357</v>
      </c>
      <c r="E2417" s="15" t="n">
        <f aca="false">B2417/Summary!$B$5-1</f>
        <v>0.035351014102357</v>
      </c>
    </row>
    <row r="2418" customFormat="false" ht="15" hidden="false" customHeight="false" outlineLevel="0" collapsed="false">
      <c r="A2418" s="0" t="n">
        <v>2417</v>
      </c>
      <c r="B2418" s="14" t="n">
        <v>102568.838164784</v>
      </c>
      <c r="C2418" s="15" t="n">
        <v>0.104797951473509</v>
      </c>
      <c r="D2418" s="14" t="n">
        <f aca="false">Summary!$B$5-B2418</f>
        <v>-2568.8381647842</v>
      </c>
      <c r="E2418" s="15" t="n">
        <f aca="false">B2418/Summary!$B$5-1</f>
        <v>0.0256883816478419</v>
      </c>
    </row>
    <row r="2419" customFormat="false" ht="15" hidden="false" customHeight="false" outlineLevel="0" collapsed="false">
      <c r="A2419" s="0" t="n">
        <v>2418</v>
      </c>
      <c r="B2419" s="14" t="n">
        <v>102223.246397674</v>
      </c>
      <c r="C2419" s="15" t="n">
        <v>0.131153417554101</v>
      </c>
      <c r="D2419" s="14" t="n">
        <f aca="false">Summary!$B$5-B2419</f>
        <v>-2223.24639767371</v>
      </c>
      <c r="E2419" s="15" t="n">
        <f aca="false">B2419/Summary!$B$5-1</f>
        <v>0.0222324639767371</v>
      </c>
    </row>
    <row r="2420" customFormat="false" ht="15" hidden="false" customHeight="false" outlineLevel="0" collapsed="false">
      <c r="A2420" s="0" t="n">
        <v>2419</v>
      </c>
      <c r="B2420" s="14" t="n">
        <v>110830.672394235</v>
      </c>
      <c r="C2420" s="15" t="n">
        <v>0.0721064607814713</v>
      </c>
      <c r="D2420" s="14" t="n">
        <f aca="false">Summary!$B$5-B2420</f>
        <v>-10830.6723942347</v>
      </c>
      <c r="E2420" s="15" t="n">
        <f aca="false">B2420/Summary!$B$5-1</f>
        <v>0.108306723942347</v>
      </c>
    </row>
    <row r="2421" customFormat="false" ht="15" hidden="false" customHeight="false" outlineLevel="0" collapsed="false">
      <c r="A2421" s="0" t="n">
        <v>2420</v>
      </c>
      <c r="B2421" s="14" t="n">
        <v>111850.04955196</v>
      </c>
      <c r="C2421" s="15" t="n">
        <v>0.0776598906070855</v>
      </c>
      <c r="D2421" s="14" t="n">
        <f aca="false">Summary!$B$5-B2421</f>
        <v>-11850.0495519602</v>
      </c>
      <c r="E2421" s="15" t="n">
        <f aca="false">B2421/Summary!$B$5-1</f>
        <v>0.118500495519602</v>
      </c>
    </row>
    <row r="2422" customFormat="false" ht="15" hidden="false" customHeight="false" outlineLevel="0" collapsed="false">
      <c r="A2422" s="0" t="n">
        <v>2421</v>
      </c>
      <c r="B2422" s="14" t="n">
        <v>101872.98565352</v>
      </c>
      <c r="C2422" s="15" t="n">
        <v>0.108835187485987</v>
      </c>
      <c r="D2422" s="14" t="n">
        <f aca="false">Summary!$B$5-B2422</f>
        <v>-1872.9856535197</v>
      </c>
      <c r="E2422" s="15" t="n">
        <f aca="false">B2422/Summary!$B$5-1</f>
        <v>0.018729856535197</v>
      </c>
    </row>
    <row r="2423" customFormat="false" ht="15" hidden="false" customHeight="false" outlineLevel="0" collapsed="false">
      <c r="A2423" s="0" t="n">
        <v>2422</v>
      </c>
      <c r="B2423" s="14" t="n">
        <v>117021.116194401</v>
      </c>
      <c r="C2423" s="15" t="n">
        <v>0.117942366995671</v>
      </c>
      <c r="D2423" s="14" t="n">
        <f aca="false">Summary!$B$5-B2423</f>
        <v>-17021.1161944014</v>
      </c>
      <c r="E2423" s="15" t="n">
        <f aca="false">B2423/Summary!$B$5-1</f>
        <v>0.170211161944014</v>
      </c>
    </row>
    <row r="2424" customFormat="false" ht="15" hidden="false" customHeight="false" outlineLevel="0" collapsed="false">
      <c r="A2424" s="0" t="n">
        <v>2423</v>
      </c>
      <c r="B2424" s="14" t="n">
        <v>109455.629441222</v>
      </c>
      <c r="C2424" s="15" t="n">
        <v>0.0563609671061787</v>
      </c>
      <c r="D2424" s="14" t="n">
        <f aca="false">Summary!$B$5-B2424</f>
        <v>-9455.62944122239</v>
      </c>
      <c r="E2424" s="15" t="n">
        <f aca="false">B2424/Summary!$B$5-1</f>
        <v>0.094556294412224</v>
      </c>
    </row>
    <row r="2425" customFormat="false" ht="15" hidden="false" customHeight="false" outlineLevel="0" collapsed="false">
      <c r="A2425" s="0" t="n">
        <v>2424</v>
      </c>
      <c r="B2425" s="14" t="n">
        <v>127966.594468116</v>
      </c>
      <c r="C2425" s="15" t="n">
        <v>0.0648818654875422</v>
      </c>
      <c r="D2425" s="14" t="n">
        <f aca="false">Summary!$B$5-B2425</f>
        <v>-27966.5944681157</v>
      </c>
      <c r="E2425" s="15" t="n">
        <f aca="false">B2425/Summary!$B$5-1</f>
        <v>0.279665944681157</v>
      </c>
    </row>
    <row r="2426" customFormat="false" ht="15" hidden="false" customHeight="false" outlineLevel="0" collapsed="false">
      <c r="A2426" s="0" t="n">
        <v>2425</v>
      </c>
      <c r="B2426" s="14" t="n">
        <v>89945.6551013435</v>
      </c>
      <c r="C2426" s="15" t="n">
        <v>0.195034572876595</v>
      </c>
      <c r="D2426" s="14" t="n">
        <f aca="false">Summary!$B$5-B2426</f>
        <v>10054.3448986565</v>
      </c>
      <c r="E2426" s="15" t="n">
        <f aca="false">B2426/Summary!$B$5-1</f>
        <v>-0.100543448986565</v>
      </c>
    </row>
    <row r="2427" customFormat="false" ht="15" hidden="false" customHeight="false" outlineLevel="0" collapsed="false">
      <c r="A2427" s="0" t="n">
        <v>2426</v>
      </c>
      <c r="B2427" s="14" t="n">
        <v>98752.2521338092</v>
      </c>
      <c r="C2427" s="15" t="n">
        <v>0.0978943186429665</v>
      </c>
      <c r="D2427" s="14" t="n">
        <f aca="false">Summary!$B$5-B2427</f>
        <v>1247.7478661908</v>
      </c>
      <c r="E2427" s="15" t="n">
        <f aca="false">B2427/Summary!$B$5-1</f>
        <v>-0.012477478661908</v>
      </c>
    </row>
    <row r="2428" customFormat="false" ht="15" hidden="false" customHeight="false" outlineLevel="0" collapsed="false">
      <c r="A2428" s="0" t="n">
        <v>2427</v>
      </c>
      <c r="B2428" s="14" t="n">
        <v>102475.692221463</v>
      </c>
      <c r="C2428" s="15" t="n">
        <v>0.0910517705681324</v>
      </c>
      <c r="D2428" s="14" t="n">
        <f aca="false">Summary!$B$5-B2428</f>
        <v>-2475.69222146311</v>
      </c>
      <c r="E2428" s="15" t="n">
        <f aca="false">B2428/Summary!$B$5-1</f>
        <v>0.0247569222146311</v>
      </c>
    </row>
    <row r="2429" customFormat="false" ht="15" hidden="false" customHeight="false" outlineLevel="0" collapsed="false">
      <c r="A2429" s="0" t="n">
        <v>2428</v>
      </c>
      <c r="B2429" s="14" t="n">
        <v>124795.678517631</v>
      </c>
      <c r="C2429" s="15" t="n">
        <v>0.0855962325389833</v>
      </c>
      <c r="D2429" s="14" t="n">
        <f aca="false">Summary!$B$5-B2429</f>
        <v>-24795.6785176309</v>
      </c>
      <c r="E2429" s="15" t="n">
        <f aca="false">B2429/Summary!$B$5-1</f>
        <v>0.247956785176309</v>
      </c>
    </row>
    <row r="2430" customFormat="false" ht="15" hidden="false" customHeight="false" outlineLevel="0" collapsed="false">
      <c r="A2430" s="0" t="n">
        <v>2429</v>
      </c>
      <c r="B2430" s="14" t="n">
        <v>119104.995793657</v>
      </c>
      <c r="C2430" s="15" t="n">
        <v>0.067803262304602</v>
      </c>
      <c r="D2430" s="14" t="n">
        <f aca="false">Summary!$B$5-B2430</f>
        <v>-19104.995793657</v>
      </c>
      <c r="E2430" s="15" t="n">
        <f aca="false">B2430/Summary!$B$5-1</f>
        <v>0.19104995793657</v>
      </c>
    </row>
    <row r="2431" customFormat="false" ht="15" hidden="false" customHeight="false" outlineLevel="0" collapsed="false">
      <c r="A2431" s="0" t="n">
        <v>2430</v>
      </c>
      <c r="B2431" s="14" t="n">
        <v>103134.806555351</v>
      </c>
      <c r="C2431" s="15" t="n">
        <v>0.0952395111050872</v>
      </c>
      <c r="D2431" s="14" t="n">
        <f aca="false">Summary!$B$5-B2431</f>
        <v>-3134.8065553514</v>
      </c>
      <c r="E2431" s="15" t="n">
        <f aca="false">B2431/Summary!$B$5-1</f>
        <v>0.0313480655535141</v>
      </c>
    </row>
    <row r="2432" customFormat="false" ht="15" hidden="false" customHeight="false" outlineLevel="0" collapsed="false">
      <c r="A2432" s="0" t="n">
        <v>2431</v>
      </c>
      <c r="B2432" s="14" t="n">
        <v>113596.60365339</v>
      </c>
      <c r="C2432" s="15" t="n">
        <v>0.0428441109931463</v>
      </c>
      <c r="D2432" s="14" t="n">
        <f aca="false">Summary!$B$5-B2432</f>
        <v>-13596.6036533899</v>
      </c>
      <c r="E2432" s="15" t="n">
        <f aca="false">B2432/Summary!$B$5-1</f>
        <v>0.135966036533899</v>
      </c>
    </row>
    <row r="2433" customFormat="false" ht="15" hidden="false" customHeight="false" outlineLevel="0" collapsed="false">
      <c r="A2433" s="0" t="n">
        <v>2432</v>
      </c>
      <c r="B2433" s="14" t="n">
        <v>105559.494220399</v>
      </c>
      <c r="C2433" s="15" t="n">
        <v>0.0667185344721684</v>
      </c>
      <c r="D2433" s="14" t="n">
        <f aca="false">Summary!$B$5-B2433</f>
        <v>-5559.49422039901</v>
      </c>
      <c r="E2433" s="15" t="n">
        <f aca="false">B2433/Summary!$B$5-1</f>
        <v>0.0555949422039901</v>
      </c>
    </row>
    <row r="2434" customFormat="false" ht="15" hidden="false" customHeight="false" outlineLevel="0" collapsed="false">
      <c r="A2434" s="0" t="n">
        <v>2433</v>
      </c>
      <c r="B2434" s="14" t="n">
        <v>89824.1051175551</v>
      </c>
      <c r="C2434" s="15" t="n">
        <v>0.162823632080321</v>
      </c>
      <c r="D2434" s="14" t="n">
        <f aca="false">Summary!$B$5-B2434</f>
        <v>10175.8948824449</v>
      </c>
      <c r="E2434" s="15" t="n">
        <f aca="false">B2434/Summary!$B$5-1</f>
        <v>-0.101758948824449</v>
      </c>
    </row>
    <row r="2435" customFormat="false" ht="15" hidden="false" customHeight="false" outlineLevel="0" collapsed="false">
      <c r="A2435" s="0" t="n">
        <v>2434</v>
      </c>
      <c r="B2435" s="14" t="n">
        <v>96270.7108298163</v>
      </c>
      <c r="C2435" s="15" t="n">
        <v>0.110602041005913</v>
      </c>
      <c r="D2435" s="14" t="n">
        <f aca="false">Summary!$B$5-B2435</f>
        <v>3729.28917018375</v>
      </c>
      <c r="E2435" s="15" t="n">
        <f aca="false">B2435/Summary!$B$5-1</f>
        <v>-0.0372928917018375</v>
      </c>
    </row>
    <row r="2436" customFormat="false" ht="15" hidden="false" customHeight="false" outlineLevel="0" collapsed="false">
      <c r="A2436" s="0" t="n">
        <v>2435</v>
      </c>
      <c r="B2436" s="14" t="n">
        <v>117980.134777839</v>
      </c>
      <c r="C2436" s="15" t="n">
        <v>0.114883089572446</v>
      </c>
      <c r="D2436" s="14" t="n">
        <f aca="false">Summary!$B$5-B2436</f>
        <v>-17980.1347778386</v>
      </c>
      <c r="E2436" s="15" t="n">
        <f aca="false">B2436/Summary!$B$5-1</f>
        <v>0.179801347778386</v>
      </c>
    </row>
    <row r="2437" customFormat="false" ht="15" hidden="false" customHeight="false" outlineLevel="0" collapsed="false">
      <c r="A2437" s="0" t="n">
        <v>2436</v>
      </c>
      <c r="B2437" s="14" t="n">
        <v>96134.7604914143</v>
      </c>
      <c r="C2437" s="15" t="n">
        <v>0.0861035430759146</v>
      </c>
      <c r="D2437" s="14" t="n">
        <f aca="false">Summary!$B$5-B2437</f>
        <v>3865.23950858571</v>
      </c>
      <c r="E2437" s="15" t="n">
        <f aca="false">B2437/Summary!$B$5-1</f>
        <v>-0.0386523950858572</v>
      </c>
    </row>
    <row r="2438" customFormat="false" ht="15" hidden="false" customHeight="false" outlineLevel="0" collapsed="false">
      <c r="A2438" s="0" t="n">
        <v>2437</v>
      </c>
      <c r="B2438" s="14" t="n">
        <v>114089.58372932</v>
      </c>
      <c r="C2438" s="15" t="n">
        <v>0.0664910944338922</v>
      </c>
      <c r="D2438" s="14" t="n">
        <f aca="false">Summary!$B$5-B2438</f>
        <v>-14089.5837293199</v>
      </c>
      <c r="E2438" s="15" t="n">
        <f aca="false">B2438/Summary!$B$5-1</f>
        <v>0.140895837293199</v>
      </c>
    </row>
    <row r="2439" customFormat="false" ht="15" hidden="false" customHeight="false" outlineLevel="0" collapsed="false">
      <c r="A2439" s="0" t="n">
        <v>2438</v>
      </c>
      <c r="B2439" s="14" t="n">
        <v>102679.400095941</v>
      </c>
      <c r="C2439" s="15" t="n">
        <v>0.0880492778819385</v>
      </c>
      <c r="D2439" s="14" t="n">
        <f aca="false">Summary!$B$5-B2439</f>
        <v>-2679.4000959406</v>
      </c>
      <c r="E2439" s="15" t="n">
        <f aca="false">B2439/Summary!$B$5-1</f>
        <v>0.0267940009594059</v>
      </c>
    </row>
    <row r="2440" customFormat="false" ht="15" hidden="false" customHeight="false" outlineLevel="0" collapsed="false">
      <c r="A2440" s="0" t="n">
        <v>2439</v>
      </c>
      <c r="B2440" s="14" t="n">
        <v>105820.374379036</v>
      </c>
      <c r="C2440" s="15" t="n">
        <v>0.119926668685475</v>
      </c>
      <c r="D2440" s="14" t="n">
        <f aca="false">Summary!$B$5-B2440</f>
        <v>-5820.374379036</v>
      </c>
      <c r="E2440" s="15" t="n">
        <f aca="false">B2440/Summary!$B$5-1</f>
        <v>0.05820374379036</v>
      </c>
    </row>
    <row r="2441" customFormat="false" ht="15" hidden="false" customHeight="false" outlineLevel="0" collapsed="false">
      <c r="A2441" s="0" t="n">
        <v>2440</v>
      </c>
      <c r="B2441" s="14" t="n">
        <v>114153.904201191</v>
      </c>
      <c r="C2441" s="15" t="n">
        <v>0.0718711231998856</v>
      </c>
      <c r="D2441" s="14" t="n">
        <f aca="false">Summary!$B$5-B2441</f>
        <v>-14153.9042011913</v>
      </c>
      <c r="E2441" s="15" t="n">
        <f aca="false">B2441/Summary!$B$5-1</f>
        <v>0.141539042011913</v>
      </c>
    </row>
    <row r="2442" customFormat="false" ht="15" hidden="false" customHeight="false" outlineLevel="0" collapsed="false">
      <c r="A2442" s="0" t="n">
        <v>2441</v>
      </c>
      <c r="B2442" s="14" t="n">
        <v>111368.609786436</v>
      </c>
      <c r="C2442" s="15" t="n">
        <v>0.0583229814815638</v>
      </c>
      <c r="D2442" s="14" t="n">
        <f aca="false">Summary!$B$5-B2442</f>
        <v>-11368.6097864364</v>
      </c>
      <c r="E2442" s="15" t="n">
        <f aca="false">B2442/Summary!$B$5-1</f>
        <v>0.113686097864364</v>
      </c>
    </row>
    <row r="2443" customFormat="false" ht="15" hidden="false" customHeight="false" outlineLevel="0" collapsed="false">
      <c r="A2443" s="0" t="n">
        <v>2442</v>
      </c>
      <c r="B2443" s="14" t="n">
        <v>106710.809021416</v>
      </c>
      <c r="C2443" s="15" t="n">
        <v>0.0916391359719687</v>
      </c>
      <c r="D2443" s="14" t="n">
        <f aca="false">Summary!$B$5-B2443</f>
        <v>-6710.8090214156</v>
      </c>
      <c r="E2443" s="15" t="n">
        <f aca="false">B2443/Summary!$B$5-1</f>
        <v>0.0671080902141559</v>
      </c>
    </row>
    <row r="2444" customFormat="false" ht="15" hidden="false" customHeight="false" outlineLevel="0" collapsed="false">
      <c r="A2444" s="0" t="n">
        <v>2443</v>
      </c>
      <c r="B2444" s="14" t="n">
        <v>96747.514531662</v>
      </c>
      <c r="C2444" s="15" t="n">
        <v>0.108038328574788</v>
      </c>
      <c r="D2444" s="14" t="n">
        <f aca="false">Summary!$B$5-B2444</f>
        <v>3252.48546833801</v>
      </c>
      <c r="E2444" s="15" t="n">
        <f aca="false">B2444/Summary!$B$5-1</f>
        <v>-0.0325248546833801</v>
      </c>
    </row>
    <row r="2445" customFormat="false" ht="15" hidden="false" customHeight="false" outlineLevel="0" collapsed="false">
      <c r="A2445" s="0" t="n">
        <v>2444</v>
      </c>
      <c r="B2445" s="14" t="n">
        <v>106087.190933306</v>
      </c>
      <c r="C2445" s="15" t="n">
        <v>0.0820263055230424</v>
      </c>
      <c r="D2445" s="14" t="n">
        <f aca="false">Summary!$B$5-B2445</f>
        <v>-6087.19093330611</v>
      </c>
      <c r="E2445" s="15" t="n">
        <f aca="false">B2445/Summary!$B$5-1</f>
        <v>0.060871909333061</v>
      </c>
    </row>
    <row r="2446" customFormat="false" ht="15" hidden="false" customHeight="false" outlineLevel="0" collapsed="false">
      <c r="A2446" s="0" t="n">
        <v>2445</v>
      </c>
      <c r="B2446" s="14" t="n">
        <v>100038.916622054</v>
      </c>
      <c r="C2446" s="15" t="n">
        <v>0.0706895264614245</v>
      </c>
      <c r="D2446" s="14" t="n">
        <f aca="false">Summary!$B$5-B2446</f>
        <v>-38.9166220543993</v>
      </c>
      <c r="E2446" s="15" t="n">
        <f aca="false">B2446/Summary!$B$5-1</f>
        <v>0.000389166220543968</v>
      </c>
    </row>
    <row r="2447" customFormat="false" ht="15" hidden="false" customHeight="false" outlineLevel="0" collapsed="false">
      <c r="A2447" s="0" t="n">
        <v>2446</v>
      </c>
      <c r="B2447" s="14" t="n">
        <v>111000.533349308</v>
      </c>
      <c r="C2447" s="15" t="n">
        <v>0.101130471181992</v>
      </c>
      <c r="D2447" s="14" t="n">
        <f aca="false">Summary!$B$5-B2447</f>
        <v>-11000.5333493082</v>
      </c>
      <c r="E2447" s="15" t="n">
        <f aca="false">B2447/Summary!$B$5-1</f>
        <v>0.110005333493082</v>
      </c>
    </row>
    <row r="2448" customFormat="false" ht="15" hidden="false" customHeight="false" outlineLevel="0" collapsed="false">
      <c r="A2448" s="0" t="n">
        <v>2447</v>
      </c>
      <c r="B2448" s="14" t="n">
        <v>109565.419710009</v>
      </c>
      <c r="C2448" s="15" t="n">
        <v>0.0864011751107977</v>
      </c>
      <c r="D2448" s="14" t="n">
        <f aca="false">Summary!$B$5-B2448</f>
        <v>-9565.4197100094</v>
      </c>
      <c r="E2448" s="15" t="n">
        <f aca="false">B2448/Summary!$B$5-1</f>
        <v>0.0956541971000939</v>
      </c>
    </row>
    <row r="2449" customFormat="false" ht="15" hidden="false" customHeight="false" outlineLevel="0" collapsed="false">
      <c r="A2449" s="0" t="n">
        <v>2448</v>
      </c>
      <c r="B2449" s="14" t="n">
        <v>112234.145211388</v>
      </c>
      <c r="C2449" s="15" t="n">
        <v>0.0700926559124017</v>
      </c>
      <c r="D2449" s="14" t="n">
        <f aca="false">Summary!$B$5-B2449</f>
        <v>-12234.1452113884</v>
      </c>
      <c r="E2449" s="15" t="n">
        <f aca="false">B2449/Summary!$B$5-1</f>
        <v>0.122341452113884</v>
      </c>
    </row>
    <row r="2450" customFormat="false" ht="15" hidden="false" customHeight="false" outlineLevel="0" collapsed="false">
      <c r="A2450" s="0" t="n">
        <v>2449</v>
      </c>
      <c r="B2450" s="14" t="n">
        <v>113856.650629663</v>
      </c>
      <c r="C2450" s="15" t="n">
        <v>0.0735004439291274</v>
      </c>
      <c r="D2450" s="14" t="n">
        <f aca="false">Summary!$B$5-B2450</f>
        <v>-13856.650629663</v>
      </c>
      <c r="E2450" s="15" t="n">
        <f aca="false">B2450/Summary!$B$5-1</f>
        <v>0.13856650629663</v>
      </c>
    </row>
    <row r="2451" customFormat="false" ht="15" hidden="false" customHeight="false" outlineLevel="0" collapsed="false">
      <c r="A2451" s="0" t="n">
        <v>2450</v>
      </c>
      <c r="B2451" s="14" t="n">
        <v>115041.102309888</v>
      </c>
      <c r="C2451" s="15" t="n">
        <v>0.0881694386389873</v>
      </c>
      <c r="D2451" s="14" t="n">
        <f aca="false">Summary!$B$5-B2451</f>
        <v>-15041.1023098882</v>
      </c>
      <c r="E2451" s="15" t="n">
        <f aca="false">B2451/Summary!$B$5-1</f>
        <v>0.150411023098882</v>
      </c>
    </row>
    <row r="2452" customFormat="false" ht="15" hidden="false" customHeight="false" outlineLevel="0" collapsed="false">
      <c r="A2452" s="0" t="n">
        <v>2451</v>
      </c>
      <c r="B2452" s="14" t="n">
        <v>102230.571071875</v>
      </c>
      <c r="C2452" s="15" t="n">
        <v>0.104166609189963</v>
      </c>
      <c r="D2452" s="14" t="n">
        <f aca="false">Summary!$B$5-B2452</f>
        <v>-2230.5710718754</v>
      </c>
      <c r="E2452" s="15" t="n">
        <f aca="false">B2452/Summary!$B$5-1</f>
        <v>0.0223057107187541</v>
      </c>
    </row>
    <row r="2453" customFormat="false" ht="15" hidden="false" customHeight="false" outlineLevel="0" collapsed="false">
      <c r="A2453" s="0" t="n">
        <v>2452</v>
      </c>
      <c r="B2453" s="14" t="n">
        <v>104142.49406406</v>
      </c>
      <c r="C2453" s="15" t="n">
        <v>0.100219065551171</v>
      </c>
      <c r="D2453" s="14" t="n">
        <f aca="false">Summary!$B$5-B2453</f>
        <v>-4142.4940640602</v>
      </c>
      <c r="E2453" s="15" t="n">
        <f aca="false">B2453/Summary!$B$5-1</f>
        <v>0.041424940640602</v>
      </c>
    </row>
    <row r="2454" customFormat="false" ht="15" hidden="false" customHeight="false" outlineLevel="0" collapsed="false">
      <c r="A2454" s="0" t="n">
        <v>2453</v>
      </c>
      <c r="B2454" s="14" t="n">
        <v>80060.2471993389</v>
      </c>
      <c r="C2454" s="15" t="n">
        <v>0.236868635098192</v>
      </c>
      <c r="D2454" s="14" t="n">
        <f aca="false">Summary!$B$5-B2454</f>
        <v>19939.7528006611</v>
      </c>
      <c r="E2454" s="15" t="n">
        <f aca="false">B2454/Summary!$B$5-1</f>
        <v>-0.199397528006611</v>
      </c>
    </row>
    <row r="2455" customFormat="false" ht="15" hidden="false" customHeight="false" outlineLevel="0" collapsed="false">
      <c r="A2455" s="0" t="n">
        <v>2454</v>
      </c>
      <c r="B2455" s="14" t="n">
        <v>108722.014916524</v>
      </c>
      <c r="C2455" s="15" t="n">
        <v>0.100852099747513</v>
      </c>
      <c r="D2455" s="14" t="n">
        <f aca="false">Summary!$B$5-B2455</f>
        <v>-8722.01491652439</v>
      </c>
      <c r="E2455" s="15" t="n">
        <f aca="false">B2455/Summary!$B$5-1</f>
        <v>0.087220149165244</v>
      </c>
    </row>
    <row r="2456" customFormat="false" ht="15" hidden="false" customHeight="false" outlineLevel="0" collapsed="false">
      <c r="A2456" s="0" t="n">
        <v>2455</v>
      </c>
      <c r="B2456" s="14" t="n">
        <v>126149.022287256</v>
      </c>
      <c r="C2456" s="15" t="n">
        <v>0.0725535045715414</v>
      </c>
      <c r="D2456" s="14" t="n">
        <f aca="false">Summary!$B$5-B2456</f>
        <v>-26149.022287256</v>
      </c>
      <c r="E2456" s="15" t="n">
        <f aca="false">B2456/Summary!$B$5-1</f>
        <v>0.26149022287256</v>
      </c>
    </row>
    <row r="2457" customFormat="false" ht="15" hidden="false" customHeight="false" outlineLevel="0" collapsed="false">
      <c r="A2457" s="0" t="n">
        <v>2456</v>
      </c>
      <c r="B2457" s="14" t="n">
        <v>102687.471048106</v>
      </c>
      <c r="C2457" s="15" t="n">
        <v>0.145471776815094</v>
      </c>
      <c r="D2457" s="14" t="n">
        <f aca="false">Summary!$B$5-B2457</f>
        <v>-2687.47104810621</v>
      </c>
      <c r="E2457" s="15" t="n">
        <f aca="false">B2457/Summary!$B$5-1</f>
        <v>0.026874710481062</v>
      </c>
    </row>
    <row r="2458" customFormat="false" ht="15" hidden="false" customHeight="false" outlineLevel="0" collapsed="false">
      <c r="A2458" s="0" t="n">
        <v>2457</v>
      </c>
      <c r="B2458" s="14" t="n">
        <v>119954.977652257</v>
      </c>
      <c r="C2458" s="15" t="n">
        <v>0.0583128881058872</v>
      </c>
      <c r="D2458" s="14" t="n">
        <f aca="false">Summary!$B$5-B2458</f>
        <v>-19954.9776522569</v>
      </c>
      <c r="E2458" s="15" t="n">
        <f aca="false">B2458/Summary!$B$5-1</f>
        <v>0.199549776522569</v>
      </c>
    </row>
    <row r="2459" customFormat="false" ht="15" hidden="false" customHeight="false" outlineLevel="0" collapsed="false">
      <c r="A2459" s="0" t="n">
        <v>2458</v>
      </c>
      <c r="B2459" s="14" t="n">
        <v>108188.063477755</v>
      </c>
      <c r="C2459" s="15" t="n">
        <v>0.116818336716791</v>
      </c>
      <c r="D2459" s="14" t="n">
        <f aca="false">Summary!$B$5-B2459</f>
        <v>-8188.0634777549</v>
      </c>
      <c r="E2459" s="15" t="n">
        <f aca="false">B2459/Summary!$B$5-1</f>
        <v>0.0818806347775489</v>
      </c>
    </row>
    <row r="2460" customFormat="false" ht="15" hidden="false" customHeight="false" outlineLevel="0" collapsed="false">
      <c r="A2460" s="0" t="n">
        <v>2459</v>
      </c>
      <c r="B2460" s="14" t="n">
        <v>108169.789105261</v>
      </c>
      <c r="C2460" s="15" t="n">
        <v>0.0834708657033086</v>
      </c>
      <c r="D2460" s="14" t="n">
        <f aca="false">Summary!$B$5-B2460</f>
        <v>-8169.7891052608</v>
      </c>
      <c r="E2460" s="15" t="n">
        <f aca="false">B2460/Summary!$B$5-1</f>
        <v>0.0816978910526081</v>
      </c>
    </row>
    <row r="2461" customFormat="false" ht="15" hidden="false" customHeight="false" outlineLevel="0" collapsed="false">
      <c r="A2461" s="0" t="n">
        <v>2460</v>
      </c>
      <c r="B2461" s="14" t="n">
        <v>81047.0787919779</v>
      </c>
      <c r="C2461" s="15" t="n">
        <v>0.206959532730026</v>
      </c>
      <c r="D2461" s="14" t="n">
        <f aca="false">Summary!$B$5-B2461</f>
        <v>18952.9212080221</v>
      </c>
      <c r="E2461" s="15" t="n">
        <f aca="false">B2461/Summary!$B$5-1</f>
        <v>-0.189529212080221</v>
      </c>
    </row>
    <row r="2462" customFormat="false" ht="15" hidden="false" customHeight="false" outlineLevel="0" collapsed="false">
      <c r="A2462" s="0" t="n">
        <v>2461</v>
      </c>
      <c r="B2462" s="14" t="n">
        <v>117431.939538309</v>
      </c>
      <c r="C2462" s="15" t="n">
        <v>0.12065282246916</v>
      </c>
      <c r="D2462" s="14" t="n">
        <f aca="false">Summary!$B$5-B2462</f>
        <v>-17431.9395383088</v>
      </c>
      <c r="E2462" s="15" t="n">
        <f aca="false">B2462/Summary!$B$5-1</f>
        <v>0.174319395383088</v>
      </c>
    </row>
    <row r="2463" customFormat="false" ht="15" hidden="false" customHeight="false" outlineLevel="0" collapsed="false">
      <c r="A2463" s="0" t="n">
        <v>2462</v>
      </c>
      <c r="B2463" s="14" t="n">
        <v>134010.316145667</v>
      </c>
      <c r="C2463" s="15" t="n">
        <v>0.0521005718058243</v>
      </c>
      <c r="D2463" s="14" t="n">
        <f aca="false">Summary!$B$5-B2463</f>
        <v>-34010.316145667</v>
      </c>
      <c r="E2463" s="15" t="n">
        <f aca="false">B2463/Summary!$B$5-1</f>
        <v>0.34010316145667</v>
      </c>
    </row>
    <row r="2464" customFormat="false" ht="15" hidden="false" customHeight="false" outlineLevel="0" collapsed="false">
      <c r="A2464" s="0" t="n">
        <v>2463</v>
      </c>
      <c r="B2464" s="14" t="n">
        <v>118132.314383079</v>
      </c>
      <c r="C2464" s="15" t="n">
        <v>0.0724159197912807</v>
      </c>
      <c r="D2464" s="14" t="n">
        <f aca="false">Summary!$B$5-B2464</f>
        <v>-18132.3143830793</v>
      </c>
      <c r="E2464" s="15" t="n">
        <f aca="false">B2464/Summary!$B$5-1</f>
        <v>0.181323143830793</v>
      </c>
    </row>
    <row r="2465" customFormat="false" ht="15" hidden="false" customHeight="false" outlineLevel="0" collapsed="false">
      <c r="A2465" s="0" t="n">
        <v>2464</v>
      </c>
      <c r="B2465" s="14" t="n">
        <v>122872.73502666</v>
      </c>
      <c r="C2465" s="15" t="n">
        <v>0.0976468942798509</v>
      </c>
      <c r="D2465" s="14" t="n">
        <f aca="false">Summary!$B$5-B2465</f>
        <v>-22872.73502666</v>
      </c>
      <c r="E2465" s="15" t="n">
        <f aca="false">B2465/Summary!$B$5-1</f>
        <v>0.2287273502666</v>
      </c>
    </row>
    <row r="2466" customFormat="false" ht="15" hidden="false" customHeight="false" outlineLevel="0" collapsed="false">
      <c r="A2466" s="0" t="n">
        <v>2465</v>
      </c>
      <c r="B2466" s="14" t="n">
        <v>121759.613305026</v>
      </c>
      <c r="C2466" s="15" t="n">
        <v>0.0928265679924273</v>
      </c>
      <c r="D2466" s="14" t="n">
        <f aca="false">Summary!$B$5-B2466</f>
        <v>-21759.6133050263</v>
      </c>
      <c r="E2466" s="15" t="n">
        <f aca="false">B2466/Summary!$B$5-1</f>
        <v>0.217596133050263</v>
      </c>
    </row>
    <row r="2467" customFormat="false" ht="15" hidden="false" customHeight="false" outlineLevel="0" collapsed="false">
      <c r="A2467" s="0" t="n">
        <v>2466</v>
      </c>
      <c r="B2467" s="14" t="n">
        <v>110248.451139041</v>
      </c>
      <c r="C2467" s="15" t="n">
        <v>0.114403892416102</v>
      </c>
      <c r="D2467" s="14" t="n">
        <f aca="false">Summary!$B$5-B2467</f>
        <v>-10248.4511390409</v>
      </c>
      <c r="E2467" s="15" t="n">
        <f aca="false">B2467/Summary!$B$5-1</f>
        <v>0.102484511390409</v>
      </c>
    </row>
    <row r="2468" customFormat="false" ht="15" hidden="false" customHeight="false" outlineLevel="0" collapsed="false">
      <c r="A2468" s="0" t="n">
        <v>2467</v>
      </c>
      <c r="B2468" s="14" t="n">
        <v>101816.418052744</v>
      </c>
      <c r="C2468" s="15" t="n">
        <v>0.138031851325334</v>
      </c>
      <c r="D2468" s="14" t="n">
        <f aca="false">Summary!$B$5-B2468</f>
        <v>-1816.4180527443</v>
      </c>
      <c r="E2468" s="15" t="n">
        <f aca="false">B2468/Summary!$B$5-1</f>
        <v>0.0181641805274428</v>
      </c>
    </row>
    <row r="2469" customFormat="false" ht="15" hidden="false" customHeight="false" outlineLevel="0" collapsed="false">
      <c r="A2469" s="0" t="n">
        <v>2468</v>
      </c>
      <c r="B2469" s="14" t="n">
        <v>102844.34879773</v>
      </c>
      <c r="C2469" s="15" t="n">
        <v>0.0964866414895552</v>
      </c>
      <c r="D2469" s="14" t="n">
        <f aca="false">Summary!$B$5-B2469</f>
        <v>-2844.34879772989</v>
      </c>
      <c r="E2469" s="15" t="n">
        <f aca="false">B2469/Summary!$B$5-1</f>
        <v>0.028443487977299</v>
      </c>
    </row>
    <row r="2470" customFormat="false" ht="15" hidden="false" customHeight="false" outlineLevel="0" collapsed="false">
      <c r="A2470" s="0" t="n">
        <v>2469</v>
      </c>
      <c r="B2470" s="14" t="n">
        <v>125918.598102564</v>
      </c>
      <c r="C2470" s="15" t="n">
        <v>0.0612958877761873</v>
      </c>
      <c r="D2470" s="14" t="n">
        <f aca="false">Summary!$B$5-B2470</f>
        <v>-25918.5981025636</v>
      </c>
      <c r="E2470" s="15" t="n">
        <f aca="false">B2470/Summary!$B$5-1</f>
        <v>0.259185981025636</v>
      </c>
    </row>
    <row r="2471" customFormat="false" ht="15" hidden="false" customHeight="false" outlineLevel="0" collapsed="false">
      <c r="A2471" s="0" t="n">
        <v>2470</v>
      </c>
      <c r="B2471" s="14" t="n">
        <v>105135.100240226</v>
      </c>
      <c r="C2471" s="15" t="n">
        <v>0.129282173935829</v>
      </c>
      <c r="D2471" s="14" t="n">
        <f aca="false">Summary!$B$5-B2471</f>
        <v>-5135.10024022601</v>
      </c>
      <c r="E2471" s="15" t="n">
        <f aca="false">B2471/Summary!$B$5-1</f>
        <v>0.0513510024022601</v>
      </c>
    </row>
    <row r="2472" customFormat="false" ht="15" hidden="false" customHeight="false" outlineLevel="0" collapsed="false">
      <c r="A2472" s="0" t="n">
        <v>2471</v>
      </c>
      <c r="B2472" s="14" t="n">
        <v>111199.639108103</v>
      </c>
      <c r="C2472" s="15" t="n">
        <v>0.0846898317753624</v>
      </c>
      <c r="D2472" s="14" t="n">
        <f aca="false">Summary!$B$5-B2472</f>
        <v>-11199.6391081029</v>
      </c>
      <c r="E2472" s="15" t="n">
        <f aca="false">B2472/Summary!$B$5-1</f>
        <v>0.111996391081029</v>
      </c>
    </row>
    <row r="2473" customFormat="false" ht="15" hidden="false" customHeight="false" outlineLevel="0" collapsed="false">
      <c r="A2473" s="0" t="n">
        <v>2472</v>
      </c>
      <c r="B2473" s="14" t="n">
        <v>108993.170504718</v>
      </c>
      <c r="C2473" s="15" t="n">
        <v>0.115508288904189</v>
      </c>
      <c r="D2473" s="14" t="n">
        <f aca="false">Summary!$B$5-B2473</f>
        <v>-8993.1705047178</v>
      </c>
      <c r="E2473" s="15" t="n">
        <f aca="false">B2473/Summary!$B$5-1</f>
        <v>0.089931705047178</v>
      </c>
    </row>
    <row r="2474" customFormat="false" ht="15" hidden="false" customHeight="false" outlineLevel="0" collapsed="false">
      <c r="A2474" s="0" t="n">
        <v>2473</v>
      </c>
      <c r="B2474" s="14" t="n">
        <v>100892.656351774</v>
      </c>
      <c r="C2474" s="15" t="n">
        <v>0.121573041900507</v>
      </c>
      <c r="D2474" s="14" t="n">
        <f aca="false">Summary!$B$5-B2474</f>
        <v>-892.656351774203</v>
      </c>
      <c r="E2474" s="15" t="n">
        <f aca="false">B2474/Summary!$B$5-1</f>
        <v>0.00892656351774201</v>
      </c>
    </row>
    <row r="2475" customFormat="false" ht="15" hidden="false" customHeight="false" outlineLevel="0" collapsed="false">
      <c r="A2475" s="0" t="n">
        <v>2474</v>
      </c>
      <c r="B2475" s="14" t="n">
        <v>107873.170341338</v>
      </c>
      <c r="C2475" s="15" t="n">
        <v>0.100173844450489</v>
      </c>
      <c r="D2475" s="14" t="n">
        <f aca="false">Summary!$B$5-B2475</f>
        <v>-7873.1703413381</v>
      </c>
      <c r="E2475" s="15" t="n">
        <f aca="false">B2475/Summary!$B$5-1</f>
        <v>0.078731703413381</v>
      </c>
    </row>
    <row r="2476" customFormat="false" ht="15" hidden="false" customHeight="false" outlineLevel="0" collapsed="false">
      <c r="A2476" s="0" t="n">
        <v>2475</v>
      </c>
      <c r="B2476" s="14" t="n">
        <v>98534.0721460785</v>
      </c>
      <c r="C2476" s="15" t="n">
        <v>0.136396800218718</v>
      </c>
      <c r="D2476" s="14" t="n">
        <f aca="false">Summary!$B$5-B2476</f>
        <v>1465.92785392152</v>
      </c>
      <c r="E2476" s="15" t="n">
        <f aca="false">B2476/Summary!$B$5-1</f>
        <v>-0.0146592785392151</v>
      </c>
    </row>
    <row r="2477" customFormat="false" ht="15" hidden="false" customHeight="false" outlineLevel="0" collapsed="false">
      <c r="A2477" s="0" t="n">
        <v>2476</v>
      </c>
      <c r="B2477" s="14" t="n">
        <v>115468.721854145</v>
      </c>
      <c r="C2477" s="15" t="n">
        <v>0.103369675325087</v>
      </c>
      <c r="D2477" s="14" t="n">
        <f aca="false">Summary!$B$5-B2477</f>
        <v>-15468.7218541453</v>
      </c>
      <c r="E2477" s="15" t="n">
        <f aca="false">B2477/Summary!$B$5-1</f>
        <v>0.154687218541453</v>
      </c>
    </row>
    <row r="2478" customFormat="false" ht="15" hidden="false" customHeight="false" outlineLevel="0" collapsed="false">
      <c r="A2478" s="0" t="n">
        <v>2477</v>
      </c>
      <c r="B2478" s="14" t="n">
        <v>103774.668989472</v>
      </c>
      <c r="C2478" s="15" t="n">
        <v>0.111430972586245</v>
      </c>
      <c r="D2478" s="14" t="n">
        <f aca="false">Summary!$B$5-B2478</f>
        <v>-3774.66898947219</v>
      </c>
      <c r="E2478" s="15" t="n">
        <f aca="false">B2478/Summary!$B$5-1</f>
        <v>0.0377466898947219</v>
      </c>
    </row>
    <row r="2479" customFormat="false" ht="15" hidden="false" customHeight="false" outlineLevel="0" collapsed="false">
      <c r="A2479" s="0" t="n">
        <v>2478</v>
      </c>
      <c r="B2479" s="14" t="n">
        <v>105642.756959034</v>
      </c>
      <c r="C2479" s="15" t="n">
        <v>0.0901778135765279</v>
      </c>
      <c r="D2479" s="14" t="n">
        <f aca="false">Summary!$B$5-B2479</f>
        <v>-5642.75695903441</v>
      </c>
      <c r="E2479" s="15" t="n">
        <f aca="false">B2479/Summary!$B$5-1</f>
        <v>0.056427569590344</v>
      </c>
    </row>
    <row r="2480" customFormat="false" ht="15" hidden="false" customHeight="false" outlineLevel="0" collapsed="false">
      <c r="A2480" s="0" t="n">
        <v>2479</v>
      </c>
      <c r="B2480" s="14" t="n">
        <v>137283.727524316</v>
      </c>
      <c r="C2480" s="15" t="n">
        <v>0.080516457687681</v>
      </c>
      <c r="D2480" s="14" t="n">
        <f aca="false">Summary!$B$5-B2480</f>
        <v>-37283.7275243161</v>
      </c>
      <c r="E2480" s="15" t="n">
        <f aca="false">B2480/Summary!$B$5-1</f>
        <v>0.372837275243161</v>
      </c>
    </row>
    <row r="2481" customFormat="false" ht="15" hidden="false" customHeight="false" outlineLevel="0" collapsed="false">
      <c r="A2481" s="0" t="n">
        <v>2480</v>
      </c>
      <c r="B2481" s="14" t="n">
        <v>112398.732609651</v>
      </c>
      <c r="C2481" s="15" t="n">
        <v>0.108350892059642</v>
      </c>
      <c r="D2481" s="14" t="n">
        <f aca="false">Summary!$B$5-B2481</f>
        <v>-12398.7326096509</v>
      </c>
      <c r="E2481" s="15" t="n">
        <f aca="false">B2481/Summary!$B$5-1</f>
        <v>0.123987326096509</v>
      </c>
    </row>
    <row r="2482" customFormat="false" ht="15" hidden="false" customHeight="false" outlineLevel="0" collapsed="false">
      <c r="A2482" s="0" t="n">
        <v>2481</v>
      </c>
      <c r="B2482" s="14" t="n">
        <v>111947.376762981</v>
      </c>
      <c r="C2482" s="15" t="n">
        <v>0.0666372083963013</v>
      </c>
      <c r="D2482" s="14" t="n">
        <f aca="false">Summary!$B$5-B2482</f>
        <v>-11947.3767629814</v>
      </c>
      <c r="E2482" s="15" t="n">
        <f aca="false">B2482/Summary!$B$5-1</f>
        <v>0.119473767629814</v>
      </c>
    </row>
    <row r="2483" customFormat="false" ht="15" hidden="false" customHeight="false" outlineLevel="0" collapsed="false">
      <c r="A2483" s="0" t="n">
        <v>2482</v>
      </c>
      <c r="B2483" s="14" t="n">
        <v>113897.267257787</v>
      </c>
      <c r="C2483" s="15" t="n">
        <v>0.0850786997881297</v>
      </c>
      <c r="D2483" s="14" t="n">
        <f aca="false">Summary!$B$5-B2483</f>
        <v>-13897.2672577866</v>
      </c>
      <c r="E2483" s="15" t="n">
        <f aca="false">B2483/Summary!$B$5-1</f>
        <v>0.138972672577866</v>
      </c>
    </row>
    <row r="2484" customFormat="false" ht="15" hidden="false" customHeight="false" outlineLevel="0" collapsed="false">
      <c r="A2484" s="0" t="n">
        <v>2483</v>
      </c>
      <c r="B2484" s="14" t="n">
        <v>123359.730761562</v>
      </c>
      <c r="C2484" s="15" t="n">
        <v>0.0784593178605622</v>
      </c>
      <c r="D2484" s="14" t="n">
        <f aca="false">Summary!$B$5-B2484</f>
        <v>-23359.730761562</v>
      </c>
      <c r="E2484" s="15" t="n">
        <f aca="false">B2484/Summary!$B$5-1</f>
        <v>0.23359730761562</v>
      </c>
    </row>
    <row r="2485" customFormat="false" ht="15" hidden="false" customHeight="false" outlineLevel="0" collapsed="false">
      <c r="A2485" s="0" t="n">
        <v>2484</v>
      </c>
      <c r="B2485" s="14" t="n">
        <v>105052.30364917</v>
      </c>
      <c r="C2485" s="15" t="n">
        <v>0.0682495938092484</v>
      </c>
      <c r="D2485" s="14" t="n">
        <f aca="false">Summary!$B$5-B2485</f>
        <v>-5052.3036491698</v>
      </c>
      <c r="E2485" s="15" t="n">
        <f aca="false">B2485/Summary!$B$5-1</f>
        <v>0.050523036491698</v>
      </c>
    </row>
    <row r="2486" customFormat="false" ht="15" hidden="false" customHeight="false" outlineLevel="0" collapsed="false">
      <c r="A2486" s="0" t="n">
        <v>2485</v>
      </c>
      <c r="B2486" s="14" t="n">
        <v>121511.747307248</v>
      </c>
      <c r="C2486" s="15" t="n">
        <v>0.0721495206628086</v>
      </c>
      <c r="D2486" s="14" t="n">
        <f aca="false">Summary!$B$5-B2486</f>
        <v>-21511.7473072477</v>
      </c>
      <c r="E2486" s="15" t="n">
        <f aca="false">B2486/Summary!$B$5-1</f>
        <v>0.215117473072477</v>
      </c>
    </row>
    <row r="2487" customFormat="false" ht="15" hidden="false" customHeight="false" outlineLevel="0" collapsed="false">
      <c r="A2487" s="0" t="n">
        <v>2486</v>
      </c>
      <c r="B2487" s="14" t="n">
        <v>125253.110383959</v>
      </c>
      <c r="C2487" s="15" t="n">
        <v>0.0993051940355397</v>
      </c>
      <c r="D2487" s="14" t="n">
        <f aca="false">Summary!$B$5-B2487</f>
        <v>-25253.110383959</v>
      </c>
      <c r="E2487" s="15" t="n">
        <f aca="false">B2487/Summary!$B$5-1</f>
        <v>0.25253110383959</v>
      </c>
    </row>
    <row r="2488" customFormat="false" ht="15" hidden="false" customHeight="false" outlineLevel="0" collapsed="false">
      <c r="A2488" s="0" t="n">
        <v>2487</v>
      </c>
      <c r="B2488" s="14" t="n">
        <v>107688.271838042</v>
      </c>
      <c r="C2488" s="15" t="n">
        <v>0.0887175385441038</v>
      </c>
      <c r="D2488" s="14" t="n">
        <f aca="false">Summary!$B$5-B2488</f>
        <v>-7688.2718380422</v>
      </c>
      <c r="E2488" s="15" t="n">
        <f aca="false">B2488/Summary!$B$5-1</f>
        <v>0.0768827183804219</v>
      </c>
    </row>
    <row r="2489" customFormat="false" ht="15" hidden="false" customHeight="false" outlineLevel="0" collapsed="false">
      <c r="A2489" s="0" t="n">
        <v>2488</v>
      </c>
      <c r="B2489" s="14" t="n">
        <v>111078.652580447</v>
      </c>
      <c r="C2489" s="15" t="n">
        <v>0.0792344264385944</v>
      </c>
      <c r="D2489" s="14" t="n">
        <f aca="false">Summary!$B$5-B2489</f>
        <v>-11078.652580447</v>
      </c>
      <c r="E2489" s="15" t="n">
        <f aca="false">B2489/Summary!$B$5-1</f>
        <v>0.11078652580447</v>
      </c>
    </row>
    <row r="2490" customFormat="false" ht="15" hidden="false" customHeight="false" outlineLevel="0" collapsed="false">
      <c r="A2490" s="0" t="n">
        <v>2489</v>
      </c>
      <c r="B2490" s="14" t="n">
        <v>117304.999559977</v>
      </c>
      <c r="C2490" s="15" t="n">
        <v>0.0853592847451807</v>
      </c>
      <c r="D2490" s="14" t="n">
        <f aca="false">Summary!$B$5-B2490</f>
        <v>-17304.999559977</v>
      </c>
      <c r="E2490" s="15" t="n">
        <f aca="false">B2490/Summary!$B$5-1</f>
        <v>0.17304999559977</v>
      </c>
    </row>
    <row r="2491" customFormat="false" ht="15" hidden="false" customHeight="false" outlineLevel="0" collapsed="false">
      <c r="A2491" s="0" t="n">
        <v>2490</v>
      </c>
      <c r="B2491" s="14" t="n">
        <v>128278.788071606</v>
      </c>
      <c r="C2491" s="15" t="n">
        <v>0.0698907379049498</v>
      </c>
      <c r="D2491" s="14" t="n">
        <f aca="false">Summary!$B$5-B2491</f>
        <v>-28278.7880716059</v>
      </c>
      <c r="E2491" s="15" t="n">
        <f aca="false">B2491/Summary!$B$5-1</f>
        <v>0.282787880716059</v>
      </c>
    </row>
    <row r="2492" customFormat="false" ht="15" hidden="false" customHeight="false" outlineLevel="0" collapsed="false">
      <c r="A2492" s="0" t="n">
        <v>2491</v>
      </c>
      <c r="B2492" s="14" t="n">
        <v>95617.5634682025</v>
      </c>
      <c r="C2492" s="15" t="n">
        <v>0.159667999138496</v>
      </c>
      <c r="D2492" s="14" t="n">
        <f aca="false">Summary!$B$5-B2492</f>
        <v>4382.43653179755</v>
      </c>
      <c r="E2492" s="15" t="n">
        <f aca="false">B2492/Summary!$B$5-1</f>
        <v>-0.0438243653179755</v>
      </c>
    </row>
    <row r="2493" customFormat="false" ht="15" hidden="false" customHeight="false" outlineLevel="0" collapsed="false">
      <c r="A2493" s="0" t="n">
        <v>2492</v>
      </c>
      <c r="B2493" s="14" t="n">
        <v>141836.965339281</v>
      </c>
      <c r="C2493" s="15" t="n">
        <v>0.0680389965843899</v>
      </c>
      <c r="D2493" s="14" t="n">
        <f aca="false">Summary!$B$5-B2493</f>
        <v>-41836.9653392813</v>
      </c>
      <c r="E2493" s="15" t="n">
        <f aca="false">B2493/Summary!$B$5-1</f>
        <v>0.418369653392813</v>
      </c>
    </row>
    <row r="2494" customFormat="false" ht="15" hidden="false" customHeight="false" outlineLevel="0" collapsed="false">
      <c r="A2494" s="0" t="n">
        <v>2493</v>
      </c>
      <c r="B2494" s="14" t="n">
        <v>88873.2962973264</v>
      </c>
      <c r="C2494" s="15" t="n">
        <v>0.183885808062635</v>
      </c>
      <c r="D2494" s="14" t="n">
        <f aca="false">Summary!$B$5-B2494</f>
        <v>11126.7037026736</v>
      </c>
      <c r="E2494" s="15" t="n">
        <f aca="false">B2494/Summary!$B$5-1</f>
        <v>-0.111267037026736</v>
      </c>
    </row>
    <row r="2495" customFormat="false" ht="15" hidden="false" customHeight="false" outlineLevel="0" collapsed="false">
      <c r="A2495" s="0" t="n">
        <v>2494</v>
      </c>
      <c r="B2495" s="14" t="n">
        <v>118869.575267682</v>
      </c>
      <c r="C2495" s="15" t="n">
        <v>0.104280765439179</v>
      </c>
      <c r="D2495" s="14" t="n">
        <f aca="false">Summary!$B$5-B2495</f>
        <v>-18869.5752676821</v>
      </c>
      <c r="E2495" s="15" t="n">
        <f aca="false">B2495/Summary!$B$5-1</f>
        <v>0.188695752676821</v>
      </c>
    </row>
    <row r="2496" customFormat="false" ht="15" hidden="false" customHeight="false" outlineLevel="0" collapsed="false">
      <c r="A2496" s="0" t="n">
        <v>2495</v>
      </c>
      <c r="B2496" s="14" t="n">
        <v>131713.55906172</v>
      </c>
      <c r="C2496" s="15" t="n">
        <v>0.0408537464939245</v>
      </c>
      <c r="D2496" s="14" t="n">
        <f aca="false">Summary!$B$5-B2496</f>
        <v>-31713.5590617195</v>
      </c>
      <c r="E2496" s="15" t="n">
        <f aca="false">B2496/Summary!$B$5-1</f>
        <v>0.317135590617195</v>
      </c>
    </row>
    <row r="2497" customFormat="false" ht="15" hidden="false" customHeight="false" outlineLevel="0" collapsed="false">
      <c r="A2497" s="0" t="n">
        <v>2496</v>
      </c>
      <c r="B2497" s="14" t="n">
        <v>124028.223184441</v>
      </c>
      <c r="C2497" s="15" t="n">
        <v>0.0543365071313804</v>
      </c>
      <c r="D2497" s="14" t="n">
        <f aca="false">Summary!$B$5-B2497</f>
        <v>-24028.2231844414</v>
      </c>
      <c r="E2497" s="15" t="n">
        <f aca="false">B2497/Summary!$B$5-1</f>
        <v>0.240282231844414</v>
      </c>
    </row>
    <row r="2498" customFormat="false" ht="15" hidden="false" customHeight="false" outlineLevel="0" collapsed="false">
      <c r="A2498" s="0" t="n">
        <v>2497</v>
      </c>
      <c r="B2498" s="14" t="n">
        <v>101671.591971828</v>
      </c>
      <c r="C2498" s="15" t="n">
        <v>0.0912738954330491</v>
      </c>
      <c r="D2498" s="14" t="n">
        <f aca="false">Summary!$B$5-B2498</f>
        <v>-1671.59197182801</v>
      </c>
      <c r="E2498" s="15" t="n">
        <f aca="false">B2498/Summary!$B$5-1</f>
        <v>0.01671591971828</v>
      </c>
    </row>
    <row r="2499" customFormat="false" ht="15" hidden="false" customHeight="false" outlineLevel="0" collapsed="false">
      <c r="A2499" s="0" t="n">
        <v>2498</v>
      </c>
      <c r="B2499" s="14" t="n">
        <v>113425.986664014</v>
      </c>
      <c r="C2499" s="15" t="n">
        <v>0.0599769668516414</v>
      </c>
      <c r="D2499" s="14" t="n">
        <f aca="false">Summary!$B$5-B2499</f>
        <v>-13425.9866640144</v>
      </c>
      <c r="E2499" s="15" t="n">
        <f aca="false">B2499/Summary!$B$5-1</f>
        <v>0.134259866640144</v>
      </c>
    </row>
    <row r="2500" customFormat="false" ht="15" hidden="false" customHeight="false" outlineLevel="0" collapsed="false">
      <c r="A2500" s="0" t="n">
        <v>2499</v>
      </c>
      <c r="B2500" s="14" t="n">
        <v>140259.216210637</v>
      </c>
      <c r="C2500" s="15" t="n">
        <v>0.0404712329811617</v>
      </c>
      <c r="D2500" s="14" t="n">
        <f aca="false">Summary!$B$5-B2500</f>
        <v>-40259.2162106372</v>
      </c>
      <c r="E2500" s="15" t="n">
        <f aca="false">B2500/Summary!$B$5-1</f>
        <v>0.402592162106372</v>
      </c>
    </row>
    <row r="2501" customFormat="false" ht="15" hidden="false" customHeight="false" outlineLevel="0" collapsed="false">
      <c r="A2501" s="0" t="n">
        <v>2500</v>
      </c>
      <c r="B2501" s="14" t="n">
        <v>110017.516175087</v>
      </c>
      <c r="C2501" s="15" t="n">
        <v>0.117244485254316</v>
      </c>
      <c r="D2501" s="14" t="n">
        <f aca="false">Summary!$B$5-B2501</f>
        <v>-10017.5161750874</v>
      </c>
      <c r="E2501" s="15" t="n">
        <f aca="false">B2501/Summary!$B$5-1</f>
        <v>0.100175161750874</v>
      </c>
    </row>
    <row r="2502" customFormat="false" ht="15" hidden="false" customHeight="false" outlineLevel="0" collapsed="false">
      <c r="A2502" s="0" t="n">
        <v>2501</v>
      </c>
      <c r="B2502" s="14" t="n">
        <v>122617.472129789</v>
      </c>
      <c r="C2502" s="15" t="n">
        <v>0.0856596855970551</v>
      </c>
      <c r="D2502" s="14" t="n">
        <f aca="false">Summary!$B$5-B2502</f>
        <v>-22617.4721297887</v>
      </c>
      <c r="E2502" s="15" t="n">
        <f aca="false">B2502/Summary!$B$5-1</f>
        <v>0.226174721297887</v>
      </c>
    </row>
    <row r="2503" customFormat="false" ht="15" hidden="false" customHeight="false" outlineLevel="0" collapsed="false">
      <c r="A2503" s="0" t="n">
        <v>2502</v>
      </c>
      <c r="B2503" s="14" t="n">
        <v>108182.311150605</v>
      </c>
      <c r="C2503" s="15" t="n">
        <v>0.11040066709173</v>
      </c>
      <c r="D2503" s="14" t="n">
        <f aca="false">Summary!$B$5-B2503</f>
        <v>-8182.31115060519</v>
      </c>
      <c r="E2503" s="15" t="n">
        <f aca="false">B2503/Summary!$B$5-1</f>
        <v>0.0818231115060519</v>
      </c>
    </row>
    <row r="2504" customFormat="false" ht="15" hidden="false" customHeight="false" outlineLevel="0" collapsed="false">
      <c r="A2504" s="0" t="n">
        <v>2503</v>
      </c>
      <c r="B2504" s="14" t="n">
        <v>121976.844926523</v>
      </c>
      <c r="C2504" s="15" t="n">
        <v>0.0710730722595644</v>
      </c>
      <c r="D2504" s="14" t="n">
        <f aca="false">Summary!$B$5-B2504</f>
        <v>-21976.8449265228</v>
      </c>
      <c r="E2504" s="15" t="n">
        <f aca="false">B2504/Summary!$B$5-1</f>
        <v>0.219768449265228</v>
      </c>
    </row>
    <row r="2505" customFormat="false" ht="15" hidden="false" customHeight="false" outlineLevel="0" collapsed="false">
      <c r="A2505" s="0" t="n">
        <v>2504</v>
      </c>
      <c r="B2505" s="14" t="n">
        <v>110293.295125537</v>
      </c>
      <c r="C2505" s="15" t="n">
        <v>0.105517213943756</v>
      </c>
      <c r="D2505" s="14" t="n">
        <f aca="false">Summary!$B$5-B2505</f>
        <v>-10293.2951255369</v>
      </c>
      <c r="E2505" s="15" t="n">
        <f aca="false">B2505/Summary!$B$5-1</f>
        <v>0.102932951255369</v>
      </c>
    </row>
    <row r="2506" customFormat="false" ht="15" hidden="false" customHeight="false" outlineLevel="0" collapsed="false">
      <c r="A2506" s="0" t="n">
        <v>2505</v>
      </c>
      <c r="B2506" s="14" t="n">
        <v>129527.542301807</v>
      </c>
      <c r="C2506" s="15" t="n">
        <v>0.0543679741319079</v>
      </c>
      <c r="D2506" s="14" t="n">
        <f aca="false">Summary!$B$5-B2506</f>
        <v>-29527.5423018069</v>
      </c>
      <c r="E2506" s="15" t="n">
        <f aca="false">B2506/Summary!$B$5-1</f>
        <v>0.295275423018069</v>
      </c>
    </row>
    <row r="2507" customFormat="false" ht="15" hidden="false" customHeight="false" outlineLevel="0" collapsed="false">
      <c r="A2507" s="0" t="n">
        <v>2506</v>
      </c>
      <c r="B2507" s="14" t="n">
        <v>91619.9109788135</v>
      </c>
      <c r="C2507" s="15" t="n">
        <v>0.148243654182199</v>
      </c>
      <c r="D2507" s="14" t="n">
        <f aca="false">Summary!$B$5-B2507</f>
        <v>8380.08902118646</v>
      </c>
      <c r="E2507" s="15" t="n">
        <f aca="false">B2507/Summary!$B$5-1</f>
        <v>-0.0838008902118647</v>
      </c>
    </row>
    <row r="2508" customFormat="false" ht="15" hidden="false" customHeight="false" outlineLevel="0" collapsed="false">
      <c r="A2508" s="0" t="n">
        <v>2507</v>
      </c>
      <c r="B2508" s="14" t="n">
        <v>104909.465883974</v>
      </c>
      <c r="C2508" s="15" t="n">
        <v>0.0977405310038736</v>
      </c>
      <c r="D2508" s="14" t="n">
        <f aca="false">Summary!$B$5-B2508</f>
        <v>-4909.46588397431</v>
      </c>
      <c r="E2508" s="15" t="n">
        <f aca="false">B2508/Summary!$B$5-1</f>
        <v>0.049094658839743</v>
      </c>
    </row>
    <row r="2509" customFormat="false" ht="15" hidden="false" customHeight="false" outlineLevel="0" collapsed="false">
      <c r="A2509" s="0" t="n">
        <v>2508</v>
      </c>
      <c r="B2509" s="14" t="n">
        <v>109994.163263213</v>
      </c>
      <c r="C2509" s="15" t="n">
        <v>0.0693503330993252</v>
      </c>
      <c r="D2509" s="14" t="n">
        <f aca="false">Summary!$B$5-B2509</f>
        <v>-9994.1632632134</v>
      </c>
      <c r="E2509" s="15" t="n">
        <f aca="false">B2509/Summary!$B$5-1</f>
        <v>0.0999416326321341</v>
      </c>
    </row>
    <row r="2510" customFormat="false" ht="15" hidden="false" customHeight="false" outlineLevel="0" collapsed="false">
      <c r="A2510" s="0" t="n">
        <v>2509</v>
      </c>
      <c r="B2510" s="14" t="n">
        <v>98803.3117605521</v>
      </c>
      <c r="C2510" s="15" t="n">
        <v>0.117912851594386</v>
      </c>
      <c r="D2510" s="14" t="n">
        <f aca="false">Summary!$B$5-B2510</f>
        <v>1196.68823944795</v>
      </c>
      <c r="E2510" s="15" t="n">
        <f aca="false">B2510/Summary!$B$5-1</f>
        <v>-0.0119668823944795</v>
      </c>
    </row>
    <row r="2511" customFormat="false" ht="15" hidden="false" customHeight="false" outlineLevel="0" collapsed="false">
      <c r="A2511" s="0" t="n">
        <v>2510</v>
      </c>
      <c r="B2511" s="14" t="n">
        <v>107059.081423329</v>
      </c>
      <c r="C2511" s="15" t="n">
        <v>0.0851396316515889</v>
      </c>
      <c r="D2511" s="14" t="n">
        <f aca="false">Summary!$B$5-B2511</f>
        <v>-7059.08142332931</v>
      </c>
      <c r="E2511" s="15" t="n">
        <f aca="false">B2511/Summary!$B$5-1</f>
        <v>0.0705908142332932</v>
      </c>
    </row>
    <row r="2512" customFormat="false" ht="15" hidden="false" customHeight="false" outlineLevel="0" collapsed="false">
      <c r="A2512" s="0" t="n">
        <v>2511</v>
      </c>
      <c r="B2512" s="14" t="n">
        <v>111748.85943349</v>
      </c>
      <c r="C2512" s="15" t="n">
        <v>0.069759025120588</v>
      </c>
      <c r="D2512" s="14" t="n">
        <f aca="false">Summary!$B$5-B2512</f>
        <v>-11748.8594334902</v>
      </c>
      <c r="E2512" s="15" t="n">
        <f aca="false">B2512/Summary!$B$5-1</f>
        <v>0.117488594334902</v>
      </c>
    </row>
    <row r="2513" customFormat="false" ht="15" hidden="false" customHeight="false" outlineLevel="0" collapsed="false">
      <c r="A2513" s="0" t="n">
        <v>2512</v>
      </c>
      <c r="B2513" s="14" t="n">
        <v>104933.638373597</v>
      </c>
      <c r="C2513" s="15" t="n">
        <v>0.155937706288671</v>
      </c>
      <c r="D2513" s="14" t="n">
        <f aca="false">Summary!$B$5-B2513</f>
        <v>-4933.6383735968</v>
      </c>
      <c r="E2513" s="15" t="n">
        <f aca="false">B2513/Summary!$B$5-1</f>
        <v>0.0493363837359679</v>
      </c>
    </row>
    <row r="2514" customFormat="false" ht="15" hidden="false" customHeight="false" outlineLevel="0" collapsed="false">
      <c r="A2514" s="0" t="n">
        <v>2513</v>
      </c>
      <c r="B2514" s="14" t="n">
        <v>109890.203173366</v>
      </c>
      <c r="C2514" s="15" t="n">
        <v>0.130989892200309</v>
      </c>
      <c r="D2514" s="14" t="n">
        <f aca="false">Summary!$B$5-B2514</f>
        <v>-9890.20317336571</v>
      </c>
      <c r="E2514" s="15" t="n">
        <f aca="false">B2514/Summary!$B$5-1</f>
        <v>0.0989020317336571</v>
      </c>
    </row>
    <row r="2515" customFormat="false" ht="15" hidden="false" customHeight="false" outlineLevel="0" collapsed="false">
      <c r="A2515" s="0" t="n">
        <v>2514</v>
      </c>
      <c r="B2515" s="14" t="n">
        <v>133178.638904758</v>
      </c>
      <c r="C2515" s="15" t="n">
        <v>0.0596477298139309</v>
      </c>
      <c r="D2515" s="14" t="n">
        <f aca="false">Summary!$B$5-B2515</f>
        <v>-33178.6389047581</v>
      </c>
      <c r="E2515" s="15" t="n">
        <f aca="false">B2515/Summary!$B$5-1</f>
        <v>0.331786389047581</v>
      </c>
    </row>
    <row r="2516" customFormat="false" ht="15" hidden="false" customHeight="false" outlineLevel="0" collapsed="false">
      <c r="A2516" s="0" t="n">
        <v>2515</v>
      </c>
      <c r="B2516" s="14" t="n">
        <v>111037.006307327</v>
      </c>
      <c r="C2516" s="15" t="n">
        <v>0.0963555611278373</v>
      </c>
      <c r="D2516" s="14" t="n">
        <f aca="false">Summary!$B$5-B2516</f>
        <v>-11037.0063073273</v>
      </c>
      <c r="E2516" s="15" t="n">
        <f aca="false">B2516/Summary!$B$5-1</f>
        <v>0.110370063073273</v>
      </c>
    </row>
    <row r="2517" customFormat="false" ht="15" hidden="false" customHeight="false" outlineLevel="0" collapsed="false">
      <c r="A2517" s="0" t="n">
        <v>2516</v>
      </c>
      <c r="B2517" s="14" t="n">
        <v>109022.644898458</v>
      </c>
      <c r="C2517" s="15" t="n">
        <v>0.0972744752622043</v>
      </c>
      <c r="D2517" s="14" t="n">
        <f aca="false">Summary!$B$5-B2517</f>
        <v>-9022.6448984579</v>
      </c>
      <c r="E2517" s="15" t="n">
        <f aca="false">B2517/Summary!$B$5-1</f>
        <v>0.090226448984579</v>
      </c>
    </row>
    <row r="2518" customFormat="false" ht="15" hidden="false" customHeight="false" outlineLevel="0" collapsed="false">
      <c r="A2518" s="0" t="n">
        <v>2517</v>
      </c>
      <c r="B2518" s="14" t="n">
        <v>111321.551507938</v>
      </c>
      <c r="C2518" s="15" t="n">
        <v>0.0661334160986064</v>
      </c>
      <c r="D2518" s="14" t="n">
        <f aca="false">Summary!$B$5-B2518</f>
        <v>-11321.5515079378</v>
      </c>
      <c r="E2518" s="15" t="n">
        <f aca="false">B2518/Summary!$B$5-1</f>
        <v>0.113215515079378</v>
      </c>
    </row>
    <row r="2519" customFormat="false" ht="15" hidden="false" customHeight="false" outlineLevel="0" collapsed="false">
      <c r="A2519" s="0" t="n">
        <v>2518</v>
      </c>
      <c r="B2519" s="14" t="n">
        <v>99067.7218972048</v>
      </c>
      <c r="C2519" s="15" t="n">
        <v>0.102515781962121</v>
      </c>
      <c r="D2519" s="14" t="n">
        <f aca="false">Summary!$B$5-B2519</f>
        <v>932.278102795186</v>
      </c>
      <c r="E2519" s="15" t="n">
        <f aca="false">B2519/Summary!$B$5-1</f>
        <v>-0.00932278102795181</v>
      </c>
    </row>
    <row r="2520" customFormat="false" ht="15" hidden="false" customHeight="false" outlineLevel="0" collapsed="false">
      <c r="A2520" s="0" t="n">
        <v>2519</v>
      </c>
      <c r="B2520" s="14" t="n">
        <v>79551.908309247</v>
      </c>
      <c r="C2520" s="15" t="n">
        <v>0.222355751818832</v>
      </c>
      <c r="D2520" s="14" t="n">
        <f aca="false">Summary!$B$5-B2520</f>
        <v>20448.091690753</v>
      </c>
      <c r="E2520" s="15" t="n">
        <f aca="false">B2520/Summary!$B$5-1</f>
        <v>-0.20448091690753</v>
      </c>
    </row>
    <row r="2521" customFormat="false" ht="15" hidden="false" customHeight="false" outlineLevel="0" collapsed="false">
      <c r="A2521" s="0" t="n">
        <v>2520</v>
      </c>
      <c r="B2521" s="14" t="n">
        <v>97947.7967681811</v>
      </c>
      <c r="C2521" s="15" t="n">
        <v>0.118088869654178</v>
      </c>
      <c r="D2521" s="14" t="n">
        <f aca="false">Summary!$B$5-B2521</f>
        <v>2052.20323181886</v>
      </c>
      <c r="E2521" s="15" t="n">
        <f aca="false">B2521/Summary!$B$5-1</f>
        <v>-0.0205220323181886</v>
      </c>
    </row>
    <row r="2522" customFormat="false" ht="15" hidden="false" customHeight="false" outlineLevel="0" collapsed="false">
      <c r="A2522" s="0" t="n">
        <v>2521</v>
      </c>
      <c r="B2522" s="14" t="n">
        <v>93411.9320109178</v>
      </c>
      <c r="C2522" s="15" t="n">
        <v>0.139372802994672</v>
      </c>
      <c r="D2522" s="14" t="n">
        <f aca="false">Summary!$B$5-B2522</f>
        <v>6588.06798908225</v>
      </c>
      <c r="E2522" s="15" t="n">
        <f aca="false">B2522/Summary!$B$5-1</f>
        <v>-0.0658806798908225</v>
      </c>
    </row>
    <row r="2523" customFormat="false" ht="15" hidden="false" customHeight="false" outlineLevel="0" collapsed="false">
      <c r="A2523" s="0" t="n">
        <v>2522</v>
      </c>
      <c r="B2523" s="14" t="n">
        <v>96140.832521523</v>
      </c>
      <c r="C2523" s="15" t="n">
        <v>0.113314680763362</v>
      </c>
      <c r="D2523" s="14" t="n">
        <f aca="false">Summary!$B$5-B2523</f>
        <v>3859.167478477</v>
      </c>
      <c r="E2523" s="15" t="n">
        <f aca="false">B2523/Summary!$B$5-1</f>
        <v>-0.03859167478477</v>
      </c>
    </row>
    <row r="2524" customFormat="false" ht="15" hidden="false" customHeight="false" outlineLevel="0" collapsed="false">
      <c r="A2524" s="0" t="n">
        <v>2523</v>
      </c>
      <c r="B2524" s="14" t="n">
        <v>101235.535867397</v>
      </c>
      <c r="C2524" s="15" t="n">
        <v>0.0786898869641662</v>
      </c>
      <c r="D2524" s="14" t="n">
        <f aca="false">Summary!$B$5-B2524</f>
        <v>-1235.535867397</v>
      </c>
      <c r="E2524" s="15" t="n">
        <f aca="false">B2524/Summary!$B$5-1</f>
        <v>0.01235535867397</v>
      </c>
    </row>
    <row r="2525" customFormat="false" ht="15" hidden="false" customHeight="false" outlineLevel="0" collapsed="false">
      <c r="A2525" s="0" t="n">
        <v>2524</v>
      </c>
      <c r="B2525" s="14" t="n">
        <v>104800.295663288</v>
      </c>
      <c r="C2525" s="15" t="n">
        <v>0.0743597193741051</v>
      </c>
      <c r="D2525" s="14" t="n">
        <f aca="false">Summary!$B$5-B2525</f>
        <v>-4800.2956632883</v>
      </c>
      <c r="E2525" s="15" t="n">
        <f aca="false">B2525/Summary!$B$5-1</f>
        <v>0.048002956632883</v>
      </c>
    </row>
    <row r="2526" customFormat="false" ht="15" hidden="false" customHeight="false" outlineLevel="0" collapsed="false">
      <c r="A2526" s="0" t="n">
        <v>2525</v>
      </c>
      <c r="B2526" s="14" t="n">
        <v>118243.353356717</v>
      </c>
      <c r="C2526" s="15" t="n">
        <v>0.0492775852954136</v>
      </c>
      <c r="D2526" s="14" t="n">
        <f aca="false">Summary!$B$5-B2526</f>
        <v>-18243.3533567174</v>
      </c>
      <c r="E2526" s="15" t="n">
        <f aca="false">B2526/Summary!$B$5-1</f>
        <v>0.182433533567174</v>
      </c>
    </row>
    <row r="2527" customFormat="false" ht="15" hidden="false" customHeight="false" outlineLevel="0" collapsed="false">
      <c r="A2527" s="0" t="n">
        <v>2526</v>
      </c>
      <c r="B2527" s="14" t="n">
        <v>92824.8933058258</v>
      </c>
      <c r="C2527" s="15" t="n">
        <v>0.130441106201152</v>
      </c>
      <c r="D2527" s="14" t="n">
        <f aca="false">Summary!$B$5-B2527</f>
        <v>7175.1066941742</v>
      </c>
      <c r="E2527" s="15" t="n">
        <f aca="false">B2527/Summary!$B$5-1</f>
        <v>-0.0717510669417421</v>
      </c>
    </row>
    <row r="2528" customFormat="false" ht="15" hidden="false" customHeight="false" outlineLevel="0" collapsed="false">
      <c r="A2528" s="0" t="n">
        <v>2527</v>
      </c>
      <c r="B2528" s="14" t="n">
        <v>128915.582019145</v>
      </c>
      <c r="C2528" s="15" t="n">
        <v>0.0763336532204828</v>
      </c>
      <c r="D2528" s="14" t="n">
        <f aca="false">Summary!$B$5-B2528</f>
        <v>-28915.5820191449</v>
      </c>
      <c r="E2528" s="15" t="n">
        <f aca="false">B2528/Summary!$B$5-1</f>
        <v>0.289155820191449</v>
      </c>
    </row>
    <row r="2529" customFormat="false" ht="15" hidden="false" customHeight="false" outlineLevel="0" collapsed="false">
      <c r="A2529" s="0" t="n">
        <v>2528</v>
      </c>
      <c r="B2529" s="14" t="n">
        <v>103192.596436069</v>
      </c>
      <c r="C2529" s="15" t="n">
        <v>0.107584021872353</v>
      </c>
      <c r="D2529" s="14" t="n">
        <f aca="false">Summary!$B$5-B2529</f>
        <v>-3192.59643606861</v>
      </c>
      <c r="E2529" s="15" t="n">
        <f aca="false">B2529/Summary!$B$5-1</f>
        <v>0.031925964360686</v>
      </c>
    </row>
    <row r="2530" customFormat="false" ht="15" hidden="false" customHeight="false" outlineLevel="0" collapsed="false">
      <c r="A2530" s="0" t="n">
        <v>2529</v>
      </c>
      <c r="B2530" s="14" t="n">
        <v>116804.656767685</v>
      </c>
      <c r="C2530" s="15" t="n">
        <v>0.074412175252759</v>
      </c>
      <c r="D2530" s="14" t="n">
        <f aca="false">Summary!$B$5-B2530</f>
        <v>-16804.6567676848</v>
      </c>
      <c r="E2530" s="15" t="n">
        <f aca="false">B2530/Summary!$B$5-1</f>
        <v>0.168046567676848</v>
      </c>
    </row>
    <row r="2531" customFormat="false" ht="15" hidden="false" customHeight="false" outlineLevel="0" collapsed="false">
      <c r="A2531" s="0" t="n">
        <v>2530</v>
      </c>
      <c r="B2531" s="14" t="n">
        <v>86791.7517977964</v>
      </c>
      <c r="C2531" s="15" t="n">
        <v>0.166471111582293</v>
      </c>
      <c r="D2531" s="14" t="n">
        <f aca="false">Summary!$B$5-B2531</f>
        <v>13208.2482022036</v>
      </c>
      <c r="E2531" s="15" t="n">
        <f aca="false">B2531/Summary!$B$5-1</f>
        <v>-0.132082482022036</v>
      </c>
    </row>
    <row r="2532" customFormat="false" ht="15" hidden="false" customHeight="false" outlineLevel="0" collapsed="false">
      <c r="A2532" s="0" t="n">
        <v>2531</v>
      </c>
      <c r="B2532" s="14" t="n">
        <v>130061.188736475</v>
      </c>
      <c r="C2532" s="15" t="n">
        <v>0.0957020490561882</v>
      </c>
      <c r="D2532" s="14" t="n">
        <f aca="false">Summary!$B$5-B2532</f>
        <v>-30061.1887364753</v>
      </c>
      <c r="E2532" s="15" t="n">
        <f aca="false">B2532/Summary!$B$5-1</f>
        <v>0.300611887364753</v>
      </c>
    </row>
    <row r="2533" customFormat="false" ht="15" hidden="false" customHeight="false" outlineLevel="0" collapsed="false">
      <c r="A2533" s="0" t="n">
        <v>2532</v>
      </c>
      <c r="B2533" s="14" t="n">
        <v>123189.491963101</v>
      </c>
      <c r="C2533" s="15" t="n">
        <v>0.0998387790122938</v>
      </c>
      <c r="D2533" s="14" t="n">
        <f aca="false">Summary!$B$5-B2533</f>
        <v>-23189.4919631012</v>
      </c>
      <c r="E2533" s="15" t="n">
        <f aca="false">B2533/Summary!$B$5-1</f>
        <v>0.231894919631012</v>
      </c>
    </row>
    <row r="2534" customFormat="false" ht="15" hidden="false" customHeight="false" outlineLevel="0" collapsed="false">
      <c r="A2534" s="0" t="n">
        <v>2533</v>
      </c>
      <c r="B2534" s="14" t="n">
        <v>112154.197576643</v>
      </c>
      <c r="C2534" s="15" t="n">
        <v>0.110688337547276</v>
      </c>
      <c r="D2534" s="14" t="n">
        <f aca="false">Summary!$B$5-B2534</f>
        <v>-12154.1975766434</v>
      </c>
      <c r="E2534" s="15" t="n">
        <f aca="false">B2534/Summary!$B$5-1</f>
        <v>0.121541975766434</v>
      </c>
    </row>
    <row r="2535" customFormat="false" ht="15" hidden="false" customHeight="false" outlineLevel="0" collapsed="false">
      <c r="A2535" s="0" t="n">
        <v>2534</v>
      </c>
      <c r="B2535" s="14" t="n">
        <v>115897.336718864</v>
      </c>
      <c r="C2535" s="15" t="n">
        <v>0.0706653548730342</v>
      </c>
      <c r="D2535" s="14" t="n">
        <f aca="false">Summary!$B$5-B2535</f>
        <v>-15897.3367188638</v>
      </c>
      <c r="E2535" s="15" t="n">
        <f aca="false">B2535/Summary!$B$5-1</f>
        <v>0.158973367188638</v>
      </c>
    </row>
    <row r="2536" customFormat="false" ht="15" hidden="false" customHeight="false" outlineLevel="0" collapsed="false">
      <c r="A2536" s="0" t="n">
        <v>2535</v>
      </c>
      <c r="B2536" s="14" t="n">
        <v>102561.914933</v>
      </c>
      <c r="C2536" s="15" t="n">
        <v>0.134887881382334</v>
      </c>
      <c r="D2536" s="14" t="n">
        <f aca="false">Summary!$B$5-B2536</f>
        <v>-2561.9149329998</v>
      </c>
      <c r="E2536" s="15" t="n">
        <f aca="false">B2536/Summary!$B$5-1</f>
        <v>0.025619149329998</v>
      </c>
    </row>
    <row r="2537" customFormat="false" ht="15" hidden="false" customHeight="false" outlineLevel="0" collapsed="false">
      <c r="A2537" s="0" t="n">
        <v>2536</v>
      </c>
      <c r="B2537" s="14" t="n">
        <v>103194.233766231</v>
      </c>
      <c r="C2537" s="15" t="n">
        <v>0.0654030528977273</v>
      </c>
      <c r="D2537" s="14" t="n">
        <f aca="false">Summary!$B$5-B2537</f>
        <v>-3194.2337662309</v>
      </c>
      <c r="E2537" s="15" t="n">
        <f aca="false">B2537/Summary!$B$5-1</f>
        <v>0.0319423376623089</v>
      </c>
    </row>
    <row r="2538" customFormat="false" ht="15" hidden="false" customHeight="false" outlineLevel="0" collapsed="false">
      <c r="A2538" s="0" t="n">
        <v>2537</v>
      </c>
      <c r="B2538" s="14" t="n">
        <v>94438.9279317099</v>
      </c>
      <c r="C2538" s="15" t="n">
        <v>0.10609313415748</v>
      </c>
      <c r="D2538" s="14" t="n">
        <f aca="false">Summary!$B$5-B2538</f>
        <v>5561.07206829006</v>
      </c>
      <c r="E2538" s="15" t="n">
        <f aca="false">B2538/Summary!$B$5-1</f>
        <v>-0.0556107206829006</v>
      </c>
    </row>
    <row r="2539" customFormat="false" ht="15" hidden="false" customHeight="false" outlineLevel="0" collapsed="false">
      <c r="A2539" s="0" t="n">
        <v>2538</v>
      </c>
      <c r="B2539" s="14" t="n">
        <v>134430.828191879</v>
      </c>
      <c r="C2539" s="15" t="n">
        <v>0.0910385493887475</v>
      </c>
      <c r="D2539" s="14" t="n">
        <f aca="false">Summary!$B$5-B2539</f>
        <v>-34430.8281918791</v>
      </c>
      <c r="E2539" s="15" t="n">
        <f aca="false">B2539/Summary!$B$5-1</f>
        <v>0.344308281918791</v>
      </c>
    </row>
    <row r="2540" customFormat="false" ht="15" hidden="false" customHeight="false" outlineLevel="0" collapsed="false">
      <c r="A2540" s="0" t="n">
        <v>2539</v>
      </c>
      <c r="B2540" s="14" t="n">
        <v>98443.7561917043</v>
      </c>
      <c r="C2540" s="15" t="n">
        <v>0.091358965274041</v>
      </c>
      <c r="D2540" s="14" t="n">
        <f aca="false">Summary!$B$5-B2540</f>
        <v>1556.24380829572</v>
      </c>
      <c r="E2540" s="15" t="n">
        <f aca="false">B2540/Summary!$B$5-1</f>
        <v>-0.0155624380829572</v>
      </c>
    </row>
    <row r="2541" customFormat="false" ht="15" hidden="false" customHeight="false" outlineLevel="0" collapsed="false">
      <c r="A2541" s="0" t="n">
        <v>2540</v>
      </c>
      <c r="B2541" s="14" t="n">
        <v>101191.732510226</v>
      </c>
      <c r="C2541" s="15" t="n">
        <v>0.179511925311104</v>
      </c>
      <c r="D2541" s="14" t="n">
        <f aca="false">Summary!$B$5-B2541</f>
        <v>-1191.7325102262</v>
      </c>
      <c r="E2541" s="15" t="n">
        <f aca="false">B2541/Summary!$B$5-1</f>
        <v>0.011917325102262</v>
      </c>
    </row>
    <row r="2542" customFormat="false" ht="15" hidden="false" customHeight="false" outlineLevel="0" collapsed="false">
      <c r="A2542" s="0" t="n">
        <v>2541</v>
      </c>
      <c r="B2542" s="14" t="n">
        <v>124072.779254352</v>
      </c>
      <c r="C2542" s="15" t="n">
        <v>0.123732330880779</v>
      </c>
      <c r="D2542" s="14" t="n">
        <f aca="false">Summary!$B$5-B2542</f>
        <v>-24072.7792543516</v>
      </c>
      <c r="E2542" s="15" t="n">
        <f aca="false">B2542/Summary!$B$5-1</f>
        <v>0.240727792543516</v>
      </c>
    </row>
    <row r="2543" customFormat="false" ht="15" hidden="false" customHeight="false" outlineLevel="0" collapsed="false">
      <c r="A2543" s="0" t="n">
        <v>2542</v>
      </c>
      <c r="B2543" s="14" t="n">
        <v>124216.446475973</v>
      </c>
      <c r="C2543" s="15" t="n">
        <v>0.0750610983754646</v>
      </c>
      <c r="D2543" s="14" t="n">
        <f aca="false">Summary!$B$5-B2543</f>
        <v>-24216.4464759734</v>
      </c>
      <c r="E2543" s="15" t="n">
        <f aca="false">B2543/Summary!$B$5-1</f>
        <v>0.242164464759734</v>
      </c>
    </row>
    <row r="2544" customFormat="false" ht="15" hidden="false" customHeight="false" outlineLevel="0" collapsed="false">
      <c r="A2544" s="0" t="n">
        <v>2543</v>
      </c>
      <c r="B2544" s="14" t="n">
        <v>114742.74197671</v>
      </c>
      <c r="C2544" s="15" t="n">
        <v>0.0633390012150709</v>
      </c>
      <c r="D2544" s="14" t="n">
        <f aca="false">Summary!$B$5-B2544</f>
        <v>-14742.7419767103</v>
      </c>
      <c r="E2544" s="15" t="n">
        <f aca="false">B2544/Summary!$B$5-1</f>
        <v>0.147427419767103</v>
      </c>
    </row>
    <row r="2545" customFormat="false" ht="15" hidden="false" customHeight="false" outlineLevel="0" collapsed="false">
      <c r="A2545" s="0" t="n">
        <v>2544</v>
      </c>
      <c r="B2545" s="14" t="n">
        <v>104044.582012616</v>
      </c>
      <c r="C2545" s="15" t="n">
        <v>0.0934179169783833</v>
      </c>
      <c r="D2545" s="14" t="n">
        <f aca="false">Summary!$B$5-B2545</f>
        <v>-4044.582012616</v>
      </c>
      <c r="E2545" s="15" t="n">
        <f aca="false">B2545/Summary!$B$5-1</f>
        <v>0.0404458201261599</v>
      </c>
    </row>
    <row r="2546" customFormat="false" ht="15" hidden="false" customHeight="false" outlineLevel="0" collapsed="false">
      <c r="A2546" s="0" t="n">
        <v>2545</v>
      </c>
      <c r="B2546" s="14" t="n">
        <v>133599.513056881</v>
      </c>
      <c r="C2546" s="15" t="n">
        <v>0.0701117738040177</v>
      </c>
      <c r="D2546" s="14" t="n">
        <f aca="false">Summary!$B$5-B2546</f>
        <v>-33599.5130568812</v>
      </c>
      <c r="E2546" s="15" t="n">
        <f aca="false">B2546/Summary!$B$5-1</f>
        <v>0.335995130568812</v>
      </c>
    </row>
    <row r="2547" customFormat="false" ht="15" hidden="false" customHeight="false" outlineLevel="0" collapsed="false">
      <c r="A2547" s="0" t="n">
        <v>2546</v>
      </c>
      <c r="B2547" s="14" t="n">
        <v>107267.356025906</v>
      </c>
      <c r="C2547" s="15" t="n">
        <v>0.061946815642729</v>
      </c>
      <c r="D2547" s="14" t="n">
        <f aca="false">Summary!$B$5-B2547</f>
        <v>-7267.3560259057</v>
      </c>
      <c r="E2547" s="15" t="n">
        <f aca="false">B2547/Summary!$B$5-1</f>
        <v>0.0726735602590569</v>
      </c>
    </row>
    <row r="2548" customFormat="false" ht="15" hidden="false" customHeight="false" outlineLevel="0" collapsed="false">
      <c r="A2548" s="0" t="n">
        <v>2547</v>
      </c>
      <c r="B2548" s="14" t="n">
        <v>106080.806310129</v>
      </c>
      <c r="C2548" s="15" t="n">
        <v>0.137857055384412</v>
      </c>
      <c r="D2548" s="14" t="n">
        <f aca="false">Summary!$B$5-B2548</f>
        <v>-6080.8063101294</v>
      </c>
      <c r="E2548" s="15" t="n">
        <f aca="false">B2548/Summary!$B$5-1</f>
        <v>0.0608080631012939</v>
      </c>
    </row>
    <row r="2549" customFormat="false" ht="15" hidden="false" customHeight="false" outlineLevel="0" collapsed="false">
      <c r="A2549" s="0" t="n">
        <v>2548</v>
      </c>
      <c r="B2549" s="14" t="n">
        <v>119772.785118127</v>
      </c>
      <c r="C2549" s="15" t="n">
        <v>0.104654748980306</v>
      </c>
      <c r="D2549" s="14" t="n">
        <f aca="false">Summary!$B$5-B2549</f>
        <v>-19772.7851181265</v>
      </c>
      <c r="E2549" s="15" t="n">
        <f aca="false">B2549/Summary!$B$5-1</f>
        <v>0.197727851181265</v>
      </c>
    </row>
    <row r="2550" customFormat="false" ht="15" hidden="false" customHeight="false" outlineLevel="0" collapsed="false">
      <c r="A2550" s="0" t="n">
        <v>2549</v>
      </c>
      <c r="B2550" s="14" t="n">
        <v>112132.071889889</v>
      </c>
      <c r="C2550" s="15" t="n">
        <v>0.0735962479233954</v>
      </c>
      <c r="D2550" s="14" t="n">
        <f aca="false">Summary!$B$5-B2550</f>
        <v>-12132.0718898887</v>
      </c>
      <c r="E2550" s="15" t="n">
        <f aca="false">B2550/Summary!$B$5-1</f>
        <v>0.121320718898887</v>
      </c>
    </row>
    <row r="2551" customFormat="false" ht="15" hidden="false" customHeight="false" outlineLevel="0" collapsed="false">
      <c r="A2551" s="0" t="n">
        <v>2550</v>
      </c>
      <c r="B2551" s="14" t="n">
        <v>92698.7478985735</v>
      </c>
      <c r="C2551" s="15" t="n">
        <v>0.0975892887584468</v>
      </c>
      <c r="D2551" s="14" t="n">
        <f aca="false">Summary!$B$5-B2551</f>
        <v>7301.25210142654</v>
      </c>
      <c r="E2551" s="15" t="n">
        <f aca="false">B2551/Summary!$B$5-1</f>
        <v>-0.0730125210142654</v>
      </c>
    </row>
    <row r="2552" customFormat="false" ht="15" hidden="false" customHeight="false" outlineLevel="0" collapsed="false">
      <c r="A2552" s="0" t="n">
        <v>2551</v>
      </c>
      <c r="B2552" s="14" t="n">
        <v>109720.329237489</v>
      </c>
      <c r="C2552" s="15" t="n">
        <v>0.0572714953469367</v>
      </c>
      <c r="D2552" s="14" t="n">
        <f aca="false">Summary!$B$5-B2552</f>
        <v>-9720.32923748851</v>
      </c>
      <c r="E2552" s="15" t="n">
        <f aca="false">B2552/Summary!$B$5-1</f>
        <v>0.0972032923748851</v>
      </c>
    </row>
    <row r="2553" customFormat="false" ht="15" hidden="false" customHeight="false" outlineLevel="0" collapsed="false">
      <c r="A2553" s="0" t="n">
        <v>2552</v>
      </c>
      <c r="B2553" s="14" t="n">
        <v>92479.5800803053</v>
      </c>
      <c r="C2553" s="15" t="n">
        <v>0.166858285538084</v>
      </c>
      <c r="D2553" s="14" t="n">
        <f aca="false">Summary!$B$5-B2553</f>
        <v>7520.41991969466</v>
      </c>
      <c r="E2553" s="15" t="n">
        <f aca="false">B2553/Summary!$B$5-1</f>
        <v>-0.0752041991969465</v>
      </c>
    </row>
    <row r="2554" customFormat="false" ht="15" hidden="false" customHeight="false" outlineLevel="0" collapsed="false">
      <c r="A2554" s="0" t="n">
        <v>2553</v>
      </c>
      <c r="B2554" s="14" t="n">
        <v>127867.524643385</v>
      </c>
      <c r="C2554" s="15" t="n">
        <v>0.0630597812217084</v>
      </c>
      <c r="D2554" s="14" t="n">
        <f aca="false">Summary!$B$5-B2554</f>
        <v>-27867.5246433849</v>
      </c>
      <c r="E2554" s="15" t="n">
        <f aca="false">B2554/Summary!$B$5-1</f>
        <v>0.278675246433849</v>
      </c>
    </row>
    <row r="2555" customFormat="false" ht="15" hidden="false" customHeight="false" outlineLevel="0" collapsed="false">
      <c r="A2555" s="0" t="n">
        <v>2554</v>
      </c>
      <c r="B2555" s="14" t="n">
        <v>100178.139603566</v>
      </c>
      <c r="C2555" s="15" t="n">
        <v>0.109912717503322</v>
      </c>
      <c r="D2555" s="14" t="n">
        <f aca="false">Summary!$B$5-B2555</f>
        <v>-178.139603566306</v>
      </c>
      <c r="E2555" s="15" t="n">
        <f aca="false">B2555/Summary!$B$5-1</f>
        <v>0.00178139603566296</v>
      </c>
    </row>
    <row r="2556" customFormat="false" ht="15" hidden="false" customHeight="false" outlineLevel="0" collapsed="false">
      <c r="A2556" s="0" t="n">
        <v>2555</v>
      </c>
      <c r="B2556" s="14" t="n">
        <v>115381.3467622</v>
      </c>
      <c r="C2556" s="15" t="n">
        <v>0.0924373686889431</v>
      </c>
      <c r="D2556" s="14" t="n">
        <f aca="false">Summary!$B$5-B2556</f>
        <v>-15381.3467622</v>
      </c>
      <c r="E2556" s="15" t="n">
        <f aca="false">B2556/Summary!$B$5-1</f>
        <v>0.153813467622</v>
      </c>
    </row>
    <row r="2557" customFormat="false" ht="15" hidden="false" customHeight="false" outlineLevel="0" collapsed="false">
      <c r="A2557" s="0" t="n">
        <v>2556</v>
      </c>
      <c r="B2557" s="14" t="n">
        <v>121804.702814422</v>
      </c>
      <c r="C2557" s="15" t="n">
        <v>0.0840960754014501</v>
      </c>
      <c r="D2557" s="14" t="n">
        <f aca="false">Summary!$B$5-B2557</f>
        <v>-21804.7028144215</v>
      </c>
      <c r="E2557" s="15" t="n">
        <f aca="false">B2557/Summary!$B$5-1</f>
        <v>0.218047028144215</v>
      </c>
    </row>
    <row r="2558" customFormat="false" ht="15" hidden="false" customHeight="false" outlineLevel="0" collapsed="false">
      <c r="A2558" s="0" t="n">
        <v>2557</v>
      </c>
      <c r="B2558" s="14" t="n">
        <v>117499.916696248</v>
      </c>
      <c r="C2558" s="15" t="n">
        <v>0.0811866931896601</v>
      </c>
      <c r="D2558" s="14" t="n">
        <f aca="false">Summary!$B$5-B2558</f>
        <v>-17499.9166962477</v>
      </c>
      <c r="E2558" s="15" t="n">
        <f aca="false">B2558/Summary!$B$5-1</f>
        <v>0.174999166962477</v>
      </c>
    </row>
    <row r="2559" customFormat="false" ht="15" hidden="false" customHeight="false" outlineLevel="0" collapsed="false">
      <c r="A2559" s="0" t="n">
        <v>2558</v>
      </c>
      <c r="B2559" s="14" t="n">
        <v>99839.2944121472</v>
      </c>
      <c r="C2559" s="15" t="n">
        <v>0.120698410500026</v>
      </c>
      <c r="D2559" s="14" t="n">
        <f aca="false">Summary!$B$5-B2559</f>
        <v>160.705587852819</v>
      </c>
      <c r="E2559" s="15" t="n">
        <f aca="false">B2559/Summary!$B$5-1</f>
        <v>-0.00160705587852816</v>
      </c>
    </row>
    <row r="2560" customFormat="false" ht="15" hidden="false" customHeight="false" outlineLevel="0" collapsed="false">
      <c r="A2560" s="0" t="n">
        <v>2559</v>
      </c>
      <c r="B2560" s="14" t="n">
        <v>110880.8324144</v>
      </c>
      <c r="C2560" s="15" t="n">
        <v>0.073164540613834</v>
      </c>
      <c r="D2560" s="14" t="n">
        <f aca="false">Summary!$B$5-B2560</f>
        <v>-10880.8324143996</v>
      </c>
      <c r="E2560" s="15" t="n">
        <f aca="false">B2560/Summary!$B$5-1</f>
        <v>0.108808324143996</v>
      </c>
    </row>
    <row r="2561" customFormat="false" ht="15" hidden="false" customHeight="false" outlineLevel="0" collapsed="false">
      <c r="A2561" s="0" t="n">
        <v>2560</v>
      </c>
      <c r="B2561" s="14" t="n">
        <v>94296.0460005973</v>
      </c>
      <c r="C2561" s="15" t="n">
        <v>0.133031441296959</v>
      </c>
      <c r="D2561" s="14" t="n">
        <f aca="false">Summary!$B$5-B2561</f>
        <v>5703.9539994027</v>
      </c>
      <c r="E2561" s="15" t="n">
        <f aca="false">B2561/Summary!$B$5-1</f>
        <v>-0.057039539994027</v>
      </c>
    </row>
    <row r="2562" customFormat="false" ht="15" hidden="false" customHeight="false" outlineLevel="0" collapsed="false">
      <c r="A2562" s="0" t="n">
        <v>2561</v>
      </c>
      <c r="B2562" s="14" t="n">
        <v>117034.448332491</v>
      </c>
      <c r="C2562" s="15" t="n">
        <v>0.0913909552562299</v>
      </c>
      <c r="D2562" s="14" t="n">
        <f aca="false">Summary!$B$5-B2562</f>
        <v>-17034.4483324907</v>
      </c>
      <c r="E2562" s="15" t="n">
        <f aca="false">B2562/Summary!$B$5-1</f>
        <v>0.170344483324907</v>
      </c>
    </row>
    <row r="2563" customFormat="false" ht="15" hidden="false" customHeight="false" outlineLevel="0" collapsed="false">
      <c r="A2563" s="0" t="n">
        <v>2562</v>
      </c>
      <c r="B2563" s="14" t="n">
        <v>84153.8828329869</v>
      </c>
      <c r="C2563" s="15" t="n">
        <v>0.191135720350691</v>
      </c>
      <c r="D2563" s="14" t="n">
        <f aca="false">Summary!$B$5-B2563</f>
        <v>15846.1171670131</v>
      </c>
      <c r="E2563" s="15" t="n">
        <f aca="false">B2563/Summary!$B$5-1</f>
        <v>-0.158461171670131</v>
      </c>
    </row>
    <row r="2564" customFormat="false" ht="15" hidden="false" customHeight="false" outlineLevel="0" collapsed="false">
      <c r="A2564" s="0" t="n">
        <v>2563</v>
      </c>
      <c r="B2564" s="14" t="n">
        <v>98360.9622036175</v>
      </c>
      <c r="C2564" s="15" t="n">
        <v>0.121945970624484</v>
      </c>
      <c r="D2564" s="14" t="n">
        <f aca="false">Summary!$B$5-B2564</f>
        <v>1639.03779638252</v>
      </c>
      <c r="E2564" s="15" t="n">
        <f aca="false">B2564/Summary!$B$5-1</f>
        <v>-0.0163903779638251</v>
      </c>
    </row>
    <row r="2565" customFormat="false" ht="15" hidden="false" customHeight="false" outlineLevel="0" collapsed="false">
      <c r="A2565" s="0" t="n">
        <v>2564</v>
      </c>
      <c r="B2565" s="14" t="n">
        <v>116540.79224779</v>
      </c>
      <c r="C2565" s="15" t="n">
        <v>0.0640774884013395</v>
      </c>
      <c r="D2565" s="14" t="n">
        <f aca="false">Summary!$B$5-B2565</f>
        <v>-16540.7922477899</v>
      </c>
      <c r="E2565" s="15" t="n">
        <f aca="false">B2565/Summary!$B$5-1</f>
        <v>0.165407922477899</v>
      </c>
    </row>
    <row r="2566" customFormat="false" ht="15" hidden="false" customHeight="false" outlineLevel="0" collapsed="false">
      <c r="A2566" s="0" t="n">
        <v>2565</v>
      </c>
      <c r="B2566" s="14" t="n">
        <v>109395.681083612</v>
      </c>
      <c r="C2566" s="15" t="n">
        <v>0.0681962666600025</v>
      </c>
      <c r="D2566" s="14" t="n">
        <f aca="false">Summary!$B$5-B2566</f>
        <v>-9395.681083612</v>
      </c>
      <c r="E2566" s="15" t="n">
        <f aca="false">B2566/Summary!$B$5-1</f>
        <v>0.09395681083612</v>
      </c>
    </row>
    <row r="2567" customFormat="false" ht="15" hidden="false" customHeight="false" outlineLevel="0" collapsed="false">
      <c r="A2567" s="0" t="n">
        <v>2566</v>
      </c>
      <c r="B2567" s="14" t="n">
        <v>111365.732102341</v>
      </c>
      <c r="C2567" s="15" t="n">
        <v>0.0710161222431145</v>
      </c>
      <c r="D2567" s="14" t="n">
        <f aca="false">Summary!$B$5-B2567</f>
        <v>-11365.7321023406</v>
      </c>
      <c r="E2567" s="15" t="n">
        <f aca="false">B2567/Summary!$B$5-1</f>
        <v>0.113657321023406</v>
      </c>
    </row>
    <row r="2568" customFormat="false" ht="15" hidden="false" customHeight="false" outlineLevel="0" collapsed="false">
      <c r="A2568" s="0" t="n">
        <v>2567</v>
      </c>
      <c r="B2568" s="14" t="n">
        <v>105231.826918631</v>
      </c>
      <c r="C2568" s="15" t="n">
        <v>0.155569765248099</v>
      </c>
      <c r="D2568" s="14" t="n">
        <f aca="false">Summary!$B$5-B2568</f>
        <v>-5231.8269186306</v>
      </c>
      <c r="E2568" s="15" t="n">
        <f aca="false">B2568/Summary!$B$5-1</f>
        <v>0.052318269186306</v>
      </c>
    </row>
    <row r="2569" customFormat="false" ht="15" hidden="false" customHeight="false" outlineLevel="0" collapsed="false">
      <c r="A2569" s="0" t="n">
        <v>2568</v>
      </c>
      <c r="B2569" s="14" t="n">
        <v>97371.0164208175</v>
      </c>
      <c r="C2569" s="15" t="n">
        <v>0.147985235104983</v>
      </c>
      <c r="D2569" s="14" t="n">
        <f aca="false">Summary!$B$5-B2569</f>
        <v>2628.98357918253</v>
      </c>
      <c r="E2569" s="15" t="n">
        <f aca="false">B2569/Summary!$B$5-1</f>
        <v>-0.0262898357918253</v>
      </c>
    </row>
    <row r="2570" customFormat="false" ht="15" hidden="false" customHeight="false" outlineLevel="0" collapsed="false">
      <c r="A2570" s="0" t="n">
        <v>2569</v>
      </c>
      <c r="B2570" s="14" t="n">
        <v>95293.2680703019</v>
      </c>
      <c r="C2570" s="15" t="n">
        <v>0.110837721739926</v>
      </c>
      <c r="D2570" s="14" t="n">
        <f aca="false">Summary!$B$5-B2570</f>
        <v>4706.73192969812</v>
      </c>
      <c r="E2570" s="15" t="n">
        <f aca="false">B2570/Summary!$B$5-1</f>
        <v>-0.0470673192969812</v>
      </c>
    </row>
    <row r="2571" customFormat="false" ht="15" hidden="false" customHeight="false" outlineLevel="0" collapsed="false">
      <c r="A2571" s="0" t="n">
        <v>2570</v>
      </c>
      <c r="B2571" s="14" t="n">
        <v>134447.579518996</v>
      </c>
      <c r="C2571" s="15" t="n">
        <v>0.0573447234987302</v>
      </c>
      <c r="D2571" s="14" t="n">
        <f aca="false">Summary!$B$5-B2571</f>
        <v>-34447.5795189955</v>
      </c>
      <c r="E2571" s="15" t="n">
        <f aca="false">B2571/Summary!$B$5-1</f>
        <v>0.344475795189955</v>
      </c>
    </row>
    <row r="2572" customFormat="false" ht="15" hidden="false" customHeight="false" outlineLevel="0" collapsed="false">
      <c r="A2572" s="0" t="n">
        <v>2571</v>
      </c>
      <c r="B2572" s="14" t="n">
        <v>116758.172396991</v>
      </c>
      <c r="C2572" s="15" t="n">
        <v>0.0894258797221333</v>
      </c>
      <c r="D2572" s="14" t="n">
        <f aca="false">Summary!$B$5-B2572</f>
        <v>-16758.1723969908</v>
      </c>
      <c r="E2572" s="15" t="n">
        <f aca="false">B2572/Summary!$B$5-1</f>
        <v>0.167581723969908</v>
      </c>
    </row>
    <row r="2573" customFormat="false" ht="15" hidden="false" customHeight="false" outlineLevel="0" collapsed="false">
      <c r="A2573" s="0" t="n">
        <v>2572</v>
      </c>
      <c r="B2573" s="14" t="n">
        <v>85351.7482454629</v>
      </c>
      <c r="C2573" s="15" t="n">
        <v>0.153892005295357</v>
      </c>
      <c r="D2573" s="14" t="n">
        <f aca="false">Summary!$B$5-B2573</f>
        <v>14648.2517545371</v>
      </c>
      <c r="E2573" s="15" t="n">
        <f aca="false">B2573/Summary!$B$5-1</f>
        <v>-0.146482517545371</v>
      </c>
    </row>
    <row r="2574" customFormat="false" ht="15" hidden="false" customHeight="false" outlineLevel="0" collapsed="false">
      <c r="A2574" s="0" t="n">
        <v>2573</v>
      </c>
      <c r="B2574" s="14" t="n">
        <v>90836.7762768524</v>
      </c>
      <c r="C2574" s="15" t="n">
        <v>0.24497708244745</v>
      </c>
      <c r="D2574" s="14" t="n">
        <f aca="false">Summary!$B$5-B2574</f>
        <v>9163.22372314759</v>
      </c>
      <c r="E2574" s="15" t="n">
        <f aca="false">B2574/Summary!$B$5-1</f>
        <v>-0.0916322372314758</v>
      </c>
    </row>
    <row r="2575" customFormat="false" ht="15" hidden="false" customHeight="false" outlineLevel="0" collapsed="false">
      <c r="A2575" s="0" t="n">
        <v>2574</v>
      </c>
      <c r="B2575" s="14" t="n">
        <v>117927.441683933</v>
      </c>
      <c r="C2575" s="15" t="n">
        <v>0.0511863579818829</v>
      </c>
      <c r="D2575" s="14" t="n">
        <f aca="false">Summary!$B$5-B2575</f>
        <v>-17927.4416839333</v>
      </c>
      <c r="E2575" s="15" t="n">
        <f aca="false">B2575/Summary!$B$5-1</f>
        <v>0.179274416839333</v>
      </c>
    </row>
    <row r="2576" customFormat="false" ht="15" hidden="false" customHeight="false" outlineLevel="0" collapsed="false">
      <c r="A2576" s="0" t="n">
        <v>2575</v>
      </c>
      <c r="B2576" s="14" t="n">
        <v>97259.040540384</v>
      </c>
      <c r="C2576" s="15" t="n">
        <v>0.167300216403271</v>
      </c>
      <c r="D2576" s="14" t="n">
        <f aca="false">Summary!$B$5-B2576</f>
        <v>2740.95945961596</v>
      </c>
      <c r="E2576" s="15" t="n">
        <f aca="false">B2576/Summary!$B$5-1</f>
        <v>-0.0274095945961595</v>
      </c>
    </row>
    <row r="2577" customFormat="false" ht="15" hidden="false" customHeight="false" outlineLevel="0" collapsed="false">
      <c r="A2577" s="0" t="n">
        <v>2576</v>
      </c>
      <c r="B2577" s="14" t="n">
        <v>109913.608748722</v>
      </c>
      <c r="C2577" s="15" t="n">
        <v>0.0587161543320188</v>
      </c>
      <c r="D2577" s="14" t="n">
        <f aca="false">Summary!$B$5-B2577</f>
        <v>-9913.60874872191</v>
      </c>
      <c r="E2577" s="15" t="n">
        <f aca="false">B2577/Summary!$B$5-1</f>
        <v>0.0991360874872191</v>
      </c>
    </row>
    <row r="2578" customFormat="false" ht="15" hidden="false" customHeight="false" outlineLevel="0" collapsed="false">
      <c r="A2578" s="0" t="n">
        <v>2577</v>
      </c>
      <c r="B2578" s="14" t="n">
        <v>116041.606220444</v>
      </c>
      <c r="C2578" s="15" t="n">
        <v>0.0880513310697646</v>
      </c>
      <c r="D2578" s="14" t="n">
        <f aca="false">Summary!$B$5-B2578</f>
        <v>-16041.606220444</v>
      </c>
      <c r="E2578" s="15" t="n">
        <f aca="false">B2578/Summary!$B$5-1</f>
        <v>0.16041606220444</v>
      </c>
    </row>
    <row r="2579" customFormat="false" ht="15" hidden="false" customHeight="false" outlineLevel="0" collapsed="false">
      <c r="A2579" s="0" t="n">
        <v>2578</v>
      </c>
      <c r="B2579" s="14" t="n">
        <v>111965.598247729</v>
      </c>
      <c r="C2579" s="15" t="n">
        <v>0.0945079093437399</v>
      </c>
      <c r="D2579" s="14" t="n">
        <f aca="false">Summary!$B$5-B2579</f>
        <v>-11965.5982477292</v>
      </c>
      <c r="E2579" s="15" t="n">
        <f aca="false">B2579/Summary!$B$5-1</f>
        <v>0.119655982477292</v>
      </c>
    </row>
    <row r="2580" customFormat="false" ht="15" hidden="false" customHeight="false" outlineLevel="0" collapsed="false">
      <c r="A2580" s="0" t="n">
        <v>2579</v>
      </c>
      <c r="B2580" s="14" t="n">
        <v>131934.876459829</v>
      </c>
      <c r="C2580" s="15" t="n">
        <v>0.0437546109862673</v>
      </c>
      <c r="D2580" s="14" t="n">
        <f aca="false">Summary!$B$5-B2580</f>
        <v>-31934.8764598293</v>
      </c>
      <c r="E2580" s="15" t="n">
        <f aca="false">B2580/Summary!$B$5-1</f>
        <v>0.319348764598293</v>
      </c>
    </row>
    <row r="2581" customFormat="false" ht="15" hidden="false" customHeight="false" outlineLevel="0" collapsed="false">
      <c r="A2581" s="0" t="n">
        <v>2580</v>
      </c>
      <c r="B2581" s="14" t="n">
        <v>114588.509033532</v>
      </c>
      <c r="C2581" s="15" t="n">
        <v>0.196316009109225</v>
      </c>
      <c r="D2581" s="14" t="n">
        <f aca="false">Summary!$B$5-B2581</f>
        <v>-14588.5090335322</v>
      </c>
      <c r="E2581" s="15" t="n">
        <f aca="false">B2581/Summary!$B$5-1</f>
        <v>0.145885090335322</v>
      </c>
    </row>
    <row r="2582" customFormat="false" ht="15" hidden="false" customHeight="false" outlineLevel="0" collapsed="false">
      <c r="A2582" s="0" t="n">
        <v>2581</v>
      </c>
      <c r="B2582" s="14" t="n">
        <v>97290.6363650004</v>
      </c>
      <c r="C2582" s="15" t="n">
        <v>0.134492954098699</v>
      </c>
      <c r="D2582" s="14" t="n">
        <f aca="false">Summary!$B$5-B2582</f>
        <v>2709.36363499964</v>
      </c>
      <c r="E2582" s="15" t="n">
        <f aca="false">B2582/Summary!$B$5-1</f>
        <v>-0.0270936363499964</v>
      </c>
    </row>
    <row r="2583" customFormat="false" ht="15" hidden="false" customHeight="false" outlineLevel="0" collapsed="false">
      <c r="A2583" s="0" t="n">
        <v>2582</v>
      </c>
      <c r="B2583" s="14" t="n">
        <v>93000.3214271499</v>
      </c>
      <c r="C2583" s="15" t="n">
        <v>0.103590147415074</v>
      </c>
      <c r="D2583" s="14" t="n">
        <f aca="false">Summary!$B$5-B2583</f>
        <v>6999.67857285007</v>
      </c>
      <c r="E2583" s="15" t="n">
        <f aca="false">B2583/Summary!$B$5-1</f>
        <v>-0.0699967857285007</v>
      </c>
    </row>
    <row r="2584" customFormat="false" ht="15" hidden="false" customHeight="false" outlineLevel="0" collapsed="false">
      <c r="A2584" s="0" t="n">
        <v>2583</v>
      </c>
      <c r="B2584" s="14" t="n">
        <v>111277.085810087</v>
      </c>
      <c r="C2584" s="15" t="n">
        <v>0.0505047062988268</v>
      </c>
      <c r="D2584" s="14" t="n">
        <f aca="false">Summary!$B$5-B2584</f>
        <v>-11277.0858100871</v>
      </c>
      <c r="E2584" s="15" t="n">
        <f aca="false">B2584/Summary!$B$5-1</f>
        <v>0.112770858100871</v>
      </c>
    </row>
    <row r="2585" customFormat="false" ht="15" hidden="false" customHeight="false" outlineLevel="0" collapsed="false">
      <c r="A2585" s="0" t="n">
        <v>2584</v>
      </c>
      <c r="B2585" s="14" t="n">
        <v>129256.899137274</v>
      </c>
      <c r="C2585" s="15" t="n">
        <v>0.0527317226221832</v>
      </c>
      <c r="D2585" s="14" t="n">
        <f aca="false">Summary!$B$5-B2585</f>
        <v>-29256.8991372738</v>
      </c>
      <c r="E2585" s="15" t="n">
        <f aca="false">B2585/Summary!$B$5-1</f>
        <v>0.292568991372738</v>
      </c>
    </row>
    <row r="2586" customFormat="false" ht="15" hidden="false" customHeight="false" outlineLevel="0" collapsed="false">
      <c r="A2586" s="0" t="n">
        <v>2585</v>
      </c>
      <c r="B2586" s="14" t="n">
        <v>104202.01138801</v>
      </c>
      <c r="C2586" s="15" t="n">
        <v>0.0931695024435659</v>
      </c>
      <c r="D2586" s="14" t="n">
        <f aca="false">Summary!$B$5-B2586</f>
        <v>-4202.0113880103</v>
      </c>
      <c r="E2586" s="15" t="n">
        <f aca="false">B2586/Summary!$B$5-1</f>
        <v>0.0420201138801031</v>
      </c>
    </row>
    <row r="2587" customFormat="false" ht="15" hidden="false" customHeight="false" outlineLevel="0" collapsed="false">
      <c r="A2587" s="0" t="n">
        <v>2586</v>
      </c>
      <c r="B2587" s="14" t="n">
        <v>121210.523238034</v>
      </c>
      <c r="C2587" s="15" t="n">
        <v>0.0661768052401373</v>
      </c>
      <c r="D2587" s="14" t="n">
        <f aca="false">Summary!$B$5-B2587</f>
        <v>-21210.5232380343</v>
      </c>
      <c r="E2587" s="15" t="n">
        <f aca="false">B2587/Summary!$B$5-1</f>
        <v>0.212105232380343</v>
      </c>
    </row>
    <row r="2588" customFormat="false" ht="15" hidden="false" customHeight="false" outlineLevel="0" collapsed="false">
      <c r="A2588" s="0" t="n">
        <v>2587</v>
      </c>
      <c r="B2588" s="14" t="n">
        <v>124928.121437808</v>
      </c>
      <c r="C2588" s="15" t="n">
        <v>0.0423625806616425</v>
      </c>
      <c r="D2588" s="14" t="n">
        <f aca="false">Summary!$B$5-B2588</f>
        <v>-24928.1214378082</v>
      </c>
      <c r="E2588" s="15" t="n">
        <f aca="false">B2588/Summary!$B$5-1</f>
        <v>0.249281214378082</v>
      </c>
    </row>
    <row r="2589" customFormat="false" ht="15" hidden="false" customHeight="false" outlineLevel="0" collapsed="false">
      <c r="A2589" s="0" t="n">
        <v>2588</v>
      </c>
      <c r="B2589" s="14" t="n">
        <v>99176.5640158705</v>
      </c>
      <c r="C2589" s="15" t="n">
        <v>0.101160803854111</v>
      </c>
      <c r="D2589" s="14" t="n">
        <f aca="false">Summary!$B$5-B2589</f>
        <v>823.435984129465</v>
      </c>
      <c r="E2589" s="15" t="n">
        <f aca="false">B2589/Summary!$B$5-1</f>
        <v>-0.00823435984129461</v>
      </c>
    </row>
    <row r="2590" customFormat="false" ht="15" hidden="false" customHeight="false" outlineLevel="0" collapsed="false">
      <c r="A2590" s="0" t="n">
        <v>2589</v>
      </c>
      <c r="B2590" s="14" t="n">
        <v>111871.790606652</v>
      </c>
      <c r="C2590" s="15" t="n">
        <v>0.0682173075916454</v>
      </c>
      <c r="D2590" s="14" t="n">
        <f aca="false">Summary!$B$5-B2590</f>
        <v>-11871.7906066524</v>
      </c>
      <c r="E2590" s="15" t="n">
        <f aca="false">B2590/Summary!$B$5-1</f>
        <v>0.118717906066524</v>
      </c>
    </row>
    <row r="2591" customFormat="false" ht="15" hidden="false" customHeight="false" outlineLevel="0" collapsed="false">
      <c r="A2591" s="0" t="n">
        <v>2590</v>
      </c>
      <c r="B2591" s="14" t="n">
        <v>93005.3127250618</v>
      </c>
      <c r="C2591" s="15" t="n">
        <v>0.168895269943664</v>
      </c>
      <c r="D2591" s="14" t="n">
        <f aca="false">Summary!$B$5-B2591</f>
        <v>6994.68727493817</v>
      </c>
      <c r="E2591" s="15" t="n">
        <f aca="false">B2591/Summary!$B$5-1</f>
        <v>-0.0699468727493817</v>
      </c>
    </row>
    <row r="2592" customFormat="false" ht="15" hidden="false" customHeight="false" outlineLevel="0" collapsed="false">
      <c r="A2592" s="0" t="n">
        <v>2591</v>
      </c>
      <c r="B2592" s="14" t="n">
        <v>114176.864537671</v>
      </c>
      <c r="C2592" s="15" t="n">
        <v>0.0770426790242501</v>
      </c>
      <c r="D2592" s="14" t="n">
        <f aca="false">Summary!$B$5-B2592</f>
        <v>-14176.8645376705</v>
      </c>
      <c r="E2592" s="15" t="n">
        <f aca="false">B2592/Summary!$B$5-1</f>
        <v>0.141768645376705</v>
      </c>
    </row>
    <row r="2593" customFormat="false" ht="15" hidden="false" customHeight="false" outlineLevel="0" collapsed="false">
      <c r="A2593" s="0" t="n">
        <v>2592</v>
      </c>
      <c r="B2593" s="14" t="n">
        <v>111152.343872327</v>
      </c>
      <c r="C2593" s="15" t="n">
        <v>0.0988426874645882</v>
      </c>
      <c r="D2593" s="14" t="n">
        <f aca="false">Summary!$B$5-B2593</f>
        <v>-11152.3438723271</v>
      </c>
      <c r="E2593" s="15" t="n">
        <f aca="false">B2593/Summary!$B$5-1</f>
        <v>0.111523438723271</v>
      </c>
    </row>
    <row r="2594" customFormat="false" ht="15" hidden="false" customHeight="false" outlineLevel="0" collapsed="false">
      <c r="A2594" s="0" t="n">
        <v>2593</v>
      </c>
      <c r="B2594" s="14" t="n">
        <v>114401.820766962</v>
      </c>
      <c r="C2594" s="15" t="n">
        <v>0.0964567156620071</v>
      </c>
      <c r="D2594" s="14" t="n">
        <f aca="false">Summary!$B$5-B2594</f>
        <v>-14401.8207669615</v>
      </c>
      <c r="E2594" s="15" t="n">
        <f aca="false">B2594/Summary!$B$5-1</f>
        <v>0.144018207669615</v>
      </c>
    </row>
    <row r="2595" customFormat="false" ht="15" hidden="false" customHeight="false" outlineLevel="0" collapsed="false">
      <c r="A2595" s="0" t="n">
        <v>2594</v>
      </c>
      <c r="B2595" s="14" t="n">
        <v>128494.322724233</v>
      </c>
      <c r="C2595" s="15" t="n">
        <v>0.102070316080648</v>
      </c>
      <c r="D2595" s="14" t="n">
        <f aca="false">Summary!$B$5-B2595</f>
        <v>-28494.3227242326</v>
      </c>
      <c r="E2595" s="15" t="n">
        <f aca="false">B2595/Summary!$B$5-1</f>
        <v>0.284943227242326</v>
      </c>
    </row>
    <row r="2596" customFormat="false" ht="15" hidden="false" customHeight="false" outlineLevel="0" collapsed="false">
      <c r="A2596" s="0" t="n">
        <v>2595</v>
      </c>
      <c r="B2596" s="14" t="n">
        <v>100839.036778597</v>
      </c>
      <c r="C2596" s="15" t="n">
        <v>0.118790880062916</v>
      </c>
      <c r="D2596" s="14" t="n">
        <f aca="false">Summary!$B$5-B2596</f>
        <v>-839.036778597001</v>
      </c>
      <c r="E2596" s="15" t="n">
        <f aca="false">B2596/Summary!$B$5-1</f>
        <v>0.00839036778597002</v>
      </c>
    </row>
    <row r="2597" customFormat="false" ht="15" hidden="false" customHeight="false" outlineLevel="0" collapsed="false">
      <c r="A2597" s="0" t="n">
        <v>2596</v>
      </c>
      <c r="B2597" s="14" t="n">
        <v>120435.63221781</v>
      </c>
      <c r="C2597" s="15" t="n">
        <v>0.0781752571895988</v>
      </c>
      <c r="D2597" s="14" t="n">
        <f aca="false">Summary!$B$5-B2597</f>
        <v>-20435.6322178102</v>
      </c>
      <c r="E2597" s="15" t="n">
        <f aca="false">B2597/Summary!$B$5-1</f>
        <v>0.204356322178102</v>
      </c>
    </row>
    <row r="2598" customFormat="false" ht="15" hidden="false" customHeight="false" outlineLevel="0" collapsed="false">
      <c r="A2598" s="0" t="n">
        <v>2597</v>
      </c>
      <c r="B2598" s="14" t="n">
        <v>85625.3498228764</v>
      </c>
      <c r="C2598" s="15" t="n">
        <v>0.212498797577869</v>
      </c>
      <c r="D2598" s="14" t="n">
        <f aca="false">Summary!$B$5-B2598</f>
        <v>14374.6501771236</v>
      </c>
      <c r="E2598" s="15" t="n">
        <f aca="false">B2598/Summary!$B$5-1</f>
        <v>-0.143746501771236</v>
      </c>
    </row>
    <row r="2599" customFormat="false" ht="15" hidden="false" customHeight="false" outlineLevel="0" collapsed="false">
      <c r="A2599" s="0" t="n">
        <v>2598</v>
      </c>
      <c r="B2599" s="14" t="n">
        <v>110305.406516948</v>
      </c>
      <c r="C2599" s="15" t="n">
        <v>0.0671799500209753</v>
      </c>
      <c r="D2599" s="14" t="n">
        <f aca="false">Summary!$B$5-B2599</f>
        <v>-10305.4065169482</v>
      </c>
      <c r="E2599" s="15" t="n">
        <f aca="false">B2599/Summary!$B$5-1</f>
        <v>0.103054065169482</v>
      </c>
    </row>
    <row r="2600" customFormat="false" ht="15" hidden="false" customHeight="false" outlineLevel="0" collapsed="false">
      <c r="A2600" s="0" t="n">
        <v>2599</v>
      </c>
      <c r="B2600" s="14" t="n">
        <v>94699.0945497164</v>
      </c>
      <c r="C2600" s="15" t="n">
        <v>0.137111542600734</v>
      </c>
      <c r="D2600" s="14" t="n">
        <f aca="false">Summary!$B$5-B2600</f>
        <v>5300.90545028364</v>
      </c>
      <c r="E2600" s="15" t="n">
        <f aca="false">B2600/Summary!$B$5-1</f>
        <v>-0.0530090545028363</v>
      </c>
    </row>
    <row r="2601" customFormat="false" ht="15" hidden="false" customHeight="false" outlineLevel="0" collapsed="false">
      <c r="A2601" s="0" t="n">
        <v>2600</v>
      </c>
      <c r="B2601" s="14" t="n">
        <v>117843.550187283</v>
      </c>
      <c r="C2601" s="15" t="n">
        <v>0.0497513194555097</v>
      </c>
      <c r="D2601" s="14" t="n">
        <f aca="false">Summary!$B$5-B2601</f>
        <v>-17843.5501872826</v>
      </c>
      <c r="E2601" s="15" t="n">
        <f aca="false">B2601/Summary!$B$5-1</f>
        <v>0.178435501872826</v>
      </c>
    </row>
    <row r="2602" customFormat="false" ht="15" hidden="false" customHeight="false" outlineLevel="0" collapsed="false">
      <c r="A2602" s="0" t="n">
        <v>2601</v>
      </c>
      <c r="B2602" s="14" t="n">
        <v>112374.193546624</v>
      </c>
      <c r="C2602" s="15" t="n">
        <v>0.0708725280690481</v>
      </c>
      <c r="D2602" s="14" t="n">
        <f aca="false">Summary!$B$5-B2602</f>
        <v>-12374.1935466244</v>
      </c>
      <c r="E2602" s="15" t="n">
        <f aca="false">B2602/Summary!$B$5-1</f>
        <v>0.123741935466244</v>
      </c>
    </row>
    <row r="2603" customFormat="false" ht="15" hidden="false" customHeight="false" outlineLevel="0" collapsed="false">
      <c r="A2603" s="0" t="n">
        <v>2602</v>
      </c>
      <c r="B2603" s="14" t="n">
        <v>106281.18840822</v>
      </c>
      <c r="C2603" s="15" t="n">
        <v>0.0910775849419695</v>
      </c>
      <c r="D2603" s="14" t="n">
        <f aca="false">Summary!$B$5-B2603</f>
        <v>-6281.1884082201</v>
      </c>
      <c r="E2603" s="15" t="n">
        <f aca="false">B2603/Summary!$B$5-1</f>
        <v>0.062811884082201</v>
      </c>
    </row>
    <row r="2604" customFormat="false" ht="15" hidden="false" customHeight="false" outlineLevel="0" collapsed="false">
      <c r="A2604" s="0" t="n">
        <v>2603</v>
      </c>
      <c r="B2604" s="14" t="n">
        <v>106690.010752871</v>
      </c>
      <c r="C2604" s="15" t="n">
        <v>0.062361724476152</v>
      </c>
      <c r="D2604" s="14" t="n">
        <f aca="false">Summary!$B$5-B2604</f>
        <v>-6690.0107528712</v>
      </c>
      <c r="E2604" s="15" t="n">
        <f aca="false">B2604/Summary!$B$5-1</f>
        <v>0.0669001075287119</v>
      </c>
    </row>
    <row r="2605" customFormat="false" ht="15" hidden="false" customHeight="false" outlineLevel="0" collapsed="false">
      <c r="A2605" s="0" t="n">
        <v>2604</v>
      </c>
      <c r="B2605" s="14" t="n">
        <v>107315.172643976</v>
      </c>
      <c r="C2605" s="15" t="n">
        <v>0.0818105732791139</v>
      </c>
      <c r="D2605" s="14" t="n">
        <f aca="false">Summary!$B$5-B2605</f>
        <v>-7315.172643976</v>
      </c>
      <c r="E2605" s="15" t="n">
        <f aca="false">B2605/Summary!$B$5-1</f>
        <v>0.0731517264397599</v>
      </c>
    </row>
    <row r="2606" customFormat="false" ht="15" hidden="false" customHeight="false" outlineLevel="0" collapsed="false">
      <c r="A2606" s="0" t="n">
        <v>2605</v>
      </c>
      <c r="B2606" s="14" t="n">
        <v>93336.4246026602</v>
      </c>
      <c r="C2606" s="15" t="n">
        <v>0.199668809602855</v>
      </c>
      <c r="D2606" s="14" t="n">
        <f aca="false">Summary!$B$5-B2606</f>
        <v>6663.57539733981</v>
      </c>
      <c r="E2606" s="15" t="n">
        <f aca="false">B2606/Summary!$B$5-1</f>
        <v>-0.0666357539733981</v>
      </c>
    </row>
    <row r="2607" customFormat="false" ht="15" hidden="false" customHeight="false" outlineLevel="0" collapsed="false">
      <c r="A2607" s="0" t="n">
        <v>2606</v>
      </c>
      <c r="B2607" s="14" t="n">
        <v>104330.842105499</v>
      </c>
      <c r="C2607" s="15" t="n">
        <v>0.0888254209228846</v>
      </c>
      <c r="D2607" s="14" t="n">
        <f aca="false">Summary!$B$5-B2607</f>
        <v>-4330.8421054989</v>
      </c>
      <c r="E2607" s="15" t="n">
        <f aca="false">B2607/Summary!$B$5-1</f>
        <v>0.043308421054989</v>
      </c>
    </row>
    <row r="2608" customFormat="false" ht="15" hidden="false" customHeight="false" outlineLevel="0" collapsed="false">
      <c r="A2608" s="0" t="n">
        <v>2607</v>
      </c>
      <c r="B2608" s="14" t="n">
        <v>115367.079327974</v>
      </c>
      <c r="C2608" s="15" t="n">
        <v>0.0670487473067027</v>
      </c>
      <c r="D2608" s="14" t="n">
        <f aca="false">Summary!$B$5-B2608</f>
        <v>-15367.0793279737</v>
      </c>
      <c r="E2608" s="15" t="n">
        <f aca="false">B2608/Summary!$B$5-1</f>
        <v>0.153670793279737</v>
      </c>
    </row>
    <row r="2609" customFormat="false" ht="15" hidden="false" customHeight="false" outlineLevel="0" collapsed="false">
      <c r="A2609" s="0" t="n">
        <v>2608</v>
      </c>
      <c r="B2609" s="14" t="n">
        <v>114998.519063464</v>
      </c>
      <c r="C2609" s="15" t="n">
        <v>0.0813727991352333</v>
      </c>
      <c r="D2609" s="14" t="n">
        <f aca="false">Summary!$B$5-B2609</f>
        <v>-14998.5190634637</v>
      </c>
      <c r="E2609" s="15" t="n">
        <f aca="false">B2609/Summary!$B$5-1</f>
        <v>0.149985190634637</v>
      </c>
    </row>
    <row r="2610" customFormat="false" ht="15" hidden="false" customHeight="false" outlineLevel="0" collapsed="false">
      <c r="A2610" s="0" t="n">
        <v>2609</v>
      </c>
      <c r="B2610" s="14" t="n">
        <v>109406.228318897</v>
      </c>
      <c r="C2610" s="15" t="n">
        <v>0.0991459074956892</v>
      </c>
      <c r="D2610" s="14" t="n">
        <f aca="false">Summary!$B$5-B2610</f>
        <v>-9406.2283188966</v>
      </c>
      <c r="E2610" s="15" t="n">
        <f aca="false">B2610/Summary!$B$5-1</f>
        <v>0.0940622831889659</v>
      </c>
    </row>
    <row r="2611" customFormat="false" ht="15" hidden="false" customHeight="false" outlineLevel="0" collapsed="false">
      <c r="A2611" s="0" t="n">
        <v>2610</v>
      </c>
      <c r="B2611" s="14" t="n">
        <v>129296.981241163</v>
      </c>
      <c r="C2611" s="15" t="n">
        <v>0.0814678816363386</v>
      </c>
      <c r="D2611" s="14" t="n">
        <f aca="false">Summary!$B$5-B2611</f>
        <v>-29296.9812411632</v>
      </c>
      <c r="E2611" s="15" t="n">
        <f aca="false">B2611/Summary!$B$5-1</f>
        <v>0.292969812411632</v>
      </c>
    </row>
    <row r="2612" customFormat="false" ht="15" hidden="false" customHeight="false" outlineLevel="0" collapsed="false">
      <c r="A2612" s="0" t="n">
        <v>2611</v>
      </c>
      <c r="B2612" s="14" t="n">
        <v>112572.40870678</v>
      </c>
      <c r="C2612" s="15" t="n">
        <v>0.0878487138886112</v>
      </c>
      <c r="D2612" s="14" t="n">
        <f aca="false">Summary!$B$5-B2612</f>
        <v>-12572.40870678</v>
      </c>
      <c r="E2612" s="15" t="n">
        <f aca="false">B2612/Summary!$B$5-1</f>
        <v>0.1257240870678</v>
      </c>
    </row>
    <row r="2613" customFormat="false" ht="15" hidden="false" customHeight="false" outlineLevel="0" collapsed="false">
      <c r="A2613" s="0" t="n">
        <v>2612</v>
      </c>
      <c r="B2613" s="14" t="n">
        <v>90863.124849367</v>
      </c>
      <c r="C2613" s="15" t="n">
        <v>0.185473485132531</v>
      </c>
      <c r="D2613" s="14" t="n">
        <f aca="false">Summary!$B$5-B2613</f>
        <v>9136.87515063305</v>
      </c>
      <c r="E2613" s="15" t="n">
        <f aca="false">B2613/Summary!$B$5-1</f>
        <v>-0.0913687515063304</v>
      </c>
    </row>
    <row r="2614" customFormat="false" ht="15" hidden="false" customHeight="false" outlineLevel="0" collapsed="false">
      <c r="A2614" s="0" t="n">
        <v>2613</v>
      </c>
      <c r="B2614" s="14" t="n">
        <v>106772.530054052</v>
      </c>
      <c r="C2614" s="15" t="n">
        <v>0.0930655108710555</v>
      </c>
      <c r="D2614" s="14" t="n">
        <f aca="false">Summary!$B$5-B2614</f>
        <v>-6772.53005405171</v>
      </c>
      <c r="E2614" s="15" t="n">
        <f aca="false">B2614/Summary!$B$5-1</f>
        <v>0.067725300540517</v>
      </c>
    </row>
    <row r="2615" customFormat="false" ht="15" hidden="false" customHeight="false" outlineLevel="0" collapsed="false">
      <c r="A2615" s="0" t="n">
        <v>2614</v>
      </c>
      <c r="B2615" s="14" t="n">
        <v>105070.371006358</v>
      </c>
      <c r="C2615" s="15" t="n">
        <v>0.0896185659634731</v>
      </c>
      <c r="D2615" s="14" t="n">
        <f aca="false">Summary!$B$5-B2615</f>
        <v>-5070.3710063578</v>
      </c>
      <c r="E2615" s="15" t="n">
        <f aca="false">B2615/Summary!$B$5-1</f>
        <v>0.0507037100635781</v>
      </c>
    </row>
    <row r="2616" customFormat="false" ht="15" hidden="false" customHeight="false" outlineLevel="0" collapsed="false">
      <c r="A2616" s="0" t="n">
        <v>2615</v>
      </c>
      <c r="B2616" s="14" t="n">
        <v>102568.960084432</v>
      </c>
      <c r="C2616" s="15" t="n">
        <v>0.13487819901757</v>
      </c>
      <c r="D2616" s="14" t="n">
        <f aca="false">Summary!$B$5-B2616</f>
        <v>-2568.9600844322</v>
      </c>
      <c r="E2616" s="15" t="n">
        <f aca="false">B2616/Summary!$B$5-1</f>
        <v>0.0256896008443219</v>
      </c>
    </row>
    <row r="2617" customFormat="false" ht="15" hidden="false" customHeight="false" outlineLevel="0" collapsed="false">
      <c r="A2617" s="0" t="n">
        <v>2616</v>
      </c>
      <c r="B2617" s="14" t="n">
        <v>120939.548245201</v>
      </c>
      <c r="C2617" s="15" t="n">
        <v>0.081070506349721</v>
      </c>
      <c r="D2617" s="14" t="n">
        <f aca="false">Summary!$B$5-B2617</f>
        <v>-20939.5482452005</v>
      </c>
      <c r="E2617" s="15" t="n">
        <f aca="false">B2617/Summary!$B$5-1</f>
        <v>0.209395482452005</v>
      </c>
    </row>
    <row r="2618" customFormat="false" ht="15" hidden="false" customHeight="false" outlineLevel="0" collapsed="false">
      <c r="A2618" s="0" t="n">
        <v>2617</v>
      </c>
      <c r="B2618" s="14" t="n">
        <v>112214.620056459</v>
      </c>
      <c r="C2618" s="15" t="n">
        <v>0.113157837938594</v>
      </c>
      <c r="D2618" s="14" t="n">
        <f aca="false">Summary!$B$5-B2618</f>
        <v>-12214.620056459</v>
      </c>
      <c r="E2618" s="15" t="n">
        <f aca="false">B2618/Summary!$B$5-1</f>
        <v>0.12214620056459</v>
      </c>
    </row>
    <row r="2619" customFormat="false" ht="15" hidden="false" customHeight="false" outlineLevel="0" collapsed="false">
      <c r="A2619" s="0" t="n">
        <v>2618</v>
      </c>
      <c r="B2619" s="14" t="n">
        <v>112699.691580386</v>
      </c>
      <c r="C2619" s="15" t="n">
        <v>0.0873681993273451</v>
      </c>
      <c r="D2619" s="14" t="n">
        <f aca="false">Summary!$B$5-B2619</f>
        <v>-12699.6915803856</v>
      </c>
      <c r="E2619" s="15" t="n">
        <f aca="false">B2619/Summary!$B$5-1</f>
        <v>0.126996915803856</v>
      </c>
    </row>
    <row r="2620" customFormat="false" ht="15" hidden="false" customHeight="false" outlineLevel="0" collapsed="false">
      <c r="A2620" s="0" t="n">
        <v>2619</v>
      </c>
      <c r="B2620" s="14" t="n">
        <v>106500.615391108</v>
      </c>
      <c r="C2620" s="15" t="n">
        <v>0.0629102182547406</v>
      </c>
      <c r="D2620" s="14" t="n">
        <f aca="false">Summary!$B$5-B2620</f>
        <v>-6500.61539110819</v>
      </c>
      <c r="E2620" s="15" t="n">
        <f aca="false">B2620/Summary!$B$5-1</f>
        <v>0.065006153911082</v>
      </c>
    </row>
    <row r="2621" customFormat="false" ht="15" hidden="false" customHeight="false" outlineLevel="0" collapsed="false">
      <c r="A2621" s="0" t="n">
        <v>2620</v>
      </c>
      <c r="B2621" s="14" t="n">
        <v>108292.441529322</v>
      </c>
      <c r="C2621" s="15" t="n">
        <v>0.0516701885641211</v>
      </c>
      <c r="D2621" s="14" t="n">
        <f aca="false">Summary!$B$5-B2621</f>
        <v>-8292.4415293216</v>
      </c>
      <c r="E2621" s="15" t="n">
        <f aca="false">B2621/Summary!$B$5-1</f>
        <v>0.082924415293216</v>
      </c>
    </row>
    <row r="2622" customFormat="false" ht="15" hidden="false" customHeight="false" outlineLevel="0" collapsed="false">
      <c r="A2622" s="0" t="n">
        <v>2621</v>
      </c>
      <c r="B2622" s="14" t="n">
        <v>111601.803345294</v>
      </c>
      <c r="C2622" s="15" t="n">
        <v>0.0984711350407563</v>
      </c>
      <c r="D2622" s="14" t="n">
        <f aca="false">Summary!$B$5-B2622</f>
        <v>-11601.8033452937</v>
      </c>
      <c r="E2622" s="15" t="n">
        <f aca="false">B2622/Summary!$B$5-1</f>
        <v>0.116018033452937</v>
      </c>
    </row>
    <row r="2623" customFormat="false" ht="15" hidden="false" customHeight="false" outlineLevel="0" collapsed="false">
      <c r="A2623" s="0" t="n">
        <v>2622</v>
      </c>
      <c r="B2623" s="14" t="n">
        <v>112493.813339208</v>
      </c>
      <c r="C2623" s="15" t="n">
        <v>0.072365751750346</v>
      </c>
      <c r="D2623" s="14" t="n">
        <f aca="false">Summary!$B$5-B2623</f>
        <v>-12493.8133392078</v>
      </c>
      <c r="E2623" s="15" t="n">
        <f aca="false">B2623/Summary!$B$5-1</f>
        <v>0.124938133392078</v>
      </c>
    </row>
    <row r="2624" customFormat="false" ht="15" hidden="false" customHeight="false" outlineLevel="0" collapsed="false">
      <c r="A2624" s="0" t="n">
        <v>2623</v>
      </c>
      <c r="B2624" s="14" t="n">
        <v>103156.809130363</v>
      </c>
      <c r="C2624" s="15" t="n">
        <v>0.146152991820876</v>
      </c>
      <c r="D2624" s="14" t="n">
        <f aca="false">Summary!$B$5-B2624</f>
        <v>-3156.8091303629</v>
      </c>
      <c r="E2624" s="15" t="n">
        <f aca="false">B2624/Summary!$B$5-1</f>
        <v>0.0315680913036291</v>
      </c>
    </row>
    <row r="2625" customFormat="false" ht="15" hidden="false" customHeight="false" outlineLevel="0" collapsed="false">
      <c r="A2625" s="0" t="n">
        <v>2624</v>
      </c>
      <c r="B2625" s="14" t="n">
        <v>105525.918086029</v>
      </c>
      <c r="C2625" s="15" t="n">
        <v>0.102865952886508</v>
      </c>
      <c r="D2625" s="14" t="n">
        <f aca="false">Summary!$B$5-B2625</f>
        <v>-5525.91808602891</v>
      </c>
      <c r="E2625" s="15" t="n">
        <f aca="false">B2625/Summary!$B$5-1</f>
        <v>0.0552591808602891</v>
      </c>
    </row>
    <row r="2626" customFormat="false" ht="15" hidden="false" customHeight="false" outlineLevel="0" collapsed="false">
      <c r="A2626" s="0" t="n">
        <v>2625</v>
      </c>
      <c r="B2626" s="14" t="n">
        <v>112032.914104321</v>
      </c>
      <c r="C2626" s="15" t="n">
        <v>0.0947273489610448</v>
      </c>
      <c r="D2626" s="14" t="n">
        <f aca="false">Summary!$B$5-B2626</f>
        <v>-12032.9141043213</v>
      </c>
      <c r="E2626" s="15" t="n">
        <f aca="false">B2626/Summary!$B$5-1</f>
        <v>0.120329141043213</v>
      </c>
    </row>
    <row r="2627" customFormat="false" ht="15" hidden="false" customHeight="false" outlineLevel="0" collapsed="false">
      <c r="A2627" s="0" t="n">
        <v>2626</v>
      </c>
      <c r="B2627" s="14" t="n">
        <v>120268.153108421</v>
      </c>
      <c r="C2627" s="15" t="n">
        <v>0.0892821634258774</v>
      </c>
      <c r="D2627" s="14" t="n">
        <f aca="false">Summary!$B$5-B2627</f>
        <v>-20268.1531084207</v>
      </c>
      <c r="E2627" s="15" t="n">
        <f aca="false">B2627/Summary!$B$5-1</f>
        <v>0.202681531084207</v>
      </c>
    </row>
    <row r="2628" customFormat="false" ht="15" hidden="false" customHeight="false" outlineLevel="0" collapsed="false">
      <c r="A2628" s="0" t="n">
        <v>2627</v>
      </c>
      <c r="B2628" s="14" t="n">
        <v>86937.1255640733</v>
      </c>
      <c r="C2628" s="15" t="n">
        <v>0.146347748626931</v>
      </c>
      <c r="D2628" s="14" t="n">
        <f aca="false">Summary!$B$5-B2628</f>
        <v>13062.8744359267</v>
      </c>
      <c r="E2628" s="15" t="n">
        <f aca="false">B2628/Summary!$B$5-1</f>
        <v>-0.130628744359267</v>
      </c>
    </row>
    <row r="2629" customFormat="false" ht="15" hidden="false" customHeight="false" outlineLevel="0" collapsed="false">
      <c r="A2629" s="0" t="n">
        <v>2628</v>
      </c>
      <c r="B2629" s="14" t="n">
        <v>99023.0583630736</v>
      </c>
      <c r="C2629" s="15" t="n">
        <v>0.126785653348743</v>
      </c>
      <c r="D2629" s="14" t="n">
        <f aca="false">Summary!$B$5-B2629</f>
        <v>976.941636926407</v>
      </c>
      <c r="E2629" s="15" t="n">
        <f aca="false">B2629/Summary!$B$5-1</f>
        <v>-0.0097694163692641</v>
      </c>
    </row>
    <row r="2630" customFormat="false" ht="15" hidden="false" customHeight="false" outlineLevel="0" collapsed="false">
      <c r="A2630" s="0" t="n">
        <v>2629</v>
      </c>
      <c r="B2630" s="14" t="n">
        <v>115490.920028963</v>
      </c>
      <c r="C2630" s="15" t="n">
        <v>0.0856557029111011</v>
      </c>
      <c r="D2630" s="14" t="n">
        <f aca="false">Summary!$B$5-B2630</f>
        <v>-15490.9200289627</v>
      </c>
      <c r="E2630" s="15" t="n">
        <f aca="false">B2630/Summary!$B$5-1</f>
        <v>0.154909200289627</v>
      </c>
    </row>
    <row r="2631" customFormat="false" ht="15" hidden="false" customHeight="false" outlineLevel="0" collapsed="false">
      <c r="A2631" s="0" t="n">
        <v>2630</v>
      </c>
      <c r="B2631" s="14" t="n">
        <v>143046.969435091</v>
      </c>
      <c r="C2631" s="15" t="n">
        <v>0.0705970470467584</v>
      </c>
      <c r="D2631" s="14" t="n">
        <f aca="false">Summary!$B$5-B2631</f>
        <v>-43046.9694350911</v>
      </c>
      <c r="E2631" s="15" t="n">
        <f aca="false">B2631/Summary!$B$5-1</f>
        <v>0.430469694350911</v>
      </c>
    </row>
    <row r="2632" customFormat="false" ht="15" hidden="false" customHeight="false" outlineLevel="0" collapsed="false">
      <c r="A2632" s="0" t="n">
        <v>2631</v>
      </c>
      <c r="B2632" s="14" t="n">
        <v>97748.1005724163</v>
      </c>
      <c r="C2632" s="15" t="n">
        <v>0.100170613256269</v>
      </c>
      <c r="D2632" s="14" t="n">
        <f aca="false">Summary!$B$5-B2632</f>
        <v>2251.89942758373</v>
      </c>
      <c r="E2632" s="15" t="n">
        <f aca="false">B2632/Summary!$B$5-1</f>
        <v>-0.0225189942758374</v>
      </c>
    </row>
    <row r="2633" customFormat="false" ht="15" hidden="false" customHeight="false" outlineLevel="0" collapsed="false">
      <c r="A2633" s="0" t="n">
        <v>2632</v>
      </c>
      <c r="B2633" s="14" t="n">
        <v>104235.784960329</v>
      </c>
      <c r="C2633" s="15" t="n">
        <v>0.114493098495469</v>
      </c>
      <c r="D2633" s="14" t="n">
        <f aca="false">Summary!$B$5-B2633</f>
        <v>-4235.78496032899</v>
      </c>
      <c r="E2633" s="15" t="n">
        <f aca="false">B2633/Summary!$B$5-1</f>
        <v>0.0423578496032899</v>
      </c>
    </row>
    <row r="2634" customFormat="false" ht="15" hidden="false" customHeight="false" outlineLevel="0" collapsed="false">
      <c r="A2634" s="0" t="n">
        <v>2633</v>
      </c>
      <c r="B2634" s="14" t="n">
        <v>98078.2207836109</v>
      </c>
      <c r="C2634" s="15" t="n">
        <v>0.1206705840623</v>
      </c>
      <c r="D2634" s="14" t="n">
        <f aca="false">Summary!$B$5-B2634</f>
        <v>1921.77921638908</v>
      </c>
      <c r="E2634" s="15" t="n">
        <f aca="false">B2634/Summary!$B$5-1</f>
        <v>-0.0192177921638909</v>
      </c>
    </row>
    <row r="2635" customFormat="false" ht="15" hidden="false" customHeight="false" outlineLevel="0" collapsed="false">
      <c r="A2635" s="0" t="n">
        <v>2634</v>
      </c>
      <c r="B2635" s="14" t="n">
        <v>110981.753646823</v>
      </c>
      <c r="C2635" s="15" t="n">
        <v>0.0688567266983547</v>
      </c>
      <c r="D2635" s="14" t="n">
        <f aca="false">Summary!$B$5-B2635</f>
        <v>-10981.7536468231</v>
      </c>
      <c r="E2635" s="15" t="n">
        <f aca="false">B2635/Summary!$B$5-1</f>
        <v>0.109817536468231</v>
      </c>
    </row>
    <row r="2636" customFormat="false" ht="15" hidden="false" customHeight="false" outlineLevel="0" collapsed="false">
      <c r="A2636" s="0" t="n">
        <v>2635</v>
      </c>
      <c r="B2636" s="14" t="n">
        <v>127376.630613391</v>
      </c>
      <c r="C2636" s="15" t="n">
        <v>0.0751355318500028</v>
      </c>
      <c r="D2636" s="14" t="n">
        <f aca="false">Summary!$B$5-B2636</f>
        <v>-27376.630613391</v>
      </c>
      <c r="E2636" s="15" t="n">
        <f aca="false">B2636/Summary!$B$5-1</f>
        <v>0.27376630613391</v>
      </c>
    </row>
    <row r="2637" customFormat="false" ht="15" hidden="false" customHeight="false" outlineLevel="0" collapsed="false">
      <c r="A2637" s="0" t="n">
        <v>2636</v>
      </c>
      <c r="B2637" s="14" t="n">
        <v>121141.342107298</v>
      </c>
      <c r="C2637" s="15" t="n">
        <v>0.0704670679730932</v>
      </c>
      <c r="D2637" s="14" t="n">
        <f aca="false">Summary!$B$5-B2637</f>
        <v>-21141.3421072975</v>
      </c>
      <c r="E2637" s="15" t="n">
        <f aca="false">B2637/Summary!$B$5-1</f>
        <v>0.211413421072975</v>
      </c>
    </row>
    <row r="2638" customFormat="false" ht="15" hidden="false" customHeight="false" outlineLevel="0" collapsed="false">
      <c r="A2638" s="0" t="n">
        <v>2637</v>
      </c>
      <c r="B2638" s="14" t="n">
        <v>100608.739022565</v>
      </c>
      <c r="C2638" s="15" t="n">
        <v>0.121824539158082</v>
      </c>
      <c r="D2638" s="14" t="n">
        <f aca="false">Summary!$B$5-B2638</f>
        <v>-608.739022564594</v>
      </c>
      <c r="E2638" s="15" t="n">
        <f aca="false">B2638/Summary!$B$5-1</f>
        <v>0.00608739022564597</v>
      </c>
    </row>
    <row r="2639" customFormat="false" ht="15" hidden="false" customHeight="false" outlineLevel="0" collapsed="false">
      <c r="A2639" s="0" t="n">
        <v>2638</v>
      </c>
      <c r="B2639" s="14" t="n">
        <v>137879.381198089</v>
      </c>
      <c r="C2639" s="15" t="n">
        <v>0.0624232183800257</v>
      </c>
      <c r="D2639" s="14" t="n">
        <f aca="false">Summary!$B$5-B2639</f>
        <v>-37879.3811980888</v>
      </c>
      <c r="E2639" s="15" t="n">
        <f aca="false">B2639/Summary!$B$5-1</f>
        <v>0.378793811980888</v>
      </c>
    </row>
    <row r="2640" customFormat="false" ht="15" hidden="false" customHeight="false" outlineLevel="0" collapsed="false">
      <c r="A2640" s="0" t="n">
        <v>2639</v>
      </c>
      <c r="B2640" s="14" t="n">
        <v>104869.932158393</v>
      </c>
      <c r="C2640" s="15" t="n">
        <v>0.0746680838493817</v>
      </c>
      <c r="D2640" s="14" t="n">
        <f aca="false">Summary!$B$5-B2640</f>
        <v>-4869.93215839341</v>
      </c>
      <c r="E2640" s="15" t="n">
        <f aca="false">B2640/Summary!$B$5-1</f>
        <v>0.048699321583934</v>
      </c>
    </row>
    <row r="2641" customFormat="false" ht="15" hidden="false" customHeight="false" outlineLevel="0" collapsed="false">
      <c r="A2641" s="0" t="n">
        <v>2640</v>
      </c>
      <c r="B2641" s="14" t="n">
        <v>99947.0599673112</v>
      </c>
      <c r="C2641" s="15" t="n">
        <v>0.12259126924055</v>
      </c>
      <c r="D2641" s="14" t="n">
        <f aca="false">Summary!$B$5-B2641</f>
        <v>52.9400326887553</v>
      </c>
      <c r="E2641" s="15" t="n">
        <f aca="false">B2641/Summary!$B$5-1</f>
        <v>-0.00052940032688753</v>
      </c>
    </row>
    <row r="2642" customFormat="false" ht="15" hidden="false" customHeight="false" outlineLevel="0" collapsed="false">
      <c r="A2642" s="0" t="n">
        <v>2641</v>
      </c>
      <c r="B2642" s="14" t="n">
        <v>125586.251541965</v>
      </c>
      <c r="C2642" s="15" t="n">
        <v>0.0601318077285893</v>
      </c>
      <c r="D2642" s="14" t="n">
        <f aca="false">Summary!$B$5-B2642</f>
        <v>-25586.2515419645</v>
      </c>
      <c r="E2642" s="15" t="n">
        <f aca="false">B2642/Summary!$B$5-1</f>
        <v>0.255862515419645</v>
      </c>
    </row>
    <row r="2643" customFormat="false" ht="15" hidden="false" customHeight="false" outlineLevel="0" collapsed="false">
      <c r="A2643" s="0" t="n">
        <v>2642</v>
      </c>
      <c r="B2643" s="14" t="n">
        <v>103293.067328784</v>
      </c>
      <c r="C2643" s="15" t="n">
        <v>0.0996030157868121</v>
      </c>
      <c r="D2643" s="14" t="n">
        <f aca="false">Summary!$B$5-B2643</f>
        <v>-3293.0673287838</v>
      </c>
      <c r="E2643" s="15" t="n">
        <f aca="false">B2643/Summary!$B$5-1</f>
        <v>0.0329306732878381</v>
      </c>
    </row>
    <row r="2644" customFormat="false" ht="15" hidden="false" customHeight="false" outlineLevel="0" collapsed="false">
      <c r="A2644" s="0" t="n">
        <v>2643</v>
      </c>
      <c r="B2644" s="14" t="n">
        <v>115212.093637554</v>
      </c>
      <c r="C2644" s="15" t="n">
        <v>0.0809822190764132</v>
      </c>
      <c r="D2644" s="14" t="n">
        <f aca="false">Summary!$B$5-B2644</f>
        <v>-15212.0936375536</v>
      </c>
      <c r="E2644" s="15" t="n">
        <f aca="false">B2644/Summary!$B$5-1</f>
        <v>0.152120936375536</v>
      </c>
    </row>
    <row r="2645" customFormat="false" ht="15" hidden="false" customHeight="false" outlineLevel="0" collapsed="false">
      <c r="A2645" s="0" t="n">
        <v>2644</v>
      </c>
      <c r="B2645" s="14" t="n">
        <v>85800.4314857625</v>
      </c>
      <c r="C2645" s="15" t="n">
        <v>0.159917050664152</v>
      </c>
      <c r="D2645" s="14" t="n">
        <f aca="false">Summary!$B$5-B2645</f>
        <v>14199.5685142375</v>
      </c>
      <c r="E2645" s="15" t="n">
        <f aca="false">B2645/Summary!$B$5-1</f>
        <v>-0.141995685142375</v>
      </c>
    </row>
    <row r="2646" customFormat="false" ht="15" hidden="false" customHeight="false" outlineLevel="0" collapsed="false">
      <c r="A2646" s="0" t="n">
        <v>2645</v>
      </c>
      <c r="B2646" s="14" t="n">
        <v>120366.278284317</v>
      </c>
      <c r="C2646" s="15" t="n">
        <v>0.0407358213927503</v>
      </c>
      <c r="D2646" s="14" t="n">
        <f aca="false">Summary!$B$5-B2646</f>
        <v>-20366.2782843165</v>
      </c>
      <c r="E2646" s="15" t="n">
        <f aca="false">B2646/Summary!$B$5-1</f>
        <v>0.203662782843165</v>
      </c>
    </row>
    <row r="2647" customFormat="false" ht="15" hidden="false" customHeight="false" outlineLevel="0" collapsed="false">
      <c r="A2647" s="0" t="n">
        <v>2646</v>
      </c>
      <c r="B2647" s="14" t="n">
        <v>99986.2495468532</v>
      </c>
      <c r="C2647" s="15" t="n">
        <v>0.106575841380632</v>
      </c>
      <c r="D2647" s="14" t="n">
        <f aca="false">Summary!$B$5-B2647</f>
        <v>13.7504531468439</v>
      </c>
      <c r="E2647" s="15" t="n">
        <f aca="false">B2647/Summary!$B$5-1</f>
        <v>-0.000137504531468435</v>
      </c>
    </row>
    <row r="2648" customFormat="false" ht="15" hidden="false" customHeight="false" outlineLevel="0" collapsed="false">
      <c r="A2648" s="0" t="n">
        <v>2647</v>
      </c>
      <c r="B2648" s="14" t="n">
        <v>90913.8518179772</v>
      </c>
      <c r="C2648" s="15" t="n">
        <v>0.168126301754724</v>
      </c>
      <c r="D2648" s="14" t="n">
        <f aca="false">Summary!$B$5-B2648</f>
        <v>9086.14818202278</v>
      </c>
      <c r="E2648" s="15" t="n">
        <f aca="false">B2648/Summary!$B$5-1</f>
        <v>-0.0908614818202278</v>
      </c>
    </row>
    <row r="2649" customFormat="false" ht="15" hidden="false" customHeight="false" outlineLevel="0" collapsed="false">
      <c r="A2649" s="0" t="n">
        <v>2648</v>
      </c>
      <c r="B2649" s="14" t="n">
        <v>91319.1712785993</v>
      </c>
      <c r="C2649" s="15" t="n">
        <v>0.161456957498251</v>
      </c>
      <c r="D2649" s="14" t="n">
        <f aca="false">Summary!$B$5-B2649</f>
        <v>8680.82872140067</v>
      </c>
      <c r="E2649" s="15" t="n">
        <f aca="false">B2649/Summary!$B$5-1</f>
        <v>-0.0868082872140067</v>
      </c>
    </row>
    <row r="2650" customFormat="false" ht="15" hidden="false" customHeight="false" outlineLevel="0" collapsed="false">
      <c r="A2650" s="0" t="n">
        <v>2649</v>
      </c>
      <c r="B2650" s="14" t="n">
        <v>104556.045277827</v>
      </c>
      <c r="C2650" s="15" t="n">
        <v>0.0859607950837314</v>
      </c>
      <c r="D2650" s="14" t="n">
        <f aca="false">Summary!$B$5-B2650</f>
        <v>-4556.0452778266</v>
      </c>
      <c r="E2650" s="15" t="n">
        <f aca="false">B2650/Summary!$B$5-1</f>
        <v>0.045560452778266</v>
      </c>
    </row>
    <row r="2651" customFormat="false" ht="15" hidden="false" customHeight="false" outlineLevel="0" collapsed="false">
      <c r="A2651" s="0" t="n">
        <v>2650</v>
      </c>
      <c r="B2651" s="14" t="n">
        <v>114850.931505341</v>
      </c>
      <c r="C2651" s="15" t="n">
        <v>0.0727218367407845</v>
      </c>
      <c r="D2651" s="14" t="n">
        <f aca="false">Summary!$B$5-B2651</f>
        <v>-14850.9315053407</v>
      </c>
      <c r="E2651" s="15" t="n">
        <f aca="false">B2651/Summary!$B$5-1</f>
        <v>0.148509315053407</v>
      </c>
    </row>
    <row r="2652" customFormat="false" ht="15" hidden="false" customHeight="false" outlineLevel="0" collapsed="false">
      <c r="A2652" s="0" t="n">
        <v>2651</v>
      </c>
      <c r="B2652" s="14" t="n">
        <v>92447.0830325036</v>
      </c>
      <c r="C2652" s="15" t="n">
        <v>0.157318677408567</v>
      </c>
      <c r="D2652" s="14" t="n">
        <f aca="false">Summary!$B$5-B2652</f>
        <v>7552.91696749645</v>
      </c>
      <c r="E2652" s="15" t="n">
        <f aca="false">B2652/Summary!$B$5-1</f>
        <v>-0.0755291696749645</v>
      </c>
    </row>
    <row r="2653" customFormat="false" ht="15" hidden="false" customHeight="false" outlineLevel="0" collapsed="false">
      <c r="A2653" s="0" t="n">
        <v>2652</v>
      </c>
      <c r="B2653" s="14" t="n">
        <v>114203.986884196</v>
      </c>
      <c r="C2653" s="15" t="n">
        <v>0.113425671534491</v>
      </c>
      <c r="D2653" s="14" t="n">
        <f aca="false">Summary!$B$5-B2653</f>
        <v>-14203.9868841957</v>
      </c>
      <c r="E2653" s="15" t="n">
        <f aca="false">B2653/Summary!$B$5-1</f>
        <v>0.142039868841957</v>
      </c>
    </row>
    <row r="2654" customFormat="false" ht="15" hidden="false" customHeight="false" outlineLevel="0" collapsed="false">
      <c r="A2654" s="0" t="n">
        <v>2653</v>
      </c>
      <c r="B2654" s="14" t="n">
        <v>126147.564775331</v>
      </c>
      <c r="C2654" s="15" t="n">
        <v>0.103335622861739</v>
      </c>
      <c r="D2654" s="14" t="n">
        <f aca="false">Summary!$B$5-B2654</f>
        <v>-26147.5647753311</v>
      </c>
      <c r="E2654" s="15" t="n">
        <f aca="false">B2654/Summary!$B$5-1</f>
        <v>0.261475647753311</v>
      </c>
    </row>
    <row r="2655" customFormat="false" ht="15" hidden="false" customHeight="false" outlineLevel="0" collapsed="false">
      <c r="A2655" s="0" t="n">
        <v>2654</v>
      </c>
      <c r="B2655" s="14" t="n">
        <v>121767.298425406</v>
      </c>
      <c r="C2655" s="15" t="n">
        <v>0.0469046669812391</v>
      </c>
      <c r="D2655" s="14" t="n">
        <f aca="false">Summary!$B$5-B2655</f>
        <v>-21767.2984254056</v>
      </c>
      <c r="E2655" s="15" t="n">
        <f aca="false">B2655/Summary!$B$5-1</f>
        <v>0.217672984254056</v>
      </c>
    </row>
    <row r="2656" customFormat="false" ht="15" hidden="false" customHeight="false" outlineLevel="0" collapsed="false">
      <c r="A2656" s="0" t="n">
        <v>2655</v>
      </c>
      <c r="B2656" s="14" t="n">
        <v>111293.343329563</v>
      </c>
      <c r="C2656" s="15" t="n">
        <v>0.0707055160574722</v>
      </c>
      <c r="D2656" s="14" t="n">
        <f aca="false">Summary!$B$5-B2656</f>
        <v>-11293.3433295631</v>
      </c>
      <c r="E2656" s="15" t="n">
        <f aca="false">B2656/Summary!$B$5-1</f>
        <v>0.112933433295631</v>
      </c>
    </row>
    <row r="2657" customFormat="false" ht="15" hidden="false" customHeight="false" outlineLevel="0" collapsed="false">
      <c r="A2657" s="0" t="n">
        <v>2656</v>
      </c>
      <c r="B2657" s="14" t="n">
        <v>124055.077752728</v>
      </c>
      <c r="C2657" s="15" t="n">
        <v>0.0555111906190504</v>
      </c>
      <c r="D2657" s="14" t="n">
        <f aca="false">Summary!$B$5-B2657</f>
        <v>-24055.077752728</v>
      </c>
      <c r="E2657" s="15" t="n">
        <f aca="false">B2657/Summary!$B$5-1</f>
        <v>0.24055077752728</v>
      </c>
    </row>
    <row r="2658" customFormat="false" ht="15" hidden="false" customHeight="false" outlineLevel="0" collapsed="false">
      <c r="A2658" s="0" t="n">
        <v>2657</v>
      </c>
      <c r="B2658" s="14" t="n">
        <v>119638.3889823</v>
      </c>
      <c r="C2658" s="15" t="n">
        <v>0.0917602477927023</v>
      </c>
      <c r="D2658" s="14" t="n">
        <f aca="false">Summary!$B$5-B2658</f>
        <v>-19638.3889823004</v>
      </c>
      <c r="E2658" s="15" t="n">
        <f aca="false">B2658/Summary!$B$5-1</f>
        <v>0.196383889823004</v>
      </c>
    </row>
    <row r="2659" customFormat="false" ht="15" hidden="false" customHeight="false" outlineLevel="0" collapsed="false">
      <c r="A2659" s="0" t="n">
        <v>2658</v>
      </c>
      <c r="B2659" s="14" t="n">
        <v>128295.801641402</v>
      </c>
      <c r="C2659" s="15" t="n">
        <v>0.0804709098954806</v>
      </c>
      <c r="D2659" s="14" t="n">
        <f aca="false">Summary!$B$5-B2659</f>
        <v>-28295.8016414024</v>
      </c>
      <c r="E2659" s="15" t="n">
        <f aca="false">B2659/Summary!$B$5-1</f>
        <v>0.282958016414024</v>
      </c>
    </row>
    <row r="2660" customFormat="false" ht="15" hidden="false" customHeight="false" outlineLevel="0" collapsed="false">
      <c r="A2660" s="0" t="n">
        <v>2659</v>
      </c>
      <c r="B2660" s="14" t="n">
        <v>107271.211622064</v>
      </c>
      <c r="C2660" s="15" t="n">
        <v>0.107877811785722</v>
      </c>
      <c r="D2660" s="14" t="n">
        <f aca="false">Summary!$B$5-B2660</f>
        <v>-7271.2116220639</v>
      </c>
      <c r="E2660" s="15" t="n">
        <f aca="false">B2660/Summary!$B$5-1</f>
        <v>0.072712116220639</v>
      </c>
    </row>
    <row r="2661" customFormat="false" ht="15" hidden="false" customHeight="false" outlineLevel="0" collapsed="false">
      <c r="A2661" s="0" t="n">
        <v>2660</v>
      </c>
      <c r="B2661" s="14" t="n">
        <v>111042.4348229</v>
      </c>
      <c r="C2661" s="15" t="n">
        <v>0.0605551210733749</v>
      </c>
      <c r="D2661" s="14" t="n">
        <f aca="false">Summary!$B$5-B2661</f>
        <v>-11042.4348229</v>
      </c>
      <c r="E2661" s="15" t="n">
        <f aca="false">B2661/Summary!$B$5-1</f>
        <v>0.110424348229</v>
      </c>
    </row>
    <row r="2662" customFormat="false" ht="15" hidden="false" customHeight="false" outlineLevel="0" collapsed="false">
      <c r="A2662" s="0" t="n">
        <v>2661</v>
      </c>
      <c r="B2662" s="14" t="n">
        <v>111868.448612582</v>
      </c>
      <c r="C2662" s="15" t="n">
        <v>0.172270974786928</v>
      </c>
      <c r="D2662" s="14" t="n">
        <f aca="false">Summary!$B$5-B2662</f>
        <v>-11868.4486125818</v>
      </c>
      <c r="E2662" s="15" t="n">
        <f aca="false">B2662/Summary!$B$5-1</f>
        <v>0.118684486125818</v>
      </c>
    </row>
    <row r="2663" customFormat="false" ht="15" hidden="false" customHeight="false" outlineLevel="0" collapsed="false">
      <c r="A2663" s="0" t="n">
        <v>2662</v>
      </c>
      <c r="B2663" s="14" t="n">
        <v>116275.668584464</v>
      </c>
      <c r="C2663" s="15" t="n">
        <v>0.123942908077905</v>
      </c>
      <c r="D2663" s="14" t="n">
        <f aca="false">Summary!$B$5-B2663</f>
        <v>-16275.6685844638</v>
      </c>
      <c r="E2663" s="15" t="n">
        <f aca="false">B2663/Summary!$B$5-1</f>
        <v>0.162756685844638</v>
      </c>
    </row>
    <row r="2664" customFormat="false" ht="15" hidden="false" customHeight="false" outlineLevel="0" collapsed="false">
      <c r="A2664" s="0" t="n">
        <v>2663</v>
      </c>
      <c r="B2664" s="14" t="n">
        <v>97609.1872521545</v>
      </c>
      <c r="C2664" s="15" t="n">
        <v>0.0814044439217831</v>
      </c>
      <c r="D2664" s="14" t="n">
        <f aca="false">Summary!$B$5-B2664</f>
        <v>2390.81274784551</v>
      </c>
      <c r="E2664" s="15" t="n">
        <f aca="false">B2664/Summary!$B$5-1</f>
        <v>-0.0239081274784552</v>
      </c>
    </row>
    <row r="2665" customFormat="false" ht="15" hidden="false" customHeight="false" outlineLevel="0" collapsed="false">
      <c r="A2665" s="0" t="n">
        <v>2664</v>
      </c>
      <c r="B2665" s="14" t="n">
        <v>108274.211890781</v>
      </c>
      <c r="C2665" s="15" t="n">
        <v>0.0908985834240114</v>
      </c>
      <c r="D2665" s="14" t="n">
        <f aca="false">Summary!$B$5-B2665</f>
        <v>-8274.21189078091</v>
      </c>
      <c r="E2665" s="15" t="n">
        <f aca="false">B2665/Summary!$B$5-1</f>
        <v>0.082742118907809</v>
      </c>
    </row>
    <row r="2666" customFormat="false" ht="15" hidden="false" customHeight="false" outlineLevel="0" collapsed="false">
      <c r="A2666" s="0" t="n">
        <v>2665</v>
      </c>
      <c r="B2666" s="14" t="n">
        <v>140732.055584775</v>
      </c>
      <c r="C2666" s="15" t="n">
        <v>0.0480599876745264</v>
      </c>
      <c r="D2666" s="14" t="n">
        <f aca="false">Summary!$B$5-B2666</f>
        <v>-40732.0555847748</v>
      </c>
      <c r="E2666" s="15" t="n">
        <f aca="false">B2666/Summary!$B$5-1</f>
        <v>0.407320555847748</v>
      </c>
    </row>
    <row r="2667" customFormat="false" ht="15" hidden="false" customHeight="false" outlineLevel="0" collapsed="false">
      <c r="A2667" s="0" t="n">
        <v>2666</v>
      </c>
      <c r="B2667" s="14" t="n">
        <v>117565.209394077</v>
      </c>
      <c r="C2667" s="15" t="n">
        <v>0.0897193811132944</v>
      </c>
      <c r="D2667" s="14" t="n">
        <f aca="false">Summary!$B$5-B2667</f>
        <v>-17565.2093940767</v>
      </c>
      <c r="E2667" s="15" t="n">
        <f aca="false">B2667/Summary!$B$5-1</f>
        <v>0.175652093940767</v>
      </c>
    </row>
    <row r="2668" customFormat="false" ht="15" hidden="false" customHeight="false" outlineLevel="0" collapsed="false">
      <c r="A2668" s="0" t="n">
        <v>2667</v>
      </c>
      <c r="B2668" s="14" t="n">
        <v>107059.548721917</v>
      </c>
      <c r="C2668" s="15" t="n">
        <v>0.0856198607910288</v>
      </c>
      <c r="D2668" s="14" t="n">
        <f aca="false">Summary!$B$5-B2668</f>
        <v>-7059.54872191729</v>
      </c>
      <c r="E2668" s="15" t="n">
        <f aca="false">B2668/Summary!$B$5-1</f>
        <v>0.070595487219173</v>
      </c>
    </row>
    <row r="2669" customFormat="false" ht="15" hidden="false" customHeight="false" outlineLevel="0" collapsed="false">
      <c r="A2669" s="0" t="n">
        <v>2668</v>
      </c>
      <c r="B2669" s="14" t="n">
        <v>104384.612902782</v>
      </c>
      <c r="C2669" s="15" t="n">
        <v>0.119168887387244</v>
      </c>
      <c r="D2669" s="14" t="n">
        <f aca="false">Summary!$B$5-B2669</f>
        <v>-4384.612902782</v>
      </c>
      <c r="E2669" s="15" t="n">
        <f aca="false">B2669/Summary!$B$5-1</f>
        <v>0.04384612902782</v>
      </c>
    </row>
    <row r="2670" customFormat="false" ht="15" hidden="false" customHeight="false" outlineLevel="0" collapsed="false">
      <c r="A2670" s="0" t="n">
        <v>2669</v>
      </c>
      <c r="B2670" s="14" t="n">
        <v>116192.528087769</v>
      </c>
      <c r="C2670" s="15" t="n">
        <v>0.0717630225556013</v>
      </c>
      <c r="D2670" s="14" t="n">
        <f aca="false">Summary!$B$5-B2670</f>
        <v>-16192.5280877692</v>
      </c>
      <c r="E2670" s="15" t="n">
        <f aca="false">B2670/Summary!$B$5-1</f>
        <v>0.161925280877692</v>
      </c>
    </row>
    <row r="2671" customFormat="false" ht="15" hidden="false" customHeight="false" outlineLevel="0" collapsed="false">
      <c r="A2671" s="0" t="n">
        <v>2670</v>
      </c>
      <c r="B2671" s="14" t="n">
        <v>126305.253411179</v>
      </c>
      <c r="C2671" s="15" t="n">
        <v>0.0953865237306661</v>
      </c>
      <c r="D2671" s="14" t="n">
        <f aca="false">Summary!$B$5-B2671</f>
        <v>-26305.2534111789</v>
      </c>
      <c r="E2671" s="15" t="n">
        <f aca="false">B2671/Summary!$B$5-1</f>
        <v>0.263052534111789</v>
      </c>
    </row>
    <row r="2672" customFormat="false" ht="15" hidden="false" customHeight="false" outlineLevel="0" collapsed="false">
      <c r="A2672" s="0" t="n">
        <v>2671</v>
      </c>
      <c r="B2672" s="14" t="n">
        <v>101242.021140249</v>
      </c>
      <c r="C2672" s="15" t="n">
        <v>0.131514525684894</v>
      </c>
      <c r="D2672" s="14" t="n">
        <f aca="false">Summary!$B$5-B2672</f>
        <v>-1242.0211402487</v>
      </c>
      <c r="E2672" s="15" t="n">
        <f aca="false">B2672/Summary!$B$5-1</f>
        <v>0.0124202114024869</v>
      </c>
    </row>
    <row r="2673" customFormat="false" ht="15" hidden="false" customHeight="false" outlineLevel="0" collapsed="false">
      <c r="A2673" s="0" t="n">
        <v>2672</v>
      </c>
      <c r="B2673" s="14" t="n">
        <v>120454.372411962</v>
      </c>
      <c r="C2673" s="15" t="n">
        <v>0.0804331186583038</v>
      </c>
      <c r="D2673" s="14" t="n">
        <f aca="false">Summary!$B$5-B2673</f>
        <v>-20454.3724119615</v>
      </c>
      <c r="E2673" s="15" t="n">
        <f aca="false">B2673/Summary!$B$5-1</f>
        <v>0.204543724119615</v>
      </c>
    </row>
    <row r="2674" customFormat="false" ht="15" hidden="false" customHeight="false" outlineLevel="0" collapsed="false">
      <c r="A2674" s="0" t="n">
        <v>2673</v>
      </c>
      <c r="B2674" s="14" t="n">
        <v>94143.4191883424</v>
      </c>
      <c r="C2674" s="15" t="n">
        <v>0.156355833727471</v>
      </c>
      <c r="D2674" s="14" t="n">
        <f aca="false">Summary!$B$5-B2674</f>
        <v>5856.58081165765</v>
      </c>
      <c r="E2674" s="15" t="n">
        <f aca="false">B2674/Summary!$B$5-1</f>
        <v>-0.0585658081165765</v>
      </c>
    </row>
    <row r="2675" customFormat="false" ht="15" hidden="false" customHeight="false" outlineLevel="0" collapsed="false">
      <c r="A2675" s="0" t="n">
        <v>2674</v>
      </c>
      <c r="B2675" s="14" t="n">
        <v>110217.542888636</v>
      </c>
      <c r="C2675" s="15" t="n">
        <v>0.06942123359944</v>
      </c>
      <c r="D2675" s="14" t="n">
        <f aca="false">Summary!$B$5-B2675</f>
        <v>-10217.5428886359</v>
      </c>
      <c r="E2675" s="15" t="n">
        <f aca="false">B2675/Summary!$B$5-1</f>
        <v>0.102175428886359</v>
      </c>
    </row>
    <row r="2676" customFormat="false" ht="15" hidden="false" customHeight="false" outlineLevel="0" collapsed="false">
      <c r="A2676" s="0" t="n">
        <v>2675</v>
      </c>
      <c r="B2676" s="14" t="n">
        <v>123959.20098874</v>
      </c>
      <c r="C2676" s="15" t="n">
        <v>0.0520938027409144</v>
      </c>
      <c r="D2676" s="14" t="n">
        <f aca="false">Summary!$B$5-B2676</f>
        <v>-23959.2009887402</v>
      </c>
      <c r="E2676" s="15" t="n">
        <f aca="false">B2676/Summary!$B$5-1</f>
        <v>0.239592009887402</v>
      </c>
    </row>
    <row r="2677" customFormat="false" ht="15" hidden="false" customHeight="false" outlineLevel="0" collapsed="false">
      <c r="A2677" s="0" t="n">
        <v>2676</v>
      </c>
      <c r="B2677" s="14" t="n">
        <v>109522.943540876</v>
      </c>
      <c r="C2677" s="15" t="n">
        <v>0.101539663648823</v>
      </c>
      <c r="D2677" s="14" t="n">
        <f aca="false">Summary!$B$5-B2677</f>
        <v>-9522.94354087611</v>
      </c>
      <c r="E2677" s="15" t="n">
        <f aca="false">B2677/Summary!$B$5-1</f>
        <v>0.0952294354087611</v>
      </c>
    </row>
    <row r="2678" customFormat="false" ht="15" hidden="false" customHeight="false" outlineLevel="0" collapsed="false">
      <c r="A2678" s="0" t="n">
        <v>2677</v>
      </c>
      <c r="B2678" s="14" t="n">
        <v>111411.370423764</v>
      </c>
      <c r="C2678" s="15" t="n">
        <v>0.0887440891431566</v>
      </c>
      <c r="D2678" s="14" t="n">
        <f aca="false">Summary!$B$5-B2678</f>
        <v>-11411.370423764</v>
      </c>
      <c r="E2678" s="15" t="n">
        <f aca="false">B2678/Summary!$B$5-1</f>
        <v>0.11411370423764</v>
      </c>
    </row>
    <row r="2679" customFormat="false" ht="15" hidden="false" customHeight="false" outlineLevel="0" collapsed="false">
      <c r="A2679" s="0" t="n">
        <v>2678</v>
      </c>
      <c r="B2679" s="14" t="n">
        <v>105934.291985592</v>
      </c>
      <c r="C2679" s="15" t="n">
        <v>0.0904061544948941</v>
      </c>
      <c r="D2679" s="14" t="n">
        <f aca="false">Summary!$B$5-B2679</f>
        <v>-5934.2919855919</v>
      </c>
      <c r="E2679" s="15" t="n">
        <f aca="false">B2679/Summary!$B$5-1</f>
        <v>0.059342919855919</v>
      </c>
    </row>
    <row r="2680" customFormat="false" ht="15" hidden="false" customHeight="false" outlineLevel="0" collapsed="false">
      <c r="A2680" s="0" t="n">
        <v>2679</v>
      </c>
      <c r="B2680" s="14" t="n">
        <v>105404.040964516</v>
      </c>
      <c r="C2680" s="15" t="n">
        <v>0.127809783805555</v>
      </c>
      <c r="D2680" s="14" t="n">
        <f aca="false">Summary!$B$5-B2680</f>
        <v>-5404.04096451581</v>
      </c>
      <c r="E2680" s="15" t="n">
        <f aca="false">B2680/Summary!$B$5-1</f>
        <v>0.0540404096451581</v>
      </c>
    </row>
    <row r="2681" customFormat="false" ht="15" hidden="false" customHeight="false" outlineLevel="0" collapsed="false">
      <c r="A2681" s="0" t="n">
        <v>2680</v>
      </c>
      <c r="B2681" s="14" t="n">
        <v>116200.401288282</v>
      </c>
      <c r="C2681" s="15" t="n">
        <v>0.111089208406317</v>
      </c>
      <c r="D2681" s="14" t="n">
        <f aca="false">Summary!$B$5-B2681</f>
        <v>-16200.4012882819</v>
      </c>
      <c r="E2681" s="15" t="n">
        <f aca="false">B2681/Summary!$B$5-1</f>
        <v>0.162004012882819</v>
      </c>
    </row>
    <row r="2682" customFormat="false" ht="15" hidden="false" customHeight="false" outlineLevel="0" collapsed="false">
      <c r="A2682" s="0" t="n">
        <v>2681</v>
      </c>
      <c r="B2682" s="14" t="n">
        <v>90857.2162861511</v>
      </c>
      <c r="C2682" s="15" t="n">
        <v>0.157873064139947</v>
      </c>
      <c r="D2682" s="14" t="n">
        <f aca="false">Summary!$B$5-B2682</f>
        <v>9142.78371384891</v>
      </c>
      <c r="E2682" s="15" t="n">
        <f aca="false">B2682/Summary!$B$5-1</f>
        <v>-0.0914278371384891</v>
      </c>
    </row>
    <row r="2683" customFormat="false" ht="15" hidden="false" customHeight="false" outlineLevel="0" collapsed="false">
      <c r="A2683" s="0" t="n">
        <v>2682</v>
      </c>
      <c r="B2683" s="14" t="n">
        <v>109469.306003793</v>
      </c>
      <c r="C2683" s="15" t="n">
        <v>0.081062462628093</v>
      </c>
      <c r="D2683" s="14" t="n">
        <f aca="false">Summary!$B$5-B2683</f>
        <v>-9469.306003793</v>
      </c>
      <c r="E2683" s="15" t="n">
        <f aca="false">B2683/Summary!$B$5-1</f>
        <v>0.0946930600379299</v>
      </c>
    </row>
    <row r="2684" customFormat="false" ht="15" hidden="false" customHeight="false" outlineLevel="0" collapsed="false">
      <c r="A2684" s="0" t="n">
        <v>2683</v>
      </c>
      <c r="B2684" s="14" t="n">
        <v>95928.432880468</v>
      </c>
      <c r="C2684" s="15" t="n">
        <v>0.113259905213386</v>
      </c>
      <c r="D2684" s="14" t="n">
        <f aca="false">Summary!$B$5-B2684</f>
        <v>4071.56711953196</v>
      </c>
      <c r="E2684" s="15" t="n">
        <f aca="false">B2684/Summary!$B$5-1</f>
        <v>-0.0407156711953196</v>
      </c>
    </row>
    <row r="2685" customFormat="false" ht="15" hidden="false" customHeight="false" outlineLevel="0" collapsed="false">
      <c r="A2685" s="0" t="n">
        <v>2684</v>
      </c>
      <c r="B2685" s="14" t="n">
        <v>99475.55600999</v>
      </c>
      <c r="C2685" s="15" t="n">
        <v>0.152830363642345</v>
      </c>
      <c r="D2685" s="14" t="n">
        <f aca="false">Summary!$B$5-B2685</f>
        <v>524.443990009968</v>
      </c>
      <c r="E2685" s="15" t="n">
        <f aca="false">B2685/Summary!$B$5-1</f>
        <v>-0.00524443990009971</v>
      </c>
    </row>
    <row r="2686" customFormat="false" ht="15" hidden="false" customHeight="false" outlineLevel="0" collapsed="false">
      <c r="A2686" s="0" t="n">
        <v>2685</v>
      </c>
      <c r="B2686" s="14" t="n">
        <v>103800.236587647</v>
      </c>
      <c r="C2686" s="15" t="n">
        <v>0.0906540850084117</v>
      </c>
      <c r="D2686" s="14" t="n">
        <f aca="false">Summary!$B$5-B2686</f>
        <v>-3800.23658764669</v>
      </c>
      <c r="E2686" s="15" t="n">
        <f aca="false">B2686/Summary!$B$5-1</f>
        <v>0.038002365876467</v>
      </c>
    </row>
    <row r="2687" customFormat="false" ht="15" hidden="false" customHeight="false" outlineLevel="0" collapsed="false">
      <c r="A2687" s="0" t="n">
        <v>2686</v>
      </c>
      <c r="B2687" s="14" t="n">
        <v>106479.363169785</v>
      </c>
      <c r="C2687" s="15" t="n">
        <v>0.145283814191125</v>
      </c>
      <c r="D2687" s="14" t="n">
        <f aca="false">Summary!$B$5-B2687</f>
        <v>-6479.36316978509</v>
      </c>
      <c r="E2687" s="15" t="n">
        <f aca="false">B2687/Summary!$B$5-1</f>
        <v>0.064793631697851</v>
      </c>
    </row>
    <row r="2688" customFormat="false" ht="15" hidden="false" customHeight="false" outlineLevel="0" collapsed="false">
      <c r="A2688" s="0" t="n">
        <v>2687</v>
      </c>
      <c r="B2688" s="14" t="n">
        <v>106779.278919802</v>
      </c>
      <c r="C2688" s="15" t="n">
        <v>0.0872568325610292</v>
      </c>
      <c r="D2688" s="14" t="n">
        <f aca="false">Summary!$B$5-B2688</f>
        <v>-6779.2789198023</v>
      </c>
      <c r="E2688" s="15" t="n">
        <f aca="false">B2688/Summary!$B$5-1</f>
        <v>0.067792789198023</v>
      </c>
    </row>
    <row r="2689" customFormat="false" ht="15" hidden="false" customHeight="false" outlineLevel="0" collapsed="false">
      <c r="A2689" s="0" t="n">
        <v>2688</v>
      </c>
      <c r="B2689" s="14" t="n">
        <v>115427.327233889</v>
      </c>
      <c r="C2689" s="15" t="n">
        <v>0.0700146035111375</v>
      </c>
      <c r="D2689" s="14" t="n">
        <f aca="false">Summary!$B$5-B2689</f>
        <v>-15427.3272338889</v>
      </c>
      <c r="E2689" s="15" t="n">
        <f aca="false">B2689/Summary!$B$5-1</f>
        <v>0.154273272338889</v>
      </c>
    </row>
    <row r="2690" customFormat="false" ht="15" hidden="false" customHeight="false" outlineLevel="0" collapsed="false">
      <c r="A2690" s="0" t="n">
        <v>2689</v>
      </c>
      <c r="B2690" s="14" t="n">
        <v>107097.261509562</v>
      </c>
      <c r="C2690" s="15" t="n">
        <v>0.0535729261246488</v>
      </c>
      <c r="D2690" s="14" t="n">
        <f aca="false">Summary!$B$5-B2690</f>
        <v>-7097.2615095623</v>
      </c>
      <c r="E2690" s="15" t="n">
        <f aca="false">B2690/Summary!$B$5-1</f>
        <v>0.0709726150956231</v>
      </c>
    </row>
    <row r="2691" customFormat="false" ht="15" hidden="false" customHeight="false" outlineLevel="0" collapsed="false">
      <c r="A2691" s="0" t="n">
        <v>2690</v>
      </c>
      <c r="B2691" s="14" t="n">
        <v>90920.6366845503</v>
      </c>
      <c r="C2691" s="15" t="n">
        <v>0.146634213603432</v>
      </c>
      <c r="D2691" s="14" t="n">
        <f aca="false">Summary!$B$5-B2691</f>
        <v>9079.36331544974</v>
      </c>
      <c r="E2691" s="15" t="n">
        <f aca="false">B2691/Summary!$B$5-1</f>
        <v>-0.0907936331544974</v>
      </c>
    </row>
    <row r="2692" customFormat="false" ht="15" hidden="false" customHeight="false" outlineLevel="0" collapsed="false">
      <c r="A2692" s="0" t="n">
        <v>2691</v>
      </c>
      <c r="B2692" s="14" t="n">
        <v>108767.35040102</v>
      </c>
      <c r="C2692" s="15" t="n">
        <v>0.0783528363411457</v>
      </c>
      <c r="D2692" s="14" t="n">
        <f aca="false">Summary!$B$5-B2692</f>
        <v>-8767.3504010201</v>
      </c>
      <c r="E2692" s="15" t="n">
        <f aca="false">B2692/Summary!$B$5-1</f>
        <v>0.087673504010201</v>
      </c>
    </row>
    <row r="2693" customFormat="false" ht="15" hidden="false" customHeight="false" outlineLevel="0" collapsed="false">
      <c r="A2693" s="0" t="n">
        <v>2692</v>
      </c>
      <c r="B2693" s="14" t="n">
        <v>104074.920620801</v>
      </c>
      <c r="C2693" s="15" t="n">
        <v>0.0721506765920709</v>
      </c>
      <c r="D2693" s="14" t="n">
        <f aca="false">Summary!$B$5-B2693</f>
        <v>-4074.92062080131</v>
      </c>
      <c r="E2693" s="15" t="n">
        <f aca="false">B2693/Summary!$B$5-1</f>
        <v>0.040749206208013</v>
      </c>
    </row>
    <row r="2694" customFormat="false" ht="15" hidden="false" customHeight="false" outlineLevel="0" collapsed="false">
      <c r="A2694" s="0" t="n">
        <v>2693</v>
      </c>
      <c r="B2694" s="14" t="n">
        <v>95351.6769754501</v>
      </c>
      <c r="C2694" s="15" t="n">
        <v>0.125018435292653</v>
      </c>
      <c r="D2694" s="14" t="n">
        <f aca="false">Summary!$B$5-B2694</f>
        <v>4648.32302454993</v>
      </c>
      <c r="E2694" s="15" t="n">
        <f aca="false">B2694/Summary!$B$5-1</f>
        <v>-0.0464832302454993</v>
      </c>
    </row>
    <row r="2695" customFormat="false" ht="15" hidden="false" customHeight="false" outlineLevel="0" collapsed="false">
      <c r="A2695" s="0" t="n">
        <v>2694</v>
      </c>
      <c r="B2695" s="14" t="n">
        <v>107590.019218747</v>
      </c>
      <c r="C2695" s="15" t="n">
        <v>0.0917739265857642</v>
      </c>
      <c r="D2695" s="14" t="n">
        <f aca="false">Summary!$B$5-B2695</f>
        <v>-7590.0192187466</v>
      </c>
      <c r="E2695" s="15" t="n">
        <f aca="false">B2695/Summary!$B$5-1</f>
        <v>0.075900192187466</v>
      </c>
    </row>
    <row r="2696" customFormat="false" ht="15" hidden="false" customHeight="false" outlineLevel="0" collapsed="false">
      <c r="A2696" s="0" t="n">
        <v>2695</v>
      </c>
      <c r="B2696" s="14" t="n">
        <v>111204.918097163</v>
      </c>
      <c r="C2696" s="15" t="n">
        <v>0.0760117921489826</v>
      </c>
      <c r="D2696" s="14" t="n">
        <f aca="false">Summary!$B$5-B2696</f>
        <v>-11204.918097163</v>
      </c>
      <c r="E2696" s="15" t="n">
        <f aca="false">B2696/Summary!$B$5-1</f>
        <v>0.11204918097163</v>
      </c>
    </row>
    <row r="2697" customFormat="false" ht="15" hidden="false" customHeight="false" outlineLevel="0" collapsed="false">
      <c r="A2697" s="0" t="n">
        <v>2696</v>
      </c>
      <c r="B2697" s="14" t="n">
        <v>112217.140276658</v>
      </c>
      <c r="C2697" s="15" t="n">
        <v>0.107146631588016</v>
      </c>
      <c r="D2697" s="14" t="n">
        <f aca="false">Summary!$B$5-B2697</f>
        <v>-12217.1402766583</v>
      </c>
      <c r="E2697" s="15" t="n">
        <f aca="false">B2697/Summary!$B$5-1</f>
        <v>0.122171402766583</v>
      </c>
    </row>
    <row r="2698" customFormat="false" ht="15" hidden="false" customHeight="false" outlineLevel="0" collapsed="false">
      <c r="A2698" s="0" t="n">
        <v>2697</v>
      </c>
      <c r="B2698" s="14" t="n">
        <v>105712.38678135</v>
      </c>
      <c r="C2698" s="15" t="n">
        <v>0.0720958640442577</v>
      </c>
      <c r="D2698" s="14" t="n">
        <f aca="false">Summary!$B$5-B2698</f>
        <v>-5712.38678134971</v>
      </c>
      <c r="E2698" s="15" t="n">
        <f aca="false">B2698/Summary!$B$5-1</f>
        <v>0.0571238678134971</v>
      </c>
    </row>
    <row r="2699" customFormat="false" ht="15" hidden="false" customHeight="false" outlineLevel="0" collapsed="false">
      <c r="A2699" s="0" t="n">
        <v>2698</v>
      </c>
      <c r="B2699" s="14" t="n">
        <v>107172.025908871</v>
      </c>
      <c r="C2699" s="15" t="n">
        <v>0.087996759820241</v>
      </c>
      <c r="D2699" s="14" t="n">
        <f aca="false">Summary!$B$5-B2699</f>
        <v>-7172.0259088711</v>
      </c>
      <c r="E2699" s="15" t="n">
        <f aca="false">B2699/Summary!$B$5-1</f>
        <v>0.0717202590887109</v>
      </c>
    </row>
    <row r="2700" customFormat="false" ht="15" hidden="false" customHeight="false" outlineLevel="0" collapsed="false">
      <c r="A2700" s="0" t="n">
        <v>2699</v>
      </c>
      <c r="B2700" s="14" t="n">
        <v>98891.8219447085</v>
      </c>
      <c r="C2700" s="15" t="n">
        <v>0.0948051843222139</v>
      </c>
      <c r="D2700" s="14" t="n">
        <f aca="false">Summary!$B$5-B2700</f>
        <v>1108.1780552915</v>
      </c>
      <c r="E2700" s="15" t="n">
        <f aca="false">B2700/Summary!$B$5-1</f>
        <v>-0.011081780552915</v>
      </c>
    </row>
    <row r="2701" customFormat="false" ht="15" hidden="false" customHeight="false" outlineLevel="0" collapsed="false">
      <c r="A2701" s="0" t="n">
        <v>2700</v>
      </c>
      <c r="B2701" s="14" t="n">
        <v>109262.4553697</v>
      </c>
      <c r="C2701" s="15" t="n">
        <v>0.112977292879405</v>
      </c>
      <c r="D2701" s="14" t="n">
        <f aca="false">Summary!$B$5-B2701</f>
        <v>-9262.45536969999</v>
      </c>
      <c r="E2701" s="15" t="n">
        <f aca="false">B2701/Summary!$B$5-1</f>
        <v>0.0926245536969999</v>
      </c>
    </row>
    <row r="2702" customFormat="false" ht="15" hidden="false" customHeight="false" outlineLevel="0" collapsed="false">
      <c r="A2702" s="0" t="n">
        <v>2701</v>
      </c>
      <c r="B2702" s="14" t="n">
        <v>100628.845357313</v>
      </c>
      <c r="C2702" s="15" t="n">
        <v>0.0899350123332513</v>
      </c>
      <c r="D2702" s="14" t="n">
        <f aca="false">Summary!$B$5-B2702</f>
        <v>-628.845357313097</v>
      </c>
      <c r="E2702" s="15" t="n">
        <f aca="false">B2702/Summary!$B$5-1</f>
        <v>0.0062884535731309</v>
      </c>
    </row>
    <row r="2703" customFormat="false" ht="15" hidden="false" customHeight="false" outlineLevel="0" collapsed="false">
      <c r="A2703" s="0" t="n">
        <v>2702</v>
      </c>
      <c r="B2703" s="14" t="n">
        <v>136563.009769049</v>
      </c>
      <c r="C2703" s="15" t="n">
        <v>0.0580530103349241</v>
      </c>
      <c r="D2703" s="14" t="n">
        <f aca="false">Summary!$B$5-B2703</f>
        <v>-36563.0097690494</v>
      </c>
      <c r="E2703" s="15" t="n">
        <f aca="false">B2703/Summary!$B$5-1</f>
        <v>0.365630097690494</v>
      </c>
    </row>
    <row r="2704" customFormat="false" ht="15" hidden="false" customHeight="false" outlineLevel="0" collapsed="false">
      <c r="A2704" s="0" t="n">
        <v>2703</v>
      </c>
      <c r="B2704" s="14" t="n">
        <v>120024.613078402</v>
      </c>
      <c r="C2704" s="15" t="n">
        <v>0.0946762168110458</v>
      </c>
      <c r="D2704" s="14" t="n">
        <f aca="false">Summary!$B$5-B2704</f>
        <v>-20024.6130784024</v>
      </c>
      <c r="E2704" s="15" t="n">
        <f aca="false">B2704/Summary!$B$5-1</f>
        <v>0.200246130784024</v>
      </c>
    </row>
    <row r="2705" customFormat="false" ht="15" hidden="false" customHeight="false" outlineLevel="0" collapsed="false">
      <c r="A2705" s="0" t="n">
        <v>2704</v>
      </c>
      <c r="B2705" s="14" t="n">
        <v>87979.8780319541</v>
      </c>
      <c r="C2705" s="15" t="n">
        <v>0.199339811968957</v>
      </c>
      <c r="D2705" s="14" t="n">
        <f aca="false">Summary!$B$5-B2705</f>
        <v>12020.1219680459</v>
      </c>
      <c r="E2705" s="15" t="n">
        <f aca="false">B2705/Summary!$B$5-1</f>
        <v>-0.120201219680459</v>
      </c>
    </row>
    <row r="2706" customFormat="false" ht="15" hidden="false" customHeight="false" outlineLevel="0" collapsed="false">
      <c r="A2706" s="0" t="n">
        <v>2705</v>
      </c>
      <c r="B2706" s="14" t="n">
        <v>96733.8861700372</v>
      </c>
      <c r="C2706" s="15" t="n">
        <v>0.110461779453968</v>
      </c>
      <c r="D2706" s="14" t="n">
        <f aca="false">Summary!$B$5-B2706</f>
        <v>3266.11382996284</v>
      </c>
      <c r="E2706" s="15" t="n">
        <f aca="false">B2706/Summary!$B$5-1</f>
        <v>-0.0326611382996284</v>
      </c>
    </row>
    <row r="2707" customFormat="false" ht="15" hidden="false" customHeight="false" outlineLevel="0" collapsed="false">
      <c r="A2707" s="0" t="n">
        <v>2706</v>
      </c>
      <c r="B2707" s="14" t="n">
        <v>115006.517354088</v>
      </c>
      <c r="C2707" s="15" t="n">
        <v>0.09056333449176</v>
      </c>
      <c r="D2707" s="14" t="n">
        <f aca="false">Summary!$B$5-B2707</f>
        <v>-15006.5173540884</v>
      </c>
      <c r="E2707" s="15" t="n">
        <f aca="false">B2707/Summary!$B$5-1</f>
        <v>0.150065173540884</v>
      </c>
    </row>
    <row r="2708" customFormat="false" ht="15" hidden="false" customHeight="false" outlineLevel="0" collapsed="false">
      <c r="A2708" s="0" t="n">
        <v>2707</v>
      </c>
      <c r="B2708" s="14" t="n">
        <v>101445.160574311</v>
      </c>
      <c r="C2708" s="15" t="n">
        <v>0.0728697719335071</v>
      </c>
      <c r="D2708" s="14" t="n">
        <f aca="false">Summary!$B$5-B2708</f>
        <v>-1445.1605743105</v>
      </c>
      <c r="E2708" s="15" t="n">
        <f aca="false">B2708/Summary!$B$5-1</f>
        <v>0.014451605743105</v>
      </c>
    </row>
    <row r="2709" customFormat="false" ht="15" hidden="false" customHeight="false" outlineLevel="0" collapsed="false">
      <c r="A2709" s="0" t="n">
        <v>2708</v>
      </c>
      <c r="B2709" s="14" t="n">
        <v>88742.1364188538</v>
      </c>
      <c r="C2709" s="15" t="n">
        <v>0.15029021187399</v>
      </c>
      <c r="D2709" s="14" t="n">
        <f aca="false">Summary!$B$5-B2709</f>
        <v>11257.8635811462</v>
      </c>
      <c r="E2709" s="15" t="n">
        <f aca="false">B2709/Summary!$B$5-1</f>
        <v>-0.112578635811462</v>
      </c>
    </row>
    <row r="2710" customFormat="false" ht="15" hidden="false" customHeight="false" outlineLevel="0" collapsed="false">
      <c r="A2710" s="0" t="n">
        <v>2709</v>
      </c>
      <c r="B2710" s="14" t="n">
        <v>111013.162883759</v>
      </c>
      <c r="C2710" s="15" t="n">
        <v>0.0782879822975279</v>
      </c>
      <c r="D2710" s="14" t="n">
        <f aca="false">Summary!$B$5-B2710</f>
        <v>-11013.1628837586</v>
      </c>
      <c r="E2710" s="15" t="n">
        <f aca="false">B2710/Summary!$B$5-1</f>
        <v>0.110131628837586</v>
      </c>
    </row>
    <row r="2711" customFormat="false" ht="15" hidden="false" customHeight="false" outlineLevel="0" collapsed="false">
      <c r="A2711" s="0" t="n">
        <v>2710</v>
      </c>
      <c r="B2711" s="14" t="n">
        <v>98705.3057788614</v>
      </c>
      <c r="C2711" s="15" t="n">
        <v>0.0920170873634458</v>
      </c>
      <c r="D2711" s="14" t="n">
        <f aca="false">Summary!$B$5-B2711</f>
        <v>1294.69422113858</v>
      </c>
      <c r="E2711" s="15" t="n">
        <f aca="false">B2711/Summary!$B$5-1</f>
        <v>-0.0129469422113857</v>
      </c>
    </row>
    <row r="2712" customFormat="false" ht="15" hidden="false" customHeight="false" outlineLevel="0" collapsed="false">
      <c r="A2712" s="0" t="n">
        <v>2711</v>
      </c>
      <c r="B2712" s="14" t="n">
        <v>110568.862711939</v>
      </c>
      <c r="C2712" s="15" t="n">
        <v>0.0728906020278255</v>
      </c>
      <c r="D2712" s="14" t="n">
        <f aca="false">Summary!$B$5-B2712</f>
        <v>-10568.8627119388</v>
      </c>
      <c r="E2712" s="15" t="n">
        <f aca="false">B2712/Summary!$B$5-1</f>
        <v>0.105688627119388</v>
      </c>
    </row>
    <row r="2713" customFormat="false" ht="15" hidden="false" customHeight="false" outlineLevel="0" collapsed="false">
      <c r="A2713" s="0" t="n">
        <v>2712</v>
      </c>
      <c r="B2713" s="14" t="n">
        <v>84381.897815615</v>
      </c>
      <c r="C2713" s="15" t="n">
        <v>0.204170259341187</v>
      </c>
      <c r="D2713" s="14" t="n">
        <f aca="false">Summary!$B$5-B2713</f>
        <v>15618.102184385</v>
      </c>
      <c r="E2713" s="15" t="n">
        <f aca="false">B2713/Summary!$B$5-1</f>
        <v>-0.15618102184385</v>
      </c>
    </row>
    <row r="2714" customFormat="false" ht="15" hidden="false" customHeight="false" outlineLevel="0" collapsed="false">
      <c r="A2714" s="0" t="n">
        <v>2713</v>
      </c>
      <c r="B2714" s="14" t="n">
        <v>130038.422825746</v>
      </c>
      <c r="C2714" s="15" t="n">
        <v>0.05542892234838</v>
      </c>
      <c r="D2714" s="14" t="n">
        <f aca="false">Summary!$B$5-B2714</f>
        <v>-30038.4228257461</v>
      </c>
      <c r="E2714" s="15" t="n">
        <f aca="false">B2714/Summary!$B$5-1</f>
        <v>0.300384228257461</v>
      </c>
    </row>
    <row r="2715" customFormat="false" ht="15" hidden="false" customHeight="false" outlineLevel="0" collapsed="false">
      <c r="A2715" s="0" t="n">
        <v>2714</v>
      </c>
      <c r="B2715" s="14" t="n">
        <v>104313.274551478</v>
      </c>
      <c r="C2715" s="15" t="n">
        <v>0.0765259253708676</v>
      </c>
      <c r="D2715" s="14" t="n">
        <f aca="false">Summary!$B$5-B2715</f>
        <v>-4313.2745514782</v>
      </c>
      <c r="E2715" s="15" t="n">
        <f aca="false">B2715/Summary!$B$5-1</f>
        <v>0.0431327455147821</v>
      </c>
    </row>
    <row r="2716" customFormat="false" ht="15" hidden="false" customHeight="false" outlineLevel="0" collapsed="false">
      <c r="A2716" s="0" t="n">
        <v>2715</v>
      </c>
      <c r="B2716" s="14" t="n">
        <v>116258.332529334</v>
      </c>
      <c r="C2716" s="15" t="n">
        <v>0.102218998337009</v>
      </c>
      <c r="D2716" s="14" t="n">
        <f aca="false">Summary!$B$5-B2716</f>
        <v>-16258.332529334</v>
      </c>
      <c r="E2716" s="15" t="n">
        <f aca="false">B2716/Summary!$B$5-1</f>
        <v>0.16258332529334</v>
      </c>
    </row>
    <row r="2717" customFormat="false" ht="15" hidden="false" customHeight="false" outlineLevel="0" collapsed="false">
      <c r="A2717" s="0" t="n">
        <v>2716</v>
      </c>
      <c r="B2717" s="14" t="n">
        <v>116611.573075839</v>
      </c>
      <c r="C2717" s="15" t="n">
        <v>0.0549758936454272</v>
      </c>
      <c r="D2717" s="14" t="n">
        <f aca="false">Summary!$B$5-B2717</f>
        <v>-16611.5730758386</v>
      </c>
      <c r="E2717" s="15" t="n">
        <f aca="false">B2717/Summary!$B$5-1</f>
        <v>0.166115730758386</v>
      </c>
    </row>
    <row r="2718" customFormat="false" ht="15" hidden="false" customHeight="false" outlineLevel="0" collapsed="false">
      <c r="A2718" s="0" t="n">
        <v>2717</v>
      </c>
      <c r="B2718" s="14" t="n">
        <v>109836.477230239</v>
      </c>
      <c r="C2718" s="15" t="n">
        <v>0.0493204754802942</v>
      </c>
      <c r="D2718" s="14" t="n">
        <f aca="false">Summary!$B$5-B2718</f>
        <v>-9836.4772302388</v>
      </c>
      <c r="E2718" s="15" t="n">
        <f aca="false">B2718/Summary!$B$5-1</f>
        <v>0.0983647723023879</v>
      </c>
    </row>
    <row r="2719" customFormat="false" ht="15" hidden="false" customHeight="false" outlineLevel="0" collapsed="false">
      <c r="A2719" s="0" t="n">
        <v>2718</v>
      </c>
      <c r="B2719" s="14" t="n">
        <v>87381.1043116351</v>
      </c>
      <c r="C2719" s="15" t="n">
        <v>0.150233178138114</v>
      </c>
      <c r="D2719" s="14" t="n">
        <f aca="false">Summary!$B$5-B2719</f>
        <v>12618.895688365</v>
      </c>
      <c r="E2719" s="15" t="n">
        <f aca="false">B2719/Summary!$B$5-1</f>
        <v>-0.12618895688365</v>
      </c>
    </row>
    <row r="2720" customFormat="false" ht="15" hidden="false" customHeight="false" outlineLevel="0" collapsed="false">
      <c r="A2720" s="0" t="n">
        <v>2719</v>
      </c>
      <c r="B2720" s="14" t="n">
        <v>90091.4894145128</v>
      </c>
      <c r="C2720" s="15" t="n">
        <v>0.169432634469533</v>
      </c>
      <c r="D2720" s="14" t="n">
        <f aca="false">Summary!$B$5-B2720</f>
        <v>9908.51058548724</v>
      </c>
      <c r="E2720" s="15" t="n">
        <f aca="false">B2720/Summary!$B$5-1</f>
        <v>-0.0990851058548724</v>
      </c>
    </row>
    <row r="2721" customFormat="false" ht="15" hidden="false" customHeight="false" outlineLevel="0" collapsed="false">
      <c r="A2721" s="0" t="n">
        <v>2720</v>
      </c>
      <c r="B2721" s="14" t="n">
        <v>114453.920156838</v>
      </c>
      <c r="C2721" s="15" t="n">
        <v>0.0716579090177357</v>
      </c>
      <c r="D2721" s="14" t="n">
        <f aca="false">Summary!$B$5-B2721</f>
        <v>-14453.920156838</v>
      </c>
      <c r="E2721" s="15" t="n">
        <f aca="false">B2721/Summary!$B$5-1</f>
        <v>0.14453920156838</v>
      </c>
    </row>
    <row r="2722" customFormat="false" ht="15" hidden="false" customHeight="false" outlineLevel="0" collapsed="false">
      <c r="A2722" s="0" t="n">
        <v>2721</v>
      </c>
      <c r="B2722" s="14" t="n">
        <v>117563.427212254</v>
      </c>
      <c r="C2722" s="15" t="n">
        <v>0.0946219606162889</v>
      </c>
      <c r="D2722" s="14" t="n">
        <f aca="false">Summary!$B$5-B2722</f>
        <v>-17563.4272122543</v>
      </c>
      <c r="E2722" s="15" t="n">
        <f aca="false">B2722/Summary!$B$5-1</f>
        <v>0.175634272122543</v>
      </c>
    </row>
    <row r="2723" customFormat="false" ht="15" hidden="false" customHeight="false" outlineLevel="0" collapsed="false">
      <c r="A2723" s="0" t="n">
        <v>2722</v>
      </c>
      <c r="B2723" s="14" t="n">
        <v>111574.595744875</v>
      </c>
      <c r="C2723" s="15" t="n">
        <v>0.0999912015229102</v>
      </c>
      <c r="D2723" s="14" t="n">
        <f aca="false">Summary!$B$5-B2723</f>
        <v>-11574.595744875</v>
      </c>
      <c r="E2723" s="15" t="n">
        <f aca="false">B2723/Summary!$B$5-1</f>
        <v>0.11574595744875</v>
      </c>
    </row>
    <row r="2724" customFormat="false" ht="15" hidden="false" customHeight="false" outlineLevel="0" collapsed="false">
      <c r="A2724" s="0" t="n">
        <v>2723</v>
      </c>
      <c r="B2724" s="14" t="n">
        <v>125648.340505847</v>
      </c>
      <c r="C2724" s="15" t="n">
        <v>0.0872061796425581</v>
      </c>
      <c r="D2724" s="14" t="n">
        <f aca="false">Summary!$B$5-B2724</f>
        <v>-25648.3405058466</v>
      </c>
      <c r="E2724" s="15" t="n">
        <f aca="false">B2724/Summary!$B$5-1</f>
        <v>0.256483405058466</v>
      </c>
    </row>
    <row r="2725" customFormat="false" ht="15" hidden="false" customHeight="false" outlineLevel="0" collapsed="false">
      <c r="A2725" s="0" t="n">
        <v>2724</v>
      </c>
      <c r="B2725" s="14" t="n">
        <v>126841.256092922</v>
      </c>
      <c r="C2725" s="15" t="n">
        <v>0.089360090782046</v>
      </c>
      <c r="D2725" s="14" t="n">
        <f aca="false">Summary!$B$5-B2725</f>
        <v>-26841.2560929217</v>
      </c>
      <c r="E2725" s="15" t="n">
        <f aca="false">B2725/Summary!$B$5-1</f>
        <v>0.268412560929217</v>
      </c>
    </row>
    <row r="2726" customFormat="false" ht="15" hidden="false" customHeight="false" outlineLevel="0" collapsed="false">
      <c r="A2726" s="0" t="n">
        <v>2725</v>
      </c>
      <c r="B2726" s="14" t="n">
        <v>81264.9405690209</v>
      </c>
      <c r="C2726" s="15" t="n">
        <v>0.206728848581402</v>
      </c>
      <c r="D2726" s="14" t="n">
        <f aca="false">Summary!$B$5-B2726</f>
        <v>18735.0594309791</v>
      </c>
      <c r="E2726" s="15" t="n">
        <f aca="false">B2726/Summary!$B$5-1</f>
        <v>-0.187350594309791</v>
      </c>
    </row>
    <row r="2727" customFormat="false" ht="15" hidden="false" customHeight="false" outlineLevel="0" collapsed="false">
      <c r="A2727" s="0" t="n">
        <v>2726</v>
      </c>
      <c r="B2727" s="14" t="n">
        <v>101382.71561349</v>
      </c>
      <c r="C2727" s="15" t="n">
        <v>0.076703528362736</v>
      </c>
      <c r="D2727" s="14" t="n">
        <f aca="false">Summary!$B$5-B2727</f>
        <v>-1382.71561348961</v>
      </c>
      <c r="E2727" s="15" t="n">
        <f aca="false">B2727/Summary!$B$5-1</f>
        <v>0.0138271561348962</v>
      </c>
    </row>
    <row r="2728" customFormat="false" ht="15" hidden="false" customHeight="false" outlineLevel="0" collapsed="false">
      <c r="A2728" s="0" t="n">
        <v>2727</v>
      </c>
      <c r="B2728" s="14" t="n">
        <v>102030.393569828</v>
      </c>
      <c r="C2728" s="15" t="n">
        <v>0.108018175724231</v>
      </c>
      <c r="D2728" s="14" t="n">
        <f aca="false">Summary!$B$5-B2728</f>
        <v>-2030.3935698283</v>
      </c>
      <c r="E2728" s="15" t="n">
        <f aca="false">B2728/Summary!$B$5-1</f>
        <v>0.020303935698283</v>
      </c>
    </row>
    <row r="2729" customFormat="false" ht="15" hidden="false" customHeight="false" outlineLevel="0" collapsed="false">
      <c r="A2729" s="0" t="n">
        <v>2728</v>
      </c>
      <c r="B2729" s="14" t="n">
        <v>129952.35101802</v>
      </c>
      <c r="C2729" s="15" t="n">
        <v>0.0685142274639632</v>
      </c>
      <c r="D2729" s="14" t="n">
        <f aca="false">Summary!$B$5-B2729</f>
        <v>-29952.3510180195</v>
      </c>
      <c r="E2729" s="15" t="n">
        <f aca="false">B2729/Summary!$B$5-1</f>
        <v>0.299523510180195</v>
      </c>
    </row>
    <row r="2730" customFormat="false" ht="15" hidden="false" customHeight="false" outlineLevel="0" collapsed="false">
      <c r="A2730" s="0" t="n">
        <v>2729</v>
      </c>
      <c r="B2730" s="14" t="n">
        <v>87575.1033311315</v>
      </c>
      <c r="C2730" s="15" t="n">
        <v>0.174084106199395</v>
      </c>
      <c r="D2730" s="14" t="n">
        <f aca="false">Summary!$B$5-B2730</f>
        <v>12424.8966688685</v>
      </c>
      <c r="E2730" s="15" t="n">
        <f aca="false">B2730/Summary!$B$5-1</f>
        <v>-0.124248966688685</v>
      </c>
    </row>
    <row r="2731" customFormat="false" ht="15" hidden="false" customHeight="false" outlineLevel="0" collapsed="false">
      <c r="A2731" s="0" t="n">
        <v>2730</v>
      </c>
      <c r="B2731" s="14" t="n">
        <v>96053.8459521068</v>
      </c>
      <c r="C2731" s="15" t="n">
        <v>0.125028862243299</v>
      </c>
      <c r="D2731" s="14" t="n">
        <f aca="false">Summary!$B$5-B2731</f>
        <v>3946.15404789319</v>
      </c>
      <c r="E2731" s="15" t="n">
        <f aca="false">B2731/Summary!$B$5-1</f>
        <v>-0.0394615404789319</v>
      </c>
    </row>
    <row r="2732" customFormat="false" ht="15" hidden="false" customHeight="false" outlineLevel="0" collapsed="false">
      <c r="A2732" s="0" t="n">
        <v>2731</v>
      </c>
      <c r="B2732" s="14" t="n">
        <v>90175.6900661516</v>
      </c>
      <c r="C2732" s="15" t="n">
        <v>0.190385347433214</v>
      </c>
      <c r="D2732" s="14" t="n">
        <f aca="false">Summary!$B$5-B2732</f>
        <v>9824.30993384845</v>
      </c>
      <c r="E2732" s="15" t="n">
        <f aca="false">B2732/Summary!$B$5-1</f>
        <v>-0.0982430993384844</v>
      </c>
    </row>
    <row r="2733" customFormat="false" ht="15" hidden="false" customHeight="false" outlineLevel="0" collapsed="false">
      <c r="A2733" s="0" t="n">
        <v>2732</v>
      </c>
      <c r="B2733" s="14" t="n">
        <v>144470.714765682</v>
      </c>
      <c r="C2733" s="15" t="n">
        <v>0.0593895823892557</v>
      </c>
      <c r="D2733" s="14" t="n">
        <f aca="false">Summary!$B$5-B2733</f>
        <v>-44470.7147656815</v>
      </c>
      <c r="E2733" s="15" t="n">
        <f aca="false">B2733/Summary!$B$5-1</f>
        <v>0.444707147656815</v>
      </c>
    </row>
    <row r="2734" customFormat="false" ht="15" hidden="false" customHeight="false" outlineLevel="0" collapsed="false">
      <c r="A2734" s="0" t="n">
        <v>2733</v>
      </c>
      <c r="B2734" s="14" t="n">
        <v>91546.1784414968</v>
      </c>
      <c r="C2734" s="15" t="n">
        <v>0.149483083516708</v>
      </c>
      <c r="D2734" s="14" t="n">
        <f aca="false">Summary!$B$5-B2734</f>
        <v>8453.82155850317</v>
      </c>
      <c r="E2734" s="15" t="n">
        <f aca="false">B2734/Summary!$B$5-1</f>
        <v>-0.0845382155850317</v>
      </c>
    </row>
    <row r="2735" customFormat="false" ht="15" hidden="false" customHeight="false" outlineLevel="0" collapsed="false">
      <c r="A2735" s="0" t="n">
        <v>2734</v>
      </c>
      <c r="B2735" s="14" t="n">
        <v>99083.2375775469</v>
      </c>
      <c r="C2735" s="15" t="n">
        <v>0.081098178504243</v>
      </c>
      <c r="D2735" s="14" t="n">
        <f aca="false">Summary!$B$5-B2735</f>
        <v>916.762422453088</v>
      </c>
      <c r="E2735" s="15" t="n">
        <f aca="false">B2735/Summary!$B$5-1</f>
        <v>-0.00916762422453088</v>
      </c>
    </row>
    <row r="2736" customFormat="false" ht="15" hidden="false" customHeight="false" outlineLevel="0" collapsed="false">
      <c r="A2736" s="0" t="n">
        <v>2735</v>
      </c>
      <c r="B2736" s="14" t="n">
        <v>118118.456060149</v>
      </c>
      <c r="C2736" s="15" t="n">
        <v>0.103716485476912</v>
      </c>
      <c r="D2736" s="14" t="n">
        <f aca="false">Summary!$B$5-B2736</f>
        <v>-18118.4560601487</v>
      </c>
      <c r="E2736" s="15" t="n">
        <f aca="false">B2736/Summary!$B$5-1</f>
        <v>0.181184560601487</v>
      </c>
    </row>
    <row r="2737" customFormat="false" ht="15" hidden="false" customHeight="false" outlineLevel="0" collapsed="false">
      <c r="A2737" s="0" t="n">
        <v>2736</v>
      </c>
      <c r="B2737" s="14" t="n">
        <v>123327.82807222</v>
      </c>
      <c r="C2737" s="15" t="n">
        <v>0.0861295302241533</v>
      </c>
      <c r="D2737" s="14" t="n">
        <f aca="false">Summary!$B$5-B2737</f>
        <v>-23327.8280722195</v>
      </c>
      <c r="E2737" s="15" t="n">
        <f aca="false">B2737/Summary!$B$5-1</f>
        <v>0.233278280722195</v>
      </c>
    </row>
    <row r="2738" customFormat="false" ht="15" hidden="false" customHeight="false" outlineLevel="0" collapsed="false">
      <c r="A2738" s="0" t="n">
        <v>2737</v>
      </c>
      <c r="B2738" s="14" t="n">
        <v>136423.013259619</v>
      </c>
      <c r="C2738" s="15" t="n">
        <v>0.0639216995242611</v>
      </c>
      <c r="D2738" s="14" t="n">
        <f aca="false">Summary!$B$5-B2738</f>
        <v>-36423.0132596193</v>
      </c>
      <c r="E2738" s="15" t="n">
        <f aca="false">B2738/Summary!$B$5-1</f>
        <v>0.364230132596193</v>
      </c>
    </row>
    <row r="2739" customFormat="false" ht="15" hidden="false" customHeight="false" outlineLevel="0" collapsed="false">
      <c r="A2739" s="0" t="n">
        <v>2738</v>
      </c>
      <c r="B2739" s="14" t="n">
        <v>103482.968689552</v>
      </c>
      <c r="C2739" s="15" t="n">
        <v>0.0796863508322718</v>
      </c>
      <c r="D2739" s="14" t="n">
        <f aca="false">Summary!$B$5-B2739</f>
        <v>-3482.96868955169</v>
      </c>
      <c r="E2739" s="15" t="n">
        <f aca="false">B2739/Summary!$B$5-1</f>
        <v>0.0348296868955169</v>
      </c>
    </row>
    <row r="2740" customFormat="false" ht="15" hidden="false" customHeight="false" outlineLevel="0" collapsed="false">
      <c r="A2740" s="0" t="n">
        <v>2739</v>
      </c>
      <c r="B2740" s="14" t="n">
        <v>116476.674727842</v>
      </c>
      <c r="C2740" s="15" t="n">
        <v>0.072513526560725</v>
      </c>
      <c r="D2740" s="14" t="n">
        <f aca="false">Summary!$B$5-B2740</f>
        <v>-16476.674727842</v>
      </c>
      <c r="E2740" s="15" t="n">
        <f aca="false">B2740/Summary!$B$5-1</f>
        <v>0.16476674727842</v>
      </c>
    </row>
    <row r="2741" customFormat="false" ht="15" hidden="false" customHeight="false" outlineLevel="0" collapsed="false">
      <c r="A2741" s="0" t="n">
        <v>2740</v>
      </c>
      <c r="B2741" s="14" t="n">
        <v>122626.426218673</v>
      </c>
      <c r="C2741" s="15" t="n">
        <v>0.0458254677257182</v>
      </c>
      <c r="D2741" s="14" t="n">
        <f aca="false">Summary!$B$5-B2741</f>
        <v>-22626.4262186725</v>
      </c>
      <c r="E2741" s="15" t="n">
        <f aca="false">B2741/Summary!$B$5-1</f>
        <v>0.226264262186725</v>
      </c>
    </row>
    <row r="2742" customFormat="false" ht="15" hidden="false" customHeight="false" outlineLevel="0" collapsed="false">
      <c r="A2742" s="0" t="n">
        <v>2741</v>
      </c>
      <c r="B2742" s="14" t="n">
        <v>110457.427059628</v>
      </c>
      <c r="C2742" s="15" t="n">
        <v>0.0737715238049145</v>
      </c>
      <c r="D2742" s="14" t="n">
        <f aca="false">Summary!$B$5-B2742</f>
        <v>-10457.4270596276</v>
      </c>
      <c r="E2742" s="15" t="n">
        <f aca="false">B2742/Summary!$B$5-1</f>
        <v>0.104574270596276</v>
      </c>
    </row>
    <row r="2743" customFormat="false" ht="15" hidden="false" customHeight="false" outlineLevel="0" collapsed="false">
      <c r="A2743" s="0" t="n">
        <v>2742</v>
      </c>
      <c r="B2743" s="14" t="n">
        <v>128678.085598401</v>
      </c>
      <c r="C2743" s="15" t="n">
        <v>0.057741788493438</v>
      </c>
      <c r="D2743" s="14" t="n">
        <f aca="false">Summary!$B$5-B2743</f>
        <v>-28678.0855984005</v>
      </c>
      <c r="E2743" s="15" t="n">
        <f aca="false">B2743/Summary!$B$5-1</f>
        <v>0.286780855984005</v>
      </c>
    </row>
    <row r="2744" customFormat="false" ht="15" hidden="false" customHeight="false" outlineLevel="0" collapsed="false">
      <c r="A2744" s="0" t="n">
        <v>2743</v>
      </c>
      <c r="B2744" s="14" t="n">
        <v>111539.168759526</v>
      </c>
      <c r="C2744" s="15" t="n">
        <v>0.0812178859463894</v>
      </c>
      <c r="D2744" s="14" t="n">
        <f aca="false">Summary!$B$5-B2744</f>
        <v>-11539.1687595255</v>
      </c>
      <c r="E2744" s="15" t="n">
        <f aca="false">B2744/Summary!$B$5-1</f>
        <v>0.115391687595255</v>
      </c>
    </row>
    <row r="2745" customFormat="false" ht="15" hidden="false" customHeight="false" outlineLevel="0" collapsed="false">
      <c r="A2745" s="0" t="n">
        <v>2744</v>
      </c>
      <c r="B2745" s="14" t="n">
        <v>120600.715994292</v>
      </c>
      <c r="C2745" s="15" t="n">
        <v>0.0533840940468587</v>
      </c>
      <c r="D2745" s="14" t="n">
        <f aca="false">Summary!$B$5-B2745</f>
        <v>-20600.7159942923</v>
      </c>
      <c r="E2745" s="15" t="n">
        <f aca="false">B2745/Summary!$B$5-1</f>
        <v>0.206007159942923</v>
      </c>
    </row>
    <row r="2746" customFormat="false" ht="15" hidden="false" customHeight="false" outlineLevel="0" collapsed="false">
      <c r="A2746" s="0" t="n">
        <v>2745</v>
      </c>
      <c r="B2746" s="14" t="n">
        <v>118590.202826892</v>
      </c>
      <c r="C2746" s="15" t="n">
        <v>0.0731370696321394</v>
      </c>
      <c r="D2746" s="14" t="n">
        <f aca="false">Summary!$B$5-B2746</f>
        <v>-18590.2028268923</v>
      </c>
      <c r="E2746" s="15" t="n">
        <f aca="false">B2746/Summary!$B$5-1</f>
        <v>0.185902028268923</v>
      </c>
    </row>
    <row r="2747" customFormat="false" ht="15" hidden="false" customHeight="false" outlineLevel="0" collapsed="false">
      <c r="A2747" s="0" t="n">
        <v>2746</v>
      </c>
      <c r="B2747" s="14" t="n">
        <v>93932.6992114381</v>
      </c>
      <c r="C2747" s="15" t="n">
        <v>0.0899529974530762</v>
      </c>
      <c r="D2747" s="14" t="n">
        <f aca="false">Summary!$B$5-B2747</f>
        <v>6067.30078856193</v>
      </c>
      <c r="E2747" s="15" t="n">
        <f aca="false">B2747/Summary!$B$5-1</f>
        <v>-0.0606730078856192</v>
      </c>
    </row>
    <row r="2748" customFormat="false" ht="15" hidden="false" customHeight="false" outlineLevel="0" collapsed="false">
      <c r="A2748" s="0" t="n">
        <v>2747</v>
      </c>
      <c r="B2748" s="14" t="n">
        <v>118724.356097647</v>
      </c>
      <c r="C2748" s="15" t="n">
        <v>0.0928811153089677</v>
      </c>
      <c r="D2748" s="14" t="n">
        <f aca="false">Summary!$B$5-B2748</f>
        <v>-18724.3560976465</v>
      </c>
      <c r="E2748" s="15" t="n">
        <f aca="false">B2748/Summary!$B$5-1</f>
        <v>0.187243560976465</v>
      </c>
    </row>
    <row r="2749" customFormat="false" ht="15" hidden="false" customHeight="false" outlineLevel="0" collapsed="false">
      <c r="A2749" s="0" t="n">
        <v>2748</v>
      </c>
      <c r="B2749" s="14" t="n">
        <v>125679.78987666</v>
      </c>
      <c r="C2749" s="15" t="n">
        <v>0.0596986550282954</v>
      </c>
      <c r="D2749" s="14" t="n">
        <f aca="false">Summary!$B$5-B2749</f>
        <v>-25679.78987666</v>
      </c>
      <c r="E2749" s="15" t="n">
        <f aca="false">B2749/Summary!$B$5-1</f>
        <v>0.2567978987666</v>
      </c>
    </row>
    <row r="2750" customFormat="false" ht="15" hidden="false" customHeight="false" outlineLevel="0" collapsed="false">
      <c r="A2750" s="0" t="n">
        <v>2749</v>
      </c>
      <c r="B2750" s="14" t="n">
        <v>95916.1766323704</v>
      </c>
      <c r="C2750" s="15" t="n">
        <v>0.0750506793708505</v>
      </c>
      <c r="D2750" s="14" t="n">
        <f aca="false">Summary!$B$5-B2750</f>
        <v>4083.82336762961</v>
      </c>
      <c r="E2750" s="15" t="n">
        <f aca="false">B2750/Summary!$B$5-1</f>
        <v>-0.0408382336762961</v>
      </c>
    </row>
    <row r="2751" customFormat="false" ht="15" hidden="false" customHeight="false" outlineLevel="0" collapsed="false">
      <c r="A2751" s="0" t="n">
        <v>2750</v>
      </c>
      <c r="B2751" s="14" t="n">
        <v>104157.989867586</v>
      </c>
      <c r="C2751" s="15" t="n">
        <v>0.0760524092494564</v>
      </c>
      <c r="D2751" s="14" t="n">
        <f aca="false">Summary!$B$5-B2751</f>
        <v>-4157.9898675858</v>
      </c>
      <c r="E2751" s="15" t="n">
        <f aca="false">B2751/Summary!$B$5-1</f>
        <v>0.041579898675858</v>
      </c>
    </row>
    <row r="2752" customFormat="false" ht="15" hidden="false" customHeight="false" outlineLevel="0" collapsed="false">
      <c r="A2752" s="0" t="n">
        <v>2751</v>
      </c>
      <c r="B2752" s="14" t="n">
        <v>100395.916857857</v>
      </c>
      <c r="C2752" s="15" t="n">
        <v>0.106138331118096</v>
      </c>
      <c r="D2752" s="14" t="n">
        <f aca="false">Summary!$B$5-B2752</f>
        <v>-395.916857857403</v>
      </c>
      <c r="E2752" s="15" t="n">
        <f aca="false">B2752/Summary!$B$5-1</f>
        <v>0.00395916857857404</v>
      </c>
    </row>
    <row r="2753" customFormat="false" ht="15" hidden="false" customHeight="false" outlineLevel="0" collapsed="false">
      <c r="A2753" s="0" t="n">
        <v>2752</v>
      </c>
      <c r="B2753" s="14" t="n">
        <v>106553.844224321</v>
      </c>
      <c r="C2753" s="15" t="n">
        <v>0.075581293145555</v>
      </c>
      <c r="D2753" s="14" t="n">
        <f aca="false">Summary!$B$5-B2753</f>
        <v>-6553.8442243207</v>
      </c>
      <c r="E2753" s="15" t="n">
        <f aca="false">B2753/Summary!$B$5-1</f>
        <v>0.065538442243207</v>
      </c>
    </row>
    <row r="2754" customFormat="false" ht="15" hidden="false" customHeight="false" outlineLevel="0" collapsed="false">
      <c r="A2754" s="0" t="n">
        <v>2753</v>
      </c>
      <c r="B2754" s="14" t="n">
        <v>101183.199616488</v>
      </c>
      <c r="C2754" s="15" t="n">
        <v>0.0845035634877792</v>
      </c>
      <c r="D2754" s="14" t="n">
        <f aca="false">Summary!$B$5-B2754</f>
        <v>-1183.1996164882</v>
      </c>
      <c r="E2754" s="15" t="n">
        <f aca="false">B2754/Summary!$B$5-1</f>
        <v>0.0118319961648821</v>
      </c>
    </row>
    <row r="2755" customFormat="false" ht="15" hidden="false" customHeight="false" outlineLevel="0" collapsed="false">
      <c r="A2755" s="0" t="n">
        <v>2754</v>
      </c>
      <c r="B2755" s="14" t="n">
        <v>111827.519077666</v>
      </c>
      <c r="C2755" s="15" t="n">
        <v>0.109290819058236</v>
      </c>
      <c r="D2755" s="14" t="n">
        <f aca="false">Summary!$B$5-B2755</f>
        <v>-11827.5190776659</v>
      </c>
      <c r="E2755" s="15" t="n">
        <f aca="false">B2755/Summary!$B$5-1</f>
        <v>0.118275190776659</v>
      </c>
    </row>
    <row r="2756" customFormat="false" ht="15" hidden="false" customHeight="false" outlineLevel="0" collapsed="false">
      <c r="A2756" s="0" t="n">
        <v>2755</v>
      </c>
      <c r="B2756" s="14" t="n">
        <v>109910.552213441</v>
      </c>
      <c r="C2756" s="15" t="n">
        <v>0.0998490043415707</v>
      </c>
      <c r="D2756" s="14" t="n">
        <f aca="false">Summary!$B$5-B2756</f>
        <v>-9910.5522134405</v>
      </c>
      <c r="E2756" s="15" t="n">
        <f aca="false">B2756/Summary!$B$5-1</f>
        <v>0.099105522134405</v>
      </c>
    </row>
    <row r="2757" customFormat="false" ht="15" hidden="false" customHeight="false" outlineLevel="0" collapsed="false">
      <c r="A2757" s="0" t="n">
        <v>2756</v>
      </c>
      <c r="B2757" s="14" t="n">
        <v>108135.078735037</v>
      </c>
      <c r="C2757" s="15" t="n">
        <v>0.0850228953307215</v>
      </c>
      <c r="D2757" s="14" t="n">
        <f aca="false">Summary!$B$5-B2757</f>
        <v>-8135.0787350366</v>
      </c>
      <c r="E2757" s="15" t="n">
        <f aca="false">B2757/Summary!$B$5-1</f>
        <v>0.0813507873503661</v>
      </c>
    </row>
    <row r="2758" customFormat="false" ht="15" hidden="false" customHeight="false" outlineLevel="0" collapsed="false">
      <c r="A2758" s="0" t="n">
        <v>2757</v>
      </c>
      <c r="B2758" s="14" t="n">
        <v>102493.546618404</v>
      </c>
      <c r="C2758" s="15" t="n">
        <v>0.0937164455043914</v>
      </c>
      <c r="D2758" s="14" t="n">
        <f aca="false">Summary!$B$5-B2758</f>
        <v>-2493.54661840371</v>
      </c>
      <c r="E2758" s="15" t="n">
        <f aca="false">B2758/Summary!$B$5-1</f>
        <v>0.0249354661840371</v>
      </c>
    </row>
    <row r="2759" customFormat="false" ht="15" hidden="false" customHeight="false" outlineLevel="0" collapsed="false">
      <c r="A2759" s="0" t="n">
        <v>2758</v>
      </c>
      <c r="B2759" s="14" t="n">
        <v>110897.879909498</v>
      </c>
      <c r="C2759" s="15" t="n">
        <v>0.0704482285788917</v>
      </c>
      <c r="D2759" s="14" t="n">
        <f aca="false">Summary!$B$5-B2759</f>
        <v>-10897.8799094978</v>
      </c>
      <c r="E2759" s="15" t="n">
        <f aca="false">B2759/Summary!$B$5-1</f>
        <v>0.108978799094978</v>
      </c>
    </row>
    <row r="2760" customFormat="false" ht="15" hidden="false" customHeight="false" outlineLevel="0" collapsed="false">
      <c r="A2760" s="0" t="n">
        <v>2759</v>
      </c>
      <c r="B2760" s="14" t="n">
        <v>94786.5052145201</v>
      </c>
      <c r="C2760" s="15" t="n">
        <v>0.148995513451587</v>
      </c>
      <c r="D2760" s="14" t="n">
        <f aca="false">Summary!$B$5-B2760</f>
        <v>5213.49478547995</v>
      </c>
      <c r="E2760" s="15" t="n">
        <f aca="false">B2760/Summary!$B$5-1</f>
        <v>-0.0521349478547996</v>
      </c>
    </row>
    <row r="2761" customFormat="false" ht="15" hidden="false" customHeight="false" outlineLevel="0" collapsed="false">
      <c r="A2761" s="0" t="n">
        <v>2760</v>
      </c>
      <c r="B2761" s="14" t="n">
        <v>109489.102922219</v>
      </c>
      <c r="C2761" s="15" t="n">
        <v>0.073652006914492</v>
      </c>
      <c r="D2761" s="14" t="n">
        <f aca="false">Summary!$B$5-B2761</f>
        <v>-9489.1029222192</v>
      </c>
      <c r="E2761" s="15" t="n">
        <f aca="false">B2761/Summary!$B$5-1</f>
        <v>0.0948910292221921</v>
      </c>
    </row>
    <row r="2762" customFormat="false" ht="15" hidden="false" customHeight="false" outlineLevel="0" collapsed="false">
      <c r="A2762" s="0" t="n">
        <v>2761</v>
      </c>
      <c r="B2762" s="14" t="n">
        <v>92895.4286460959</v>
      </c>
      <c r="C2762" s="15" t="n">
        <v>0.153286965742075</v>
      </c>
      <c r="D2762" s="14" t="n">
        <f aca="false">Summary!$B$5-B2762</f>
        <v>7104.57135390413</v>
      </c>
      <c r="E2762" s="15" t="n">
        <f aca="false">B2762/Summary!$B$5-1</f>
        <v>-0.0710457135390413</v>
      </c>
    </row>
    <row r="2763" customFormat="false" ht="15" hidden="false" customHeight="false" outlineLevel="0" collapsed="false">
      <c r="A2763" s="0" t="n">
        <v>2762</v>
      </c>
      <c r="B2763" s="14" t="n">
        <v>131592.749847704</v>
      </c>
      <c r="C2763" s="15" t="n">
        <v>0.0928297715675016</v>
      </c>
      <c r="D2763" s="14" t="n">
        <f aca="false">Summary!$B$5-B2763</f>
        <v>-31592.7498477035</v>
      </c>
      <c r="E2763" s="15" t="n">
        <f aca="false">B2763/Summary!$B$5-1</f>
        <v>0.315927498477035</v>
      </c>
    </row>
    <row r="2764" customFormat="false" ht="15" hidden="false" customHeight="false" outlineLevel="0" collapsed="false">
      <c r="A2764" s="0" t="n">
        <v>2763</v>
      </c>
      <c r="B2764" s="14" t="n">
        <v>120610.977019339</v>
      </c>
      <c r="C2764" s="15" t="n">
        <v>0.0709289183381173</v>
      </c>
      <c r="D2764" s="14" t="n">
        <f aca="false">Summary!$B$5-B2764</f>
        <v>-20610.9770193385</v>
      </c>
      <c r="E2764" s="15" t="n">
        <f aca="false">B2764/Summary!$B$5-1</f>
        <v>0.206109770193385</v>
      </c>
    </row>
    <row r="2765" customFormat="false" ht="15" hidden="false" customHeight="false" outlineLevel="0" collapsed="false">
      <c r="A2765" s="0" t="n">
        <v>2764</v>
      </c>
      <c r="B2765" s="14" t="n">
        <v>97220.1397510202</v>
      </c>
      <c r="C2765" s="15" t="n">
        <v>0.0973767523124288</v>
      </c>
      <c r="D2765" s="14" t="n">
        <f aca="false">Summary!$B$5-B2765</f>
        <v>2779.86024897976</v>
      </c>
      <c r="E2765" s="15" t="n">
        <f aca="false">B2765/Summary!$B$5-1</f>
        <v>-0.0277986024897976</v>
      </c>
    </row>
    <row r="2766" customFormat="false" ht="15" hidden="false" customHeight="false" outlineLevel="0" collapsed="false">
      <c r="A2766" s="0" t="n">
        <v>2765</v>
      </c>
      <c r="B2766" s="14" t="n">
        <v>105493.356204563</v>
      </c>
      <c r="C2766" s="15" t="n">
        <v>0.0682545531657255</v>
      </c>
      <c r="D2766" s="14" t="n">
        <f aca="false">Summary!$B$5-B2766</f>
        <v>-5493.35620456289</v>
      </c>
      <c r="E2766" s="15" t="n">
        <f aca="false">B2766/Summary!$B$5-1</f>
        <v>0.0549335620456288</v>
      </c>
    </row>
    <row r="2767" customFormat="false" ht="15" hidden="false" customHeight="false" outlineLevel="0" collapsed="false">
      <c r="A2767" s="0" t="n">
        <v>2766</v>
      </c>
      <c r="B2767" s="14" t="n">
        <v>115358.251465357</v>
      </c>
      <c r="C2767" s="15" t="n">
        <v>0.0872233658187126</v>
      </c>
      <c r="D2767" s="14" t="n">
        <f aca="false">Summary!$B$5-B2767</f>
        <v>-15358.251465357</v>
      </c>
      <c r="E2767" s="15" t="n">
        <f aca="false">B2767/Summary!$B$5-1</f>
        <v>0.15358251465357</v>
      </c>
    </row>
    <row r="2768" customFormat="false" ht="15" hidden="false" customHeight="false" outlineLevel="0" collapsed="false">
      <c r="A2768" s="0" t="n">
        <v>2767</v>
      </c>
      <c r="B2768" s="14" t="n">
        <v>94909.2933526684</v>
      </c>
      <c r="C2768" s="15" t="n">
        <v>0.143582599997904</v>
      </c>
      <c r="D2768" s="14" t="n">
        <f aca="false">Summary!$B$5-B2768</f>
        <v>5090.70664733165</v>
      </c>
      <c r="E2768" s="15" t="n">
        <f aca="false">B2768/Summary!$B$5-1</f>
        <v>-0.0509070664733166</v>
      </c>
    </row>
    <row r="2769" customFormat="false" ht="15" hidden="false" customHeight="false" outlineLevel="0" collapsed="false">
      <c r="A2769" s="0" t="n">
        <v>2768</v>
      </c>
      <c r="B2769" s="14" t="n">
        <v>91321.3989293973</v>
      </c>
      <c r="C2769" s="15" t="n">
        <v>0.137095495167411</v>
      </c>
      <c r="D2769" s="14" t="n">
        <f aca="false">Summary!$B$5-B2769</f>
        <v>8678.60107060269</v>
      </c>
      <c r="E2769" s="15" t="n">
        <f aca="false">B2769/Summary!$B$5-1</f>
        <v>-0.0867860107060269</v>
      </c>
    </row>
    <row r="2770" customFormat="false" ht="15" hidden="false" customHeight="false" outlineLevel="0" collapsed="false">
      <c r="A2770" s="0" t="n">
        <v>2769</v>
      </c>
      <c r="B2770" s="14" t="n">
        <v>101230.881923007</v>
      </c>
      <c r="C2770" s="15" t="n">
        <v>0.12066192630161</v>
      </c>
      <c r="D2770" s="14" t="n">
        <f aca="false">Summary!$B$5-B2770</f>
        <v>-1230.8819230068</v>
      </c>
      <c r="E2770" s="15" t="n">
        <f aca="false">B2770/Summary!$B$5-1</f>
        <v>0.012308819230068</v>
      </c>
    </row>
    <row r="2771" customFormat="false" ht="15" hidden="false" customHeight="false" outlineLevel="0" collapsed="false">
      <c r="A2771" s="0" t="n">
        <v>2770</v>
      </c>
      <c r="B2771" s="14" t="n">
        <v>106133.305772778</v>
      </c>
      <c r="C2771" s="15" t="n">
        <v>0.0888326458101639</v>
      </c>
      <c r="D2771" s="14" t="n">
        <f aca="false">Summary!$B$5-B2771</f>
        <v>-6133.3057727781</v>
      </c>
      <c r="E2771" s="15" t="n">
        <f aca="false">B2771/Summary!$B$5-1</f>
        <v>0.0613330577277811</v>
      </c>
    </row>
    <row r="2772" customFormat="false" ht="15" hidden="false" customHeight="false" outlineLevel="0" collapsed="false">
      <c r="A2772" s="0" t="n">
        <v>2771</v>
      </c>
      <c r="B2772" s="14" t="n">
        <v>90306.6825289754</v>
      </c>
      <c r="C2772" s="15" t="n">
        <v>0.157675175444812</v>
      </c>
      <c r="D2772" s="14" t="n">
        <f aca="false">Summary!$B$5-B2772</f>
        <v>9693.31747102458</v>
      </c>
      <c r="E2772" s="15" t="n">
        <f aca="false">B2772/Summary!$B$5-1</f>
        <v>-0.0969331747102458</v>
      </c>
    </row>
    <row r="2773" customFormat="false" ht="15" hidden="false" customHeight="false" outlineLevel="0" collapsed="false">
      <c r="A2773" s="0" t="n">
        <v>2772</v>
      </c>
      <c r="B2773" s="14" t="n">
        <v>109866.66819664</v>
      </c>
      <c r="C2773" s="15" t="n">
        <v>0.119547361182022</v>
      </c>
      <c r="D2773" s="14" t="n">
        <f aca="false">Summary!$B$5-B2773</f>
        <v>-9866.6681966397</v>
      </c>
      <c r="E2773" s="15" t="n">
        <f aca="false">B2773/Summary!$B$5-1</f>
        <v>0.0986666819663971</v>
      </c>
    </row>
    <row r="2774" customFormat="false" ht="15" hidden="false" customHeight="false" outlineLevel="0" collapsed="false">
      <c r="A2774" s="0" t="n">
        <v>2773</v>
      </c>
      <c r="B2774" s="14" t="n">
        <v>91925.4748360554</v>
      </c>
      <c r="C2774" s="15" t="n">
        <v>0.186166029605129</v>
      </c>
      <c r="D2774" s="14" t="n">
        <f aca="false">Summary!$B$5-B2774</f>
        <v>8074.52516394458</v>
      </c>
      <c r="E2774" s="15" t="n">
        <f aca="false">B2774/Summary!$B$5-1</f>
        <v>-0.0807452516394458</v>
      </c>
    </row>
    <row r="2775" customFormat="false" ht="15" hidden="false" customHeight="false" outlineLevel="0" collapsed="false">
      <c r="A2775" s="0" t="n">
        <v>2774</v>
      </c>
      <c r="B2775" s="14" t="n">
        <v>117715.154348865</v>
      </c>
      <c r="C2775" s="15" t="n">
        <v>0.0598170557295538</v>
      </c>
      <c r="D2775" s="14" t="n">
        <f aca="false">Summary!$B$5-B2775</f>
        <v>-17715.1543488653</v>
      </c>
      <c r="E2775" s="15" t="n">
        <f aca="false">B2775/Summary!$B$5-1</f>
        <v>0.177151543488653</v>
      </c>
    </row>
    <row r="2776" customFormat="false" ht="15" hidden="false" customHeight="false" outlineLevel="0" collapsed="false">
      <c r="A2776" s="0" t="n">
        <v>2775</v>
      </c>
      <c r="B2776" s="14" t="n">
        <v>101391.313831366</v>
      </c>
      <c r="C2776" s="15" t="n">
        <v>0.129377306499482</v>
      </c>
      <c r="D2776" s="14" t="n">
        <f aca="false">Summary!$B$5-B2776</f>
        <v>-1391.31383136551</v>
      </c>
      <c r="E2776" s="15" t="n">
        <f aca="false">B2776/Summary!$B$5-1</f>
        <v>0.013913138313655</v>
      </c>
    </row>
    <row r="2777" customFormat="false" ht="15" hidden="false" customHeight="false" outlineLevel="0" collapsed="false">
      <c r="A2777" s="0" t="n">
        <v>2776</v>
      </c>
      <c r="B2777" s="14" t="n">
        <v>92359.9127609498</v>
      </c>
      <c r="C2777" s="15" t="n">
        <v>0.138953053249233</v>
      </c>
      <c r="D2777" s="14" t="n">
        <f aca="false">Summary!$B$5-B2777</f>
        <v>7640.0872390502</v>
      </c>
      <c r="E2777" s="15" t="n">
        <f aca="false">B2777/Summary!$B$5-1</f>
        <v>-0.0764008723905021</v>
      </c>
    </row>
    <row r="2778" customFormat="false" ht="15" hidden="false" customHeight="false" outlineLevel="0" collapsed="false">
      <c r="A2778" s="0" t="n">
        <v>2777</v>
      </c>
      <c r="B2778" s="14" t="n">
        <v>107766.705470776</v>
      </c>
      <c r="C2778" s="15" t="n">
        <v>0.075896330076127</v>
      </c>
      <c r="D2778" s="14" t="n">
        <f aca="false">Summary!$B$5-B2778</f>
        <v>-7766.7054707755</v>
      </c>
      <c r="E2778" s="15" t="n">
        <f aca="false">B2778/Summary!$B$5-1</f>
        <v>0.0776670547077549</v>
      </c>
    </row>
    <row r="2779" customFormat="false" ht="15" hidden="false" customHeight="false" outlineLevel="0" collapsed="false">
      <c r="A2779" s="0" t="n">
        <v>2778</v>
      </c>
      <c r="B2779" s="14" t="n">
        <v>111445.399618826</v>
      </c>
      <c r="C2779" s="15" t="n">
        <v>0.104339162130392</v>
      </c>
      <c r="D2779" s="14" t="n">
        <f aca="false">Summary!$B$5-B2779</f>
        <v>-11445.3996188263</v>
      </c>
      <c r="E2779" s="15" t="n">
        <f aca="false">B2779/Summary!$B$5-1</f>
        <v>0.114453996188263</v>
      </c>
    </row>
    <row r="2780" customFormat="false" ht="15" hidden="false" customHeight="false" outlineLevel="0" collapsed="false">
      <c r="A2780" s="0" t="n">
        <v>2779</v>
      </c>
      <c r="B2780" s="14" t="n">
        <v>93059.0285016531</v>
      </c>
      <c r="C2780" s="15" t="n">
        <v>0.139438053629195</v>
      </c>
      <c r="D2780" s="14" t="n">
        <f aca="false">Summary!$B$5-B2780</f>
        <v>6940.97149834695</v>
      </c>
      <c r="E2780" s="15" t="n">
        <f aca="false">B2780/Summary!$B$5-1</f>
        <v>-0.0694097149834695</v>
      </c>
    </row>
    <row r="2781" customFormat="false" ht="15" hidden="false" customHeight="false" outlineLevel="0" collapsed="false">
      <c r="A2781" s="0" t="n">
        <v>2780</v>
      </c>
      <c r="B2781" s="14" t="n">
        <v>113868.820342888</v>
      </c>
      <c r="C2781" s="15" t="n">
        <v>0.0993639546606269</v>
      </c>
      <c r="D2781" s="14" t="n">
        <f aca="false">Summary!$B$5-B2781</f>
        <v>-13868.8203428882</v>
      </c>
      <c r="E2781" s="15" t="n">
        <f aca="false">B2781/Summary!$B$5-1</f>
        <v>0.138688203428882</v>
      </c>
    </row>
    <row r="2782" customFormat="false" ht="15" hidden="false" customHeight="false" outlineLevel="0" collapsed="false">
      <c r="A2782" s="0" t="n">
        <v>2781</v>
      </c>
      <c r="B2782" s="14" t="n">
        <v>129930.082106874</v>
      </c>
      <c r="C2782" s="15" t="n">
        <v>0.073859781887537</v>
      </c>
      <c r="D2782" s="14" t="n">
        <f aca="false">Summary!$B$5-B2782</f>
        <v>-29930.0821068743</v>
      </c>
      <c r="E2782" s="15" t="n">
        <f aca="false">B2782/Summary!$B$5-1</f>
        <v>0.299300821068743</v>
      </c>
    </row>
    <row r="2783" customFormat="false" ht="15" hidden="false" customHeight="false" outlineLevel="0" collapsed="false">
      <c r="A2783" s="0" t="n">
        <v>2782</v>
      </c>
      <c r="B2783" s="14" t="n">
        <v>110673.915893315</v>
      </c>
      <c r="C2783" s="15" t="n">
        <v>0.118649216885461</v>
      </c>
      <c r="D2783" s="14" t="n">
        <f aca="false">Summary!$B$5-B2783</f>
        <v>-10673.915893315</v>
      </c>
      <c r="E2783" s="15" t="n">
        <f aca="false">B2783/Summary!$B$5-1</f>
        <v>0.10673915893315</v>
      </c>
    </row>
    <row r="2784" customFormat="false" ht="15" hidden="false" customHeight="false" outlineLevel="0" collapsed="false">
      <c r="A2784" s="0" t="n">
        <v>2783</v>
      </c>
      <c r="B2784" s="14" t="n">
        <v>94761.6655489974</v>
      </c>
      <c r="C2784" s="15" t="n">
        <v>0.103145954105347</v>
      </c>
      <c r="D2784" s="14" t="n">
        <f aca="false">Summary!$B$5-B2784</f>
        <v>5238.33445100262</v>
      </c>
      <c r="E2784" s="15" t="n">
        <f aca="false">B2784/Summary!$B$5-1</f>
        <v>-0.0523833445100262</v>
      </c>
    </row>
    <row r="2785" customFormat="false" ht="15" hidden="false" customHeight="false" outlineLevel="0" collapsed="false">
      <c r="A2785" s="0" t="n">
        <v>2784</v>
      </c>
      <c r="B2785" s="14" t="n">
        <v>125409.418113682</v>
      </c>
      <c r="C2785" s="15" t="n">
        <v>0.0739806597885387</v>
      </c>
      <c r="D2785" s="14" t="n">
        <f aca="false">Summary!$B$5-B2785</f>
        <v>-25409.4181136816</v>
      </c>
      <c r="E2785" s="15" t="n">
        <f aca="false">B2785/Summary!$B$5-1</f>
        <v>0.254094181136816</v>
      </c>
    </row>
    <row r="2786" customFormat="false" ht="15" hidden="false" customHeight="false" outlineLevel="0" collapsed="false">
      <c r="A2786" s="0" t="n">
        <v>2785</v>
      </c>
      <c r="B2786" s="14" t="n">
        <v>119590.839085311</v>
      </c>
      <c r="C2786" s="15" t="n">
        <v>0.103436681595176</v>
      </c>
      <c r="D2786" s="14" t="n">
        <f aca="false">Summary!$B$5-B2786</f>
        <v>-19590.8390853107</v>
      </c>
      <c r="E2786" s="15" t="n">
        <f aca="false">B2786/Summary!$B$5-1</f>
        <v>0.195908390853107</v>
      </c>
    </row>
    <row r="2787" customFormat="false" ht="15" hidden="false" customHeight="false" outlineLevel="0" collapsed="false">
      <c r="A2787" s="0" t="n">
        <v>2786</v>
      </c>
      <c r="B2787" s="14" t="n">
        <v>115032.240334042</v>
      </c>
      <c r="C2787" s="15" t="n">
        <v>0.078873350270646</v>
      </c>
      <c r="D2787" s="14" t="n">
        <f aca="false">Summary!$B$5-B2787</f>
        <v>-15032.2403340419</v>
      </c>
      <c r="E2787" s="15" t="n">
        <f aca="false">B2787/Summary!$B$5-1</f>
        <v>0.150322403340419</v>
      </c>
    </row>
    <row r="2788" customFormat="false" ht="15" hidden="false" customHeight="false" outlineLevel="0" collapsed="false">
      <c r="A2788" s="0" t="n">
        <v>2787</v>
      </c>
      <c r="B2788" s="14" t="n">
        <v>105831.082571816</v>
      </c>
      <c r="C2788" s="15" t="n">
        <v>0.0837002308834178</v>
      </c>
      <c r="D2788" s="14" t="n">
        <f aca="false">Summary!$B$5-B2788</f>
        <v>-5831.0825718159</v>
      </c>
      <c r="E2788" s="15" t="n">
        <f aca="false">B2788/Summary!$B$5-1</f>
        <v>0.058310825718159</v>
      </c>
    </row>
    <row r="2789" customFormat="false" ht="15" hidden="false" customHeight="false" outlineLevel="0" collapsed="false">
      <c r="A2789" s="0" t="n">
        <v>2788</v>
      </c>
      <c r="B2789" s="14" t="n">
        <v>91854.408865717</v>
      </c>
      <c r="C2789" s="15" t="n">
        <v>0.155310438249989</v>
      </c>
      <c r="D2789" s="14" t="n">
        <f aca="false">Summary!$B$5-B2789</f>
        <v>8145.59113428296</v>
      </c>
      <c r="E2789" s="15" t="n">
        <f aca="false">B2789/Summary!$B$5-1</f>
        <v>-0.0814559113428296</v>
      </c>
    </row>
    <row r="2790" customFormat="false" ht="15" hidden="false" customHeight="false" outlineLevel="0" collapsed="false">
      <c r="A2790" s="0" t="n">
        <v>2789</v>
      </c>
      <c r="B2790" s="14" t="n">
        <v>137773.792559568</v>
      </c>
      <c r="C2790" s="15" t="n">
        <v>0.0488872966199075</v>
      </c>
      <c r="D2790" s="14" t="n">
        <f aca="false">Summary!$B$5-B2790</f>
        <v>-37773.7925595679</v>
      </c>
      <c r="E2790" s="15" t="n">
        <f aca="false">B2790/Summary!$B$5-1</f>
        <v>0.377737925595679</v>
      </c>
    </row>
    <row r="2791" customFormat="false" ht="15" hidden="false" customHeight="false" outlineLevel="0" collapsed="false">
      <c r="A2791" s="0" t="n">
        <v>2790</v>
      </c>
      <c r="B2791" s="14" t="n">
        <v>108255.495843054</v>
      </c>
      <c r="C2791" s="15" t="n">
        <v>0.0952172132328661</v>
      </c>
      <c r="D2791" s="14" t="n">
        <f aca="false">Summary!$B$5-B2791</f>
        <v>-8255.4958430539</v>
      </c>
      <c r="E2791" s="15" t="n">
        <f aca="false">B2791/Summary!$B$5-1</f>
        <v>0.082554958430539</v>
      </c>
    </row>
    <row r="2792" customFormat="false" ht="15" hidden="false" customHeight="false" outlineLevel="0" collapsed="false">
      <c r="A2792" s="0" t="n">
        <v>2791</v>
      </c>
      <c r="B2792" s="14" t="n">
        <v>102969.22681727</v>
      </c>
      <c r="C2792" s="15" t="n">
        <v>0.114416963373773</v>
      </c>
      <c r="D2792" s="14" t="n">
        <f aca="false">Summary!$B$5-B2792</f>
        <v>-2969.2268172702</v>
      </c>
      <c r="E2792" s="15" t="n">
        <f aca="false">B2792/Summary!$B$5-1</f>
        <v>0.0296922681727021</v>
      </c>
    </row>
    <row r="2793" customFormat="false" ht="15" hidden="false" customHeight="false" outlineLevel="0" collapsed="false">
      <c r="A2793" s="0" t="n">
        <v>2792</v>
      </c>
      <c r="B2793" s="14" t="n">
        <v>102219.754232781</v>
      </c>
      <c r="C2793" s="15" t="n">
        <v>0.112637452534862</v>
      </c>
      <c r="D2793" s="14" t="n">
        <f aca="false">Summary!$B$5-B2793</f>
        <v>-2219.7542327813</v>
      </c>
      <c r="E2793" s="15" t="n">
        <f aca="false">B2793/Summary!$B$5-1</f>
        <v>0.0221975423278129</v>
      </c>
    </row>
    <row r="2794" customFormat="false" ht="15" hidden="false" customHeight="false" outlineLevel="0" collapsed="false">
      <c r="A2794" s="0" t="n">
        <v>2793</v>
      </c>
      <c r="B2794" s="14" t="n">
        <v>99564.0416622942</v>
      </c>
      <c r="C2794" s="15" t="n">
        <v>0.161248745555468</v>
      </c>
      <c r="D2794" s="14" t="n">
        <f aca="false">Summary!$B$5-B2794</f>
        <v>435.958337705772</v>
      </c>
      <c r="E2794" s="15" t="n">
        <f aca="false">B2794/Summary!$B$5-1</f>
        <v>-0.00435958337705766</v>
      </c>
    </row>
    <row r="2795" customFormat="false" ht="15" hidden="false" customHeight="false" outlineLevel="0" collapsed="false">
      <c r="A2795" s="0" t="n">
        <v>2794</v>
      </c>
      <c r="B2795" s="14" t="n">
        <v>109490.922345913</v>
      </c>
      <c r="C2795" s="15" t="n">
        <v>0.126523621313199</v>
      </c>
      <c r="D2795" s="14" t="n">
        <f aca="false">Summary!$B$5-B2795</f>
        <v>-9490.922345913</v>
      </c>
      <c r="E2795" s="15" t="n">
        <f aca="false">B2795/Summary!$B$5-1</f>
        <v>0.09490922345913</v>
      </c>
    </row>
    <row r="2796" customFormat="false" ht="15" hidden="false" customHeight="false" outlineLevel="0" collapsed="false">
      <c r="A2796" s="0" t="n">
        <v>2795</v>
      </c>
      <c r="B2796" s="14" t="n">
        <v>115831.751566661</v>
      </c>
      <c r="C2796" s="15" t="n">
        <v>0.0598311194660368</v>
      </c>
      <c r="D2796" s="14" t="n">
        <f aca="false">Summary!$B$5-B2796</f>
        <v>-15831.7515666608</v>
      </c>
      <c r="E2796" s="15" t="n">
        <f aca="false">B2796/Summary!$B$5-1</f>
        <v>0.158317515666608</v>
      </c>
    </row>
    <row r="2797" customFormat="false" ht="15" hidden="false" customHeight="false" outlineLevel="0" collapsed="false">
      <c r="A2797" s="0" t="n">
        <v>2796</v>
      </c>
      <c r="B2797" s="14" t="n">
        <v>130052.096424294</v>
      </c>
      <c r="C2797" s="15" t="n">
        <v>0.0732135436574292</v>
      </c>
      <c r="D2797" s="14" t="n">
        <f aca="false">Summary!$B$5-B2797</f>
        <v>-30052.0964242936</v>
      </c>
      <c r="E2797" s="15" t="n">
        <f aca="false">B2797/Summary!$B$5-1</f>
        <v>0.300520964242936</v>
      </c>
    </row>
    <row r="2798" customFormat="false" ht="15" hidden="false" customHeight="false" outlineLevel="0" collapsed="false">
      <c r="A2798" s="0" t="n">
        <v>2797</v>
      </c>
      <c r="B2798" s="14" t="n">
        <v>139842.585651374</v>
      </c>
      <c r="C2798" s="15" t="n">
        <v>0.0638843043553046</v>
      </c>
      <c r="D2798" s="14" t="n">
        <f aca="false">Summary!$B$5-B2798</f>
        <v>-39842.5856513735</v>
      </c>
      <c r="E2798" s="15" t="n">
        <f aca="false">B2798/Summary!$B$5-1</f>
        <v>0.398425856513735</v>
      </c>
    </row>
    <row r="2799" customFormat="false" ht="15" hidden="false" customHeight="false" outlineLevel="0" collapsed="false">
      <c r="A2799" s="0" t="n">
        <v>2798</v>
      </c>
      <c r="B2799" s="14" t="n">
        <v>99852.5563415934</v>
      </c>
      <c r="C2799" s="15" t="n">
        <v>0.111631900834556</v>
      </c>
      <c r="D2799" s="14" t="n">
        <f aca="false">Summary!$B$5-B2799</f>
        <v>147.443658406643</v>
      </c>
      <c r="E2799" s="15" t="n">
        <f aca="false">B2799/Summary!$B$5-1</f>
        <v>-0.00147443658406643</v>
      </c>
    </row>
    <row r="2800" customFormat="false" ht="15" hidden="false" customHeight="false" outlineLevel="0" collapsed="false">
      <c r="A2800" s="0" t="n">
        <v>2799</v>
      </c>
      <c r="B2800" s="14" t="n">
        <v>97072.8344544726</v>
      </c>
      <c r="C2800" s="15" t="n">
        <v>0.112888720372502</v>
      </c>
      <c r="D2800" s="14" t="n">
        <f aca="false">Summary!$B$5-B2800</f>
        <v>2927.16554552737</v>
      </c>
      <c r="E2800" s="15" t="n">
        <f aca="false">B2800/Summary!$B$5-1</f>
        <v>-0.0292716554552738</v>
      </c>
    </row>
    <row r="2801" customFormat="false" ht="15" hidden="false" customHeight="false" outlineLevel="0" collapsed="false">
      <c r="A2801" s="0" t="n">
        <v>2800</v>
      </c>
      <c r="B2801" s="14" t="n">
        <v>97772.3244987109</v>
      </c>
      <c r="C2801" s="15" t="n">
        <v>0.109787278122617</v>
      </c>
      <c r="D2801" s="14" t="n">
        <f aca="false">Summary!$B$5-B2801</f>
        <v>2227.67550128915</v>
      </c>
      <c r="E2801" s="15" t="n">
        <f aca="false">B2801/Summary!$B$5-1</f>
        <v>-0.0222767550128915</v>
      </c>
    </row>
    <row r="2802" customFormat="false" ht="15" hidden="false" customHeight="false" outlineLevel="0" collapsed="false">
      <c r="A2802" s="0" t="n">
        <v>2801</v>
      </c>
      <c r="B2802" s="14" t="n">
        <v>109754.287564773</v>
      </c>
      <c r="C2802" s="15" t="n">
        <v>0.121210102750753</v>
      </c>
      <c r="D2802" s="14" t="n">
        <f aca="false">Summary!$B$5-B2802</f>
        <v>-9754.2875647726</v>
      </c>
      <c r="E2802" s="15" t="n">
        <f aca="false">B2802/Summary!$B$5-1</f>
        <v>0.0975428756477261</v>
      </c>
    </row>
    <row r="2803" customFormat="false" ht="15" hidden="false" customHeight="false" outlineLevel="0" collapsed="false">
      <c r="A2803" s="0" t="n">
        <v>2802</v>
      </c>
      <c r="B2803" s="14" t="n">
        <v>103189.769742106</v>
      </c>
      <c r="C2803" s="15" t="n">
        <v>0.106731927802908</v>
      </c>
      <c r="D2803" s="14" t="n">
        <f aca="false">Summary!$B$5-B2803</f>
        <v>-3189.76974210631</v>
      </c>
      <c r="E2803" s="15" t="n">
        <f aca="false">B2803/Summary!$B$5-1</f>
        <v>0.031897697421063</v>
      </c>
    </row>
    <row r="2804" customFormat="false" ht="15" hidden="false" customHeight="false" outlineLevel="0" collapsed="false">
      <c r="A2804" s="0" t="n">
        <v>2803</v>
      </c>
      <c r="B2804" s="14" t="n">
        <v>130036.479690691</v>
      </c>
      <c r="C2804" s="15" t="n">
        <v>0.0578028279381749</v>
      </c>
      <c r="D2804" s="14" t="n">
        <f aca="false">Summary!$B$5-B2804</f>
        <v>-30036.4796906908</v>
      </c>
      <c r="E2804" s="15" t="n">
        <f aca="false">B2804/Summary!$B$5-1</f>
        <v>0.300364796906908</v>
      </c>
    </row>
    <row r="2805" customFormat="false" ht="15" hidden="false" customHeight="false" outlineLevel="0" collapsed="false">
      <c r="A2805" s="0" t="n">
        <v>2804</v>
      </c>
      <c r="B2805" s="14" t="n">
        <v>107974.450876705</v>
      </c>
      <c r="C2805" s="15" t="n">
        <v>0.109690352092913</v>
      </c>
      <c r="D2805" s="14" t="n">
        <f aca="false">Summary!$B$5-B2805</f>
        <v>-7974.45087670531</v>
      </c>
      <c r="E2805" s="15" t="n">
        <f aca="false">B2805/Summary!$B$5-1</f>
        <v>0.079744508767053</v>
      </c>
    </row>
    <row r="2806" customFormat="false" ht="15" hidden="false" customHeight="false" outlineLevel="0" collapsed="false">
      <c r="A2806" s="0" t="n">
        <v>2805</v>
      </c>
      <c r="B2806" s="14" t="n">
        <v>112612.089573756</v>
      </c>
      <c r="C2806" s="15" t="n">
        <v>0.0748909828422545</v>
      </c>
      <c r="D2806" s="14" t="n">
        <f aca="false">Summary!$B$5-B2806</f>
        <v>-12612.0895737558</v>
      </c>
      <c r="E2806" s="15" t="n">
        <f aca="false">B2806/Summary!$B$5-1</f>
        <v>0.126120895737558</v>
      </c>
    </row>
    <row r="2807" customFormat="false" ht="15" hidden="false" customHeight="false" outlineLevel="0" collapsed="false">
      <c r="A2807" s="0" t="n">
        <v>2806</v>
      </c>
      <c r="B2807" s="14" t="n">
        <v>111113.275699808</v>
      </c>
      <c r="C2807" s="15" t="n">
        <v>0.0711802173033403</v>
      </c>
      <c r="D2807" s="14" t="n">
        <f aca="false">Summary!$B$5-B2807</f>
        <v>-11113.2756998081</v>
      </c>
      <c r="E2807" s="15" t="n">
        <f aca="false">B2807/Summary!$B$5-1</f>
        <v>0.111132756998081</v>
      </c>
    </row>
    <row r="2808" customFormat="false" ht="15" hidden="false" customHeight="false" outlineLevel="0" collapsed="false">
      <c r="A2808" s="0" t="n">
        <v>2807</v>
      </c>
      <c r="B2808" s="14" t="n">
        <v>100850.463854216</v>
      </c>
      <c r="C2808" s="15" t="n">
        <v>0.103456110952096</v>
      </c>
      <c r="D2808" s="14" t="n">
        <f aca="false">Summary!$B$5-B2808</f>
        <v>-850.463854215705</v>
      </c>
      <c r="E2808" s="15" t="n">
        <f aca="false">B2808/Summary!$B$5-1</f>
        <v>0.008504638542157</v>
      </c>
    </row>
    <row r="2809" customFormat="false" ht="15" hidden="false" customHeight="false" outlineLevel="0" collapsed="false">
      <c r="A2809" s="0" t="n">
        <v>2808</v>
      </c>
      <c r="B2809" s="14" t="n">
        <v>99850.4792263656</v>
      </c>
      <c r="C2809" s="15" t="n">
        <v>0.0809455461160004</v>
      </c>
      <c r="D2809" s="14" t="n">
        <f aca="false">Summary!$B$5-B2809</f>
        <v>149.520773634402</v>
      </c>
      <c r="E2809" s="15" t="n">
        <f aca="false">B2809/Summary!$B$5-1</f>
        <v>-0.00149520773634404</v>
      </c>
    </row>
    <row r="2810" customFormat="false" ht="15" hidden="false" customHeight="false" outlineLevel="0" collapsed="false">
      <c r="A2810" s="0" t="n">
        <v>2809</v>
      </c>
      <c r="B2810" s="14" t="n">
        <v>98262.3108370092</v>
      </c>
      <c r="C2810" s="15" t="n">
        <v>0.131750871819059</v>
      </c>
      <c r="D2810" s="14" t="n">
        <f aca="false">Summary!$B$5-B2810</f>
        <v>1737.68916299078</v>
      </c>
      <c r="E2810" s="15" t="n">
        <f aca="false">B2810/Summary!$B$5-1</f>
        <v>-0.0173768916299077</v>
      </c>
    </row>
    <row r="2811" customFormat="false" ht="15" hidden="false" customHeight="false" outlineLevel="0" collapsed="false">
      <c r="A2811" s="0" t="n">
        <v>2810</v>
      </c>
      <c r="B2811" s="14" t="n">
        <v>112927.144379185</v>
      </c>
      <c r="C2811" s="15" t="n">
        <v>0.059511479333756</v>
      </c>
      <c r="D2811" s="14" t="n">
        <f aca="false">Summary!$B$5-B2811</f>
        <v>-12927.1443791846</v>
      </c>
      <c r="E2811" s="15" t="n">
        <f aca="false">B2811/Summary!$B$5-1</f>
        <v>0.129271443791846</v>
      </c>
    </row>
    <row r="2812" customFormat="false" ht="15" hidden="false" customHeight="false" outlineLevel="0" collapsed="false">
      <c r="A2812" s="0" t="n">
        <v>2811</v>
      </c>
      <c r="B2812" s="14" t="n">
        <v>117096.912281367</v>
      </c>
      <c r="C2812" s="15" t="n">
        <v>0.0662101449534391</v>
      </c>
      <c r="D2812" s="14" t="n">
        <f aca="false">Summary!$B$5-B2812</f>
        <v>-17096.9122813671</v>
      </c>
      <c r="E2812" s="15" t="n">
        <f aca="false">B2812/Summary!$B$5-1</f>
        <v>0.170969122813671</v>
      </c>
    </row>
    <row r="2813" customFormat="false" ht="15" hidden="false" customHeight="false" outlineLevel="0" collapsed="false">
      <c r="A2813" s="0" t="n">
        <v>2812</v>
      </c>
      <c r="B2813" s="14" t="n">
        <v>96926.1907479455</v>
      </c>
      <c r="C2813" s="15" t="n">
        <v>0.0778836884239625</v>
      </c>
      <c r="D2813" s="14" t="n">
        <f aca="false">Summary!$B$5-B2813</f>
        <v>3073.80925205452</v>
      </c>
      <c r="E2813" s="15" t="n">
        <f aca="false">B2813/Summary!$B$5-1</f>
        <v>-0.0307380925205452</v>
      </c>
    </row>
    <row r="2814" customFormat="false" ht="15" hidden="false" customHeight="false" outlineLevel="0" collapsed="false">
      <c r="A2814" s="0" t="n">
        <v>2813</v>
      </c>
      <c r="B2814" s="14" t="n">
        <v>74341.8313303657</v>
      </c>
      <c r="C2814" s="15" t="n">
        <v>0.260852812759402</v>
      </c>
      <c r="D2814" s="14" t="n">
        <f aca="false">Summary!$B$5-B2814</f>
        <v>25658.1686696343</v>
      </c>
      <c r="E2814" s="15" t="n">
        <f aca="false">B2814/Summary!$B$5-1</f>
        <v>-0.256581686696343</v>
      </c>
    </row>
    <row r="2815" customFormat="false" ht="15" hidden="false" customHeight="false" outlineLevel="0" collapsed="false">
      <c r="A2815" s="0" t="n">
        <v>2814</v>
      </c>
      <c r="B2815" s="14" t="n">
        <v>102375.746863297</v>
      </c>
      <c r="C2815" s="15" t="n">
        <v>0.0884974717181782</v>
      </c>
      <c r="D2815" s="14" t="n">
        <f aca="false">Summary!$B$5-B2815</f>
        <v>-2375.7468632972</v>
      </c>
      <c r="E2815" s="15" t="n">
        <f aca="false">B2815/Summary!$B$5-1</f>
        <v>0.023757468632972</v>
      </c>
    </row>
    <row r="2816" customFormat="false" ht="15" hidden="false" customHeight="false" outlineLevel="0" collapsed="false">
      <c r="A2816" s="0" t="n">
        <v>2815</v>
      </c>
      <c r="B2816" s="14" t="n">
        <v>115851.373152775</v>
      </c>
      <c r="C2816" s="15" t="n">
        <v>0.0959035581595019</v>
      </c>
      <c r="D2816" s="14" t="n">
        <f aca="false">Summary!$B$5-B2816</f>
        <v>-15851.3731527748</v>
      </c>
      <c r="E2816" s="15" t="n">
        <f aca="false">B2816/Summary!$B$5-1</f>
        <v>0.158513731527748</v>
      </c>
    </row>
    <row r="2817" customFormat="false" ht="15" hidden="false" customHeight="false" outlineLevel="0" collapsed="false">
      <c r="A2817" s="0" t="n">
        <v>2816</v>
      </c>
      <c r="B2817" s="14" t="n">
        <v>96592.6891274272</v>
      </c>
      <c r="C2817" s="15" t="n">
        <v>0.107530891642886</v>
      </c>
      <c r="D2817" s="14" t="n">
        <f aca="false">Summary!$B$5-B2817</f>
        <v>3407.31087257279</v>
      </c>
      <c r="E2817" s="15" t="n">
        <f aca="false">B2817/Summary!$B$5-1</f>
        <v>-0.034073108725728</v>
      </c>
    </row>
    <row r="2818" customFormat="false" ht="15" hidden="false" customHeight="false" outlineLevel="0" collapsed="false">
      <c r="A2818" s="0" t="n">
        <v>2817</v>
      </c>
      <c r="B2818" s="14" t="n">
        <v>114553.849980317</v>
      </c>
      <c r="C2818" s="15" t="n">
        <v>0.0655785251557479</v>
      </c>
      <c r="D2818" s="14" t="n">
        <f aca="false">Summary!$B$5-B2818</f>
        <v>-14553.8499803166</v>
      </c>
      <c r="E2818" s="15" t="n">
        <f aca="false">B2818/Summary!$B$5-1</f>
        <v>0.145538499803166</v>
      </c>
    </row>
    <row r="2819" customFormat="false" ht="15" hidden="false" customHeight="false" outlineLevel="0" collapsed="false">
      <c r="A2819" s="0" t="n">
        <v>2818</v>
      </c>
      <c r="B2819" s="14" t="n">
        <v>111143.589481923</v>
      </c>
      <c r="C2819" s="15" t="n">
        <v>0.0656572742363693</v>
      </c>
      <c r="D2819" s="14" t="n">
        <f aca="false">Summary!$B$5-B2819</f>
        <v>-11143.5894819229</v>
      </c>
      <c r="E2819" s="15" t="n">
        <f aca="false">B2819/Summary!$B$5-1</f>
        <v>0.111435894819229</v>
      </c>
    </row>
    <row r="2820" customFormat="false" ht="15" hidden="false" customHeight="false" outlineLevel="0" collapsed="false">
      <c r="A2820" s="0" t="n">
        <v>2819</v>
      </c>
      <c r="B2820" s="14" t="n">
        <v>106529.983002983</v>
      </c>
      <c r="C2820" s="15" t="n">
        <v>0.0556827671557286</v>
      </c>
      <c r="D2820" s="14" t="n">
        <f aca="false">Summary!$B$5-B2820</f>
        <v>-6529.9830029825</v>
      </c>
      <c r="E2820" s="15" t="n">
        <f aca="false">B2820/Summary!$B$5-1</f>
        <v>0.0652998300298249</v>
      </c>
    </row>
    <row r="2821" customFormat="false" ht="15" hidden="false" customHeight="false" outlineLevel="0" collapsed="false">
      <c r="A2821" s="0" t="n">
        <v>2820</v>
      </c>
      <c r="B2821" s="14" t="n">
        <v>100961.998394253</v>
      </c>
      <c r="C2821" s="15" t="n">
        <v>0.0751283384378573</v>
      </c>
      <c r="D2821" s="14" t="n">
        <f aca="false">Summary!$B$5-B2821</f>
        <v>-961.9983942533</v>
      </c>
      <c r="E2821" s="15" t="n">
        <f aca="false">B2821/Summary!$B$5-1</f>
        <v>0.00961998394253305</v>
      </c>
    </row>
    <row r="2822" customFormat="false" ht="15" hidden="false" customHeight="false" outlineLevel="0" collapsed="false">
      <c r="A2822" s="0" t="n">
        <v>2821</v>
      </c>
      <c r="B2822" s="14" t="n">
        <v>110025.818255071</v>
      </c>
      <c r="C2822" s="15" t="n">
        <v>0.060529145897153</v>
      </c>
      <c r="D2822" s="14" t="n">
        <f aca="false">Summary!$B$5-B2822</f>
        <v>-10025.8182550706</v>
      </c>
      <c r="E2822" s="15" t="n">
        <f aca="false">B2822/Summary!$B$5-1</f>
        <v>0.100258182550706</v>
      </c>
    </row>
    <row r="2823" customFormat="false" ht="15" hidden="false" customHeight="false" outlineLevel="0" collapsed="false">
      <c r="A2823" s="0" t="n">
        <v>2822</v>
      </c>
      <c r="B2823" s="14" t="n">
        <v>85045.1014008761</v>
      </c>
      <c r="C2823" s="15" t="n">
        <v>0.204526964884251</v>
      </c>
      <c r="D2823" s="14" t="n">
        <f aca="false">Summary!$B$5-B2823</f>
        <v>14954.8985991239</v>
      </c>
      <c r="E2823" s="15" t="n">
        <f aca="false">B2823/Summary!$B$5-1</f>
        <v>-0.149548985991239</v>
      </c>
    </row>
    <row r="2824" customFormat="false" ht="15" hidden="false" customHeight="false" outlineLevel="0" collapsed="false">
      <c r="A2824" s="0" t="n">
        <v>2823</v>
      </c>
      <c r="B2824" s="14" t="n">
        <v>93798.4873215035</v>
      </c>
      <c r="C2824" s="15" t="n">
        <v>0.128718696294135</v>
      </c>
      <c r="D2824" s="14" t="n">
        <f aca="false">Summary!$B$5-B2824</f>
        <v>6201.51267849651</v>
      </c>
      <c r="E2824" s="15" t="n">
        <f aca="false">B2824/Summary!$B$5-1</f>
        <v>-0.0620151267849651</v>
      </c>
    </row>
    <row r="2825" customFormat="false" ht="15" hidden="false" customHeight="false" outlineLevel="0" collapsed="false">
      <c r="A2825" s="0" t="n">
        <v>2824</v>
      </c>
      <c r="B2825" s="14" t="n">
        <v>99973.7188778523</v>
      </c>
      <c r="C2825" s="15" t="n">
        <v>0.133245537267714</v>
      </c>
      <c r="D2825" s="14" t="n">
        <f aca="false">Summary!$B$5-B2825</f>
        <v>26.2811221476877</v>
      </c>
      <c r="E2825" s="15" t="n">
        <f aca="false">B2825/Summary!$B$5-1</f>
        <v>-0.000262811221476866</v>
      </c>
    </row>
    <row r="2826" customFormat="false" ht="15" hidden="false" customHeight="false" outlineLevel="0" collapsed="false">
      <c r="A2826" s="0" t="n">
        <v>2825</v>
      </c>
      <c r="B2826" s="14" t="n">
        <v>113618.259424314</v>
      </c>
      <c r="C2826" s="15" t="n">
        <v>0.0991634796177618</v>
      </c>
      <c r="D2826" s="14" t="n">
        <f aca="false">Summary!$B$5-B2826</f>
        <v>-13618.2594243136</v>
      </c>
      <c r="E2826" s="15" t="n">
        <f aca="false">B2826/Summary!$B$5-1</f>
        <v>0.136182594243136</v>
      </c>
    </row>
    <row r="2827" customFormat="false" ht="15" hidden="false" customHeight="false" outlineLevel="0" collapsed="false">
      <c r="A2827" s="0" t="n">
        <v>2826</v>
      </c>
      <c r="B2827" s="14" t="n">
        <v>115943.131037743</v>
      </c>
      <c r="C2827" s="15" t="n">
        <v>0.0837669377200225</v>
      </c>
      <c r="D2827" s="14" t="n">
        <f aca="false">Summary!$B$5-B2827</f>
        <v>-15943.1310377432</v>
      </c>
      <c r="E2827" s="15" t="n">
        <f aca="false">B2827/Summary!$B$5-1</f>
        <v>0.159431310377432</v>
      </c>
    </row>
    <row r="2828" customFormat="false" ht="15" hidden="false" customHeight="false" outlineLevel="0" collapsed="false">
      <c r="A2828" s="0" t="n">
        <v>2827</v>
      </c>
      <c r="B2828" s="14" t="n">
        <v>112280.838510202</v>
      </c>
      <c r="C2828" s="15" t="n">
        <v>0.0833413766042876</v>
      </c>
      <c r="D2828" s="14" t="n">
        <f aca="false">Summary!$B$5-B2828</f>
        <v>-12280.8385102017</v>
      </c>
      <c r="E2828" s="15" t="n">
        <f aca="false">B2828/Summary!$B$5-1</f>
        <v>0.122808385102017</v>
      </c>
    </row>
    <row r="2829" customFormat="false" ht="15" hidden="false" customHeight="false" outlineLevel="0" collapsed="false">
      <c r="A2829" s="0" t="n">
        <v>2828</v>
      </c>
      <c r="B2829" s="14" t="n">
        <v>93448.2830298612</v>
      </c>
      <c r="C2829" s="15" t="n">
        <v>0.0999732551822491</v>
      </c>
      <c r="D2829" s="14" t="n">
        <f aca="false">Summary!$B$5-B2829</f>
        <v>6551.71697013878</v>
      </c>
      <c r="E2829" s="15" t="n">
        <f aca="false">B2829/Summary!$B$5-1</f>
        <v>-0.0655171697013878</v>
      </c>
    </row>
    <row r="2830" customFormat="false" ht="15" hidden="false" customHeight="false" outlineLevel="0" collapsed="false">
      <c r="A2830" s="0" t="n">
        <v>2829</v>
      </c>
      <c r="B2830" s="14" t="n">
        <v>105052.216062594</v>
      </c>
      <c r="C2830" s="15" t="n">
        <v>0.0767412365523726</v>
      </c>
      <c r="D2830" s="14" t="n">
        <f aca="false">Summary!$B$5-B2830</f>
        <v>-5052.2160625939</v>
      </c>
      <c r="E2830" s="15" t="n">
        <f aca="false">B2830/Summary!$B$5-1</f>
        <v>0.050522160625939</v>
      </c>
    </row>
    <row r="2831" customFormat="false" ht="15" hidden="false" customHeight="false" outlineLevel="0" collapsed="false">
      <c r="A2831" s="0" t="n">
        <v>2830</v>
      </c>
      <c r="B2831" s="14" t="n">
        <v>114533.381790275</v>
      </c>
      <c r="C2831" s="15" t="n">
        <v>0.078144721325435</v>
      </c>
      <c r="D2831" s="14" t="n">
        <f aca="false">Summary!$B$5-B2831</f>
        <v>-14533.3817902753</v>
      </c>
      <c r="E2831" s="15" t="n">
        <f aca="false">B2831/Summary!$B$5-1</f>
        <v>0.145333817902753</v>
      </c>
    </row>
    <row r="2832" customFormat="false" ht="15" hidden="false" customHeight="false" outlineLevel="0" collapsed="false">
      <c r="A2832" s="0" t="n">
        <v>2831</v>
      </c>
      <c r="B2832" s="14" t="n">
        <v>122581.259140835</v>
      </c>
      <c r="C2832" s="15" t="n">
        <v>0.0733285606018918</v>
      </c>
      <c r="D2832" s="14" t="n">
        <f aca="false">Summary!$B$5-B2832</f>
        <v>-22581.2591408354</v>
      </c>
      <c r="E2832" s="15" t="n">
        <f aca="false">B2832/Summary!$B$5-1</f>
        <v>0.225812591408354</v>
      </c>
    </row>
    <row r="2833" customFormat="false" ht="15" hidden="false" customHeight="false" outlineLevel="0" collapsed="false">
      <c r="A2833" s="0" t="n">
        <v>2832</v>
      </c>
      <c r="B2833" s="14" t="n">
        <v>107819.514931034</v>
      </c>
      <c r="C2833" s="15" t="n">
        <v>0.0928013363467107</v>
      </c>
      <c r="D2833" s="14" t="n">
        <f aca="false">Summary!$B$5-B2833</f>
        <v>-7819.5149310343</v>
      </c>
      <c r="E2833" s="15" t="n">
        <f aca="false">B2833/Summary!$B$5-1</f>
        <v>0.078195149310343</v>
      </c>
    </row>
    <row r="2834" customFormat="false" ht="15" hidden="false" customHeight="false" outlineLevel="0" collapsed="false">
      <c r="A2834" s="0" t="n">
        <v>2833</v>
      </c>
      <c r="B2834" s="14" t="n">
        <v>107177.47184946</v>
      </c>
      <c r="C2834" s="15" t="n">
        <v>0.0600794300021382</v>
      </c>
      <c r="D2834" s="14" t="n">
        <f aca="false">Summary!$B$5-B2834</f>
        <v>-7177.47184945989</v>
      </c>
      <c r="E2834" s="15" t="n">
        <f aca="false">B2834/Summary!$B$5-1</f>
        <v>0.0717747184945989</v>
      </c>
    </row>
    <row r="2835" customFormat="false" ht="15" hidden="false" customHeight="false" outlineLevel="0" collapsed="false">
      <c r="A2835" s="0" t="n">
        <v>2834</v>
      </c>
      <c r="B2835" s="14" t="n">
        <v>128099.102447932</v>
      </c>
      <c r="C2835" s="15" t="n">
        <v>0.0765546686175929</v>
      </c>
      <c r="D2835" s="14" t="n">
        <f aca="false">Summary!$B$5-B2835</f>
        <v>-28099.1024479324</v>
      </c>
      <c r="E2835" s="15" t="n">
        <f aca="false">B2835/Summary!$B$5-1</f>
        <v>0.280991024479324</v>
      </c>
    </row>
    <row r="2836" customFormat="false" ht="15" hidden="false" customHeight="false" outlineLevel="0" collapsed="false">
      <c r="A2836" s="0" t="n">
        <v>2835</v>
      </c>
      <c r="B2836" s="14" t="n">
        <v>97097.0195043992</v>
      </c>
      <c r="C2836" s="15" t="n">
        <v>0.0710505079958476</v>
      </c>
      <c r="D2836" s="14" t="n">
        <f aca="false">Summary!$B$5-B2836</f>
        <v>2902.98049560076</v>
      </c>
      <c r="E2836" s="15" t="n">
        <f aca="false">B2836/Summary!$B$5-1</f>
        <v>-0.0290298049560076</v>
      </c>
    </row>
    <row r="2837" customFormat="false" ht="15" hidden="false" customHeight="false" outlineLevel="0" collapsed="false">
      <c r="A2837" s="0" t="n">
        <v>2836</v>
      </c>
      <c r="B2837" s="14" t="n">
        <v>95196.3875386335</v>
      </c>
      <c r="C2837" s="15" t="n">
        <v>0.107657071839681</v>
      </c>
      <c r="D2837" s="14" t="n">
        <f aca="false">Summary!$B$5-B2837</f>
        <v>4803.61246136652</v>
      </c>
      <c r="E2837" s="15" t="n">
        <f aca="false">B2837/Summary!$B$5-1</f>
        <v>-0.0480361246136651</v>
      </c>
    </row>
    <row r="2838" customFormat="false" ht="15" hidden="false" customHeight="false" outlineLevel="0" collapsed="false">
      <c r="A2838" s="0" t="n">
        <v>2837</v>
      </c>
      <c r="B2838" s="14" t="n">
        <v>136277.537251419</v>
      </c>
      <c r="C2838" s="15" t="n">
        <v>0.0779312991082978</v>
      </c>
      <c r="D2838" s="14" t="n">
        <f aca="false">Summary!$B$5-B2838</f>
        <v>-36277.5372514189</v>
      </c>
      <c r="E2838" s="15" t="n">
        <f aca="false">B2838/Summary!$B$5-1</f>
        <v>0.362775372514189</v>
      </c>
    </row>
    <row r="2839" customFormat="false" ht="15" hidden="false" customHeight="false" outlineLevel="0" collapsed="false">
      <c r="A2839" s="0" t="n">
        <v>2838</v>
      </c>
      <c r="B2839" s="14" t="n">
        <v>125875.008024686</v>
      </c>
      <c r="C2839" s="15" t="n">
        <v>0.0515433652966779</v>
      </c>
      <c r="D2839" s="14" t="n">
        <f aca="false">Summary!$B$5-B2839</f>
        <v>-25875.0080246855</v>
      </c>
      <c r="E2839" s="15" t="n">
        <f aca="false">B2839/Summary!$B$5-1</f>
        <v>0.258750080246855</v>
      </c>
    </row>
    <row r="2840" customFormat="false" ht="15" hidden="false" customHeight="false" outlineLevel="0" collapsed="false">
      <c r="A2840" s="0" t="n">
        <v>2839</v>
      </c>
      <c r="B2840" s="14" t="n">
        <v>128154.673144104</v>
      </c>
      <c r="C2840" s="15" t="n">
        <v>0.0773070050517707</v>
      </c>
      <c r="D2840" s="14" t="n">
        <f aca="false">Summary!$B$5-B2840</f>
        <v>-28154.6731441043</v>
      </c>
      <c r="E2840" s="15" t="n">
        <f aca="false">B2840/Summary!$B$5-1</f>
        <v>0.281546731441043</v>
      </c>
    </row>
    <row r="2841" customFormat="false" ht="15" hidden="false" customHeight="false" outlineLevel="0" collapsed="false">
      <c r="A2841" s="0" t="n">
        <v>2840</v>
      </c>
      <c r="B2841" s="14" t="n">
        <v>115944.864982015</v>
      </c>
      <c r="C2841" s="15" t="n">
        <v>0.0778793764278468</v>
      </c>
      <c r="D2841" s="14" t="n">
        <f aca="false">Summary!$B$5-B2841</f>
        <v>-15944.8649820149</v>
      </c>
      <c r="E2841" s="15" t="n">
        <f aca="false">B2841/Summary!$B$5-1</f>
        <v>0.159448649820149</v>
      </c>
    </row>
    <row r="2842" customFormat="false" ht="15" hidden="false" customHeight="false" outlineLevel="0" collapsed="false">
      <c r="A2842" s="0" t="n">
        <v>2841</v>
      </c>
      <c r="B2842" s="14" t="n">
        <v>90015.7674991918</v>
      </c>
      <c r="C2842" s="15" t="n">
        <v>0.121748142110806</v>
      </c>
      <c r="D2842" s="14" t="n">
        <f aca="false">Summary!$B$5-B2842</f>
        <v>9984.23250080823</v>
      </c>
      <c r="E2842" s="15" t="n">
        <f aca="false">B2842/Summary!$B$5-1</f>
        <v>-0.0998423250080822</v>
      </c>
    </row>
    <row r="2843" customFormat="false" ht="15" hidden="false" customHeight="false" outlineLevel="0" collapsed="false">
      <c r="A2843" s="0" t="n">
        <v>2842</v>
      </c>
      <c r="B2843" s="14" t="n">
        <v>112755.424620842</v>
      </c>
      <c r="C2843" s="15" t="n">
        <v>0.118103350066716</v>
      </c>
      <c r="D2843" s="14" t="n">
        <f aca="false">Summary!$B$5-B2843</f>
        <v>-12755.4246208422</v>
      </c>
      <c r="E2843" s="15" t="n">
        <f aca="false">B2843/Summary!$B$5-1</f>
        <v>0.127554246208422</v>
      </c>
    </row>
    <row r="2844" customFormat="false" ht="15" hidden="false" customHeight="false" outlineLevel="0" collapsed="false">
      <c r="A2844" s="0" t="n">
        <v>2843</v>
      </c>
      <c r="B2844" s="14" t="n">
        <v>101870.375782086</v>
      </c>
      <c r="C2844" s="15" t="n">
        <v>0.101692643132786</v>
      </c>
      <c r="D2844" s="14" t="n">
        <f aca="false">Summary!$B$5-B2844</f>
        <v>-1870.3757820857</v>
      </c>
      <c r="E2844" s="15" t="n">
        <f aca="false">B2844/Summary!$B$5-1</f>
        <v>0.0187037578208571</v>
      </c>
    </row>
    <row r="2845" customFormat="false" ht="15" hidden="false" customHeight="false" outlineLevel="0" collapsed="false">
      <c r="A2845" s="0" t="n">
        <v>2844</v>
      </c>
      <c r="B2845" s="14" t="n">
        <v>90576.1891404512</v>
      </c>
      <c r="C2845" s="15" t="n">
        <v>0.164585726679881</v>
      </c>
      <c r="D2845" s="14" t="n">
        <f aca="false">Summary!$B$5-B2845</f>
        <v>9423.81085954877</v>
      </c>
      <c r="E2845" s="15" t="n">
        <f aca="false">B2845/Summary!$B$5-1</f>
        <v>-0.0942381085954878</v>
      </c>
    </row>
    <row r="2846" customFormat="false" ht="15" hidden="false" customHeight="false" outlineLevel="0" collapsed="false">
      <c r="A2846" s="0" t="n">
        <v>2845</v>
      </c>
      <c r="B2846" s="14" t="n">
        <v>123614.610463378</v>
      </c>
      <c r="C2846" s="15" t="n">
        <v>0.0773326895712735</v>
      </c>
      <c r="D2846" s="14" t="n">
        <f aca="false">Summary!$B$5-B2846</f>
        <v>-23614.6104633784</v>
      </c>
      <c r="E2846" s="15" t="n">
        <f aca="false">B2846/Summary!$B$5-1</f>
        <v>0.236146104633784</v>
      </c>
    </row>
    <row r="2847" customFormat="false" ht="15" hidden="false" customHeight="false" outlineLevel="0" collapsed="false">
      <c r="A2847" s="0" t="n">
        <v>2846</v>
      </c>
      <c r="B2847" s="14" t="n">
        <v>92780.7082327131</v>
      </c>
      <c r="C2847" s="15" t="n">
        <v>0.128993744308546</v>
      </c>
      <c r="D2847" s="14" t="n">
        <f aca="false">Summary!$B$5-B2847</f>
        <v>7219.29176728689</v>
      </c>
      <c r="E2847" s="15" t="n">
        <f aca="false">B2847/Summary!$B$5-1</f>
        <v>-0.072192917672869</v>
      </c>
    </row>
    <row r="2848" customFormat="false" ht="15" hidden="false" customHeight="false" outlineLevel="0" collapsed="false">
      <c r="A2848" s="0" t="n">
        <v>2847</v>
      </c>
      <c r="B2848" s="14" t="n">
        <v>111498.731003334</v>
      </c>
      <c r="C2848" s="15" t="n">
        <v>0.0805830399385347</v>
      </c>
      <c r="D2848" s="14" t="n">
        <f aca="false">Summary!$B$5-B2848</f>
        <v>-11498.7310033342</v>
      </c>
      <c r="E2848" s="15" t="n">
        <f aca="false">B2848/Summary!$B$5-1</f>
        <v>0.114987310033342</v>
      </c>
    </row>
    <row r="2849" customFormat="false" ht="15" hidden="false" customHeight="false" outlineLevel="0" collapsed="false">
      <c r="A2849" s="0" t="n">
        <v>2848</v>
      </c>
      <c r="B2849" s="14" t="n">
        <v>136863.700623042</v>
      </c>
      <c r="C2849" s="15" t="n">
        <v>0.0582213934707677</v>
      </c>
      <c r="D2849" s="14" t="n">
        <f aca="false">Summary!$B$5-B2849</f>
        <v>-36863.700623042</v>
      </c>
      <c r="E2849" s="15" t="n">
        <f aca="false">B2849/Summary!$B$5-1</f>
        <v>0.36863700623042</v>
      </c>
    </row>
    <row r="2850" customFormat="false" ht="15" hidden="false" customHeight="false" outlineLevel="0" collapsed="false">
      <c r="A2850" s="0" t="n">
        <v>2849</v>
      </c>
      <c r="B2850" s="14" t="n">
        <v>103940.466327678</v>
      </c>
      <c r="C2850" s="15" t="n">
        <v>0.0787592430572592</v>
      </c>
      <c r="D2850" s="14" t="n">
        <f aca="false">Summary!$B$5-B2850</f>
        <v>-3940.466327678</v>
      </c>
      <c r="E2850" s="15" t="n">
        <f aca="false">B2850/Summary!$B$5-1</f>
        <v>0.0394046632767799</v>
      </c>
    </row>
    <row r="2851" customFormat="false" ht="15" hidden="false" customHeight="false" outlineLevel="0" collapsed="false">
      <c r="A2851" s="0" t="n">
        <v>2850</v>
      </c>
      <c r="B2851" s="14" t="n">
        <v>107666.908555811</v>
      </c>
      <c r="C2851" s="15" t="n">
        <v>0.0796784272804987</v>
      </c>
      <c r="D2851" s="14" t="n">
        <f aca="false">Summary!$B$5-B2851</f>
        <v>-7666.9085558107</v>
      </c>
      <c r="E2851" s="15" t="n">
        <f aca="false">B2851/Summary!$B$5-1</f>
        <v>0.0766690855581071</v>
      </c>
    </row>
    <row r="2852" customFormat="false" ht="15" hidden="false" customHeight="false" outlineLevel="0" collapsed="false">
      <c r="A2852" s="0" t="n">
        <v>2851</v>
      </c>
      <c r="B2852" s="14" t="n">
        <v>105631.342971777</v>
      </c>
      <c r="C2852" s="15" t="n">
        <v>0.0773186670871625</v>
      </c>
      <c r="D2852" s="14" t="n">
        <f aca="false">Summary!$B$5-B2852</f>
        <v>-5631.3429717766</v>
      </c>
      <c r="E2852" s="15" t="n">
        <f aca="false">B2852/Summary!$B$5-1</f>
        <v>0.0563134297177659</v>
      </c>
    </row>
    <row r="2853" customFormat="false" ht="15" hidden="false" customHeight="false" outlineLevel="0" collapsed="false">
      <c r="A2853" s="0" t="n">
        <v>2852</v>
      </c>
      <c r="B2853" s="14" t="n">
        <v>119079.224940818</v>
      </c>
      <c r="C2853" s="15" t="n">
        <v>0.144936688687218</v>
      </c>
      <c r="D2853" s="14" t="n">
        <f aca="false">Summary!$B$5-B2853</f>
        <v>-19079.2249408181</v>
      </c>
      <c r="E2853" s="15" t="n">
        <f aca="false">B2853/Summary!$B$5-1</f>
        <v>0.190792249408181</v>
      </c>
    </row>
    <row r="2854" customFormat="false" ht="15" hidden="false" customHeight="false" outlineLevel="0" collapsed="false">
      <c r="A2854" s="0" t="n">
        <v>2853</v>
      </c>
      <c r="B2854" s="14" t="n">
        <v>109597.58590212</v>
      </c>
      <c r="C2854" s="15" t="n">
        <v>0.131006428486441</v>
      </c>
      <c r="D2854" s="14" t="n">
        <f aca="false">Summary!$B$5-B2854</f>
        <v>-9597.58590212</v>
      </c>
      <c r="E2854" s="15" t="n">
        <f aca="false">B2854/Summary!$B$5-1</f>
        <v>0.0959758590212001</v>
      </c>
    </row>
    <row r="2855" customFormat="false" ht="15" hidden="false" customHeight="false" outlineLevel="0" collapsed="false">
      <c r="A2855" s="0" t="n">
        <v>2854</v>
      </c>
      <c r="B2855" s="14" t="n">
        <v>121538.024679143</v>
      </c>
      <c r="C2855" s="15" t="n">
        <v>0.0522862805220237</v>
      </c>
      <c r="D2855" s="14" t="n">
        <f aca="false">Summary!$B$5-B2855</f>
        <v>-21538.0246791433</v>
      </c>
      <c r="E2855" s="15" t="n">
        <f aca="false">B2855/Summary!$B$5-1</f>
        <v>0.215380246791433</v>
      </c>
    </row>
    <row r="2856" customFormat="false" ht="15" hidden="false" customHeight="false" outlineLevel="0" collapsed="false">
      <c r="A2856" s="0" t="n">
        <v>2855</v>
      </c>
      <c r="B2856" s="14" t="n">
        <v>120775.425649656</v>
      </c>
      <c r="C2856" s="15" t="n">
        <v>0.115084698112939</v>
      </c>
      <c r="D2856" s="14" t="n">
        <f aca="false">Summary!$B$5-B2856</f>
        <v>-20775.4256496562</v>
      </c>
      <c r="E2856" s="15" t="n">
        <f aca="false">B2856/Summary!$B$5-1</f>
        <v>0.207754256496562</v>
      </c>
    </row>
    <row r="2857" customFormat="false" ht="15" hidden="false" customHeight="false" outlineLevel="0" collapsed="false">
      <c r="A2857" s="0" t="n">
        <v>2856</v>
      </c>
      <c r="B2857" s="14" t="n">
        <v>97735.9384935299</v>
      </c>
      <c r="C2857" s="15" t="n">
        <v>0.156558204059114</v>
      </c>
      <c r="D2857" s="14" t="n">
        <f aca="false">Summary!$B$5-B2857</f>
        <v>2264.06150647008</v>
      </c>
      <c r="E2857" s="15" t="n">
        <f aca="false">B2857/Summary!$B$5-1</f>
        <v>-0.0226406150647008</v>
      </c>
    </row>
    <row r="2858" customFormat="false" ht="15" hidden="false" customHeight="false" outlineLevel="0" collapsed="false">
      <c r="A2858" s="0" t="n">
        <v>2857</v>
      </c>
      <c r="B2858" s="14" t="n">
        <v>114893.665577076</v>
      </c>
      <c r="C2858" s="15" t="n">
        <v>0.0606461698260856</v>
      </c>
      <c r="D2858" s="14" t="n">
        <f aca="false">Summary!$B$5-B2858</f>
        <v>-14893.665577076</v>
      </c>
      <c r="E2858" s="15" t="n">
        <f aca="false">B2858/Summary!$B$5-1</f>
        <v>0.14893665577076</v>
      </c>
    </row>
    <row r="2859" customFormat="false" ht="15" hidden="false" customHeight="false" outlineLevel="0" collapsed="false">
      <c r="A2859" s="0" t="n">
        <v>2858</v>
      </c>
      <c r="B2859" s="14" t="n">
        <v>103264.39714676</v>
      </c>
      <c r="C2859" s="15" t="n">
        <v>0.070089993280028</v>
      </c>
      <c r="D2859" s="14" t="n">
        <f aca="false">Summary!$B$5-B2859</f>
        <v>-3264.3971467596</v>
      </c>
      <c r="E2859" s="15" t="n">
        <f aca="false">B2859/Summary!$B$5-1</f>
        <v>0.0326439714675959</v>
      </c>
    </row>
    <row r="2860" customFormat="false" ht="15" hidden="false" customHeight="false" outlineLevel="0" collapsed="false">
      <c r="A2860" s="0" t="n">
        <v>2859</v>
      </c>
      <c r="B2860" s="14" t="n">
        <v>117311.28317633</v>
      </c>
      <c r="C2860" s="15" t="n">
        <v>0.0480044613593645</v>
      </c>
      <c r="D2860" s="14" t="n">
        <f aca="false">Summary!$B$5-B2860</f>
        <v>-17311.2831763301</v>
      </c>
      <c r="E2860" s="15" t="n">
        <f aca="false">B2860/Summary!$B$5-1</f>
        <v>0.173112831763301</v>
      </c>
    </row>
    <row r="2861" customFormat="false" ht="15" hidden="false" customHeight="false" outlineLevel="0" collapsed="false">
      <c r="A2861" s="0" t="n">
        <v>2860</v>
      </c>
      <c r="B2861" s="14" t="n">
        <v>131174.20664866</v>
      </c>
      <c r="C2861" s="15" t="n">
        <v>0.0755732473808358</v>
      </c>
      <c r="D2861" s="14" t="n">
        <f aca="false">Summary!$B$5-B2861</f>
        <v>-31174.2066486598</v>
      </c>
      <c r="E2861" s="15" t="n">
        <f aca="false">B2861/Summary!$B$5-1</f>
        <v>0.311742066486598</v>
      </c>
    </row>
    <row r="2862" customFormat="false" ht="15" hidden="false" customHeight="false" outlineLevel="0" collapsed="false">
      <c r="A2862" s="0" t="n">
        <v>2861</v>
      </c>
      <c r="B2862" s="14" t="n">
        <v>94995.6542239568</v>
      </c>
      <c r="C2862" s="15" t="n">
        <v>0.115110744248557</v>
      </c>
      <c r="D2862" s="14" t="n">
        <f aca="false">Summary!$B$5-B2862</f>
        <v>5004.34577604322</v>
      </c>
      <c r="E2862" s="15" t="n">
        <f aca="false">B2862/Summary!$B$5-1</f>
        <v>-0.0500434577604322</v>
      </c>
    </row>
    <row r="2863" customFormat="false" ht="15" hidden="false" customHeight="false" outlineLevel="0" collapsed="false">
      <c r="A2863" s="0" t="n">
        <v>2862</v>
      </c>
      <c r="B2863" s="14" t="n">
        <v>99543.1575723324</v>
      </c>
      <c r="C2863" s="15" t="n">
        <v>0.0907602449846173</v>
      </c>
      <c r="D2863" s="14" t="n">
        <f aca="false">Summary!$B$5-B2863</f>
        <v>456.842427667623</v>
      </c>
      <c r="E2863" s="15" t="n">
        <f aca="false">B2863/Summary!$B$5-1</f>
        <v>-0.00456842427667625</v>
      </c>
    </row>
    <row r="2864" customFormat="false" ht="15" hidden="false" customHeight="false" outlineLevel="0" collapsed="false">
      <c r="A2864" s="0" t="n">
        <v>2863</v>
      </c>
      <c r="B2864" s="14" t="n">
        <v>101440.582527763</v>
      </c>
      <c r="C2864" s="15" t="n">
        <v>0.104247719082432</v>
      </c>
      <c r="D2864" s="14" t="n">
        <f aca="false">Summary!$B$5-B2864</f>
        <v>-1440.5825277628</v>
      </c>
      <c r="E2864" s="15" t="n">
        <f aca="false">B2864/Summary!$B$5-1</f>
        <v>0.014405825277628</v>
      </c>
    </row>
    <row r="2865" customFormat="false" ht="15" hidden="false" customHeight="false" outlineLevel="0" collapsed="false">
      <c r="A2865" s="0" t="n">
        <v>2864</v>
      </c>
      <c r="B2865" s="14" t="n">
        <v>111475.463628508</v>
      </c>
      <c r="C2865" s="15" t="n">
        <v>0.120960645826537</v>
      </c>
      <c r="D2865" s="14" t="n">
        <f aca="false">Summary!$B$5-B2865</f>
        <v>-11475.4636285079</v>
      </c>
      <c r="E2865" s="15" t="n">
        <f aca="false">B2865/Summary!$B$5-1</f>
        <v>0.114754636285079</v>
      </c>
    </row>
    <row r="2866" customFormat="false" ht="15" hidden="false" customHeight="false" outlineLevel="0" collapsed="false">
      <c r="A2866" s="0" t="n">
        <v>2865</v>
      </c>
      <c r="B2866" s="14" t="n">
        <v>98597.2463627307</v>
      </c>
      <c r="C2866" s="15" t="n">
        <v>0.0957553606098663</v>
      </c>
      <c r="D2866" s="14" t="n">
        <f aca="false">Summary!$B$5-B2866</f>
        <v>1402.75363726928</v>
      </c>
      <c r="E2866" s="15" t="n">
        <f aca="false">B2866/Summary!$B$5-1</f>
        <v>-0.0140275363726928</v>
      </c>
    </row>
    <row r="2867" customFormat="false" ht="15" hidden="false" customHeight="false" outlineLevel="0" collapsed="false">
      <c r="A2867" s="0" t="n">
        <v>2866</v>
      </c>
      <c r="B2867" s="14" t="n">
        <v>109631.881686447</v>
      </c>
      <c r="C2867" s="15" t="n">
        <v>0.0879966977934754</v>
      </c>
      <c r="D2867" s="14" t="n">
        <f aca="false">Summary!$B$5-B2867</f>
        <v>-9631.8816864465</v>
      </c>
      <c r="E2867" s="15" t="n">
        <f aca="false">B2867/Summary!$B$5-1</f>
        <v>0.0963188168644651</v>
      </c>
    </row>
    <row r="2868" customFormat="false" ht="15" hidden="false" customHeight="false" outlineLevel="0" collapsed="false">
      <c r="A2868" s="0" t="n">
        <v>2867</v>
      </c>
      <c r="B2868" s="14" t="n">
        <v>115651.032058022</v>
      </c>
      <c r="C2868" s="15" t="n">
        <v>0.0922318373311933</v>
      </c>
      <c r="D2868" s="14" t="n">
        <f aca="false">Summary!$B$5-B2868</f>
        <v>-15651.0320580217</v>
      </c>
      <c r="E2868" s="15" t="n">
        <f aca="false">B2868/Summary!$B$5-1</f>
        <v>0.156510320580217</v>
      </c>
    </row>
    <row r="2869" customFormat="false" ht="15" hidden="false" customHeight="false" outlineLevel="0" collapsed="false">
      <c r="A2869" s="0" t="n">
        <v>2868</v>
      </c>
      <c r="B2869" s="14" t="n">
        <v>113622.331980691</v>
      </c>
      <c r="C2869" s="15" t="n">
        <v>0.110241621247941</v>
      </c>
      <c r="D2869" s="14" t="n">
        <f aca="false">Summary!$B$5-B2869</f>
        <v>-13622.3319806906</v>
      </c>
      <c r="E2869" s="15" t="n">
        <f aca="false">B2869/Summary!$B$5-1</f>
        <v>0.136223319806906</v>
      </c>
    </row>
    <row r="2870" customFormat="false" ht="15" hidden="false" customHeight="false" outlineLevel="0" collapsed="false">
      <c r="A2870" s="0" t="n">
        <v>2869</v>
      </c>
      <c r="B2870" s="14" t="n">
        <v>126085.434340944</v>
      </c>
      <c r="C2870" s="15" t="n">
        <v>0.0919009380467996</v>
      </c>
      <c r="D2870" s="14" t="n">
        <f aca="false">Summary!$B$5-B2870</f>
        <v>-26085.4343409443</v>
      </c>
      <c r="E2870" s="15" t="n">
        <f aca="false">B2870/Summary!$B$5-1</f>
        <v>0.260854343409443</v>
      </c>
    </row>
    <row r="2871" customFormat="false" ht="15" hidden="false" customHeight="false" outlineLevel="0" collapsed="false">
      <c r="A2871" s="0" t="n">
        <v>2870</v>
      </c>
      <c r="B2871" s="14" t="n">
        <v>99478.0369901341</v>
      </c>
      <c r="C2871" s="15" t="n">
        <v>0.146380540939403</v>
      </c>
      <c r="D2871" s="14" t="n">
        <f aca="false">Summary!$B$5-B2871</f>
        <v>521.963009865867</v>
      </c>
      <c r="E2871" s="15" t="n">
        <f aca="false">B2871/Summary!$B$5-1</f>
        <v>-0.00521963009865867</v>
      </c>
    </row>
    <row r="2872" customFormat="false" ht="15" hidden="false" customHeight="false" outlineLevel="0" collapsed="false">
      <c r="A2872" s="0" t="n">
        <v>2871</v>
      </c>
      <c r="B2872" s="14" t="n">
        <v>110912.140674204</v>
      </c>
      <c r="C2872" s="15" t="n">
        <v>0.108286899191148</v>
      </c>
      <c r="D2872" s="14" t="n">
        <f aca="false">Summary!$B$5-B2872</f>
        <v>-10912.1406742038</v>
      </c>
      <c r="E2872" s="15" t="n">
        <f aca="false">B2872/Summary!$B$5-1</f>
        <v>0.109121406742038</v>
      </c>
    </row>
    <row r="2873" customFormat="false" ht="15" hidden="false" customHeight="false" outlineLevel="0" collapsed="false">
      <c r="A2873" s="0" t="n">
        <v>2872</v>
      </c>
      <c r="B2873" s="14" t="n">
        <v>114377.839777886</v>
      </c>
      <c r="C2873" s="15" t="n">
        <v>0.0714561439326122</v>
      </c>
      <c r="D2873" s="14" t="n">
        <f aca="false">Summary!$B$5-B2873</f>
        <v>-14377.8397778863</v>
      </c>
      <c r="E2873" s="15" t="n">
        <f aca="false">B2873/Summary!$B$5-1</f>
        <v>0.143778397778863</v>
      </c>
    </row>
    <row r="2874" customFormat="false" ht="15" hidden="false" customHeight="false" outlineLevel="0" collapsed="false">
      <c r="A2874" s="0" t="n">
        <v>2873</v>
      </c>
      <c r="B2874" s="14" t="n">
        <v>94818.0940764034</v>
      </c>
      <c r="C2874" s="15" t="n">
        <v>0.105640224500684</v>
      </c>
      <c r="D2874" s="14" t="n">
        <f aca="false">Summary!$B$5-B2874</f>
        <v>5181.90592359664</v>
      </c>
      <c r="E2874" s="15" t="n">
        <f aca="false">B2874/Summary!$B$5-1</f>
        <v>-0.0518190592359664</v>
      </c>
    </row>
    <row r="2875" customFormat="false" ht="15" hidden="false" customHeight="false" outlineLevel="0" collapsed="false">
      <c r="A2875" s="0" t="n">
        <v>2874</v>
      </c>
      <c r="B2875" s="14" t="n">
        <v>101781.249094967</v>
      </c>
      <c r="C2875" s="15" t="n">
        <v>0.0871003832999565</v>
      </c>
      <c r="D2875" s="14" t="n">
        <f aca="false">Summary!$B$5-B2875</f>
        <v>-1781.249094967</v>
      </c>
      <c r="E2875" s="15" t="n">
        <f aca="false">B2875/Summary!$B$5-1</f>
        <v>0.01781249094967</v>
      </c>
    </row>
    <row r="2876" customFormat="false" ht="15" hidden="false" customHeight="false" outlineLevel="0" collapsed="false">
      <c r="A2876" s="0" t="n">
        <v>2875</v>
      </c>
      <c r="B2876" s="14" t="n">
        <v>90321.5823663405</v>
      </c>
      <c r="C2876" s="15" t="n">
        <v>0.117069204662767</v>
      </c>
      <c r="D2876" s="14" t="n">
        <f aca="false">Summary!$B$5-B2876</f>
        <v>9678.41763365948</v>
      </c>
      <c r="E2876" s="15" t="n">
        <f aca="false">B2876/Summary!$B$5-1</f>
        <v>-0.0967841763365949</v>
      </c>
    </row>
    <row r="2877" customFormat="false" ht="15" hidden="false" customHeight="false" outlineLevel="0" collapsed="false">
      <c r="A2877" s="0" t="n">
        <v>2876</v>
      </c>
      <c r="B2877" s="14" t="n">
        <v>136132.316374895</v>
      </c>
      <c r="C2877" s="15" t="n">
        <v>0.0536834511622604</v>
      </c>
      <c r="D2877" s="14" t="n">
        <f aca="false">Summary!$B$5-B2877</f>
        <v>-36132.3163748953</v>
      </c>
      <c r="E2877" s="15" t="n">
        <f aca="false">B2877/Summary!$B$5-1</f>
        <v>0.361323163748953</v>
      </c>
    </row>
    <row r="2878" customFormat="false" ht="15" hidden="false" customHeight="false" outlineLevel="0" collapsed="false">
      <c r="A2878" s="0" t="n">
        <v>2877</v>
      </c>
      <c r="B2878" s="14" t="n">
        <v>126433.526729526</v>
      </c>
      <c r="C2878" s="15" t="n">
        <v>0.0944391391323699</v>
      </c>
      <c r="D2878" s="14" t="n">
        <f aca="false">Summary!$B$5-B2878</f>
        <v>-26433.5267295258</v>
      </c>
      <c r="E2878" s="15" t="n">
        <f aca="false">B2878/Summary!$B$5-1</f>
        <v>0.264335267295258</v>
      </c>
    </row>
    <row r="2879" customFormat="false" ht="15" hidden="false" customHeight="false" outlineLevel="0" collapsed="false">
      <c r="A2879" s="0" t="n">
        <v>2878</v>
      </c>
      <c r="B2879" s="14" t="n">
        <v>96199.8432096243</v>
      </c>
      <c r="C2879" s="15" t="n">
        <v>0.125261109710088</v>
      </c>
      <c r="D2879" s="14" t="n">
        <f aca="false">Summary!$B$5-B2879</f>
        <v>3800.15679037568</v>
      </c>
      <c r="E2879" s="15" t="n">
        <f aca="false">B2879/Summary!$B$5-1</f>
        <v>-0.0380015679037568</v>
      </c>
    </row>
    <row r="2880" customFormat="false" ht="15" hidden="false" customHeight="false" outlineLevel="0" collapsed="false">
      <c r="A2880" s="0" t="n">
        <v>2879</v>
      </c>
      <c r="B2880" s="14" t="n">
        <v>103687.502846462</v>
      </c>
      <c r="C2880" s="15" t="n">
        <v>0.0771560941742072</v>
      </c>
      <c r="D2880" s="14" t="n">
        <f aca="false">Summary!$B$5-B2880</f>
        <v>-3687.5028464622</v>
      </c>
      <c r="E2880" s="15" t="n">
        <f aca="false">B2880/Summary!$B$5-1</f>
        <v>0.036875028464622</v>
      </c>
    </row>
    <row r="2881" customFormat="false" ht="15" hidden="false" customHeight="false" outlineLevel="0" collapsed="false">
      <c r="A2881" s="0" t="n">
        <v>2880</v>
      </c>
      <c r="B2881" s="14" t="n">
        <v>99190.4730020452</v>
      </c>
      <c r="C2881" s="15" t="n">
        <v>0.161515532707942</v>
      </c>
      <c r="D2881" s="14" t="n">
        <f aca="false">Summary!$B$5-B2881</f>
        <v>809.526997954788</v>
      </c>
      <c r="E2881" s="15" t="n">
        <f aca="false">B2881/Summary!$B$5-1</f>
        <v>-0.0080952699795479</v>
      </c>
    </row>
    <row r="2882" customFormat="false" ht="15" hidden="false" customHeight="false" outlineLevel="0" collapsed="false">
      <c r="A2882" s="0" t="n">
        <v>2881</v>
      </c>
      <c r="B2882" s="14" t="n">
        <v>111883.911807671</v>
      </c>
      <c r="C2882" s="15" t="n">
        <v>0.0941705441871595</v>
      </c>
      <c r="D2882" s="14" t="n">
        <f aca="false">Summary!$B$5-B2882</f>
        <v>-11883.9118076707</v>
      </c>
      <c r="E2882" s="15" t="n">
        <f aca="false">B2882/Summary!$B$5-1</f>
        <v>0.118839118076707</v>
      </c>
    </row>
    <row r="2883" customFormat="false" ht="15" hidden="false" customHeight="false" outlineLevel="0" collapsed="false">
      <c r="A2883" s="0" t="n">
        <v>2882</v>
      </c>
      <c r="B2883" s="14" t="n">
        <v>116578.075310895</v>
      </c>
      <c r="C2883" s="15" t="n">
        <v>0.0619436311872105</v>
      </c>
      <c r="D2883" s="14" t="n">
        <f aca="false">Summary!$B$5-B2883</f>
        <v>-16578.0753108949</v>
      </c>
      <c r="E2883" s="15" t="n">
        <f aca="false">B2883/Summary!$B$5-1</f>
        <v>0.165780753108949</v>
      </c>
    </row>
    <row r="2884" customFormat="false" ht="15" hidden="false" customHeight="false" outlineLevel="0" collapsed="false">
      <c r="A2884" s="0" t="n">
        <v>2883</v>
      </c>
      <c r="B2884" s="14" t="n">
        <v>100281.223949549</v>
      </c>
      <c r="C2884" s="15" t="n">
        <v>0.145695434702809</v>
      </c>
      <c r="D2884" s="14" t="n">
        <f aca="false">Summary!$B$5-B2884</f>
        <v>-281.223949548905</v>
      </c>
      <c r="E2884" s="15" t="n">
        <f aca="false">B2884/Summary!$B$5-1</f>
        <v>0.00281223949548903</v>
      </c>
    </row>
    <row r="2885" customFormat="false" ht="15" hidden="false" customHeight="false" outlineLevel="0" collapsed="false">
      <c r="A2885" s="0" t="n">
        <v>2884</v>
      </c>
      <c r="B2885" s="14" t="n">
        <v>111720.352093766</v>
      </c>
      <c r="C2885" s="15" t="n">
        <v>0.0843378888944275</v>
      </c>
      <c r="D2885" s="14" t="n">
        <f aca="false">Summary!$B$5-B2885</f>
        <v>-11720.3520937661</v>
      </c>
      <c r="E2885" s="15" t="n">
        <f aca="false">B2885/Summary!$B$5-1</f>
        <v>0.117203520937661</v>
      </c>
    </row>
    <row r="2886" customFormat="false" ht="15" hidden="false" customHeight="false" outlineLevel="0" collapsed="false">
      <c r="A2886" s="0" t="n">
        <v>2885</v>
      </c>
      <c r="B2886" s="14" t="n">
        <v>121398.296198166</v>
      </c>
      <c r="C2886" s="15" t="n">
        <v>0.0562296689325017</v>
      </c>
      <c r="D2886" s="14" t="n">
        <f aca="false">Summary!$B$5-B2886</f>
        <v>-21398.2961981661</v>
      </c>
      <c r="E2886" s="15" t="n">
        <f aca="false">B2886/Summary!$B$5-1</f>
        <v>0.213982961981661</v>
      </c>
    </row>
    <row r="2887" customFormat="false" ht="15" hidden="false" customHeight="false" outlineLevel="0" collapsed="false">
      <c r="A2887" s="0" t="n">
        <v>2886</v>
      </c>
      <c r="B2887" s="14" t="n">
        <v>101256.969233263</v>
      </c>
      <c r="C2887" s="15" t="n">
        <v>0.152475162236913</v>
      </c>
      <c r="D2887" s="14" t="n">
        <f aca="false">Summary!$B$5-B2887</f>
        <v>-1256.9692332626</v>
      </c>
      <c r="E2887" s="15" t="n">
        <f aca="false">B2887/Summary!$B$5-1</f>
        <v>0.0125696923326259</v>
      </c>
    </row>
    <row r="2888" customFormat="false" ht="15" hidden="false" customHeight="false" outlineLevel="0" collapsed="false">
      <c r="A2888" s="0" t="n">
        <v>2887</v>
      </c>
      <c r="B2888" s="14" t="n">
        <v>125731.286427136</v>
      </c>
      <c r="C2888" s="15" t="n">
        <v>0.0588585646644492</v>
      </c>
      <c r="D2888" s="14" t="n">
        <f aca="false">Summary!$B$5-B2888</f>
        <v>-25731.2864271364</v>
      </c>
      <c r="E2888" s="15" t="n">
        <f aca="false">B2888/Summary!$B$5-1</f>
        <v>0.257312864271364</v>
      </c>
    </row>
    <row r="2889" customFormat="false" ht="15" hidden="false" customHeight="false" outlineLevel="0" collapsed="false">
      <c r="A2889" s="0" t="n">
        <v>2888</v>
      </c>
      <c r="B2889" s="14" t="n">
        <v>131047.91559546</v>
      </c>
      <c r="C2889" s="15" t="n">
        <v>0.0774596225723643</v>
      </c>
      <c r="D2889" s="14" t="n">
        <f aca="false">Summary!$B$5-B2889</f>
        <v>-31047.9155954597</v>
      </c>
      <c r="E2889" s="15" t="n">
        <f aca="false">B2889/Summary!$B$5-1</f>
        <v>0.310479155954597</v>
      </c>
    </row>
    <row r="2890" customFormat="false" ht="15" hidden="false" customHeight="false" outlineLevel="0" collapsed="false">
      <c r="A2890" s="0" t="n">
        <v>2889</v>
      </c>
      <c r="B2890" s="14" t="n">
        <v>108722.74957533</v>
      </c>
      <c r="C2890" s="15" t="n">
        <v>0.0907000126682653</v>
      </c>
      <c r="D2890" s="14" t="n">
        <f aca="false">Summary!$B$5-B2890</f>
        <v>-8722.74957533021</v>
      </c>
      <c r="E2890" s="15" t="n">
        <f aca="false">B2890/Summary!$B$5-1</f>
        <v>0.0872274957533021</v>
      </c>
    </row>
    <row r="2891" customFormat="false" ht="15" hidden="false" customHeight="false" outlineLevel="0" collapsed="false">
      <c r="A2891" s="0" t="n">
        <v>2890</v>
      </c>
      <c r="B2891" s="14" t="n">
        <v>135282.379530544</v>
      </c>
      <c r="C2891" s="15" t="n">
        <v>0.0563558982572509</v>
      </c>
      <c r="D2891" s="14" t="n">
        <f aca="false">Summary!$B$5-B2891</f>
        <v>-35282.3795305439</v>
      </c>
      <c r="E2891" s="15" t="n">
        <f aca="false">B2891/Summary!$B$5-1</f>
        <v>0.352823795305439</v>
      </c>
    </row>
    <row r="2892" customFormat="false" ht="15" hidden="false" customHeight="false" outlineLevel="0" collapsed="false">
      <c r="A2892" s="0" t="n">
        <v>2891</v>
      </c>
      <c r="B2892" s="14" t="n">
        <v>110835.404543578</v>
      </c>
      <c r="C2892" s="15" t="n">
        <v>0.0808379949337589</v>
      </c>
      <c r="D2892" s="14" t="n">
        <f aca="false">Summary!$B$5-B2892</f>
        <v>-10835.4045435776</v>
      </c>
      <c r="E2892" s="15" t="n">
        <f aca="false">B2892/Summary!$B$5-1</f>
        <v>0.108354045435776</v>
      </c>
    </row>
    <row r="2893" customFormat="false" ht="15" hidden="false" customHeight="false" outlineLevel="0" collapsed="false">
      <c r="A2893" s="0" t="n">
        <v>2892</v>
      </c>
      <c r="B2893" s="14" t="n">
        <v>111492.778743084</v>
      </c>
      <c r="C2893" s="15" t="n">
        <v>0.0688385001362797</v>
      </c>
      <c r="D2893" s="14" t="n">
        <f aca="false">Summary!$B$5-B2893</f>
        <v>-11492.7787430836</v>
      </c>
      <c r="E2893" s="15" t="n">
        <f aca="false">B2893/Summary!$B$5-1</f>
        <v>0.114927787430836</v>
      </c>
    </row>
    <row r="2894" customFormat="false" ht="15" hidden="false" customHeight="false" outlineLevel="0" collapsed="false">
      <c r="A2894" s="0" t="n">
        <v>2893</v>
      </c>
      <c r="B2894" s="14" t="n">
        <v>130220.695599337</v>
      </c>
      <c r="C2894" s="15" t="n">
        <v>0.057266606351897</v>
      </c>
      <c r="D2894" s="14" t="n">
        <f aca="false">Summary!$B$5-B2894</f>
        <v>-30220.6955993368</v>
      </c>
      <c r="E2894" s="15" t="n">
        <f aca="false">B2894/Summary!$B$5-1</f>
        <v>0.302206955993368</v>
      </c>
    </row>
    <row r="2895" customFormat="false" ht="15" hidden="false" customHeight="false" outlineLevel="0" collapsed="false">
      <c r="A2895" s="0" t="n">
        <v>2894</v>
      </c>
      <c r="B2895" s="14" t="n">
        <v>113504.716058513</v>
      </c>
      <c r="C2895" s="15" t="n">
        <v>0.0919180018961714</v>
      </c>
      <c r="D2895" s="14" t="n">
        <f aca="false">Summary!$B$5-B2895</f>
        <v>-13504.7160585127</v>
      </c>
      <c r="E2895" s="15" t="n">
        <f aca="false">B2895/Summary!$B$5-1</f>
        <v>0.135047160585127</v>
      </c>
    </row>
    <row r="2896" customFormat="false" ht="15" hidden="false" customHeight="false" outlineLevel="0" collapsed="false">
      <c r="A2896" s="0" t="n">
        <v>2895</v>
      </c>
      <c r="B2896" s="14" t="n">
        <v>119370.886487632</v>
      </c>
      <c r="C2896" s="15" t="n">
        <v>0.100254103572398</v>
      </c>
      <c r="D2896" s="14" t="n">
        <f aca="false">Summary!$B$5-B2896</f>
        <v>-19370.8864876319</v>
      </c>
      <c r="E2896" s="15" t="n">
        <f aca="false">B2896/Summary!$B$5-1</f>
        <v>0.193708864876319</v>
      </c>
    </row>
    <row r="2897" customFormat="false" ht="15" hidden="false" customHeight="false" outlineLevel="0" collapsed="false">
      <c r="A2897" s="0" t="n">
        <v>2896</v>
      </c>
      <c r="B2897" s="14" t="n">
        <v>128111.667642678</v>
      </c>
      <c r="C2897" s="15" t="n">
        <v>0.0567245983482451</v>
      </c>
      <c r="D2897" s="14" t="n">
        <f aca="false">Summary!$B$5-B2897</f>
        <v>-28111.6676426775</v>
      </c>
      <c r="E2897" s="15" t="n">
        <f aca="false">B2897/Summary!$B$5-1</f>
        <v>0.281116676426775</v>
      </c>
    </row>
    <row r="2898" customFormat="false" ht="15" hidden="false" customHeight="false" outlineLevel="0" collapsed="false">
      <c r="A2898" s="0" t="n">
        <v>2897</v>
      </c>
      <c r="B2898" s="14" t="n">
        <v>114146.304279647</v>
      </c>
      <c r="C2898" s="15" t="n">
        <v>0.0735880449756652</v>
      </c>
      <c r="D2898" s="14" t="n">
        <f aca="false">Summary!$B$5-B2898</f>
        <v>-14146.3042796473</v>
      </c>
      <c r="E2898" s="15" t="n">
        <f aca="false">B2898/Summary!$B$5-1</f>
        <v>0.141463042796473</v>
      </c>
    </row>
    <row r="2899" customFormat="false" ht="15" hidden="false" customHeight="false" outlineLevel="0" collapsed="false">
      <c r="A2899" s="0" t="n">
        <v>2898</v>
      </c>
      <c r="B2899" s="14" t="n">
        <v>103424.577993978</v>
      </c>
      <c r="C2899" s="15" t="n">
        <v>0.0962283768815393</v>
      </c>
      <c r="D2899" s="14" t="n">
        <f aca="false">Summary!$B$5-B2899</f>
        <v>-3424.5779939776</v>
      </c>
      <c r="E2899" s="15" t="n">
        <f aca="false">B2899/Summary!$B$5-1</f>
        <v>0.034245779939776</v>
      </c>
    </row>
    <row r="2900" customFormat="false" ht="15" hidden="false" customHeight="false" outlineLevel="0" collapsed="false">
      <c r="A2900" s="0" t="n">
        <v>2899</v>
      </c>
      <c r="B2900" s="14" t="n">
        <v>131551.459116713</v>
      </c>
      <c r="C2900" s="15" t="n">
        <v>0.0760556364211652</v>
      </c>
      <c r="D2900" s="14" t="n">
        <f aca="false">Summary!$B$5-B2900</f>
        <v>-31551.4591167131</v>
      </c>
      <c r="E2900" s="15" t="n">
        <f aca="false">B2900/Summary!$B$5-1</f>
        <v>0.315514591167131</v>
      </c>
    </row>
    <row r="2901" customFormat="false" ht="15" hidden="false" customHeight="false" outlineLevel="0" collapsed="false">
      <c r="A2901" s="0" t="n">
        <v>2900</v>
      </c>
      <c r="B2901" s="14" t="n">
        <v>116007.59466365</v>
      </c>
      <c r="C2901" s="15" t="n">
        <v>0.0861202870674543</v>
      </c>
      <c r="D2901" s="14" t="n">
        <f aca="false">Summary!$B$5-B2901</f>
        <v>-16007.5946636502</v>
      </c>
      <c r="E2901" s="15" t="n">
        <f aca="false">B2901/Summary!$B$5-1</f>
        <v>0.160075946636502</v>
      </c>
    </row>
    <row r="2902" customFormat="false" ht="15" hidden="false" customHeight="false" outlineLevel="0" collapsed="false">
      <c r="A2902" s="0" t="n">
        <v>2901</v>
      </c>
      <c r="B2902" s="14" t="n">
        <v>119033.782159451</v>
      </c>
      <c r="C2902" s="15" t="n">
        <v>0.0938848880814672</v>
      </c>
      <c r="D2902" s="14" t="n">
        <f aca="false">Summary!$B$5-B2902</f>
        <v>-19033.7821594507</v>
      </c>
      <c r="E2902" s="15" t="n">
        <f aca="false">B2902/Summary!$B$5-1</f>
        <v>0.190337821594507</v>
      </c>
    </row>
    <row r="2903" customFormat="false" ht="15" hidden="false" customHeight="false" outlineLevel="0" collapsed="false">
      <c r="A2903" s="0" t="n">
        <v>2902</v>
      </c>
      <c r="B2903" s="14" t="n">
        <v>101620.216781167</v>
      </c>
      <c r="C2903" s="15" t="n">
        <v>0.0764296090720408</v>
      </c>
      <c r="D2903" s="14" t="n">
        <f aca="false">Summary!$B$5-B2903</f>
        <v>-1620.2167811671</v>
      </c>
      <c r="E2903" s="15" t="n">
        <f aca="false">B2903/Summary!$B$5-1</f>
        <v>0.0162021678116711</v>
      </c>
    </row>
    <row r="2904" customFormat="false" ht="15" hidden="false" customHeight="false" outlineLevel="0" collapsed="false">
      <c r="A2904" s="0" t="n">
        <v>2903</v>
      </c>
      <c r="B2904" s="14" t="n">
        <v>106407.678276607</v>
      </c>
      <c r="C2904" s="15" t="n">
        <v>0.129662009256546</v>
      </c>
      <c r="D2904" s="14" t="n">
        <f aca="false">Summary!$B$5-B2904</f>
        <v>-6407.6782766074</v>
      </c>
      <c r="E2904" s="15" t="n">
        <f aca="false">B2904/Summary!$B$5-1</f>
        <v>0.064076782766074</v>
      </c>
    </row>
    <row r="2905" customFormat="false" ht="15" hidden="false" customHeight="false" outlineLevel="0" collapsed="false">
      <c r="A2905" s="0" t="n">
        <v>2904</v>
      </c>
      <c r="B2905" s="14" t="n">
        <v>108265.995498784</v>
      </c>
      <c r="C2905" s="15" t="n">
        <v>0.1775595344697</v>
      </c>
      <c r="D2905" s="14" t="n">
        <f aca="false">Summary!$B$5-B2905</f>
        <v>-8265.9954987838</v>
      </c>
      <c r="E2905" s="15" t="n">
        <f aca="false">B2905/Summary!$B$5-1</f>
        <v>0.082659954987838</v>
      </c>
    </row>
    <row r="2906" customFormat="false" ht="15" hidden="false" customHeight="false" outlineLevel="0" collapsed="false">
      <c r="A2906" s="0" t="n">
        <v>2905</v>
      </c>
      <c r="B2906" s="14" t="n">
        <v>104954.23167475</v>
      </c>
      <c r="C2906" s="15" t="n">
        <v>0.0770332257744274</v>
      </c>
      <c r="D2906" s="14" t="n">
        <f aca="false">Summary!$B$5-B2906</f>
        <v>-4954.2316747501</v>
      </c>
      <c r="E2906" s="15" t="n">
        <f aca="false">B2906/Summary!$B$5-1</f>
        <v>0.0495423167475011</v>
      </c>
    </row>
    <row r="2907" customFormat="false" ht="15" hidden="false" customHeight="false" outlineLevel="0" collapsed="false">
      <c r="A2907" s="0" t="n">
        <v>2906</v>
      </c>
      <c r="B2907" s="14" t="n">
        <v>109999.051463957</v>
      </c>
      <c r="C2907" s="15" t="n">
        <v>0.0941162710894921</v>
      </c>
      <c r="D2907" s="14" t="n">
        <f aca="false">Summary!$B$5-B2907</f>
        <v>-9999.0514639567</v>
      </c>
      <c r="E2907" s="15" t="n">
        <f aca="false">B2907/Summary!$B$5-1</f>
        <v>0.099990514639567</v>
      </c>
    </row>
    <row r="2908" customFormat="false" ht="15" hidden="false" customHeight="false" outlineLevel="0" collapsed="false">
      <c r="A2908" s="0" t="n">
        <v>2907</v>
      </c>
      <c r="B2908" s="14" t="n">
        <v>111779.980290897</v>
      </c>
      <c r="C2908" s="15" t="n">
        <v>0.156219426254157</v>
      </c>
      <c r="D2908" s="14" t="n">
        <f aca="false">Summary!$B$5-B2908</f>
        <v>-11779.9802908971</v>
      </c>
      <c r="E2908" s="15" t="n">
        <f aca="false">B2908/Summary!$B$5-1</f>
        <v>0.117799802908971</v>
      </c>
    </row>
    <row r="2909" customFormat="false" ht="15" hidden="false" customHeight="false" outlineLevel="0" collapsed="false">
      <c r="A2909" s="0" t="n">
        <v>2908</v>
      </c>
      <c r="B2909" s="14" t="n">
        <v>94641.3447746293</v>
      </c>
      <c r="C2909" s="15" t="n">
        <v>0.180964097606834</v>
      </c>
      <c r="D2909" s="14" t="n">
        <f aca="false">Summary!$B$5-B2909</f>
        <v>5358.65522537072</v>
      </c>
      <c r="E2909" s="15" t="n">
        <f aca="false">B2909/Summary!$B$5-1</f>
        <v>-0.0535865522537072</v>
      </c>
    </row>
    <row r="2910" customFormat="false" ht="15" hidden="false" customHeight="false" outlineLevel="0" collapsed="false">
      <c r="A2910" s="0" t="n">
        <v>2909</v>
      </c>
      <c r="B2910" s="14" t="n">
        <v>117954.705217609</v>
      </c>
      <c r="C2910" s="15" t="n">
        <v>0.0914393056378742</v>
      </c>
      <c r="D2910" s="14" t="n">
        <f aca="false">Summary!$B$5-B2910</f>
        <v>-17954.7052176094</v>
      </c>
      <c r="E2910" s="15" t="n">
        <f aca="false">B2910/Summary!$B$5-1</f>
        <v>0.179547052176094</v>
      </c>
    </row>
    <row r="2911" customFormat="false" ht="15" hidden="false" customHeight="false" outlineLevel="0" collapsed="false">
      <c r="A2911" s="0" t="n">
        <v>2910</v>
      </c>
      <c r="B2911" s="14" t="n">
        <v>111591.919626531</v>
      </c>
      <c r="C2911" s="15" t="n">
        <v>0.0686797504850178</v>
      </c>
      <c r="D2911" s="14" t="n">
        <f aca="false">Summary!$B$5-B2911</f>
        <v>-11591.9196265311</v>
      </c>
      <c r="E2911" s="15" t="n">
        <f aca="false">B2911/Summary!$B$5-1</f>
        <v>0.115919196265311</v>
      </c>
    </row>
    <row r="2912" customFormat="false" ht="15" hidden="false" customHeight="false" outlineLevel="0" collapsed="false">
      <c r="A2912" s="0" t="n">
        <v>2911</v>
      </c>
      <c r="B2912" s="14" t="n">
        <v>108470.191796543</v>
      </c>
      <c r="C2912" s="15" t="n">
        <v>0.0889090101204914</v>
      </c>
      <c r="D2912" s="14" t="n">
        <f aca="false">Summary!$B$5-B2912</f>
        <v>-8470.1917965429</v>
      </c>
      <c r="E2912" s="15" t="n">
        <f aca="false">B2912/Summary!$B$5-1</f>
        <v>0.0847019179654289</v>
      </c>
    </row>
    <row r="2913" customFormat="false" ht="15" hidden="false" customHeight="false" outlineLevel="0" collapsed="false">
      <c r="A2913" s="0" t="n">
        <v>2912</v>
      </c>
      <c r="B2913" s="14" t="n">
        <v>110277.120134469</v>
      </c>
      <c r="C2913" s="15" t="n">
        <v>0.0942131390275712</v>
      </c>
      <c r="D2913" s="14" t="n">
        <f aca="false">Summary!$B$5-B2913</f>
        <v>-10277.1201344687</v>
      </c>
      <c r="E2913" s="15" t="n">
        <f aca="false">B2913/Summary!$B$5-1</f>
        <v>0.102771201344687</v>
      </c>
    </row>
    <row r="2914" customFormat="false" ht="15" hidden="false" customHeight="false" outlineLevel="0" collapsed="false">
      <c r="A2914" s="0" t="n">
        <v>2913</v>
      </c>
      <c r="B2914" s="14" t="n">
        <v>101275.894196984</v>
      </c>
      <c r="C2914" s="15" t="n">
        <v>0.119483579753809</v>
      </c>
      <c r="D2914" s="14" t="n">
        <f aca="false">Summary!$B$5-B2914</f>
        <v>-1275.8941969837</v>
      </c>
      <c r="E2914" s="15" t="n">
        <f aca="false">B2914/Summary!$B$5-1</f>
        <v>0.0127589419698371</v>
      </c>
    </row>
    <row r="2915" customFormat="false" ht="15" hidden="false" customHeight="false" outlineLevel="0" collapsed="false">
      <c r="A2915" s="0" t="n">
        <v>2914</v>
      </c>
      <c r="B2915" s="14" t="n">
        <v>104731.499977055</v>
      </c>
      <c r="C2915" s="15" t="n">
        <v>0.115083046311624</v>
      </c>
      <c r="D2915" s="14" t="n">
        <f aca="false">Summary!$B$5-B2915</f>
        <v>-4731.4999770552</v>
      </c>
      <c r="E2915" s="15" t="n">
        <f aca="false">B2915/Summary!$B$5-1</f>
        <v>0.047314999770552</v>
      </c>
    </row>
    <row r="2916" customFormat="false" ht="15" hidden="false" customHeight="false" outlineLevel="0" collapsed="false">
      <c r="A2916" s="0" t="n">
        <v>2915</v>
      </c>
      <c r="B2916" s="14" t="n">
        <v>122407.142451869</v>
      </c>
      <c r="C2916" s="15" t="n">
        <v>0.0797468834182692</v>
      </c>
      <c r="D2916" s="14" t="n">
        <f aca="false">Summary!$B$5-B2916</f>
        <v>-22407.1424518687</v>
      </c>
      <c r="E2916" s="15" t="n">
        <f aca="false">B2916/Summary!$B$5-1</f>
        <v>0.224071424518687</v>
      </c>
    </row>
    <row r="2917" customFormat="false" ht="15" hidden="false" customHeight="false" outlineLevel="0" collapsed="false">
      <c r="A2917" s="0" t="n">
        <v>2916</v>
      </c>
      <c r="B2917" s="14" t="n">
        <v>121512.170299537</v>
      </c>
      <c r="C2917" s="15" t="n">
        <v>0.053000223892258</v>
      </c>
      <c r="D2917" s="14" t="n">
        <f aca="false">Summary!$B$5-B2917</f>
        <v>-21512.1702995369</v>
      </c>
      <c r="E2917" s="15" t="n">
        <f aca="false">B2917/Summary!$B$5-1</f>
        <v>0.215121702995369</v>
      </c>
    </row>
    <row r="2918" customFormat="false" ht="15" hidden="false" customHeight="false" outlineLevel="0" collapsed="false">
      <c r="A2918" s="0" t="n">
        <v>2917</v>
      </c>
      <c r="B2918" s="14" t="n">
        <v>132967.934764435</v>
      </c>
      <c r="C2918" s="15" t="n">
        <v>0.0525607599843473</v>
      </c>
      <c r="D2918" s="14" t="n">
        <f aca="false">Summary!$B$5-B2918</f>
        <v>-32967.9347644348</v>
      </c>
      <c r="E2918" s="15" t="n">
        <f aca="false">B2918/Summary!$B$5-1</f>
        <v>0.329679347644348</v>
      </c>
    </row>
    <row r="2919" customFormat="false" ht="15" hidden="false" customHeight="false" outlineLevel="0" collapsed="false">
      <c r="A2919" s="0" t="n">
        <v>2918</v>
      </c>
      <c r="B2919" s="14" t="n">
        <v>119824.000006499</v>
      </c>
      <c r="C2919" s="15" t="n">
        <v>0.0741089564053192</v>
      </c>
      <c r="D2919" s="14" t="n">
        <f aca="false">Summary!$B$5-B2919</f>
        <v>-19824.0000064986</v>
      </c>
      <c r="E2919" s="15" t="n">
        <f aca="false">B2919/Summary!$B$5-1</f>
        <v>0.198240000064986</v>
      </c>
    </row>
    <row r="2920" customFormat="false" ht="15" hidden="false" customHeight="false" outlineLevel="0" collapsed="false">
      <c r="A2920" s="0" t="n">
        <v>2919</v>
      </c>
      <c r="B2920" s="14" t="n">
        <v>106039.120624005</v>
      </c>
      <c r="C2920" s="15" t="n">
        <v>0.126842358684142</v>
      </c>
      <c r="D2920" s="14" t="n">
        <f aca="false">Summary!$B$5-B2920</f>
        <v>-6039.1206240054</v>
      </c>
      <c r="E2920" s="15" t="n">
        <f aca="false">B2920/Summary!$B$5-1</f>
        <v>0.060391206240054</v>
      </c>
    </row>
    <row r="2921" customFormat="false" ht="15" hidden="false" customHeight="false" outlineLevel="0" collapsed="false">
      <c r="A2921" s="0" t="n">
        <v>2920</v>
      </c>
      <c r="B2921" s="14" t="n">
        <v>102793.168995727</v>
      </c>
      <c r="C2921" s="15" t="n">
        <v>0.133274561129918</v>
      </c>
      <c r="D2921" s="14" t="n">
        <f aca="false">Summary!$B$5-B2921</f>
        <v>-2793.1689957273</v>
      </c>
      <c r="E2921" s="15" t="n">
        <f aca="false">B2921/Summary!$B$5-1</f>
        <v>0.027931689957273</v>
      </c>
    </row>
    <row r="2922" customFormat="false" ht="15" hidden="false" customHeight="false" outlineLevel="0" collapsed="false">
      <c r="A2922" s="0" t="n">
        <v>2921</v>
      </c>
      <c r="B2922" s="14" t="n">
        <v>103883.575577912</v>
      </c>
      <c r="C2922" s="15" t="n">
        <v>0.113754340105984</v>
      </c>
      <c r="D2922" s="14" t="n">
        <f aca="false">Summary!$B$5-B2922</f>
        <v>-3883.5755779117</v>
      </c>
      <c r="E2922" s="15" t="n">
        <f aca="false">B2922/Summary!$B$5-1</f>
        <v>0.038835755779117</v>
      </c>
    </row>
    <row r="2923" customFormat="false" ht="15" hidden="false" customHeight="false" outlineLevel="0" collapsed="false">
      <c r="A2923" s="0" t="n">
        <v>2922</v>
      </c>
      <c r="B2923" s="14" t="n">
        <v>119710.704103004</v>
      </c>
      <c r="C2923" s="15" t="n">
        <v>0.0639371874690589</v>
      </c>
      <c r="D2923" s="14" t="n">
        <f aca="false">Summary!$B$5-B2923</f>
        <v>-19710.7041030035</v>
      </c>
      <c r="E2923" s="15" t="n">
        <f aca="false">B2923/Summary!$B$5-1</f>
        <v>0.197107041030035</v>
      </c>
    </row>
    <row r="2924" customFormat="false" ht="15" hidden="false" customHeight="false" outlineLevel="0" collapsed="false">
      <c r="A2924" s="0" t="n">
        <v>2923</v>
      </c>
      <c r="B2924" s="14" t="n">
        <v>120997.07729493</v>
      </c>
      <c r="C2924" s="15" t="n">
        <v>0.071601762323883</v>
      </c>
      <c r="D2924" s="14" t="n">
        <f aca="false">Summary!$B$5-B2924</f>
        <v>-20997.0772949295</v>
      </c>
      <c r="E2924" s="15" t="n">
        <f aca="false">B2924/Summary!$B$5-1</f>
        <v>0.209970772949295</v>
      </c>
    </row>
    <row r="2925" customFormat="false" ht="15" hidden="false" customHeight="false" outlineLevel="0" collapsed="false">
      <c r="A2925" s="0" t="n">
        <v>2924</v>
      </c>
      <c r="B2925" s="14" t="n">
        <v>134132.039626721</v>
      </c>
      <c r="C2925" s="15" t="n">
        <v>0.0506376237535479</v>
      </c>
      <c r="D2925" s="14" t="n">
        <f aca="false">Summary!$B$5-B2925</f>
        <v>-34132.0396267208</v>
      </c>
      <c r="E2925" s="15" t="n">
        <f aca="false">B2925/Summary!$B$5-1</f>
        <v>0.341320396267208</v>
      </c>
    </row>
    <row r="2926" customFormat="false" ht="15" hidden="false" customHeight="false" outlineLevel="0" collapsed="false">
      <c r="A2926" s="0" t="n">
        <v>2925</v>
      </c>
      <c r="B2926" s="14" t="n">
        <v>94867.0645093563</v>
      </c>
      <c r="C2926" s="15" t="n">
        <v>0.1112335486733</v>
      </c>
      <c r="D2926" s="14" t="n">
        <f aca="false">Summary!$B$5-B2926</f>
        <v>5132.93549064368</v>
      </c>
      <c r="E2926" s="15" t="n">
        <f aca="false">B2926/Summary!$B$5-1</f>
        <v>-0.0513293549064368</v>
      </c>
    </row>
    <row r="2927" customFormat="false" ht="15" hidden="false" customHeight="false" outlineLevel="0" collapsed="false">
      <c r="A2927" s="0" t="n">
        <v>2926</v>
      </c>
      <c r="B2927" s="14" t="n">
        <v>94368.2612763524</v>
      </c>
      <c r="C2927" s="15" t="n">
        <v>0.195764709203536</v>
      </c>
      <c r="D2927" s="14" t="n">
        <f aca="false">Summary!$B$5-B2927</f>
        <v>5631.73872364758</v>
      </c>
      <c r="E2927" s="15" t="n">
        <f aca="false">B2927/Summary!$B$5-1</f>
        <v>-0.0563173872364757</v>
      </c>
    </row>
    <row r="2928" customFormat="false" ht="15" hidden="false" customHeight="false" outlineLevel="0" collapsed="false">
      <c r="A2928" s="0" t="n">
        <v>2927</v>
      </c>
      <c r="B2928" s="14" t="n">
        <v>109988.138751285</v>
      </c>
      <c r="C2928" s="15" t="n">
        <v>0.0609020354076114</v>
      </c>
      <c r="D2928" s="14" t="n">
        <f aca="false">Summary!$B$5-B2928</f>
        <v>-9988.1387512845</v>
      </c>
      <c r="E2928" s="15" t="n">
        <f aca="false">B2928/Summary!$B$5-1</f>
        <v>0.099881387512845</v>
      </c>
    </row>
    <row r="2929" customFormat="false" ht="15" hidden="false" customHeight="false" outlineLevel="0" collapsed="false">
      <c r="A2929" s="0" t="n">
        <v>2928</v>
      </c>
      <c r="B2929" s="14" t="n">
        <v>130675.605856695</v>
      </c>
      <c r="C2929" s="15" t="n">
        <v>0.0667776923277665</v>
      </c>
      <c r="D2929" s="14" t="n">
        <f aca="false">Summary!$B$5-B2929</f>
        <v>-30675.6058566949</v>
      </c>
      <c r="E2929" s="15" t="n">
        <f aca="false">B2929/Summary!$B$5-1</f>
        <v>0.306756058566949</v>
      </c>
    </row>
    <row r="2930" customFormat="false" ht="15" hidden="false" customHeight="false" outlineLevel="0" collapsed="false">
      <c r="A2930" s="0" t="n">
        <v>2929</v>
      </c>
      <c r="B2930" s="14" t="n">
        <v>96856.4473173918</v>
      </c>
      <c r="C2930" s="15" t="n">
        <v>0.0990074851339023</v>
      </c>
      <c r="D2930" s="14" t="n">
        <f aca="false">Summary!$B$5-B2930</f>
        <v>3143.55268260825</v>
      </c>
      <c r="E2930" s="15" t="n">
        <f aca="false">B2930/Summary!$B$5-1</f>
        <v>-0.0314355268260825</v>
      </c>
    </row>
    <row r="2931" customFormat="false" ht="15" hidden="false" customHeight="false" outlineLevel="0" collapsed="false">
      <c r="A2931" s="0" t="n">
        <v>2930</v>
      </c>
      <c r="B2931" s="14" t="n">
        <v>104606.916907653</v>
      </c>
      <c r="C2931" s="15" t="n">
        <v>0.128194286195906</v>
      </c>
      <c r="D2931" s="14" t="n">
        <f aca="false">Summary!$B$5-B2931</f>
        <v>-4606.9169076532</v>
      </c>
      <c r="E2931" s="15" t="n">
        <f aca="false">B2931/Summary!$B$5-1</f>
        <v>0.046069169076532</v>
      </c>
    </row>
    <row r="2932" customFormat="false" ht="15" hidden="false" customHeight="false" outlineLevel="0" collapsed="false">
      <c r="A2932" s="0" t="n">
        <v>2931</v>
      </c>
      <c r="B2932" s="14" t="n">
        <v>119368.796793287</v>
      </c>
      <c r="C2932" s="15" t="n">
        <v>0.115527808127857</v>
      </c>
      <c r="D2932" s="14" t="n">
        <f aca="false">Summary!$B$5-B2932</f>
        <v>-19368.796793287</v>
      </c>
      <c r="E2932" s="15" t="n">
        <f aca="false">B2932/Summary!$B$5-1</f>
        <v>0.19368796793287</v>
      </c>
    </row>
    <row r="2933" customFormat="false" ht="15" hidden="false" customHeight="false" outlineLevel="0" collapsed="false">
      <c r="A2933" s="0" t="n">
        <v>2932</v>
      </c>
      <c r="B2933" s="14" t="n">
        <v>113741.464494048</v>
      </c>
      <c r="C2933" s="15" t="n">
        <v>0.0674087825264198</v>
      </c>
      <c r="D2933" s="14" t="n">
        <f aca="false">Summary!$B$5-B2933</f>
        <v>-13741.4644940476</v>
      </c>
      <c r="E2933" s="15" t="n">
        <f aca="false">B2933/Summary!$B$5-1</f>
        <v>0.137414644940476</v>
      </c>
    </row>
    <row r="2934" customFormat="false" ht="15" hidden="false" customHeight="false" outlineLevel="0" collapsed="false">
      <c r="A2934" s="0" t="n">
        <v>2933</v>
      </c>
      <c r="B2934" s="14" t="n">
        <v>100231.359975884</v>
      </c>
      <c r="C2934" s="15" t="n">
        <v>0.0967971958011177</v>
      </c>
      <c r="D2934" s="14" t="n">
        <f aca="false">Summary!$B$5-B2934</f>
        <v>-231.359975883999</v>
      </c>
      <c r="E2934" s="15" t="n">
        <f aca="false">B2934/Summary!$B$5-1</f>
        <v>0.00231359975883994</v>
      </c>
    </row>
    <row r="2935" customFormat="false" ht="15" hidden="false" customHeight="false" outlineLevel="0" collapsed="false">
      <c r="A2935" s="0" t="n">
        <v>2934</v>
      </c>
      <c r="B2935" s="14" t="n">
        <v>132269.024988775</v>
      </c>
      <c r="C2935" s="15" t="n">
        <v>0.0385434033412101</v>
      </c>
      <c r="D2935" s="14" t="n">
        <f aca="false">Summary!$B$5-B2935</f>
        <v>-32269.0249887754</v>
      </c>
      <c r="E2935" s="15" t="n">
        <f aca="false">B2935/Summary!$B$5-1</f>
        <v>0.322690249887754</v>
      </c>
    </row>
    <row r="2936" customFormat="false" ht="15" hidden="false" customHeight="false" outlineLevel="0" collapsed="false">
      <c r="A2936" s="0" t="n">
        <v>2935</v>
      </c>
      <c r="B2936" s="14" t="n">
        <v>101127.421108027</v>
      </c>
      <c r="C2936" s="15" t="n">
        <v>0.118682880347051</v>
      </c>
      <c r="D2936" s="14" t="n">
        <f aca="false">Summary!$B$5-B2936</f>
        <v>-1127.42110802729</v>
      </c>
      <c r="E2936" s="15" t="n">
        <f aca="false">B2936/Summary!$B$5-1</f>
        <v>0.011274211080273</v>
      </c>
    </row>
    <row r="2937" customFormat="false" ht="15" hidden="false" customHeight="false" outlineLevel="0" collapsed="false">
      <c r="A2937" s="0" t="n">
        <v>2936</v>
      </c>
      <c r="B2937" s="14" t="n">
        <v>105034.549215728</v>
      </c>
      <c r="C2937" s="15" t="n">
        <v>0.0772806757093487</v>
      </c>
      <c r="D2937" s="14" t="n">
        <f aca="false">Summary!$B$5-B2937</f>
        <v>-5034.5492157281</v>
      </c>
      <c r="E2937" s="15" t="n">
        <f aca="false">B2937/Summary!$B$5-1</f>
        <v>0.050345492157281</v>
      </c>
    </row>
    <row r="2938" customFormat="false" ht="15" hidden="false" customHeight="false" outlineLevel="0" collapsed="false">
      <c r="A2938" s="0" t="n">
        <v>2937</v>
      </c>
      <c r="B2938" s="14" t="n">
        <v>114025.151381266</v>
      </c>
      <c r="C2938" s="15" t="n">
        <v>0.0644098227524939</v>
      </c>
      <c r="D2938" s="14" t="n">
        <f aca="false">Summary!$B$5-B2938</f>
        <v>-14025.1513812655</v>
      </c>
      <c r="E2938" s="15" t="n">
        <f aca="false">B2938/Summary!$B$5-1</f>
        <v>0.140251513812655</v>
      </c>
    </row>
    <row r="2939" customFormat="false" ht="15" hidden="false" customHeight="false" outlineLevel="0" collapsed="false">
      <c r="A2939" s="0" t="n">
        <v>2938</v>
      </c>
      <c r="B2939" s="14" t="n">
        <v>83621.2682338714</v>
      </c>
      <c r="C2939" s="15" t="n">
        <v>0.213676113692879</v>
      </c>
      <c r="D2939" s="14" t="n">
        <f aca="false">Summary!$B$5-B2939</f>
        <v>16378.7317661286</v>
      </c>
      <c r="E2939" s="15" t="n">
        <f aca="false">B2939/Summary!$B$5-1</f>
        <v>-0.163787317661286</v>
      </c>
    </row>
    <row r="2940" customFormat="false" ht="15" hidden="false" customHeight="false" outlineLevel="0" collapsed="false">
      <c r="A2940" s="0" t="n">
        <v>2939</v>
      </c>
      <c r="B2940" s="14" t="n">
        <v>129192.856591521</v>
      </c>
      <c r="C2940" s="15" t="n">
        <v>0.0925686781918252</v>
      </c>
      <c r="D2940" s="14" t="n">
        <f aca="false">Summary!$B$5-B2940</f>
        <v>-29192.8565915214</v>
      </c>
      <c r="E2940" s="15" t="n">
        <f aca="false">B2940/Summary!$B$5-1</f>
        <v>0.291928565915214</v>
      </c>
    </row>
    <row r="2941" customFormat="false" ht="15" hidden="false" customHeight="false" outlineLevel="0" collapsed="false">
      <c r="A2941" s="0" t="n">
        <v>2940</v>
      </c>
      <c r="B2941" s="14" t="n">
        <v>105876.929183763</v>
      </c>
      <c r="C2941" s="15" t="n">
        <v>0.123889743108391</v>
      </c>
      <c r="D2941" s="14" t="n">
        <f aca="false">Summary!$B$5-B2941</f>
        <v>-5876.9291837629</v>
      </c>
      <c r="E2941" s="15" t="n">
        <f aca="false">B2941/Summary!$B$5-1</f>
        <v>0.058769291837629</v>
      </c>
    </row>
    <row r="2942" customFormat="false" ht="15" hidden="false" customHeight="false" outlineLevel="0" collapsed="false">
      <c r="A2942" s="0" t="n">
        <v>2941</v>
      </c>
      <c r="B2942" s="14" t="n">
        <v>126340.697809459</v>
      </c>
      <c r="C2942" s="15" t="n">
        <v>0.0576486367662044</v>
      </c>
      <c r="D2942" s="14" t="n">
        <f aca="false">Summary!$B$5-B2942</f>
        <v>-26340.697809459</v>
      </c>
      <c r="E2942" s="15" t="n">
        <f aca="false">B2942/Summary!$B$5-1</f>
        <v>0.26340697809459</v>
      </c>
    </row>
    <row r="2943" customFormat="false" ht="15" hidden="false" customHeight="false" outlineLevel="0" collapsed="false">
      <c r="A2943" s="0" t="n">
        <v>2942</v>
      </c>
      <c r="B2943" s="14" t="n">
        <v>89222.1978998478</v>
      </c>
      <c r="C2943" s="15" t="n">
        <v>0.166833169772873</v>
      </c>
      <c r="D2943" s="14" t="n">
        <f aca="false">Summary!$B$5-B2943</f>
        <v>10777.8021001522</v>
      </c>
      <c r="E2943" s="15" t="n">
        <f aca="false">B2943/Summary!$B$5-1</f>
        <v>-0.107778021001522</v>
      </c>
    </row>
    <row r="2944" customFormat="false" ht="15" hidden="false" customHeight="false" outlineLevel="0" collapsed="false">
      <c r="A2944" s="0" t="n">
        <v>2943</v>
      </c>
      <c r="B2944" s="14" t="n">
        <v>100726.708033478</v>
      </c>
      <c r="C2944" s="15" t="n">
        <v>0.10090875553865</v>
      </c>
      <c r="D2944" s="14" t="n">
        <f aca="false">Summary!$B$5-B2944</f>
        <v>-726.708033478193</v>
      </c>
      <c r="E2944" s="15" t="n">
        <f aca="false">B2944/Summary!$B$5-1</f>
        <v>0.00726708033478185</v>
      </c>
    </row>
    <row r="2945" customFormat="false" ht="15" hidden="false" customHeight="false" outlineLevel="0" collapsed="false">
      <c r="A2945" s="0" t="n">
        <v>2944</v>
      </c>
      <c r="B2945" s="14" t="n">
        <v>107036.046185108</v>
      </c>
      <c r="C2945" s="15" t="n">
        <v>0.0801851392541332</v>
      </c>
      <c r="D2945" s="14" t="n">
        <f aca="false">Summary!$B$5-B2945</f>
        <v>-7036.046185108</v>
      </c>
      <c r="E2945" s="15" t="n">
        <f aca="false">B2945/Summary!$B$5-1</f>
        <v>0.07036046185108</v>
      </c>
    </row>
    <row r="2946" customFormat="false" ht="15" hidden="false" customHeight="false" outlineLevel="0" collapsed="false">
      <c r="A2946" s="0" t="n">
        <v>2945</v>
      </c>
      <c r="B2946" s="14" t="n">
        <v>129446.73437826</v>
      </c>
      <c r="C2946" s="15" t="n">
        <v>0.0588070363371213</v>
      </c>
      <c r="D2946" s="14" t="n">
        <f aca="false">Summary!$B$5-B2946</f>
        <v>-29446.7343782604</v>
      </c>
      <c r="E2946" s="15" t="n">
        <f aca="false">B2946/Summary!$B$5-1</f>
        <v>0.294467343782604</v>
      </c>
    </row>
    <row r="2947" customFormat="false" ht="15" hidden="false" customHeight="false" outlineLevel="0" collapsed="false">
      <c r="A2947" s="0" t="n">
        <v>2946</v>
      </c>
      <c r="B2947" s="14" t="n">
        <v>113384.269230828</v>
      </c>
      <c r="C2947" s="15" t="n">
        <v>0.0970023235663289</v>
      </c>
      <c r="D2947" s="14" t="n">
        <f aca="false">Summary!$B$5-B2947</f>
        <v>-13384.2692308284</v>
      </c>
      <c r="E2947" s="15" t="n">
        <f aca="false">B2947/Summary!$B$5-1</f>
        <v>0.133842692308284</v>
      </c>
    </row>
    <row r="2948" customFormat="false" ht="15" hidden="false" customHeight="false" outlineLevel="0" collapsed="false">
      <c r="A2948" s="0" t="n">
        <v>2947</v>
      </c>
      <c r="B2948" s="14" t="n">
        <v>113219.203195625</v>
      </c>
      <c r="C2948" s="15" t="n">
        <v>0.0768770654082218</v>
      </c>
      <c r="D2948" s="14" t="n">
        <f aca="false">Summary!$B$5-B2948</f>
        <v>-13219.2031956249</v>
      </c>
      <c r="E2948" s="15" t="n">
        <f aca="false">B2948/Summary!$B$5-1</f>
        <v>0.132192031956249</v>
      </c>
    </row>
    <row r="2949" customFormat="false" ht="15" hidden="false" customHeight="false" outlineLevel="0" collapsed="false">
      <c r="A2949" s="0" t="n">
        <v>2948</v>
      </c>
      <c r="B2949" s="14" t="n">
        <v>101637.65220654</v>
      </c>
      <c r="C2949" s="15" t="n">
        <v>0.0980888975757028</v>
      </c>
      <c r="D2949" s="14" t="n">
        <f aca="false">Summary!$B$5-B2949</f>
        <v>-1637.6522065404</v>
      </c>
      <c r="E2949" s="15" t="n">
        <f aca="false">B2949/Summary!$B$5-1</f>
        <v>0.016376522065404</v>
      </c>
    </row>
    <row r="2950" customFormat="false" ht="15" hidden="false" customHeight="false" outlineLevel="0" collapsed="false">
      <c r="A2950" s="0" t="n">
        <v>2949</v>
      </c>
      <c r="B2950" s="14" t="n">
        <v>106632.423303204</v>
      </c>
      <c r="C2950" s="15" t="n">
        <v>0.0850409396335353</v>
      </c>
      <c r="D2950" s="14" t="n">
        <f aca="false">Summary!$B$5-B2950</f>
        <v>-6632.42330320401</v>
      </c>
      <c r="E2950" s="15" t="n">
        <f aca="false">B2950/Summary!$B$5-1</f>
        <v>0.0663242330320402</v>
      </c>
    </row>
    <row r="2951" customFormat="false" ht="15" hidden="false" customHeight="false" outlineLevel="0" collapsed="false">
      <c r="A2951" s="0" t="n">
        <v>2950</v>
      </c>
      <c r="B2951" s="14" t="n">
        <v>104486.368899856</v>
      </c>
      <c r="C2951" s="15" t="n">
        <v>0.0991787952246095</v>
      </c>
      <c r="D2951" s="14" t="n">
        <f aca="false">Summary!$B$5-B2951</f>
        <v>-4486.3688998561</v>
      </c>
      <c r="E2951" s="15" t="n">
        <f aca="false">B2951/Summary!$B$5-1</f>
        <v>0.044863688998561</v>
      </c>
    </row>
    <row r="2952" customFormat="false" ht="15" hidden="false" customHeight="false" outlineLevel="0" collapsed="false">
      <c r="A2952" s="0" t="n">
        <v>2951</v>
      </c>
      <c r="B2952" s="14" t="n">
        <v>106571.095800694</v>
      </c>
      <c r="C2952" s="15" t="n">
        <v>0.142768056462583</v>
      </c>
      <c r="D2952" s="14" t="n">
        <f aca="false">Summary!$B$5-B2952</f>
        <v>-6571.0958006943</v>
      </c>
      <c r="E2952" s="15" t="n">
        <f aca="false">B2952/Summary!$B$5-1</f>
        <v>0.065710958006943</v>
      </c>
    </row>
    <row r="2953" customFormat="false" ht="15" hidden="false" customHeight="false" outlineLevel="0" collapsed="false">
      <c r="A2953" s="0" t="n">
        <v>2952</v>
      </c>
      <c r="B2953" s="14" t="n">
        <v>133329.331407752</v>
      </c>
      <c r="C2953" s="15" t="n">
        <v>0.0531226480169186</v>
      </c>
      <c r="D2953" s="14" t="n">
        <f aca="false">Summary!$B$5-B2953</f>
        <v>-33329.3314077523</v>
      </c>
      <c r="E2953" s="15" t="n">
        <f aca="false">B2953/Summary!$B$5-1</f>
        <v>0.333293314077523</v>
      </c>
    </row>
    <row r="2954" customFormat="false" ht="15" hidden="false" customHeight="false" outlineLevel="0" collapsed="false">
      <c r="A2954" s="0" t="n">
        <v>2953</v>
      </c>
      <c r="B2954" s="14" t="n">
        <v>126110.303949201</v>
      </c>
      <c r="C2954" s="15" t="n">
        <v>0.0732654343504878</v>
      </c>
      <c r="D2954" s="14" t="n">
        <f aca="false">Summary!$B$5-B2954</f>
        <v>-26110.3039492013</v>
      </c>
      <c r="E2954" s="15" t="n">
        <f aca="false">B2954/Summary!$B$5-1</f>
        <v>0.261103039492013</v>
      </c>
    </row>
    <row r="2955" customFormat="false" ht="15" hidden="false" customHeight="false" outlineLevel="0" collapsed="false">
      <c r="A2955" s="0" t="n">
        <v>2954</v>
      </c>
      <c r="B2955" s="14" t="n">
        <v>94241.3790765834</v>
      </c>
      <c r="C2955" s="15" t="n">
        <v>0.093527124765138</v>
      </c>
      <c r="D2955" s="14" t="n">
        <f aca="false">Summary!$B$5-B2955</f>
        <v>5758.62092341659</v>
      </c>
      <c r="E2955" s="15" t="n">
        <f aca="false">B2955/Summary!$B$5-1</f>
        <v>-0.0575862092341659</v>
      </c>
    </row>
    <row r="2956" customFormat="false" ht="15" hidden="false" customHeight="false" outlineLevel="0" collapsed="false">
      <c r="A2956" s="0" t="n">
        <v>2955</v>
      </c>
      <c r="B2956" s="14" t="n">
        <v>103353.19830517</v>
      </c>
      <c r="C2956" s="15" t="n">
        <v>0.133969991320458</v>
      </c>
      <c r="D2956" s="14" t="n">
        <f aca="false">Summary!$B$5-B2956</f>
        <v>-3353.1983051695</v>
      </c>
      <c r="E2956" s="15" t="n">
        <f aca="false">B2956/Summary!$B$5-1</f>
        <v>0.0335319830516949</v>
      </c>
    </row>
    <row r="2957" customFormat="false" ht="15" hidden="false" customHeight="false" outlineLevel="0" collapsed="false">
      <c r="A2957" s="0" t="n">
        <v>2956</v>
      </c>
      <c r="B2957" s="14" t="n">
        <v>104390.077093562</v>
      </c>
      <c r="C2957" s="15" t="n">
        <v>0.0901635969304071</v>
      </c>
      <c r="D2957" s="14" t="n">
        <f aca="false">Summary!$B$5-B2957</f>
        <v>-4390.0770935615</v>
      </c>
      <c r="E2957" s="15" t="n">
        <f aca="false">B2957/Summary!$B$5-1</f>
        <v>0.043900770935615</v>
      </c>
    </row>
    <row r="2958" customFormat="false" ht="15" hidden="false" customHeight="false" outlineLevel="0" collapsed="false">
      <c r="A2958" s="0" t="n">
        <v>2957</v>
      </c>
      <c r="B2958" s="14" t="n">
        <v>121733.527038054</v>
      </c>
      <c r="C2958" s="15" t="n">
        <v>0.117214972785352</v>
      </c>
      <c r="D2958" s="14" t="n">
        <f aca="false">Summary!$B$5-B2958</f>
        <v>-21733.5270380544</v>
      </c>
      <c r="E2958" s="15" t="n">
        <f aca="false">B2958/Summary!$B$5-1</f>
        <v>0.217335270380544</v>
      </c>
    </row>
    <row r="2959" customFormat="false" ht="15" hidden="false" customHeight="false" outlineLevel="0" collapsed="false">
      <c r="A2959" s="0" t="n">
        <v>2958</v>
      </c>
      <c r="B2959" s="14" t="n">
        <v>129114.366331782</v>
      </c>
      <c r="C2959" s="15" t="n">
        <v>0.0547261226711004</v>
      </c>
      <c r="D2959" s="14" t="n">
        <f aca="false">Summary!$B$5-B2959</f>
        <v>-29114.3663317816</v>
      </c>
      <c r="E2959" s="15" t="n">
        <f aca="false">B2959/Summary!$B$5-1</f>
        <v>0.291143663317816</v>
      </c>
    </row>
    <row r="2960" customFormat="false" ht="15" hidden="false" customHeight="false" outlineLevel="0" collapsed="false">
      <c r="A2960" s="0" t="n">
        <v>2959</v>
      </c>
      <c r="B2960" s="14" t="n">
        <v>112389.363795723</v>
      </c>
      <c r="C2960" s="15" t="n">
        <v>0.0644604429043765</v>
      </c>
      <c r="D2960" s="14" t="n">
        <f aca="false">Summary!$B$5-B2960</f>
        <v>-12389.3637957225</v>
      </c>
      <c r="E2960" s="15" t="n">
        <f aca="false">B2960/Summary!$B$5-1</f>
        <v>0.123893637957225</v>
      </c>
    </row>
    <row r="2961" customFormat="false" ht="15" hidden="false" customHeight="false" outlineLevel="0" collapsed="false">
      <c r="A2961" s="0" t="n">
        <v>2960</v>
      </c>
      <c r="B2961" s="14" t="n">
        <v>102569.896700684</v>
      </c>
      <c r="C2961" s="15" t="n">
        <v>0.0991959395345214</v>
      </c>
      <c r="D2961" s="14" t="n">
        <f aca="false">Summary!$B$5-B2961</f>
        <v>-2569.89670068381</v>
      </c>
      <c r="E2961" s="15" t="n">
        <f aca="false">B2961/Summary!$B$5-1</f>
        <v>0.0256989670068382</v>
      </c>
    </row>
    <row r="2962" customFormat="false" ht="15" hidden="false" customHeight="false" outlineLevel="0" collapsed="false">
      <c r="A2962" s="0" t="n">
        <v>2961</v>
      </c>
      <c r="B2962" s="14" t="n">
        <v>102335.375191789</v>
      </c>
      <c r="C2962" s="15" t="n">
        <v>0.137850056283291</v>
      </c>
      <c r="D2962" s="14" t="n">
        <f aca="false">Summary!$B$5-B2962</f>
        <v>-2335.3751917889</v>
      </c>
      <c r="E2962" s="15" t="n">
        <f aca="false">B2962/Summary!$B$5-1</f>
        <v>0.023353751917889</v>
      </c>
    </row>
    <row r="2963" customFormat="false" ht="15" hidden="false" customHeight="false" outlineLevel="0" collapsed="false">
      <c r="A2963" s="0" t="n">
        <v>2962</v>
      </c>
      <c r="B2963" s="14" t="n">
        <v>128109.372721898</v>
      </c>
      <c r="C2963" s="15" t="n">
        <v>0.119944814107005</v>
      </c>
      <c r="D2963" s="14" t="n">
        <f aca="false">Summary!$B$5-B2963</f>
        <v>-28109.3727218981</v>
      </c>
      <c r="E2963" s="15" t="n">
        <f aca="false">B2963/Summary!$B$5-1</f>
        <v>0.281093727218981</v>
      </c>
    </row>
    <row r="2964" customFormat="false" ht="15" hidden="false" customHeight="false" outlineLevel="0" collapsed="false">
      <c r="A2964" s="0" t="n">
        <v>2963</v>
      </c>
      <c r="B2964" s="14" t="n">
        <v>132963.509527564</v>
      </c>
      <c r="C2964" s="15" t="n">
        <v>0.0511601684137566</v>
      </c>
      <c r="D2964" s="14" t="n">
        <f aca="false">Summary!$B$5-B2964</f>
        <v>-32963.5095275635</v>
      </c>
      <c r="E2964" s="15" t="n">
        <f aca="false">B2964/Summary!$B$5-1</f>
        <v>0.329635095275635</v>
      </c>
    </row>
    <row r="2965" customFormat="false" ht="15" hidden="false" customHeight="false" outlineLevel="0" collapsed="false">
      <c r="A2965" s="0" t="n">
        <v>2964</v>
      </c>
      <c r="B2965" s="14" t="n">
        <v>97956.5647541042</v>
      </c>
      <c r="C2965" s="15" t="n">
        <v>0.108038031323611</v>
      </c>
      <c r="D2965" s="14" t="n">
        <f aca="false">Summary!$B$5-B2965</f>
        <v>2043.43524589583</v>
      </c>
      <c r="E2965" s="15" t="n">
        <f aca="false">B2965/Summary!$B$5-1</f>
        <v>-0.0204343524589583</v>
      </c>
    </row>
    <row r="2966" customFormat="false" ht="15" hidden="false" customHeight="false" outlineLevel="0" collapsed="false">
      <c r="A2966" s="0" t="n">
        <v>2965</v>
      </c>
      <c r="B2966" s="14" t="n">
        <v>108504.666341344</v>
      </c>
      <c r="C2966" s="15" t="n">
        <v>0.0666357441884709</v>
      </c>
      <c r="D2966" s="14" t="n">
        <f aca="false">Summary!$B$5-B2966</f>
        <v>-8504.66634134371</v>
      </c>
      <c r="E2966" s="15" t="n">
        <f aca="false">B2966/Summary!$B$5-1</f>
        <v>0.085046663413437</v>
      </c>
    </row>
    <row r="2967" customFormat="false" ht="15" hidden="false" customHeight="false" outlineLevel="0" collapsed="false">
      <c r="A2967" s="0" t="n">
        <v>2966</v>
      </c>
      <c r="B2967" s="14" t="n">
        <v>103821.919066728</v>
      </c>
      <c r="C2967" s="15" t="n">
        <v>0.0837631337667255</v>
      </c>
      <c r="D2967" s="14" t="n">
        <f aca="false">Summary!$B$5-B2967</f>
        <v>-3821.9190667279</v>
      </c>
      <c r="E2967" s="15" t="n">
        <f aca="false">B2967/Summary!$B$5-1</f>
        <v>0.0382191906672791</v>
      </c>
    </row>
    <row r="2968" customFormat="false" ht="15" hidden="false" customHeight="false" outlineLevel="0" collapsed="false">
      <c r="A2968" s="0" t="n">
        <v>2967</v>
      </c>
      <c r="B2968" s="14" t="n">
        <v>118768.48155876</v>
      </c>
      <c r="C2968" s="15" t="n">
        <v>0.121074840230363</v>
      </c>
      <c r="D2968" s="14" t="n">
        <f aca="false">Summary!$B$5-B2968</f>
        <v>-18768.4815587597</v>
      </c>
      <c r="E2968" s="15" t="n">
        <f aca="false">B2968/Summary!$B$5-1</f>
        <v>0.187684815587597</v>
      </c>
    </row>
    <row r="2969" customFormat="false" ht="15" hidden="false" customHeight="false" outlineLevel="0" collapsed="false">
      <c r="A2969" s="0" t="n">
        <v>2968</v>
      </c>
      <c r="B2969" s="14" t="n">
        <v>107074.091157888</v>
      </c>
      <c r="C2969" s="15" t="n">
        <v>0.12444534939004</v>
      </c>
      <c r="D2969" s="14" t="n">
        <f aca="false">Summary!$B$5-B2969</f>
        <v>-7074.091157888</v>
      </c>
      <c r="E2969" s="15" t="n">
        <f aca="false">B2969/Summary!$B$5-1</f>
        <v>0.07074091157888</v>
      </c>
    </row>
    <row r="2970" customFormat="false" ht="15" hidden="false" customHeight="false" outlineLevel="0" collapsed="false">
      <c r="A2970" s="0" t="n">
        <v>2969</v>
      </c>
      <c r="B2970" s="14" t="n">
        <v>95945.3197148627</v>
      </c>
      <c r="C2970" s="15" t="n">
        <v>0.154895768010356</v>
      </c>
      <c r="D2970" s="14" t="n">
        <f aca="false">Summary!$B$5-B2970</f>
        <v>4054.68028513728</v>
      </c>
      <c r="E2970" s="15" t="n">
        <f aca="false">B2970/Summary!$B$5-1</f>
        <v>-0.0405468028513728</v>
      </c>
    </row>
    <row r="2971" customFormat="false" ht="15" hidden="false" customHeight="false" outlineLevel="0" collapsed="false">
      <c r="A2971" s="0" t="n">
        <v>2970</v>
      </c>
      <c r="B2971" s="14" t="n">
        <v>113838.852580612</v>
      </c>
      <c r="C2971" s="15" t="n">
        <v>0.0978559272595938</v>
      </c>
      <c r="D2971" s="14" t="n">
        <f aca="false">Summary!$B$5-B2971</f>
        <v>-13838.8525806123</v>
      </c>
      <c r="E2971" s="15" t="n">
        <f aca="false">B2971/Summary!$B$5-1</f>
        <v>0.138388525806123</v>
      </c>
    </row>
    <row r="2972" customFormat="false" ht="15" hidden="false" customHeight="false" outlineLevel="0" collapsed="false">
      <c r="A2972" s="0" t="n">
        <v>2971</v>
      </c>
      <c r="B2972" s="14" t="n">
        <v>114548.603100775</v>
      </c>
      <c r="C2972" s="15" t="n">
        <v>0.104032015981197</v>
      </c>
      <c r="D2972" s="14" t="n">
        <f aca="false">Summary!$B$5-B2972</f>
        <v>-14548.6031007751</v>
      </c>
      <c r="E2972" s="15" t="n">
        <f aca="false">B2972/Summary!$B$5-1</f>
        <v>0.145486031007751</v>
      </c>
    </row>
    <row r="2973" customFormat="false" ht="15" hidden="false" customHeight="false" outlineLevel="0" collapsed="false">
      <c r="A2973" s="0" t="n">
        <v>2972</v>
      </c>
      <c r="B2973" s="14" t="n">
        <v>101857.090247376</v>
      </c>
      <c r="C2973" s="15" t="n">
        <v>0.159239108667</v>
      </c>
      <c r="D2973" s="14" t="n">
        <f aca="false">Summary!$B$5-B2973</f>
        <v>-1857.09024737609</v>
      </c>
      <c r="E2973" s="15" t="n">
        <f aca="false">B2973/Summary!$B$5-1</f>
        <v>0.018570902473761</v>
      </c>
    </row>
    <row r="2974" customFormat="false" ht="15" hidden="false" customHeight="false" outlineLevel="0" collapsed="false">
      <c r="A2974" s="0" t="n">
        <v>2973</v>
      </c>
      <c r="B2974" s="14" t="n">
        <v>108140.237340434</v>
      </c>
      <c r="C2974" s="15" t="n">
        <v>0.0465915215884722</v>
      </c>
      <c r="D2974" s="14" t="n">
        <f aca="false">Summary!$B$5-B2974</f>
        <v>-8140.23734043349</v>
      </c>
      <c r="E2974" s="15" t="n">
        <f aca="false">B2974/Summary!$B$5-1</f>
        <v>0.081402373404335</v>
      </c>
    </row>
    <row r="2975" customFormat="false" ht="15" hidden="false" customHeight="false" outlineLevel="0" collapsed="false">
      <c r="A2975" s="0" t="n">
        <v>2974</v>
      </c>
      <c r="B2975" s="14" t="n">
        <v>110391.917239398</v>
      </c>
      <c r="C2975" s="15" t="n">
        <v>0.104271786225192</v>
      </c>
      <c r="D2975" s="14" t="n">
        <f aca="false">Summary!$B$5-B2975</f>
        <v>-10391.9172393984</v>
      </c>
      <c r="E2975" s="15" t="n">
        <f aca="false">B2975/Summary!$B$5-1</f>
        <v>0.103919172393984</v>
      </c>
    </row>
    <row r="2976" customFormat="false" ht="15" hidden="false" customHeight="false" outlineLevel="0" collapsed="false">
      <c r="A2976" s="0" t="n">
        <v>2975</v>
      </c>
      <c r="B2976" s="14" t="n">
        <v>98779.2714781173</v>
      </c>
      <c r="C2976" s="15" t="n">
        <v>0.116578774180838</v>
      </c>
      <c r="D2976" s="14" t="n">
        <f aca="false">Summary!$B$5-B2976</f>
        <v>1220.72852188267</v>
      </c>
      <c r="E2976" s="15" t="n">
        <f aca="false">B2976/Summary!$B$5-1</f>
        <v>-0.0122072852188267</v>
      </c>
    </row>
    <row r="2977" customFormat="false" ht="15" hidden="false" customHeight="false" outlineLevel="0" collapsed="false">
      <c r="A2977" s="0" t="n">
        <v>2976</v>
      </c>
      <c r="B2977" s="14" t="n">
        <v>117838.209240224</v>
      </c>
      <c r="C2977" s="15" t="n">
        <v>0.0719294247454531</v>
      </c>
      <c r="D2977" s="14" t="n">
        <f aca="false">Summary!$B$5-B2977</f>
        <v>-17838.2092402238</v>
      </c>
      <c r="E2977" s="15" t="n">
        <f aca="false">B2977/Summary!$B$5-1</f>
        <v>0.178382092402238</v>
      </c>
    </row>
    <row r="2978" customFormat="false" ht="15" hidden="false" customHeight="false" outlineLevel="0" collapsed="false">
      <c r="A2978" s="0" t="n">
        <v>2977</v>
      </c>
      <c r="B2978" s="14" t="n">
        <v>127012.891309342</v>
      </c>
      <c r="C2978" s="15" t="n">
        <v>0.064693302269097</v>
      </c>
      <c r="D2978" s="14" t="n">
        <f aca="false">Summary!$B$5-B2978</f>
        <v>-27012.8913093423</v>
      </c>
      <c r="E2978" s="15" t="n">
        <f aca="false">B2978/Summary!$B$5-1</f>
        <v>0.270128913093423</v>
      </c>
    </row>
    <row r="2979" customFormat="false" ht="15" hidden="false" customHeight="false" outlineLevel="0" collapsed="false">
      <c r="A2979" s="0" t="n">
        <v>2978</v>
      </c>
      <c r="B2979" s="14" t="n">
        <v>121022.027850338</v>
      </c>
      <c r="C2979" s="15" t="n">
        <v>0.0820975252740048</v>
      </c>
      <c r="D2979" s="14" t="n">
        <f aca="false">Summary!$B$5-B2979</f>
        <v>-21022.0278503382</v>
      </c>
      <c r="E2979" s="15" t="n">
        <f aca="false">B2979/Summary!$B$5-1</f>
        <v>0.210220278503382</v>
      </c>
    </row>
    <row r="2980" customFormat="false" ht="15" hidden="false" customHeight="false" outlineLevel="0" collapsed="false">
      <c r="A2980" s="0" t="n">
        <v>2979</v>
      </c>
      <c r="B2980" s="14" t="n">
        <v>117407.423984638</v>
      </c>
      <c r="C2980" s="15" t="n">
        <v>0.0812898072562751</v>
      </c>
      <c r="D2980" s="14" t="n">
        <f aca="false">Summary!$B$5-B2980</f>
        <v>-17407.4239846378</v>
      </c>
      <c r="E2980" s="15" t="n">
        <f aca="false">B2980/Summary!$B$5-1</f>
        <v>0.174074239846378</v>
      </c>
    </row>
    <row r="2981" customFormat="false" ht="15" hidden="false" customHeight="false" outlineLevel="0" collapsed="false">
      <c r="A2981" s="0" t="n">
        <v>2980</v>
      </c>
      <c r="B2981" s="14" t="n">
        <v>122397.017604918</v>
      </c>
      <c r="C2981" s="15" t="n">
        <v>0.0755709708958147</v>
      </c>
      <c r="D2981" s="14" t="n">
        <f aca="false">Summary!$B$5-B2981</f>
        <v>-22397.017604918</v>
      </c>
      <c r="E2981" s="15" t="n">
        <f aca="false">B2981/Summary!$B$5-1</f>
        <v>0.22397017604918</v>
      </c>
    </row>
    <row r="2982" customFormat="false" ht="15" hidden="false" customHeight="false" outlineLevel="0" collapsed="false">
      <c r="A2982" s="0" t="n">
        <v>2981</v>
      </c>
      <c r="B2982" s="14" t="n">
        <v>100658.579169795</v>
      </c>
      <c r="C2982" s="15" t="n">
        <v>0.101257766696676</v>
      </c>
      <c r="D2982" s="14" t="n">
        <f aca="false">Summary!$B$5-B2982</f>
        <v>-658.579169794801</v>
      </c>
      <c r="E2982" s="15" t="n">
        <f aca="false">B2982/Summary!$B$5-1</f>
        <v>0.00658579169794793</v>
      </c>
    </row>
    <row r="2983" customFormat="false" ht="15" hidden="false" customHeight="false" outlineLevel="0" collapsed="false">
      <c r="A2983" s="0" t="n">
        <v>2982</v>
      </c>
      <c r="B2983" s="14" t="n">
        <v>117076.517172118</v>
      </c>
      <c r="C2983" s="15" t="n">
        <v>0.0690586808636723</v>
      </c>
      <c r="D2983" s="14" t="n">
        <f aca="false">Summary!$B$5-B2983</f>
        <v>-17076.5171721179</v>
      </c>
      <c r="E2983" s="15" t="n">
        <f aca="false">B2983/Summary!$B$5-1</f>
        <v>0.170765171721179</v>
      </c>
    </row>
    <row r="2984" customFormat="false" ht="15" hidden="false" customHeight="false" outlineLevel="0" collapsed="false">
      <c r="A2984" s="0" t="n">
        <v>2983</v>
      </c>
      <c r="B2984" s="14" t="n">
        <v>123523.201008061</v>
      </c>
      <c r="C2984" s="15" t="n">
        <v>0.0860082769312609</v>
      </c>
      <c r="D2984" s="14" t="n">
        <f aca="false">Summary!$B$5-B2984</f>
        <v>-23523.2010080608</v>
      </c>
      <c r="E2984" s="15" t="n">
        <f aca="false">B2984/Summary!$B$5-1</f>
        <v>0.235232010080608</v>
      </c>
    </row>
    <row r="2985" customFormat="false" ht="15" hidden="false" customHeight="false" outlineLevel="0" collapsed="false">
      <c r="A2985" s="0" t="n">
        <v>2984</v>
      </c>
      <c r="B2985" s="14" t="n">
        <v>92538.1353177393</v>
      </c>
      <c r="C2985" s="15" t="n">
        <v>0.150941901533574</v>
      </c>
      <c r="D2985" s="14" t="n">
        <f aca="false">Summary!$B$5-B2985</f>
        <v>7461.86468226073</v>
      </c>
      <c r="E2985" s="15" t="n">
        <f aca="false">B2985/Summary!$B$5-1</f>
        <v>-0.0746186468226072</v>
      </c>
    </row>
    <row r="2986" customFormat="false" ht="15" hidden="false" customHeight="false" outlineLevel="0" collapsed="false">
      <c r="A2986" s="0" t="n">
        <v>2985</v>
      </c>
      <c r="B2986" s="14" t="n">
        <v>102614.377175123</v>
      </c>
      <c r="C2986" s="15" t="n">
        <v>0.177626469887072</v>
      </c>
      <c r="D2986" s="14" t="n">
        <f aca="false">Summary!$B$5-B2986</f>
        <v>-2614.3771751234</v>
      </c>
      <c r="E2986" s="15" t="n">
        <f aca="false">B2986/Summary!$B$5-1</f>
        <v>0.0261437717512341</v>
      </c>
    </row>
    <row r="2987" customFormat="false" ht="15" hidden="false" customHeight="false" outlineLevel="0" collapsed="false">
      <c r="A2987" s="0" t="n">
        <v>2986</v>
      </c>
      <c r="B2987" s="14" t="n">
        <v>109610.655837408</v>
      </c>
      <c r="C2987" s="15" t="n">
        <v>0.077233167140516</v>
      </c>
      <c r="D2987" s="14" t="n">
        <f aca="false">Summary!$B$5-B2987</f>
        <v>-9610.6558374084</v>
      </c>
      <c r="E2987" s="15" t="n">
        <f aca="false">B2987/Summary!$B$5-1</f>
        <v>0.0961065583740839</v>
      </c>
    </row>
    <row r="2988" customFormat="false" ht="15" hidden="false" customHeight="false" outlineLevel="0" collapsed="false">
      <c r="A2988" s="0" t="n">
        <v>2987</v>
      </c>
      <c r="B2988" s="14" t="n">
        <v>97028.0086854419</v>
      </c>
      <c r="C2988" s="15" t="n">
        <v>0.0825404970921202</v>
      </c>
      <c r="D2988" s="14" t="n">
        <f aca="false">Summary!$B$5-B2988</f>
        <v>2971.99131455814</v>
      </c>
      <c r="E2988" s="15" t="n">
        <f aca="false">B2988/Summary!$B$5-1</f>
        <v>-0.0297199131455814</v>
      </c>
    </row>
    <row r="2989" customFormat="false" ht="15" hidden="false" customHeight="false" outlineLevel="0" collapsed="false">
      <c r="A2989" s="0" t="n">
        <v>2988</v>
      </c>
      <c r="B2989" s="14" t="n">
        <v>105202.389302632</v>
      </c>
      <c r="C2989" s="15" t="n">
        <v>0.0975192993655989</v>
      </c>
      <c r="D2989" s="14" t="n">
        <f aca="false">Summary!$B$5-B2989</f>
        <v>-5202.38930263151</v>
      </c>
      <c r="E2989" s="15" t="n">
        <f aca="false">B2989/Summary!$B$5-1</f>
        <v>0.0520238930263151</v>
      </c>
    </row>
    <row r="2990" customFormat="false" ht="15" hidden="false" customHeight="false" outlineLevel="0" collapsed="false">
      <c r="A2990" s="0" t="n">
        <v>2989</v>
      </c>
      <c r="B2990" s="14" t="n">
        <v>131135.694343804</v>
      </c>
      <c r="C2990" s="15" t="n">
        <v>0.0415541959064587</v>
      </c>
      <c r="D2990" s="14" t="n">
        <f aca="false">Summary!$B$5-B2990</f>
        <v>-31135.6943438041</v>
      </c>
      <c r="E2990" s="15" t="n">
        <f aca="false">B2990/Summary!$B$5-1</f>
        <v>0.311356943438041</v>
      </c>
    </row>
    <row r="2991" customFormat="false" ht="15" hidden="false" customHeight="false" outlineLevel="0" collapsed="false">
      <c r="A2991" s="0" t="n">
        <v>2990</v>
      </c>
      <c r="B2991" s="14" t="n">
        <v>112667.791751166</v>
      </c>
      <c r="C2991" s="15" t="n">
        <v>0.0483122571248698</v>
      </c>
      <c r="D2991" s="14" t="n">
        <f aca="false">Summary!$B$5-B2991</f>
        <v>-12667.791751166</v>
      </c>
      <c r="E2991" s="15" t="n">
        <f aca="false">B2991/Summary!$B$5-1</f>
        <v>0.12667791751166</v>
      </c>
    </row>
    <row r="2992" customFormat="false" ht="15" hidden="false" customHeight="false" outlineLevel="0" collapsed="false">
      <c r="A2992" s="0" t="n">
        <v>2991</v>
      </c>
      <c r="B2992" s="14" t="n">
        <v>97702.004238884</v>
      </c>
      <c r="C2992" s="15" t="n">
        <v>0.0932391789970583</v>
      </c>
      <c r="D2992" s="14" t="n">
        <f aca="false">Summary!$B$5-B2992</f>
        <v>2297.99576111604</v>
      </c>
      <c r="E2992" s="15" t="n">
        <f aca="false">B2992/Summary!$B$5-1</f>
        <v>-0.0229799576111603</v>
      </c>
    </row>
    <row r="2993" customFormat="false" ht="15" hidden="false" customHeight="false" outlineLevel="0" collapsed="false">
      <c r="A2993" s="0" t="n">
        <v>2992</v>
      </c>
      <c r="B2993" s="14" t="n">
        <v>114540.044905319</v>
      </c>
      <c r="C2993" s="15" t="n">
        <v>0.116272764489292</v>
      </c>
      <c r="D2993" s="14" t="n">
        <f aca="false">Summary!$B$5-B2993</f>
        <v>-14540.0449053186</v>
      </c>
      <c r="E2993" s="15" t="n">
        <f aca="false">B2993/Summary!$B$5-1</f>
        <v>0.145400449053186</v>
      </c>
    </row>
    <row r="2994" customFormat="false" ht="15" hidden="false" customHeight="false" outlineLevel="0" collapsed="false">
      <c r="A2994" s="0" t="n">
        <v>2993</v>
      </c>
      <c r="B2994" s="14" t="n">
        <v>102673.938726179</v>
      </c>
      <c r="C2994" s="15" t="n">
        <v>0.0857299630607648</v>
      </c>
      <c r="D2994" s="14" t="n">
        <f aca="false">Summary!$B$5-B2994</f>
        <v>-2673.9387261792</v>
      </c>
      <c r="E2994" s="15" t="n">
        <f aca="false">B2994/Summary!$B$5-1</f>
        <v>0.026739387261792</v>
      </c>
    </row>
    <row r="2995" customFormat="false" ht="15" hidden="false" customHeight="false" outlineLevel="0" collapsed="false">
      <c r="A2995" s="0" t="n">
        <v>2994</v>
      </c>
      <c r="B2995" s="14" t="n">
        <v>93541.2626292893</v>
      </c>
      <c r="C2995" s="15" t="n">
        <v>0.119431018083428</v>
      </c>
      <c r="D2995" s="14" t="n">
        <f aca="false">Summary!$B$5-B2995</f>
        <v>6458.73737071067</v>
      </c>
      <c r="E2995" s="15" t="n">
        <f aca="false">B2995/Summary!$B$5-1</f>
        <v>-0.0645873737071068</v>
      </c>
    </row>
    <row r="2996" customFormat="false" ht="15" hidden="false" customHeight="false" outlineLevel="0" collapsed="false">
      <c r="A2996" s="0" t="n">
        <v>2995</v>
      </c>
      <c r="B2996" s="14" t="n">
        <v>124935.369565823</v>
      </c>
      <c r="C2996" s="15" t="n">
        <v>0.0421318476082574</v>
      </c>
      <c r="D2996" s="14" t="n">
        <f aca="false">Summary!$B$5-B2996</f>
        <v>-24935.3695658231</v>
      </c>
      <c r="E2996" s="15" t="n">
        <f aca="false">B2996/Summary!$B$5-1</f>
        <v>0.249353695658231</v>
      </c>
    </row>
    <row r="2997" customFormat="false" ht="15" hidden="false" customHeight="false" outlineLevel="0" collapsed="false">
      <c r="A2997" s="0" t="n">
        <v>2996</v>
      </c>
      <c r="B2997" s="14" t="n">
        <v>121227.655634625</v>
      </c>
      <c r="C2997" s="15" t="n">
        <v>0.0624415365260926</v>
      </c>
      <c r="D2997" s="14" t="n">
        <f aca="false">Summary!$B$5-B2997</f>
        <v>-21227.6556346252</v>
      </c>
      <c r="E2997" s="15" t="n">
        <f aca="false">B2997/Summary!$B$5-1</f>
        <v>0.212276556346252</v>
      </c>
    </row>
    <row r="2998" customFormat="false" ht="15" hidden="false" customHeight="false" outlineLevel="0" collapsed="false">
      <c r="A2998" s="0" t="n">
        <v>2997</v>
      </c>
      <c r="B2998" s="14" t="n">
        <v>111430.943544389</v>
      </c>
      <c r="C2998" s="15" t="n">
        <v>0.0949714171629235</v>
      </c>
      <c r="D2998" s="14" t="n">
        <f aca="false">Summary!$B$5-B2998</f>
        <v>-11430.9435443885</v>
      </c>
      <c r="E2998" s="15" t="n">
        <f aca="false">B2998/Summary!$B$5-1</f>
        <v>0.114309435443885</v>
      </c>
    </row>
    <row r="2999" customFormat="false" ht="15" hidden="false" customHeight="false" outlineLevel="0" collapsed="false">
      <c r="A2999" s="0" t="n">
        <v>2998</v>
      </c>
      <c r="B2999" s="14" t="n">
        <v>110959.739038694</v>
      </c>
      <c r="C2999" s="15" t="n">
        <v>0.122961637833706</v>
      </c>
      <c r="D2999" s="14" t="n">
        <f aca="false">Summary!$B$5-B2999</f>
        <v>-10959.7390386944</v>
      </c>
      <c r="E2999" s="15" t="n">
        <f aca="false">B2999/Summary!$B$5-1</f>
        <v>0.109597390386944</v>
      </c>
    </row>
    <row r="3000" customFormat="false" ht="15" hidden="false" customHeight="false" outlineLevel="0" collapsed="false">
      <c r="A3000" s="0" t="n">
        <v>2999</v>
      </c>
      <c r="B3000" s="14" t="n">
        <v>121688.781432563</v>
      </c>
      <c r="C3000" s="15" t="n">
        <v>0.0647777136745894</v>
      </c>
      <c r="D3000" s="14" t="n">
        <f aca="false">Summary!$B$5-B3000</f>
        <v>-21688.7814325625</v>
      </c>
      <c r="E3000" s="15" t="n">
        <f aca="false">B3000/Summary!$B$5-1</f>
        <v>0.216887814325625</v>
      </c>
    </row>
    <row r="3001" customFormat="false" ht="15" hidden="false" customHeight="false" outlineLevel="0" collapsed="false">
      <c r="A3001" s="0" t="n">
        <v>3000</v>
      </c>
      <c r="B3001" s="14" t="n">
        <v>81013.0367497054</v>
      </c>
      <c r="C3001" s="15" t="n">
        <v>0.204992360210868</v>
      </c>
      <c r="D3001" s="14" t="n">
        <f aca="false">Summary!$B$5-B3001</f>
        <v>18986.9632502946</v>
      </c>
      <c r="E3001" s="15" t="n">
        <f aca="false">B3001/Summary!$B$5-1</f>
        <v>-0.189869632502946</v>
      </c>
    </row>
    <row r="3002" customFormat="false" ht="15" hidden="false" customHeight="false" outlineLevel="0" collapsed="false">
      <c r="A3002" s="0" t="n">
        <v>3001</v>
      </c>
      <c r="B3002" s="14" t="n">
        <v>85912.1950557016</v>
      </c>
      <c r="C3002" s="15" t="n">
        <v>0.1824115731535</v>
      </c>
      <c r="D3002" s="14" t="n">
        <f aca="false">Summary!$B$5-B3002</f>
        <v>14087.8049442984</v>
      </c>
      <c r="E3002" s="15" t="n">
        <f aca="false">B3002/Summary!$B$5-1</f>
        <v>-0.140878049442984</v>
      </c>
    </row>
    <row r="3003" customFormat="false" ht="15" hidden="false" customHeight="false" outlineLevel="0" collapsed="false">
      <c r="A3003" s="0" t="n">
        <v>3002</v>
      </c>
      <c r="B3003" s="14" t="n">
        <v>104039.666192844</v>
      </c>
      <c r="C3003" s="15" t="n">
        <v>0.0625598539866765</v>
      </c>
      <c r="D3003" s="14" t="n">
        <f aca="false">Summary!$B$5-B3003</f>
        <v>-4039.6661928439</v>
      </c>
      <c r="E3003" s="15" t="n">
        <f aca="false">B3003/Summary!$B$5-1</f>
        <v>0.0403966619284391</v>
      </c>
    </row>
    <row r="3004" customFormat="false" ht="15" hidden="false" customHeight="false" outlineLevel="0" collapsed="false">
      <c r="A3004" s="0" t="n">
        <v>3003</v>
      </c>
      <c r="B3004" s="14" t="n">
        <v>108865.97838263</v>
      </c>
      <c r="C3004" s="15" t="n">
        <v>0.108430767002862</v>
      </c>
      <c r="D3004" s="14" t="n">
        <f aca="false">Summary!$B$5-B3004</f>
        <v>-8865.97838263</v>
      </c>
      <c r="E3004" s="15" t="n">
        <f aca="false">B3004/Summary!$B$5-1</f>
        <v>0.0886597838262999</v>
      </c>
    </row>
    <row r="3005" customFormat="false" ht="15" hidden="false" customHeight="false" outlineLevel="0" collapsed="false">
      <c r="A3005" s="0" t="n">
        <v>3004</v>
      </c>
      <c r="B3005" s="14" t="n">
        <v>131214.095965598</v>
      </c>
      <c r="C3005" s="15" t="n">
        <v>0.0861369829786993</v>
      </c>
      <c r="D3005" s="14" t="n">
        <f aca="false">Summary!$B$5-B3005</f>
        <v>-31214.095965598</v>
      </c>
      <c r="E3005" s="15" t="n">
        <f aca="false">B3005/Summary!$B$5-1</f>
        <v>0.31214095965598</v>
      </c>
    </row>
    <row r="3006" customFormat="false" ht="15" hidden="false" customHeight="false" outlineLevel="0" collapsed="false">
      <c r="A3006" s="0" t="n">
        <v>3005</v>
      </c>
      <c r="B3006" s="14" t="n">
        <v>114588.292092979</v>
      </c>
      <c r="C3006" s="15" t="n">
        <v>0.0655633556897233</v>
      </c>
      <c r="D3006" s="14" t="n">
        <f aca="false">Summary!$B$5-B3006</f>
        <v>-14588.2920929788</v>
      </c>
      <c r="E3006" s="15" t="n">
        <f aca="false">B3006/Summary!$B$5-1</f>
        <v>0.145882920929788</v>
      </c>
    </row>
    <row r="3007" customFormat="false" ht="15" hidden="false" customHeight="false" outlineLevel="0" collapsed="false">
      <c r="A3007" s="0" t="n">
        <v>3006</v>
      </c>
      <c r="B3007" s="14" t="n">
        <v>95301.976832681</v>
      </c>
      <c r="C3007" s="15" t="n">
        <v>0.100036149808772</v>
      </c>
      <c r="D3007" s="14" t="n">
        <f aca="false">Summary!$B$5-B3007</f>
        <v>4698.02316731903</v>
      </c>
      <c r="E3007" s="15" t="n">
        <f aca="false">B3007/Summary!$B$5-1</f>
        <v>-0.0469802316731903</v>
      </c>
    </row>
    <row r="3008" customFormat="false" ht="15" hidden="false" customHeight="false" outlineLevel="0" collapsed="false">
      <c r="A3008" s="0" t="n">
        <v>3007</v>
      </c>
      <c r="B3008" s="14" t="n">
        <v>105700.462346877</v>
      </c>
      <c r="C3008" s="15" t="n">
        <v>0.0995940926941242</v>
      </c>
      <c r="D3008" s="14" t="n">
        <f aca="false">Summary!$B$5-B3008</f>
        <v>-5700.46234687659</v>
      </c>
      <c r="E3008" s="15" t="n">
        <f aca="false">B3008/Summary!$B$5-1</f>
        <v>0.057004623468766</v>
      </c>
    </row>
    <row r="3009" customFormat="false" ht="15" hidden="false" customHeight="false" outlineLevel="0" collapsed="false">
      <c r="A3009" s="0" t="n">
        <v>3008</v>
      </c>
      <c r="B3009" s="14" t="n">
        <v>96365.030865599</v>
      </c>
      <c r="C3009" s="15" t="n">
        <v>0.0931962530903914</v>
      </c>
      <c r="D3009" s="14" t="n">
        <f aca="false">Summary!$B$5-B3009</f>
        <v>3634.96913440104</v>
      </c>
      <c r="E3009" s="15" t="n">
        <f aca="false">B3009/Summary!$B$5-1</f>
        <v>-0.0363496913440103</v>
      </c>
    </row>
    <row r="3010" customFormat="false" ht="15" hidden="false" customHeight="false" outlineLevel="0" collapsed="false">
      <c r="A3010" s="0" t="n">
        <v>3009</v>
      </c>
      <c r="B3010" s="14" t="n">
        <v>134793.703779514</v>
      </c>
      <c r="C3010" s="15" t="n">
        <v>0.0451035807750443</v>
      </c>
      <c r="D3010" s="14" t="n">
        <f aca="false">Summary!$B$5-B3010</f>
        <v>-34793.7037795142</v>
      </c>
      <c r="E3010" s="15" t="n">
        <f aca="false">B3010/Summary!$B$5-1</f>
        <v>0.347937037795142</v>
      </c>
    </row>
    <row r="3011" customFormat="false" ht="15" hidden="false" customHeight="false" outlineLevel="0" collapsed="false">
      <c r="A3011" s="0" t="n">
        <v>3010</v>
      </c>
      <c r="B3011" s="14" t="n">
        <v>106081.291575987</v>
      </c>
      <c r="C3011" s="15" t="n">
        <v>0.0731426551622827</v>
      </c>
      <c r="D3011" s="14" t="n">
        <f aca="false">Summary!$B$5-B3011</f>
        <v>-6081.2915759865</v>
      </c>
      <c r="E3011" s="15" t="n">
        <f aca="false">B3011/Summary!$B$5-1</f>
        <v>0.0608129157598649</v>
      </c>
    </row>
    <row r="3012" customFormat="false" ht="15" hidden="false" customHeight="false" outlineLevel="0" collapsed="false">
      <c r="A3012" s="0" t="n">
        <v>3011</v>
      </c>
      <c r="B3012" s="14" t="n">
        <v>136133.731888002</v>
      </c>
      <c r="C3012" s="15" t="n">
        <v>0.0917889039035735</v>
      </c>
      <c r="D3012" s="14" t="n">
        <f aca="false">Summary!$B$5-B3012</f>
        <v>-36133.7318880016</v>
      </c>
      <c r="E3012" s="15" t="n">
        <f aca="false">B3012/Summary!$B$5-1</f>
        <v>0.361337318880016</v>
      </c>
    </row>
    <row r="3013" customFormat="false" ht="15" hidden="false" customHeight="false" outlineLevel="0" collapsed="false">
      <c r="A3013" s="0" t="n">
        <v>3012</v>
      </c>
      <c r="B3013" s="14" t="n">
        <v>108085.610406603</v>
      </c>
      <c r="C3013" s="15" t="n">
        <v>0.0660301955901778</v>
      </c>
      <c r="D3013" s="14" t="n">
        <f aca="false">Summary!$B$5-B3013</f>
        <v>-8085.6104066031</v>
      </c>
      <c r="E3013" s="15" t="n">
        <f aca="false">B3013/Summary!$B$5-1</f>
        <v>0.0808561040660309</v>
      </c>
    </row>
    <row r="3014" customFormat="false" ht="15" hidden="false" customHeight="false" outlineLevel="0" collapsed="false">
      <c r="A3014" s="0" t="n">
        <v>3013</v>
      </c>
      <c r="B3014" s="14" t="n">
        <v>127885.42578298</v>
      </c>
      <c r="C3014" s="15" t="n">
        <v>0.0923465616647751</v>
      </c>
      <c r="D3014" s="14" t="n">
        <f aca="false">Summary!$B$5-B3014</f>
        <v>-27885.4257829797</v>
      </c>
      <c r="E3014" s="15" t="n">
        <f aca="false">B3014/Summary!$B$5-1</f>
        <v>0.278854257829797</v>
      </c>
    </row>
    <row r="3015" customFormat="false" ht="15" hidden="false" customHeight="false" outlineLevel="0" collapsed="false">
      <c r="A3015" s="0" t="n">
        <v>3014</v>
      </c>
      <c r="B3015" s="14" t="n">
        <v>106718.045024567</v>
      </c>
      <c r="C3015" s="15" t="n">
        <v>0.0851004307014089</v>
      </c>
      <c r="D3015" s="14" t="n">
        <f aca="false">Summary!$B$5-B3015</f>
        <v>-6718.04502456709</v>
      </c>
      <c r="E3015" s="15" t="n">
        <f aca="false">B3015/Summary!$B$5-1</f>
        <v>0.067180450245671</v>
      </c>
    </row>
    <row r="3016" customFormat="false" ht="15" hidden="false" customHeight="false" outlineLevel="0" collapsed="false">
      <c r="A3016" s="0" t="n">
        <v>3015</v>
      </c>
      <c r="B3016" s="14" t="n">
        <v>104781.322203598</v>
      </c>
      <c r="C3016" s="15" t="n">
        <v>0.0765537413995334</v>
      </c>
      <c r="D3016" s="14" t="n">
        <f aca="false">Summary!$B$5-B3016</f>
        <v>-4781.32220359841</v>
      </c>
      <c r="E3016" s="15" t="n">
        <f aca="false">B3016/Summary!$B$5-1</f>
        <v>0.0478132220359842</v>
      </c>
    </row>
    <row r="3017" customFormat="false" ht="15" hidden="false" customHeight="false" outlineLevel="0" collapsed="false">
      <c r="A3017" s="0" t="n">
        <v>3016</v>
      </c>
      <c r="B3017" s="14" t="n">
        <v>98413.1524589081</v>
      </c>
      <c r="C3017" s="15" t="n">
        <v>0.0730025798229416</v>
      </c>
      <c r="D3017" s="14" t="n">
        <f aca="false">Summary!$B$5-B3017</f>
        <v>1586.84754109193</v>
      </c>
      <c r="E3017" s="15" t="n">
        <f aca="false">B3017/Summary!$B$5-1</f>
        <v>-0.0158684754109193</v>
      </c>
    </row>
    <row r="3018" customFormat="false" ht="15" hidden="false" customHeight="false" outlineLevel="0" collapsed="false">
      <c r="A3018" s="0" t="n">
        <v>3017</v>
      </c>
      <c r="B3018" s="14" t="n">
        <v>108534.553404914</v>
      </c>
      <c r="C3018" s="15" t="n">
        <v>0.104049958909421</v>
      </c>
      <c r="D3018" s="14" t="n">
        <f aca="false">Summary!$B$5-B3018</f>
        <v>-8534.55340491371</v>
      </c>
      <c r="E3018" s="15" t="n">
        <f aca="false">B3018/Summary!$B$5-1</f>
        <v>0.0853455340491371</v>
      </c>
    </row>
    <row r="3019" customFormat="false" ht="15" hidden="false" customHeight="false" outlineLevel="0" collapsed="false">
      <c r="A3019" s="0" t="n">
        <v>3018</v>
      </c>
      <c r="B3019" s="14" t="n">
        <v>103190.657415365</v>
      </c>
      <c r="C3019" s="15" t="n">
        <v>0.110992384854541</v>
      </c>
      <c r="D3019" s="14" t="n">
        <f aca="false">Summary!$B$5-B3019</f>
        <v>-3190.65741536539</v>
      </c>
      <c r="E3019" s="15" t="n">
        <f aca="false">B3019/Summary!$B$5-1</f>
        <v>0.0319065741536539</v>
      </c>
    </row>
    <row r="3020" customFormat="false" ht="15" hidden="false" customHeight="false" outlineLevel="0" collapsed="false">
      <c r="A3020" s="0" t="n">
        <v>3019</v>
      </c>
      <c r="B3020" s="14" t="n">
        <v>107348.944024783</v>
      </c>
      <c r="C3020" s="15" t="n">
        <v>0.10760750293615</v>
      </c>
      <c r="D3020" s="14" t="n">
        <f aca="false">Summary!$B$5-B3020</f>
        <v>-7348.9440247829</v>
      </c>
      <c r="E3020" s="15" t="n">
        <f aca="false">B3020/Summary!$B$5-1</f>
        <v>0.073489440247829</v>
      </c>
    </row>
    <row r="3021" customFormat="false" ht="15" hidden="false" customHeight="false" outlineLevel="0" collapsed="false">
      <c r="A3021" s="0" t="n">
        <v>3020</v>
      </c>
      <c r="B3021" s="14" t="n">
        <v>98929.8365953069</v>
      </c>
      <c r="C3021" s="15" t="n">
        <v>0.0966446498621484</v>
      </c>
      <c r="D3021" s="14" t="n">
        <f aca="false">Summary!$B$5-B3021</f>
        <v>1070.16340469314</v>
      </c>
      <c r="E3021" s="15" t="n">
        <f aca="false">B3021/Summary!$B$5-1</f>
        <v>-0.0107016340469315</v>
      </c>
    </row>
    <row r="3022" customFormat="false" ht="15" hidden="false" customHeight="false" outlineLevel="0" collapsed="false">
      <c r="A3022" s="0" t="n">
        <v>3021</v>
      </c>
      <c r="B3022" s="14" t="n">
        <v>99407.1964286604</v>
      </c>
      <c r="C3022" s="15" t="n">
        <v>0.111988571577773</v>
      </c>
      <c r="D3022" s="14" t="n">
        <f aca="false">Summary!$B$5-B3022</f>
        <v>592.80357133958</v>
      </c>
      <c r="E3022" s="15" t="n">
        <f aca="false">B3022/Summary!$B$5-1</f>
        <v>-0.00592803571339584</v>
      </c>
    </row>
    <row r="3023" customFormat="false" ht="15" hidden="false" customHeight="false" outlineLevel="0" collapsed="false">
      <c r="A3023" s="0" t="n">
        <v>3022</v>
      </c>
      <c r="B3023" s="14" t="n">
        <v>97016.7842646917</v>
      </c>
      <c r="C3023" s="15" t="n">
        <v>0.116425088435983</v>
      </c>
      <c r="D3023" s="14" t="n">
        <f aca="false">Summary!$B$5-B3023</f>
        <v>2983.21573530832</v>
      </c>
      <c r="E3023" s="15" t="n">
        <f aca="false">B3023/Summary!$B$5-1</f>
        <v>-0.0298321573530832</v>
      </c>
    </row>
    <row r="3024" customFormat="false" ht="15" hidden="false" customHeight="false" outlineLevel="0" collapsed="false">
      <c r="A3024" s="0" t="n">
        <v>3023</v>
      </c>
      <c r="B3024" s="14" t="n">
        <v>85161.0734899067</v>
      </c>
      <c r="C3024" s="15" t="n">
        <v>0.206874371104158</v>
      </c>
      <c r="D3024" s="14" t="n">
        <f aca="false">Summary!$B$5-B3024</f>
        <v>14838.9265100933</v>
      </c>
      <c r="E3024" s="15" t="n">
        <f aca="false">B3024/Summary!$B$5-1</f>
        <v>-0.148389265100933</v>
      </c>
    </row>
    <row r="3025" customFormat="false" ht="15" hidden="false" customHeight="false" outlineLevel="0" collapsed="false">
      <c r="A3025" s="0" t="n">
        <v>3024</v>
      </c>
      <c r="B3025" s="14" t="n">
        <v>116097.827586182</v>
      </c>
      <c r="C3025" s="15" t="n">
        <v>0.0625897140421187</v>
      </c>
      <c r="D3025" s="14" t="n">
        <f aca="false">Summary!$B$5-B3025</f>
        <v>-16097.8275861822</v>
      </c>
      <c r="E3025" s="15" t="n">
        <f aca="false">B3025/Summary!$B$5-1</f>
        <v>0.160978275861822</v>
      </c>
    </row>
    <row r="3026" customFormat="false" ht="15" hidden="false" customHeight="false" outlineLevel="0" collapsed="false">
      <c r="A3026" s="0" t="n">
        <v>3025</v>
      </c>
      <c r="B3026" s="14" t="n">
        <v>127835.26754969</v>
      </c>
      <c r="C3026" s="15" t="n">
        <v>0.0677443114059942</v>
      </c>
      <c r="D3026" s="14" t="n">
        <f aca="false">Summary!$B$5-B3026</f>
        <v>-27835.2675496903</v>
      </c>
      <c r="E3026" s="15" t="n">
        <f aca="false">B3026/Summary!$B$5-1</f>
        <v>0.278352675496903</v>
      </c>
    </row>
    <row r="3027" customFormat="false" ht="15" hidden="false" customHeight="false" outlineLevel="0" collapsed="false">
      <c r="A3027" s="0" t="n">
        <v>3026</v>
      </c>
      <c r="B3027" s="14" t="n">
        <v>113150.535314482</v>
      </c>
      <c r="C3027" s="15" t="n">
        <v>0.104593781146748</v>
      </c>
      <c r="D3027" s="14" t="n">
        <f aca="false">Summary!$B$5-B3027</f>
        <v>-13150.5353144822</v>
      </c>
      <c r="E3027" s="15" t="n">
        <f aca="false">B3027/Summary!$B$5-1</f>
        <v>0.131505353144822</v>
      </c>
    </row>
    <row r="3028" customFormat="false" ht="15" hidden="false" customHeight="false" outlineLevel="0" collapsed="false">
      <c r="A3028" s="0" t="n">
        <v>3027</v>
      </c>
      <c r="B3028" s="14" t="n">
        <v>112197.776562205</v>
      </c>
      <c r="C3028" s="15" t="n">
        <v>0.0889574046936386</v>
      </c>
      <c r="D3028" s="14" t="n">
        <f aca="false">Summary!$B$5-B3028</f>
        <v>-12197.7765622045</v>
      </c>
      <c r="E3028" s="15" t="n">
        <f aca="false">B3028/Summary!$B$5-1</f>
        <v>0.121977765622045</v>
      </c>
    </row>
    <row r="3029" customFormat="false" ht="15" hidden="false" customHeight="false" outlineLevel="0" collapsed="false">
      <c r="A3029" s="0" t="n">
        <v>3028</v>
      </c>
      <c r="B3029" s="14" t="n">
        <v>106459.841185574</v>
      </c>
      <c r="C3029" s="15" t="n">
        <v>0.130726151255588</v>
      </c>
      <c r="D3029" s="14" t="n">
        <f aca="false">Summary!$B$5-B3029</f>
        <v>-6459.84118557379</v>
      </c>
      <c r="E3029" s="15" t="n">
        <f aca="false">B3029/Summary!$B$5-1</f>
        <v>0.0645984118557379</v>
      </c>
    </row>
    <row r="3030" customFormat="false" ht="15" hidden="false" customHeight="false" outlineLevel="0" collapsed="false">
      <c r="A3030" s="0" t="n">
        <v>3029</v>
      </c>
      <c r="B3030" s="14" t="n">
        <v>111800.721625928</v>
      </c>
      <c r="C3030" s="15" t="n">
        <v>0.0627634945801276</v>
      </c>
      <c r="D3030" s="14" t="n">
        <f aca="false">Summary!$B$5-B3030</f>
        <v>-11800.721625928</v>
      </c>
      <c r="E3030" s="15" t="n">
        <f aca="false">B3030/Summary!$B$5-1</f>
        <v>0.11800721625928</v>
      </c>
    </row>
    <row r="3031" customFormat="false" ht="15" hidden="false" customHeight="false" outlineLevel="0" collapsed="false">
      <c r="A3031" s="0" t="n">
        <v>3030</v>
      </c>
      <c r="B3031" s="14" t="n">
        <v>104189.958362879</v>
      </c>
      <c r="C3031" s="15" t="n">
        <v>0.157113488045572</v>
      </c>
      <c r="D3031" s="14" t="n">
        <f aca="false">Summary!$B$5-B3031</f>
        <v>-4189.9583628789</v>
      </c>
      <c r="E3031" s="15" t="n">
        <f aca="false">B3031/Summary!$B$5-1</f>
        <v>0.041899583628789</v>
      </c>
    </row>
    <row r="3032" customFormat="false" ht="15" hidden="false" customHeight="false" outlineLevel="0" collapsed="false">
      <c r="A3032" s="0" t="n">
        <v>3031</v>
      </c>
      <c r="B3032" s="14" t="n">
        <v>102958.321676347</v>
      </c>
      <c r="C3032" s="15" t="n">
        <v>0.0757510911321209</v>
      </c>
      <c r="D3032" s="14" t="n">
        <f aca="false">Summary!$B$5-B3032</f>
        <v>-2958.3216763471</v>
      </c>
      <c r="E3032" s="15" t="n">
        <f aca="false">B3032/Summary!$B$5-1</f>
        <v>0.0295832167634711</v>
      </c>
    </row>
    <row r="3033" customFormat="false" ht="15" hidden="false" customHeight="false" outlineLevel="0" collapsed="false">
      <c r="A3033" s="0" t="n">
        <v>3032</v>
      </c>
      <c r="B3033" s="14" t="n">
        <v>121774.409710299</v>
      </c>
      <c r="C3033" s="15" t="n">
        <v>0.0625005115650404</v>
      </c>
      <c r="D3033" s="14" t="n">
        <f aca="false">Summary!$B$5-B3033</f>
        <v>-21774.4097102987</v>
      </c>
      <c r="E3033" s="15" t="n">
        <f aca="false">B3033/Summary!$B$5-1</f>
        <v>0.217744097102987</v>
      </c>
    </row>
    <row r="3034" customFormat="false" ht="15" hidden="false" customHeight="false" outlineLevel="0" collapsed="false">
      <c r="A3034" s="0" t="n">
        <v>3033</v>
      </c>
      <c r="B3034" s="14" t="n">
        <v>110123.182743702</v>
      </c>
      <c r="C3034" s="15" t="n">
        <v>0.117116308644315</v>
      </c>
      <c r="D3034" s="14" t="n">
        <f aca="false">Summary!$B$5-B3034</f>
        <v>-10123.1827437021</v>
      </c>
      <c r="E3034" s="15" t="n">
        <f aca="false">B3034/Summary!$B$5-1</f>
        <v>0.101231827437021</v>
      </c>
    </row>
    <row r="3035" customFormat="false" ht="15" hidden="false" customHeight="false" outlineLevel="0" collapsed="false">
      <c r="A3035" s="0" t="n">
        <v>3034</v>
      </c>
      <c r="B3035" s="14" t="n">
        <v>111869.760261707</v>
      </c>
      <c r="C3035" s="15" t="n">
        <v>0.0840096318260212</v>
      </c>
      <c r="D3035" s="14" t="n">
        <f aca="false">Summary!$B$5-B3035</f>
        <v>-11869.7602617074</v>
      </c>
      <c r="E3035" s="15" t="n">
        <f aca="false">B3035/Summary!$B$5-1</f>
        <v>0.118697602617074</v>
      </c>
    </row>
    <row r="3036" customFormat="false" ht="15" hidden="false" customHeight="false" outlineLevel="0" collapsed="false">
      <c r="A3036" s="0" t="n">
        <v>3035</v>
      </c>
      <c r="B3036" s="14" t="n">
        <v>111995.134204031</v>
      </c>
      <c r="C3036" s="15" t="n">
        <v>0.0759360163564414</v>
      </c>
      <c r="D3036" s="14" t="n">
        <f aca="false">Summary!$B$5-B3036</f>
        <v>-11995.1342040309</v>
      </c>
      <c r="E3036" s="15" t="n">
        <f aca="false">B3036/Summary!$B$5-1</f>
        <v>0.119951342040309</v>
      </c>
    </row>
    <row r="3037" customFormat="false" ht="15" hidden="false" customHeight="false" outlineLevel="0" collapsed="false">
      <c r="A3037" s="0" t="n">
        <v>3036</v>
      </c>
      <c r="B3037" s="14" t="n">
        <v>100180.286227176</v>
      </c>
      <c r="C3037" s="15" t="n">
        <v>0.116820491624654</v>
      </c>
      <c r="D3037" s="14" t="n">
        <f aca="false">Summary!$B$5-B3037</f>
        <v>-180.286227176301</v>
      </c>
      <c r="E3037" s="15" t="n">
        <f aca="false">B3037/Summary!$B$5-1</f>
        <v>0.00180286227176296</v>
      </c>
    </row>
    <row r="3038" customFormat="false" ht="15" hidden="false" customHeight="false" outlineLevel="0" collapsed="false">
      <c r="A3038" s="0" t="n">
        <v>3037</v>
      </c>
      <c r="B3038" s="14" t="n">
        <v>130183.635972539</v>
      </c>
      <c r="C3038" s="15" t="n">
        <v>0.0578283179818686</v>
      </c>
      <c r="D3038" s="14" t="n">
        <f aca="false">Summary!$B$5-B3038</f>
        <v>-30183.6359725388</v>
      </c>
      <c r="E3038" s="15" t="n">
        <f aca="false">B3038/Summary!$B$5-1</f>
        <v>0.301836359725388</v>
      </c>
    </row>
    <row r="3039" customFormat="false" ht="15" hidden="false" customHeight="false" outlineLevel="0" collapsed="false">
      <c r="A3039" s="0" t="n">
        <v>3038</v>
      </c>
      <c r="B3039" s="14" t="n">
        <v>94893.2450332815</v>
      </c>
      <c r="C3039" s="15" t="n">
        <v>0.113585807701784</v>
      </c>
      <c r="D3039" s="14" t="n">
        <f aca="false">Summary!$B$5-B3039</f>
        <v>5106.75496671852</v>
      </c>
      <c r="E3039" s="15" t="n">
        <f aca="false">B3039/Summary!$B$5-1</f>
        <v>-0.0510675496671852</v>
      </c>
    </row>
    <row r="3040" customFormat="false" ht="15" hidden="false" customHeight="false" outlineLevel="0" collapsed="false">
      <c r="A3040" s="0" t="n">
        <v>3039</v>
      </c>
      <c r="B3040" s="14" t="n">
        <v>105105.907907043</v>
      </c>
      <c r="C3040" s="15" t="n">
        <v>0.0810457188192471</v>
      </c>
      <c r="D3040" s="14" t="n">
        <f aca="false">Summary!$B$5-B3040</f>
        <v>-5105.9079070429</v>
      </c>
      <c r="E3040" s="15" t="n">
        <f aca="false">B3040/Summary!$B$5-1</f>
        <v>0.0510590790704291</v>
      </c>
    </row>
    <row r="3041" customFormat="false" ht="15" hidden="false" customHeight="false" outlineLevel="0" collapsed="false">
      <c r="A3041" s="0" t="n">
        <v>3040</v>
      </c>
      <c r="B3041" s="14" t="n">
        <v>114931.139627837</v>
      </c>
      <c r="C3041" s="15" t="n">
        <v>0.125677107011903</v>
      </c>
      <c r="D3041" s="14" t="n">
        <f aca="false">Summary!$B$5-B3041</f>
        <v>-14931.1396278369</v>
      </c>
      <c r="E3041" s="15" t="n">
        <f aca="false">B3041/Summary!$B$5-1</f>
        <v>0.149311396278369</v>
      </c>
    </row>
    <row r="3042" customFormat="false" ht="15" hidden="false" customHeight="false" outlineLevel="0" collapsed="false">
      <c r="A3042" s="0" t="n">
        <v>3041</v>
      </c>
      <c r="B3042" s="14" t="n">
        <v>108175.060915441</v>
      </c>
      <c r="C3042" s="15" t="n">
        <v>0.108738134680305</v>
      </c>
      <c r="D3042" s="14" t="n">
        <f aca="false">Summary!$B$5-B3042</f>
        <v>-8175.0609154407</v>
      </c>
      <c r="E3042" s="15" t="n">
        <f aca="false">B3042/Summary!$B$5-1</f>
        <v>0.0817506091544069</v>
      </c>
    </row>
    <row r="3043" customFormat="false" ht="15" hidden="false" customHeight="false" outlineLevel="0" collapsed="false">
      <c r="A3043" s="0" t="n">
        <v>3042</v>
      </c>
      <c r="B3043" s="14" t="n">
        <v>109025.6573704</v>
      </c>
      <c r="C3043" s="15" t="n">
        <v>0.123130799523956</v>
      </c>
      <c r="D3043" s="14" t="n">
        <f aca="false">Summary!$B$5-B3043</f>
        <v>-9025.6573703999</v>
      </c>
      <c r="E3043" s="15" t="n">
        <f aca="false">B3043/Summary!$B$5-1</f>
        <v>0.0902565737039991</v>
      </c>
    </row>
    <row r="3044" customFormat="false" ht="15" hidden="false" customHeight="false" outlineLevel="0" collapsed="false">
      <c r="A3044" s="0" t="n">
        <v>3043</v>
      </c>
      <c r="B3044" s="14" t="n">
        <v>129138.965639394</v>
      </c>
      <c r="C3044" s="15" t="n">
        <v>0.0588507702442854</v>
      </c>
      <c r="D3044" s="14" t="n">
        <f aca="false">Summary!$B$5-B3044</f>
        <v>-29138.9656393938</v>
      </c>
      <c r="E3044" s="15" t="n">
        <f aca="false">B3044/Summary!$B$5-1</f>
        <v>0.291389656393938</v>
      </c>
    </row>
    <row r="3045" customFormat="false" ht="15" hidden="false" customHeight="false" outlineLevel="0" collapsed="false">
      <c r="A3045" s="0" t="n">
        <v>3044</v>
      </c>
      <c r="B3045" s="14" t="n">
        <v>119179.942870798</v>
      </c>
      <c r="C3045" s="15" t="n">
        <v>0.0622536252977557</v>
      </c>
      <c r="D3045" s="14" t="n">
        <f aca="false">Summary!$B$5-B3045</f>
        <v>-19179.9428707982</v>
      </c>
      <c r="E3045" s="15" t="n">
        <f aca="false">B3045/Summary!$B$5-1</f>
        <v>0.191799428707982</v>
      </c>
    </row>
    <row r="3046" customFormat="false" ht="15" hidden="false" customHeight="false" outlineLevel="0" collapsed="false">
      <c r="A3046" s="0" t="n">
        <v>3045</v>
      </c>
      <c r="B3046" s="14" t="n">
        <v>110178.969790423</v>
      </c>
      <c r="C3046" s="15" t="n">
        <v>0.128452546643222</v>
      </c>
      <c r="D3046" s="14" t="n">
        <f aca="false">Summary!$B$5-B3046</f>
        <v>-10178.9697904225</v>
      </c>
      <c r="E3046" s="15" t="n">
        <f aca="false">B3046/Summary!$B$5-1</f>
        <v>0.101789697904225</v>
      </c>
    </row>
    <row r="3047" customFormat="false" ht="15" hidden="false" customHeight="false" outlineLevel="0" collapsed="false">
      <c r="A3047" s="0" t="n">
        <v>3046</v>
      </c>
      <c r="B3047" s="14" t="n">
        <v>110328.484956478</v>
      </c>
      <c r="C3047" s="15" t="n">
        <v>0.0840342392638632</v>
      </c>
      <c r="D3047" s="14" t="n">
        <f aca="false">Summary!$B$5-B3047</f>
        <v>-10328.4849564777</v>
      </c>
      <c r="E3047" s="15" t="n">
        <f aca="false">B3047/Summary!$B$5-1</f>
        <v>0.103284849564777</v>
      </c>
    </row>
    <row r="3048" customFormat="false" ht="15" hidden="false" customHeight="false" outlineLevel="0" collapsed="false">
      <c r="A3048" s="0" t="n">
        <v>3047</v>
      </c>
      <c r="B3048" s="14" t="n">
        <v>94395.8194995541</v>
      </c>
      <c r="C3048" s="15" t="n">
        <v>0.0773349299458594</v>
      </c>
      <c r="D3048" s="14" t="n">
        <f aca="false">Summary!$B$5-B3048</f>
        <v>5604.1805004459</v>
      </c>
      <c r="E3048" s="15" t="n">
        <f aca="false">B3048/Summary!$B$5-1</f>
        <v>-0.056041805004459</v>
      </c>
    </row>
    <row r="3049" customFormat="false" ht="15" hidden="false" customHeight="false" outlineLevel="0" collapsed="false">
      <c r="A3049" s="0" t="n">
        <v>3048</v>
      </c>
      <c r="B3049" s="14" t="n">
        <v>116032.340086792</v>
      </c>
      <c r="C3049" s="15" t="n">
        <v>0.0487497921209075</v>
      </c>
      <c r="D3049" s="14" t="n">
        <f aca="false">Summary!$B$5-B3049</f>
        <v>-16032.3400867918</v>
      </c>
      <c r="E3049" s="15" t="n">
        <f aca="false">B3049/Summary!$B$5-1</f>
        <v>0.160323400867918</v>
      </c>
    </row>
    <row r="3050" customFormat="false" ht="15" hidden="false" customHeight="false" outlineLevel="0" collapsed="false">
      <c r="A3050" s="0" t="n">
        <v>3049</v>
      </c>
      <c r="B3050" s="14" t="n">
        <v>123500.735999449</v>
      </c>
      <c r="C3050" s="15" t="n">
        <v>0.0513547221647273</v>
      </c>
      <c r="D3050" s="14" t="n">
        <f aca="false">Summary!$B$5-B3050</f>
        <v>-23500.7359994491</v>
      </c>
      <c r="E3050" s="15" t="n">
        <f aca="false">B3050/Summary!$B$5-1</f>
        <v>0.235007359994491</v>
      </c>
    </row>
    <row r="3051" customFormat="false" ht="15" hidden="false" customHeight="false" outlineLevel="0" collapsed="false">
      <c r="A3051" s="0" t="n">
        <v>3050</v>
      </c>
      <c r="B3051" s="14" t="n">
        <v>102012.151640164</v>
      </c>
      <c r="C3051" s="15" t="n">
        <v>0.0768941688953128</v>
      </c>
      <c r="D3051" s="14" t="n">
        <f aca="false">Summary!$B$5-B3051</f>
        <v>-2012.1516401643</v>
      </c>
      <c r="E3051" s="15" t="n">
        <f aca="false">B3051/Summary!$B$5-1</f>
        <v>0.0201215164016431</v>
      </c>
    </row>
    <row r="3052" customFormat="false" ht="15" hidden="false" customHeight="false" outlineLevel="0" collapsed="false">
      <c r="A3052" s="0" t="n">
        <v>3051</v>
      </c>
      <c r="B3052" s="14" t="n">
        <v>114976.165135663</v>
      </c>
      <c r="C3052" s="15" t="n">
        <v>0.106458361186398</v>
      </c>
      <c r="D3052" s="14" t="n">
        <f aca="false">Summary!$B$5-B3052</f>
        <v>-14976.1651356631</v>
      </c>
      <c r="E3052" s="15" t="n">
        <f aca="false">B3052/Summary!$B$5-1</f>
        <v>0.149761651356631</v>
      </c>
    </row>
    <row r="3053" customFormat="false" ht="15" hidden="false" customHeight="false" outlineLevel="0" collapsed="false">
      <c r="A3053" s="0" t="n">
        <v>3052</v>
      </c>
      <c r="B3053" s="14" t="n">
        <v>108185.553652796</v>
      </c>
      <c r="C3053" s="15" t="n">
        <v>0.054029755235691</v>
      </c>
      <c r="D3053" s="14" t="n">
        <f aca="false">Summary!$B$5-B3053</f>
        <v>-8185.55365279591</v>
      </c>
      <c r="E3053" s="15" t="n">
        <f aca="false">B3053/Summary!$B$5-1</f>
        <v>0.081855536527959</v>
      </c>
    </row>
    <row r="3054" customFormat="false" ht="15" hidden="false" customHeight="false" outlineLevel="0" collapsed="false">
      <c r="A3054" s="0" t="n">
        <v>3053</v>
      </c>
      <c r="B3054" s="14" t="n">
        <v>98742.0733403318</v>
      </c>
      <c r="C3054" s="15" t="n">
        <v>0.0947887912407771</v>
      </c>
      <c r="D3054" s="14" t="n">
        <f aca="false">Summary!$B$5-B3054</f>
        <v>1257.92665966821</v>
      </c>
      <c r="E3054" s="15" t="n">
        <f aca="false">B3054/Summary!$B$5-1</f>
        <v>-0.0125792665966822</v>
      </c>
    </row>
    <row r="3055" customFormat="false" ht="15" hidden="false" customHeight="false" outlineLevel="0" collapsed="false">
      <c r="A3055" s="0" t="n">
        <v>3054</v>
      </c>
      <c r="B3055" s="14" t="n">
        <v>93092.2677127718</v>
      </c>
      <c r="C3055" s="15" t="n">
        <v>0.170646956912012</v>
      </c>
      <c r="D3055" s="14" t="n">
        <f aca="false">Summary!$B$5-B3055</f>
        <v>6907.73228722818</v>
      </c>
      <c r="E3055" s="15" t="n">
        <f aca="false">B3055/Summary!$B$5-1</f>
        <v>-0.0690773228722819</v>
      </c>
    </row>
    <row r="3056" customFormat="false" ht="15" hidden="false" customHeight="false" outlineLevel="0" collapsed="false">
      <c r="A3056" s="0" t="n">
        <v>3055</v>
      </c>
      <c r="B3056" s="14" t="n">
        <v>102162.767309804</v>
      </c>
      <c r="C3056" s="15" t="n">
        <v>0.108015746955989</v>
      </c>
      <c r="D3056" s="14" t="n">
        <f aca="false">Summary!$B$5-B3056</f>
        <v>-2162.767309804</v>
      </c>
      <c r="E3056" s="15" t="n">
        <f aca="false">B3056/Summary!$B$5-1</f>
        <v>0.02162767309804</v>
      </c>
    </row>
    <row r="3057" customFormat="false" ht="15" hidden="false" customHeight="false" outlineLevel="0" collapsed="false">
      <c r="A3057" s="0" t="n">
        <v>3056</v>
      </c>
      <c r="B3057" s="14" t="n">
        <v>106003.370880317</v>
      </c>
      <c r="C3057" s="15" t="n">
        <v>0.139422482409563</v>
      </c>
      <c r="D3057" s="14" t="n">
        <f aca="false">Summary!$B$5-B3057</f>
        <v>-6003.3708803169</v>
      </c>
      <c r="E3057" s="15" t="n">
        <f aca="false">B3057/Summary!$B$5-1</f>
        <v>0.0600337088031691</v>
      </c>
    </row>
    <row r="3058" customFormat="false" ht="15" hidden="false" customHeight="false" outlineLevel="0" collapsed="false">
      <c r="A3058" s="0" t="n">
        <v>3057</v>
      </c>
      <c r="B3058" s="14" t="n">
        <v>106761.778242399</v>
      </c>
      <c r="C3058" s="15" t="n">
        <v>0.11296626539996</v>
      </c>
      <c r="D3058" s="14" t="n">
        <f aca="false">Summary!$B$5-B3058</f>
        <v>-6761.7782423985</v>
      </c>
      <c r="E3058" s="15" t="n">
        <f aca="false">B3058/Summary!$B$5-1</f>
        <v>0.067617782423985</v>
      </c>
    </row>
    <row r="3059" customFormat="false" ht="15" hidden="false" customHeight="false" outlineLevel="0" collapsed="false">
      <c r="A3059" s="0" t="n">
        <v>3058</v>
      </c>
      <c r="B3059" s="14" t="n">
        <v>110363.173428091</v>
      </c>
      <c r="C3059" s="15" t="n">
        <v>0.0745751203993808</v>
      </c>
      <c r="D3059" s="14" t="n">
        <f aca="false">Summary!$B$5-B3059</f>
        <v>-10363.1734280905</v>
      </c>
      <c r="E3059" s="15" t="n">
        <f aca="false">B3059/Summary!$B$5-1</f>
        <v>0.103631734280905</v>
      </c>
    </row>
    <row r="3060" customFormat="false" ht="15" hidden="false" customHeight="false" outlineLevel="0" collapsed="false">
      <c r="A3060" s="0" t="n">
        <v>3059</v>
      </c>
      <c r="B3060" s="14" t="n">
        <v>111579.918146426</v>
      </c>
      <c r="C3060" s="15" t="n">
        <v>0.077609220524413</v>
      </c>
      <c r="D3060" s="14" t="n">
        <f aca="false">Summary!$B$5-B3060</f>
        <v>-11579.918146426</v>
      </c>
      <c r="E3060" s="15" t="n">
        <f aca="false">B3060/Summary!$B$5-1</f>
        <v>0.11579918146426</v>
      </c>
    </row>
    <row r="3061" customFormat="false" ht="15" hidden="false" customHeight="false" outlineLevel="0" collapsed="false">
      <c r="A3061" s="0" t="n">
        <v>3060</v>
      </c>
      <c r="B3061" s="14" t="n">
        <v>97877.4067442874</v>
      </c>
      <c r="C3061" s="15" t="n">
        <v>0.140547916230653</v>
      </c>
      <c r="D3061" s="14" t="n">
        <f aca="false">Summary!$B$5-B3061</f>
        <v>2122.59325571265</v>
      </c>
      <c r="E3061" s="15" t="n">
        <f aca="false">B3061/Summary!$B$5-1</f>
        <v>-0.0212259325571265</v>
      </c>
    </row>
    <row r="3062" customFormat="false" ht="15" hidden="false" customHeight="false" outlineLevel="0" collapsed="false">
      <c r="A3062" s="0" t="n">
        <v>3061</v>
      </c>
      <c r="B3062" s="14" t="n">
        <v>118857.199960656</v>
      </c>
      <c r="C3062" s="15" t="n">
        <v>0.053126410771674</v>
      </c>
      <c r="D3062" s="14" t="n">
        <f aca="false">Summary!$B$5-B3062</f>
        <v>-18857.1999606563</v>
      </c>
      <c r="E3062" s="15" t="n">
        <f aca="false">B3062/Summary!$B$5-1</f>
        <v>0.188571999606563</v>
      </c>
    </row>
    <row r="3063" customFormat="false" ht="15" hidden="false" customHeight="false" outlineLevel="0" collapsed="false">
      <c r="A3063" s="0" t="n">
        <v>3062</v>
      </c>
      <c r="B3063" s="14" t="n">
        <v>99063.2881101248</v>
      </c>
      <c r="C3063" s="15" t="n">
        <v>0.177639974553134</v>
      </c>
      <c r="D3063" s="14" t="n">
        <f aca="false">Summary!$B$5-B3063</f>
        <v>936.711889875165</v>
      </c>
      <c r="E3063" s="15" t="n">
        <f aca="false">B3063/Summary!$B$5-1</f>
        <v>-0.00936711889875164</v>
      </c>
    </row>
    <row r="3064" customFormat="false" ht="15" hidden="false" customHeight="false" outlineLevel="0" collapsed="false">
      <c r="A3064" s="0" t="n">
        <v>3063</v>
      </c>
      <c r="B3064" s="14" t="n">
        <v>106158.433840435</v>
      </c>
      <c r="C3064" s="15" t="n">
        <v>0.106352921113889</v>
      </c>
      <c r="D3064" s="14" t="n">
        <f aca="false">Summary!$B$5-B3064</f>
        <v>-6158.4338404353</v>
      </c>
      <c r="E3064" s="15" t="n">
        <f aca="false">B3064/Summary!$B$5-1</f>
        <v>0.0615843384043531</v>
      </c>
    </row>
    <row r="3065" customFormat="false" ht="15" hidden="false" customHeight="false" outlineLevel="0" collapsed="false">
      <c r="A3065" s="0" t="n">
        <v>3064</v>
      </c>
      <c r="B3065" s="14" t="n">
        <v>99771.4927325896</v>
      </c>
      <c r="C3065" s="15" t="n">
        <v>0.102806237064709</v>
      </c>
      <c r="D3065" s="14" t="n">
        <f aca="false">Summary!$B$5-B3065</f>
        <v>228.507267410372</v>
      </c>
      <c r="E3065" s="15" t="n">
        <f aca="false">B3065/Summary!$B$5-1</f>
        <v>-0.00228507267410372</v>
      </c>
    </row>
    <row r="3066" customFormat="false" ht="15" hidden="false" customHeight="false" outlineLevel="0" collapsed="false">
      <c r="A3066" s="0" t="n">
        <v>3065</v>
      </c>
      <c r="B3066" s="14" t="n">
        <v>89036.6134859996</v>
      </c>
      <c r="C3066" s="15" t="n">
        <v>0.194434486714678</v>
      </c>
      <c r="D3066" s="14" t="n">
        <f aca="false">Summary!$B$5-B3066</f>
        <v>10963.3865140004</v>
      </c>
      <c r="E3066" s="15" t="n">
        <f aca="false">B3066/Summary!$B$5-1</f>
        <v>-0.109633865140004</v>
      </c>
    </row>
    <row r="3067" customFormat="false" ht="15" hidden="false" customHeight="false" outlineLevel="0" collapsed="false">
      <c r="A3067" s="0" t="n">
        <v>3066</v>
      </c>
      <c r="B3067" s="14" t="n">
        <v>114190.957580841</v>
      </c>
      <c r="C3067" s="15" t="n">
        <v>0.0951018855371087</v>
      </c>
      <c r="D3067" s="14" t="n">
        <f aca="false">Summary!$B$5-B3067</f>
        <v>-14190.9575808411</v>
      </c>
      <c r="E3067" s="15" t="n">
        <f aca="false">B3067/Summary!$B$5-1</f>
        <v>0.141909575808411</v>
      </c>
    </row>
    <row r="3068" customFormat="false" ht="15" hidden="false" customHeight="false" outlineLevel="0" collapsed="false">
      <c r="A3068" s="0" t="n">
        <v>3067</v>
      </c>
      <c r="B3068" s="14" t="n">
        <v>103026.844440695</v>
      </c>
      <c r="C3068" s="15" t="n">
        <v>0.0954561154401225</v>
      </c>
      <c r="D3068" s="14" t="n">
        <f aca="false">Summary!$B$5-B3068</f>
        <v>-3026.8444406948</v>
      </c>
      <c r="E3068" s="15" t="n">
        <f aca="false">B3068/Summary!$B$5-1</f>
        <v>0.0302684444069479</v>
      </c>
    </row>
    <row r="3069" customFormat="false" ht="15" hidden="false" customHeight="false" outlineLevel="0" collapsed="false">
      <c r="A3069" s="0" t="n">
        <v>3068</v>
      </c>
      <c r="B3069" s="14" t="n">
        <v>104449.914048445</v>
      </c>
      <c r="C3069" s="15" t="n">
        <v>0.12229664756285</v>
      </c>
      <c r="D3069" s="14" t="n">
        <f aca="false">Summary!$B$5-B3069</f>
        <v>-4449.91404844449</v>
      </c>
      <c r="E3069" s="15" t="n">
        <f aca="false">B3069/Summary!$B$5-1</f>
        <v>0.044499140484445</v>
      </c>
    </row>
    <row r="3070" customFormat="false" ht="15" hidden="false" customHeight="false" outlineLevel="0" collapsed="false">
      <c r="A3070" s="0" t="n">
        <v>3069</v>
      </c>
      <c r="B3070" s="14" t="n">
        <v>110785.548692089</v>
      </c>
      <c r="C3070" s="15" t="n">
        <v>0.0654082450152714</v>
      </c>
      <c r="D3070" s="14" t="n">
        <f aca="false">Summary!$B$5-B3070</f>
        <v>-10785.5486920894</v>
      </c>
      <c r="E3070" s="15" t="n">
        <f aca="false">B3070/Summary!$B$5-1</f>
        <v>0.107855486920894</v>
      </c>
    </row>
    <row r="3071" customFormat="false" ht="15" hidden="false" customHeight="false" outlineLevel="0" collapsed="false">
      <c r="A3071" s="0" t="n">
        <v>3070</v>
      </c>
      <c r="B3071" s="14" t="n">
        <v>110952.679039779</v>
      </c>
      <c r="C3071" s="15" t="n">
        <v>0.129380939457685</v>
      </c>
      <c r="D3071" s="14" t="n">
        <f aca="false">Summary!$B$5-B3071</f>
        <v>-10952.6790397791</v>
      </c>
      <c r="E3071" s="15" t="n">
        <f aca="false">B3071/Summary!$B$5-1</f>
        <v>0.109526790397791</v>
      </c>
    </row>
    <row r="3072" customFormat="false" ht="15" hidden="false" customHeight="false" outlineLevel="0" collapsed="false">
      <c r="A3072" s="0" t="n">
        <v>3071</v>
      </c>
      <c r="B3072" s="14" t="n">
        <v>103581.6244758</v>
      </c>
      <c r="C3072" s="15" t="n">
        <v>0.10052523605386</v>
      </c>
      <c r="D3072" s="14" t="n">
        <f aca="false">Summary!$B$5-B3072</f>
        <v>-3581.6244758002</v>
      </c>
      <c r="E3072" s="15" t="n">
        <f aca="false">B3072/Summary!$B$5-1</f>
        <v>0.0358162447580019</v>
      </c>
    </row>
    <row r="3073" customFormat="false" ht="15" hidden="false" customHeight="false" outlineLevel="0" collapsed="false">
      <c r="A3073" s="0" t="n">
        <v>3072</v>
      </c>
      <c r="B3073" s="14" t="n">
        <v>103167.944702036</v>
      </c>
      <c r="C3073" s="15" t="n">
        <v>0.0985599225386163</v>
      </c>
      <c r="D3073" s="14" t="n">
        <f aca="false">Summary!$B$5-B3073</f>
        <v>-3167.944702036</v>
      </c>
      <c r="E3073" s="15" t="n">
        <f aca="false">B3073/Summary!$B$5-1</f>
        <v>0.0316794470203599</v>
      </c>
    </row>
    <row r="3074" customFormat="false" ht="15" hidden="false" customHeight="false" outlineLevel="0" collapsed="false">
      <c r="A3074" s="0" t="n">
        <v>3073</v>
      </c>
      <c r="B3074" s="14" t="n">
        <v>117190.474397767</v>
      </c>
      <c r="C3074" s="15" t="n">
        <v>0.070399445215793</v>
      </c>
      <c r="D3074" s="14" t="n">
        <f aca="false">Summary!$B$5-B3074</f>
        <v>-17190.4743977666</v>
      </c>
      <c r="E3074" s="15" t="n">
        <f aca="false">B3074/Summary!$B$5-1</f>
        <v>0.171904743977666</v>
      </c>
    </row>
    <row r="3075" customFormat="false" ht="15" hidden="false" customHeight="false" outlineLevel="0" collapsed="false">
      <c r="A3075" s="0" t="n">
        <v>3074</v>
      </c>
      <c r="B3075" s="14" t="n">
        <v>105343.33176244</v>
      </c>
      <c r="C3075" s="15" t="n">
        <v>0.0812588543984497</v>
      </c>
      <c r="D3075" s="14" t="n">
        <f aca="false">Summary!$B$5-B3075</f>
        <v>-5343.3317624398</v>
      </c>
      <c r="E3075" s="15" t="n">
        <f aca="false">B3075/Summary!$B$5-1</f>
        <v>0.053433317624398</v>
      </c>
    </row>
    <row r="3076" customFormat="false" ht="15" hidden="false" customHeight="false" outlineLevel="0" collapsed="false">
      <c r="A3076" s="0" t="n">
        <v>3075</v>
      </c>
      <c r="B3076" s="14" t="n">
        <v>109487.153356675</v>
      </c>
      <c r="C3076" s="15" t="n">
        <v>0.0602200664279937</v>
      </c>
      <c r="D3076" s="14" t="n">
        <f aca="false">Summary!$B$5-B3076</f>
        <v>-9487.15335667531</v>
      </c>
      <c r="E3076" s="15" t="n">
        <f aca="false">B3076/Summary!$B$5-1</f>
        <v>0.0948715335667532</v>
      </c>
    </row>
    <row r="3077" customFormat="false" ht="15" hidden="false" customHeight="false" outlineLevel="0" collapsed="false">
      <c r="A3077" s="0" t="n">
        <v>3076</v>
      </c>
      <c r="B3077" s="14" t="n">
        <v>103050.757033558</v>
      </c>
      <c r="C3077" s="15" t="n">
        <v>0.0974588522230847</v>
      </c>
      <c r="D3077" s="14" t="n">
        <f aca="false">Summary!$B$5-B3077</f>
        <v>-3050.7570335581</v>
      </c>
      <c r="E3077" s="15" t="n">
        <f aca="false">B3077/Summary!$B$5-1</f>
        <v>0.030507570335581</v>
      </c>
    </row>
    <row r="3078" customFormat="false" ht="15" hidden="false" customHeight="false" outlineLevel="0" collapsed="false">
      <c r="A3078" s="0" t="n">
        <v>3077</v>
      </c>
      <c r="B3078" s="14" t="n">
        <v>88569.6965377792</v>
      </c>
      <c r="C3078" s="15" t="n">
        <v>0.154954857549322</v>
      </c>
      <c r="D3078" s="14" t="n">
        <f aca="false">Summary!$B$5-B3078</f>
        <v>11430.3034622209</v>
      </c>
      <c r="E3078" s="15" t="n">
        <f aca="false">B3078/Summary!$B$5-1</f>
        <v>-0.114303034622208</v>
      </c>
    </row>
    <row r="3079" customFormat="false" ht="15" hidden="false" customHeight="false" outlineLevel="0" collapsed="false">
      <c r="A3079" s="0" t="n">
        <v>3078</v>
      </c>
      <c r="B3079" s="14" t="n">
        <v>94063.9905996042</v>
      </c>
      <c r="C3079" s="15" t="n">
        <v>0.151144585026226</v>
      </c>
      <c r="D3079" s="14" t="n">
        <f aca="false">Summary!$B$5-B3079</f>
        <v>5936.00940039581</v>
      </c>
      <c r="E3079" s="15" t="n">
        <f aca="false">B3079/Summary!$B$5-1</f>
        <v>-0.059360094003958</v>
      </c>
    </row>
    <row r="3080" customFormat="false" ht="15" hidden="false" customHeight="false" outlineLevel="0" collapsed="false">
      <c r="A3080" s="0" t="n">
        <v>3079</v>
      </c>
      <c r="B3080" s="14" t="n">
        <v>92543.613192682</v>
      </c>
      <c r="C3080" s="15" t="n">
        <v>0.19624444209857</v>
      </c>
      <c r="D3080" s="14" t="n">
        <f aca="false">Summary!$B$5-B3080</f>
        <v>7456.38680731799</v>
      </c>
      <c r="E3080" s="15" t="n">
        <f aca="false">B3080/Summary!$B$5-1</f>
        <v>-0.0745638680731799</v>
      </c>
    </row>
    <row r="3081" customFormat="false" ht="15" hidden="false" customHeight="false" outlineLevel="0" collapsed="false">
      <c r="A3081" s="0" t="n">
        <v>3080</v>
      </c>
      <c r="B3081" s="14" t="n">
        <v>106392.634819072</v>
      </c>
      <c r="C3081" s="15" t="n">
        <v>0.137061831676257</v>
      </c>
      <c r="D3081" s="14" t="n">
        <f aca="false">Summary!$B$5-B3081</f>
        <v>-6392.63481907229</v>
      </c>
      <c r="E3081" s="15" t="n">
        <f aca="false">B3081/Summary!$B$5-1</f>
        <v>0.0639263481907229</v>
      </c>
    </row>
    <row r="3082" customFormat="false" ht="15" hidden="false" customHeight="false" outlineLevel="0" collapsed="false">
      <c r="A3082" s="0" t="n">
        <v>3081</v>
      </c>
      <c r="B3082" s="14" t="n">
        <v>105225.295528723</v>
      </c>
      <c r="C3082" s="15" t="n">
        <v>0.0588142620388319</v>
      </c>
      <c r="D3082" s="14" t="n">
        <f aca="false">Summary!$B$5-B3082</f>
        <v>-5225.2955287228</v>
      </c>
      <c r="E3082" s="15" t="n">
        <f aca="false">B3082/Summary!$B$5-1</f>
        <v>0.052252955287228</v>
      </c>
    </row>
    <row r="3083" customFormat="false" ht="15" hidden="false" customHeight="false" outlineLevel="0" collapsed="false">
      <c r="A3083" s="0" t="n">
        <v>3082</v>
      </c>
      <c r="B3083" s="14" t="n">
        <v>122438.489318161</v>
      </c>
      <c r="C3083" s="15" t="n">
        <v>0.0557705443855865</v>
      </c>
      <c r="D3083" s="14" t="n">
        <f aca="false">Summary!$B$5-B3083</f>
        <v>-22438.4893181607</v>
      </c>
      <c r="E3083" s="15" t="n">
        <f aca="false">B3083/Summary!$B$5-1</f>
        <v>0.224384893181607</v>
      </c>
    </row>
    <row r="3084" customFormat="false" ht="15" hidden="false" customHeight="false" outlineLevel="0" collapsed="false">
      <c r="A3084" s="0" t="n">
        <v>3083</v>
      </c>
      <c r="B3084" s="14" t="n">
        <v>111579.23292903</v>
      </c>
      <c r="C3084" s="15" t="n">
        <v>0.071982200661975</v>
      </c>
      <c r="D3084" s="14" t="n">
        <f aca="false">Summary!$B$5-B3084</f>
        <v>-11579.2329290296</v>
      </c>
      <c r="E3084" s="15" t="n">
        <f aca="false">B3084/Summary!$B$5-1</f>
        <v>0.115792329290296</v>
      </c>
    </row>
    <row r="3085" customFormat="false" ht="15" hidden="false" customHeight="false" outlineLevel="0" collapsed="false">
      <c r="A3085" s="0" t="n">
        <v>3084</v>
      </c>
      <c r="B3085" s="14" t="n">
        <v>117512.410988314</v>
      </c>
      <c r="C3085" s="15" t="n">
        <v>0.064800613789702</v>
      </c>
      <c r="D3085" s="14" t="n">
        <f aca="false">Summary!$B$5-B3085</f>
        <v>-17512.4109883139</v>
      </c>
      <c r="E3085" s="15" t="n">
        <f aca="false">B3085/Summary!$B$5-1</f>
        <v>0.175124109883139</v>
      </c>
    </row>
    <row r="3086" customFormat="false" ht="15" hidden="false" customHeight="false" outlineLevel="0" collapsed="false">
      <c r="A3086" s="0" t="n">
        <v>3085</v>
      </c>
      <c r="B3086" s="14" t="n">
        <v>133785.534065023</v>
      </c>
      <c r="C3086" s="15" t="n">
        <v>0.0571094480294853</v>
      </c>
      <c r="D3086" s="14" t="n">
        <f aca="false">Summary!$B$5-B3086</f>
        <v>-33785.5340650229</v>
      </c>
      <c r="E3086" s="15" t="n">
        <f aca="false">B3086/Summary!$B$5-1</f>
        <v>0.337855340650229</v>
      </c>
    </row>
    <row r="3087" customFormat="false" ht="15" hidden="false" customHeight="false" outlineLevel="0" collapsed="false">
      <c r="A3087" s="0" t="n">
        <v>3086</v>
      </c>
      <c r="B3087" s="14" t="n">
        <v>107132.76419114</v>
      </c>
      <c r="C3087" s="15" t="n">
        <v>0.104622219726232</v>
      </c>
      <c r="D3087" s="14" t="n">
        <f aca="false">Summary!$B$5-B3087</f>
        <v>-7132.76419113969</v>
      </c>
      <c r="E3087" s="15" t="n">
        <f aca="false">B3087/Summary!$B$5-1</f>
        <v>0.0713276419113968</v>
      </c>
    </row>
    <row r="3088" customFormat="false" ht="15" hidden="false" customHeight="false" outlineLevel="0" collapsed="false">
      <c r="A3088" s="0" t="n">
        <v>3087</v>
      </c>
      <c r="B3088" s="14" t="n">
        <v>122644.957273031</v>
      </c>
      <c r="C3088" s="15" t="n">
        <v>0.0710235928307899</v>
      </c>
      <c r="D3088" s="14" t="n">
        <f aca="false">Summary!$B$5-B3088</f>
        <v>-22644.9572730307</v>
      </c>
      <c r="E3088" s="15" t="n">
        <f aca="false">B3088/Summary!$B$5-1</f>
        <v>0.226449572730307</v>
      </c>
    </row>
    <row r="3089" customFormat="false" ht="15" hidden="false" customHeight="false" outlineLevel="0" collapsed="false">
      <c r="A3089" s="0" t="n">
        <v>3088</v>
      </c>
      <c r="B3089" s="14" t="n">
        <v>104103.691155347</v>
      </c>
      <c r="C3089" s="15" t="n">
        <v>0.0706714430415171</v>
      </c>
      <c r="D3089" s="14" t="n">
        <f aca="false">Summary!$B$5-B3089</f>
        <v>-4103.6911553471</v>
      </c>
      <c r="E3089" s="15" t="n">
        <f aca="false">B3089/Summary!$B$5-1</f>
        <v>0.041036911553471</v>
      </c>
    </row>
    <row r="3090" customFormat="false" ht="15" hidden="false" customHeight="false" outlineLevel="0" collapsed="false">
      <c r="A3090" s="0" t="n">
        <v>3089</v>
      </c>
      <c r="B3090" s="14" t="n">
        <v>88899.1316688346</v>
      </c>
      <c r="C3090" s="15" t="n">
        <v>0.217985197170717</v>
      </c>
      <c r="D3090" s="14" t="n">
        <f aca="false">Summary!$B$5-B3090</f>
        <v>11100.8683311654</v>
      </c>
      <c r="E3090" s="15" t="n">
        <f aca="false">B3090/Summary!$B$5-1</f>
        <v>-0.111008683311654</v>
      </c>
    </row>
    <row r="3091" customFormat="false" ht="15" hidden="false" customHeight="false" outlineLevel="0" collapsed="false">
      <c r="A3091" s="0" t="n">
        <v>3090</v>
      </c>
      <c r="B3091" s="14" t="n">
        <v>90618.8936918718</v>
      </c>
      <c r="C3091" s="15" t="n">
        <v>0.135824654463929</v>
      </c>
      <c r="D3091" s="14" t="n">
        <f aca="false">Summary!$B$5-B3091</f>
        <v>9381.10630812823</v>
      </c>
      <c r="E3091" s="15" t="n">
        <f aca="false">B3091/Summary!$B$5-1</f>
        <v>-0.0938110630812823</v>
      </c>
    </row>
    <row r="3092" customFormat="false" ht="15" hidden="false" customHeight="false" outlineLevel="0" collapsed="false">
      <c r="A3092" s="0" t="n">
        <v>3091</v>
      </c>
      <c r="B3092" s="14" t="n">
        <v>86865.7671035916</v>
      </c>
      <c r="C3092" s="15" t="n">
        <v>0.184715389784131</v>
      </c>
      <c r="D3092" s="14" t="n">
        <f aca="false">Summary!$B$5-B3092</f>
        <v>13134.2328964084</v>
      </c>
      <c r="E3092" s="15" t="n">
        <f aca="false">B3092/Summary!$B$5-1</f>
        <v>-0.131342328964084</v>
      </c>
    </row>
    <row r="3093" customFormat="false" ht="15" hidden="false" customHeight="false" outlineLevel="0" collapsed="false">
      <c r="A3093" s="0" t="n">
        <v>3092</v>
      </c>
      <c r="B3093" s="14" t="n">
        <v>92083.1542824101</v>
      </c>
      <c r="C3093" s="15" t="n">
        <v>0.151673991090739</v>
      </c>
      <c r="D3093" s="14" t="n">
        <f aca="false">Summary!$B$5-B3093</f>
        <v>7916.84571758995</v>
      </c>
      <c r="E3093" s="15" t="n">
        <f aca="false">B3093/Summary!$B$5-1</f>
        <v>-0.0791684571758995</v>
      </c>
    </row>
    <row r="3094" customFormat="false" ht="15" hidden="false" customHeight="false" outlineLevel="0" collapsed="false">
      <c r="A3094" s="0" t="n">
        <v>3093</v>
      </c>
      <c r="B3094" s="14" t="n">
        <v>97562.4927777369</v>
      </c>
      <c r="C3094" s="15" t="n">
        <v>0.148276058389728</v>
      </c>
      <c r="D3094" s="14" t="n">
        <f aca="false">Summary!$B$5-B3094</f>
        <v>2437.50722226306</v>
      </c>
      <c r="E3094" s="15" t="n">
        <f aca="false">B3094/Summary!$B$5-1</f>
        <v>-0.0243750722226306</v>
      </c>
    </row>
    <row r="3095" customFormat="false" ht="15" hidden="false" customHeight="false" outlineLevel="0" collapsed="false">
      <c r="A3095" s="0" t="n">
        <v>3094</v>
      </c>
      <c r="B3095" s="14" t="n">
        <v>97493.9455671364</v>
      </c>
      <c r="C3095" s="15" t="n">
        <v>0.151543660206682</v>
      </c>
      <c r="D3095" s="14" t="n">
        <f aca="false">Summary!$B$5-B3095</f>
        <v>2506.05443286357</v>
      </c>
      <c r="E3095" s="15" t="n">
        <f aca="false">B3095/Summary!$B$5-1</f>
        <v>-0.0250605443286357</v>
      </c>
    </row>
    <row r="3096" customFormat="false" ht="15" hidden="false" customHeight="false" outlineLevel="0" collapsed="false">
      <c r="A3096" s="0" t="n">
        <v>3095</v>
      </c>
      <c r="B3096" s="14" t="n">
        <v>115671.079563438</v>
      </c>
      <c r="C3096" s="15" t="n">
        <v>0.067396051447575</v>
      </c>
      <c r="D3096" s="14" t="n">
        <f aca="false">Summary!$B$5-B3096</f>
        <v>-15671.0795634375</v>
      </c>
      <c r="E3096" s="15" t="n">
        <f aca="false">B3096/Summary!$B$5-1</f>
        <v>0.156710795634375</v>
      </c>
    </row>
    <row r="3097" customFormat="false" ht="15" hidden="false" customHeight="false" outlineLevel="0" collapsed="false">
      <c r="A3097" s="0" t="n">
        <v>3096</v>
      </c>
      <c r="B3097" s="14" t="n">
        <v>101625.455719151</v>
      </c>
      <c r="C3097" s="15" t="n">
        <v>0.067015901694224</v>
      </c>
      <c r="D3097" s="14" t="n">
        <f aca="false">Summary!$B$5-B3097</f>
        <v>-1625.4557191507</v>
      </c>
      <c r="E3097" s="15" t="n">
        <f aca="false">B3097/Summary!$B$5-1</f>
        <v>0.0162545571915071</v>
      </c>
    </row>
    <row r="3098" customFormat="false" ht="15" hidden="false" customHeight="false" outlineLevel="0" collapsed="false">
      <c r="A3098" s="0" t="n">
        <v>3097</v>
      </c>
      <c r="B3098" s="14" t="n">
        <v>98147.0197744448</v>
      </c>
      <c r="C3098" s="15" t="n">
        <v>0.1251213918721</v>
      </c>
      <c r="D3098" s="14" t="n">
        <f aca="false">Summary!$B$5-B3098</f>
        <v>1852.98022555516</v>
      </c>
      <c r="E3098" s="15" t="n">
        <f aca="false">B3098/Summary!$B$5-1</f>
        <v>-0.0185298022555517</v>
      </c>
    </row>
    <row r="3099" customFormat="false" ht="15" hidden="false" customHeight="false" outlineLevel="0" collapsed="false">
      <c r="A3099" s="0" t="n">
        <v>3098</v>
      </c>
      <c r="B3099" s="14" t="n">
        <v>134422.633209496</v>
      </c>
      <c r="C3099" s="15" t="n">
        <v>0.100520942044466</v>
      </c>
      <c r="D3099" s="14" t="n">
        <f aca="false">Summary!$B$5-B3099</f>
        <v>-34422.6332094955</v>
      </c>
      <c r="E3099" s="15" t="n">
        <f aca="false">B3099/Summary!$B$5-1</f>
        <v>0.344226332094955</v>
      </c>
    </row>
    <row r="3100" customFormat="false" ht="15" hidden="false" customHeight="false" outlineLevel="0" collapsed="false">
      <c r="A3100" s="0" t="n">
        <v>3099</v>
      </c>
      <c r="B3100" s="14" t="n">
        <v>103065.594094243</v>
      </c>
      <c r="C3100" s="15" t="n">
        <v>0.108314845872826</v>
      </c>
      <c r="D3100" s="14" t="n">
        <f aca="false">Summary!$B$5-B3100</f>
        <v>-3065.594094243</v>
      </c>
      <c r="E3100" s="15" t="n">
        <f aca="false">B3100/Summary!$B$5-1</f>
        <v>0.0306559409424301</v>
      </c>
    </row>
    <row r="3101" customFormat="false" ht="15" hidden="false" customHeight="false" outlineLevel="0" collapsed="false">
      <c r="A3101" s="0" t="n">
        <v>3100</v>
      </c>
      <c r="B3101" s="14" t="n">
        <v>120028.354830124</v>
      </c>
      <c r="C3101" s="15" t="n">
        <v>0.0454848977440141</v>
      </c>
      <c r="D3101" s="14" t="n">
        <f aca="false">Summary!$B$5-B3101</f>
        <v>-20028.3548301242</v>
      </c>
      <c r="E3101" s="15" t="n">
        <f aca="false">B3101/Summary!$B$5-1</f>
        <v>0.200283548301242</v>
      </c>
    </row>
    <row r="3102" customFormat="false" ht="15" hidden="false" customHeight="false" outlineLevel="0" collapsed="false">
      <c r="A3102" s="0" t="n">
        <v>3101</v>
      </c>
      <c r="B3102" s="14" t="n">
        <v>103822.227322061</v>
      </c>
      <c r="C3102" s="15" t="n">
        <v>0.104326192306858</v>
      </c>
      <c r="D3102" s="14" t="n">
        <f aca="false">Summary!$B$5-B3102</f>
        <v>-3822.2273220611</v>
      </c>
      <c r="E3102" s="15" t="n">
        <f aca="false">B3102/Summary!$B$5-1</f>
        <v>0.038222273220611</v>
      </c>
    </row>
    <row r="3103" customFormat="false" ht="15" hidden="false" customHeight="false" outlineLevel="0" collapsed="false">
      <c r="A3103" s="0" t="n">
        <v>3102</v>
      </c>
      <c r="B3103" s="14" t="n">
        <v>109572.83505241</v>
      </c>
      <c r="C3103" s="15" t="n">
        <v>0.0773739992105972</v>
      </c>
      <c r="D3103" s="14" t="n">
        <f aca="false">Summary!$B$5-B3103</f>
        <v>-9572.8350524102</v>
      </c>
      <c r="E3103" s="15" t="n">
        <f aca="false">B3103/Summary!$B$5-1</f>
        <v>0.095728350524102</v>
      </c>
    </row>
    <row r="3104" customFormat="false" ht="15" hidden="false" customHeight="false" outlineLevel="0" collapsed="false">
      <c r="A3104" s="0" t="n">
        <v>3103</v>
      </c>
      <c r="B3104" s="14" t="n">
        <v>115311.573652233</v>
      </c>
      <c r="C3104" s="15" t="n">
        <v>0.0866552866180707</v>
      </c>
      <c r="D3104" s="14" t="n">
        <f aca="false">Summary!$B$5-B3104</f>
        <v>-15311.5736522329</v>
      </c>
      <c r="E3104" s="15" t="n">
        <f aca="false">B3104/Summary!$B$5-1</f>
        <v>0.153115736522329</v>
      </c>
    </row>
    <row r="3105" customFormat="false" ht="15" hidden="false" customHeight="false" outlineLevel="0" collapsed="false">
      <c r="A3105" s="0" t="n">
        <v>3104</v>
      </c>
      <c r="B3105" s="14" t="n">
        <v>106317.573890628</v>
      </c>
      <c r="C3105" s="15" t="n">
        <v>0.0998900452305882</v>
      </c>
      <c r="D3105" s="14" t="n">
        <f aca="false">Summary!$B$5-B3105</f>
        <v>-6317.5738906281</v>
      </c>
      <c r="E3105" s="15" t="n">
        <f aca="false">B3105/Summary!$B$5-1</f>
        <v>0.063175738906281</v>
      </c>
    </row>
    <row r="3106" customFormat="false" ht="15" hidden="false" customHeight="false" outlineLevel="0" collapsed="false">
      <c r="A3106" s="0" t="n">
        <v>3105</v>
      </c>
      <c r="B3106" s="14" t="n">
        <v>112011.459845201</v>
      </c>
      <c r="C3106" s="15" t="n">
        <v>0.0904297558728665</v>
      </c>
      <c r="D3106" s="14" t="n">
        <f aca="false">Summary!$B$5-B3106</f>
        <v>-12011.459845201</v>
      </c>
      <c r="E3106" s="15" t="n">
        <f aca="false">B3106/Summary!$B$5-1</f>
        <v>0.12011459845201</v>
      </c>
    </row>
    <row r="3107" customFormat="false" ht="15" hidden="false" customHeight="false" outlineLevel="0" collapsed="false">
      <c r="A3107" s="0" t="n">
        <v>3106</v>
      </c>
      <c r="B3107" s="14" t="n">
        <v>113666.401218263</v>
      </c>
      <c r="C3107" s="15" t="n">
        <v>0.121861374369033</v>
      </c>
      <c r="D3107" s="14" t="n">
        <f aca="false">Summary!$B$5-B3107</f>
        <v>-13666.4012182626</v>
      </c>
      <c r="E3107" s="15" t="n">
        <f aca="false">B3107/Summary!$B$5-1</f>
        <v>0.136664012182626</v>
      </c>
    </row>
    <row r="3108" customFormat="false" ht="15" hidden="false" customHeight="false" outlineLevel="0" collapsed="false">
      <c r="A3108" s="0" t="n">
        <v>3107</v>
      </c>
      <c r="B3108" s="14" t="n">
        <v>102324.104053093</v>
      </c>
      <c r="C3108" s="15" t="n">
        <v>0.100663783896108</v>
      </c>
      <c r="D3108" s="14" t="n">
        <f aca="false">Summary!$B$5-B3108</f>
        <v>-2324.1040530927</v>
      </c>
      <c r="E3108" s="15" t="n">
        <f aca="false">B3108/Summary!$B$5-1</f>
        <v>0.0232410405309269</v>
      </c>
    </row>
    <row r="3109" customFormat="false" ht="15" hidden="false" customHeight="false" outlineLevel="0" collapsed="false">
      <c r="A3109" s="0" t="n">
        <v>3108</v>
      </c>
      <c r="B3109" s="14" t="n">
        <v>118468.252570026</v>
      </c>
      <c r="C3109" s="15" t="n">
        <v>0.0377469101556839</v>
      </c>
      <c r="D3109" s="14" t="n">
        <f aca="false">Summary!$B$5-B3109</f>
        <v>-18468.2525700258</v>
      </c>
      <c r="E3109" s="15" t="n">
        <f aca="false">B3109/Summary!$B$5-1</f>
        <v>0.184682525700258</v>
      </c>
    </row>
    <row r="3110" customFormat="false" ht="15" hidden="false" customHeight="false" outlineLevel="0" collapsed="false">
      <c r="A3110" s="0" t="n">
        <v>3109</v>
      </c>
      <c r="B3110" s="14" t="n">
        <v>114204.224615574</v>
      </c>
      <c r="C3110" s="15" t="n">
        <v>0.0578682495342019</v>
      </c>
      <c r="D3110" s="14" t="n">
        <f aca="false">Summary!$B$5-B3110</f>
        <v>-14204.224615574</v>
      </c>
      <c r="E3110" s="15" t="n">
        <f aca="false">B3110/Summary!$B$5-1</f>
        <v>0.14204224615574</v>
      </c>
    </row>
    <row r="3111" customFormat="false" ht="15" hidden="false" customHeight="false" outlineLevel="0" collapsed="false">
      <c r="A3111" s="0" t="n">
        <v>3110</v>
      </c>
      <c r="B3111" s="14" t="n">
        <v>126639.27152117</v>
      </c>
      <c r="C3111" s="15" t="n">
        <v>0.0717179609908973</v>
      </c>
      <c r="D3111" s="14" t="n">
        <f aca="false">Summary!$B$5-B3111</f>
        <v>-26639.2715211701</v>
      </c>
      <c r="E3111" s="15" t="n">
        <f aca="false">B3111/Summary!$B$5-1</f>
        <v>0.266392715211701</v>
      </c>
    </row>
    <row r="3112" customFormat="false" ht="15" hidden="false" customHeight="false" outlineLevel="0" collapsed="false">
      <c r="A3112" s="0" t="n">
        <v>3111</v>
      </c>
      <c r="B3112" s="14" t="n">
        <v>91857.4702781334</v>
      </c>
      <c r="C3112" s="15" t="n">
        <v>0.128491069621288</v>
      </c>
      <c r="D3112" s="14" t="n">
        <f aca="false">Summary!$B$5-B3112</f>
        <v>8142.52972186658</v>
      </c>
      <c r="E3112" s="15" t="n">
        <f aca="false">B3112/Summary!$B$5-1</f>
        <v>-0.0814252972186658</v>
      </c>
    </row>
    <row r="3113" customFormat="false" ht="15" hidden="false" customHeight="false" outlineLevel="0" collapsed="false">
      <c r="A3113" s="0" t="n">
        <v>3112</v>
      </c>
      <c r="B3113" s="14" t="n">
        <v>125713.541199499</v>
      </c>
      <c r="C3113" s="15" t="n">
        <v>0.0368370875650264</v>
      </c>
      <c r="D3113" s="14" t="n">
        <f aca="false">Summary!$B$5-B3113</f>
        <v>-25713.5411994989</v>
      </c>
      <c r="E3113" s="15" t="n">
        <f aca="false">B3113/Summary!$B$5-1</f>
        <v>0.257135411994989</v>
      </c>
    </row>
    <row r="3114" customFormat="false" ht="15" hidden="false" customHeight="false" outlineLevel="0" collapsed="false">
      <c r="A3114" s="0" t="n">
        <v>3113</v>
      </c>
      <c r="B3114" s="14" t="n">
        <v>103372.904439824</v>
      </c>
      <c r="C3114" s="15" t="n">
        <v>0.0870869468486688</v>
      </c>
      <c r="D3114" s="14" t="n">
        <f aca="false">Summary!$B$5-B3114</f>
        <v>-3372.9044398243</v>
      </c>
      <c r="E3114" s="15" t="n">
        <f aca="false">B3114/Summary!$B$5-1</f>
        <v>0.033729044398243</v>
      </c>
    </row>
    <row r="3115" customFormat="false" ht="15" hidden="false" customHeight="false" outlineLevel="0" collapsed="false">
      <c r="A3115" s="0" t="n">
        <v>3114</v>
      </c>
      <c r="B3115" s="14" t="n">
        <v>132314.84424109</v>
      </c>
      <c r="C3115" s="15" t="n">
        <v>0.0657174322943721</v>
      </c>
      <c r="D3115" s="14" t="n">
        <f aca="false">Summary!$B$5-B3115</f>
        <v>-32314.8442410896</v>
      </c>
      <c r="E3115" s="15" t="n">
        <f aca="false">B3115/Summary!$B$5-1</f>
        <v>0.323148442410896</v>
      </c>
    </row>
    <row r="3116" customFormat="false" ht="15" hidden="false" customHeight="false" outlineLevel="0" collapsed="false">
      <c r="A3116" s="0" t="n">
        <v>3115</v>
      </c>
      <c r="B3116" s="14" t="n">
        <v>113864.681441392</v>
      </c>
      <c r="C3116" s="15" t="n">
        <v>0.0630475131020544</v>
      </c>
      <c r="D3116" s="14" t="n">
        <f aca="false">Summary!$B$5-B3116</f>
        <v>-13864.6814413915</v>
      </c>
      <c r="E3116" s="15" t="n">
        <f aca="false">B3116/Summary!$B$5-1</f>
        <v>0.138646814413915</v>
      </c>
    </row>
    <row r="3117" customFormat="false" ht="15" hidden="false" customHeight="false" outlineLevel="0" collapsed="false">
      <c r="A3117" s="0" t="n">
        <v>3116</v>
      </c>
      <c r="B3117" s="14" t="n">
        <v>99668.6439753652</v>
      </c>
      <c r="C3117" s="15" t="n">
        <v>0.0850856302820693</v>
      </c>
      <c r="D3117" s="14" t="n">
        <f aca="false">Summary!$B$5-B3117</f>
        <v>331.356024634762</v>
      </c>
      <c r="E3117" s="15" t="n">
        <f aca="false">B3117/Summary!$B$5-1</f>
        <v>-0.00331356024634766</v>
      </c>
    </row>
    <row r="3118" customFormat="false" ht="15" hidden="false" customHeight="false" outlineLevel="0" collapsed="false">
      <c r="A3118" s="0" t="n">
        <v>3117</v>
      </c>
      <c r="B3118" s="14" t="n">
        <v>102657.904717124</v>
      </c>
      <c r="C3118" s="15" t="n">
        <v>0.194988860289385</v>
      </c>
      <c r="D3118" s="14" t="n">
        <f aca="false">Summary!$B$5-B3118</f>
        <v>-2657.9047171241</v>
      </c>
      <c r="E3118" s="15" t="n">
        <f aca="false">B3118/Summary!$B$5-1</f>
        <v>0.026579047171241</v>
      </c>
    </row>
    <row r="3119" customFormat="false" ht="15" hidden="false" customHeight="false" outlineLevel="0" collapsed="false">
      <c r="A3119" s="0" t="n">
        <v>3118</v>
      </c>
      <c r="B3119" s="14" t="n">
        <v>93379.5137368436</v>
      </c>
      <c r="C3119" s="15" t="n">
        <v>0.119717983254521</v>
      </c>
      <c r="D3119" s="14" t="n">
        <f aca="false">Summary!$B$5-B3119</f>
        <v>6620.48626315636</v>
      </c>
      <c r="E3119" s="15" t="n">
        <f aca="false">B3119/Summary!$B$5-1</f>
        <v>-0.0662048626315636</v>
      </c>
    </row>
    <row r="3120" customFormat="false" ht="15" hidden="false" customHeight="false" outlineLevel="0" collapsed="false">
      <c r="A3120" s="0" t="n">
        <v>3119</v>
      </c>
      <c r="B3120" s="14" t="n">
        <v>112939.163244522</v>
      </c>
      <c r="C3120" s="15" t="n">
        <v>0.0843569756705644</v>
      </c>
      <c r="D3120" s="14" t="n">
        <f aca="false">Summary!$B$5-B3120</f>
        <v>-12939.163244522</v>
      </c>
      <c r="E3120" s="15" t="n">
        <f aca="false">B3120/Summary!$B$5-1</f>
        <v>0.12939163244522</v>
      </c>
    </row>
    <row r="3121" customFormat="false" ht="15" hidden="false" customHeight="false" outlineLevel="0" collapsed="false">
      <c r="A3121" s="0" t="n">
        <v>3120</v>
      </c>
      <c r="B3121" s="14" t="n">
        <v>117858.604585916</v>
      </c>
      <c r="C3121" s="15" t="n">
        <v>0.103738548846494</v>
      </c>
      <c r="D3121" s="14" t="n">
        <f aca="false">Summary!$B$5-B3121</f>
        <v>-17858.6045859162</v>
      </c>
      <c r="E3121" s="15" t="n">
        <f aca="false">B3121/Summary!$B$5-1</f>
        <v>0.178586045859162</v>
      </c>
    </row>
    <row r="3122" customFormat="false" ht="15" hidden="false" customHeight="false" outlineLevel="0" collapsed="false">
      <c r="A3122" s="0" t="n">
        <v>3121</v>
      </c>
      <c r="B3122" s="14" t="n">
        <v>131721.808331567</v>
      </c>
      <c r="C3122" s="15" t="n">
        <v>0.0528593811555359</v>
      </c>
      <c r="D3122" s="14" t="n">
        <f aca="false">Summary!$B$5-B3122</f>
        <v>-31721.808331567</v>
      </c>
      <c r="E3122" s="15" t="n">
        <f aca="false">B3122/Summary!$B$5-1</f>
        <v>0.31721808331567</v>
      </c>
    </row>
    <row r="3123" customFormat="false" ht="15" hidden="false" customHeight="false" outlineLevel="0" collapsed="false">
      <c r="A3123" s="0" t="n">
        <v>3122</v>
      </c>
      <c r="B3123" s="14" t="n">
        <v>106173.240595429</v>
      </c>
      <c r="C3123" s="15" t="n">
        <v>0.0887733920174367</v>
      </c>
      <c r="D3123" s="14" t="n">
        <f aca="false">Summary!$B$5-B3123</f>
        <v>-6173.240595429</v>
      </c>
      <c r="E3123" s="15" t="n">
        <f aca="false">B3123/Summary!$B$5-1</f>
        <v>0.0617324059542901</v>
      </c>
    </row>
    <row r="3124" customFormat="false" ht="15" hidden="false" customHeight="false" outlineLevel="0" collapsed="false">
      <c r="A3124" s="0" t="n">
        <v>3123</v>
      </c>
      <c r="B3124" s="14" t="n">
        <v>128289.375353618</v>
      </c>
      <c r="C3124" s="15" t="n">
        <v>0.0766735362181615</v>
      </c>
      <c r="D3124" s="14" t="n">
        <f aca="false">Summary!$B$5-B3124</f>
        <v>-28289.3753536184</v>
      </c>
      <c r="E3124" s="15" t="n">
        <f aca="false">B3124/Summary!$B$5-1</f>
        <v>0.282893753536184</v>
      </c>
    </row>
    <row r="3125" customFormat="false" ht="15" hidden="false" customHeight="false" outlineLevel="0" collapsed="false">
      <c r="A3125" s="0" t="n">
        <v>3124</v>
      </c>
      <c r="B3125" s="14" t="n">
        <v>112359.785271773</v>
      </c>
      <c r="C3125" s="15" t="n">
        <v>0.105744869510913</v>
      </c>
      <c r="D3125" s="14" t="n">
        <f aca="false">Summary!$B$5-B3125</f>
        <v>-12359.7852717727</v>
      </c>
      <c r="E3125" s="15" t="n">
        <f aca="false">B3125/Summary!$B$5-1</f>
        <v>0.123597852717727</v>
      </c>
    </row>
    <row r="3126" customFormat="false" ht="15" hidden="false" customHeight="false" outlineLevel="0" collapsed="false">
      <c r="A3126" s="0" t="n">
        <v>3125</v>
      </c>
      <c r="B3126" s="14" t="n">
        <v>108364.988397786</v>
      </c>
      <c r="C3126" s="15" t="n">
        <v>0.116978635650551</v>
      </c>
      <c r="D3126" s="14" t="n">
        <f aca="false">Summary!$B$5-B3126</f>
        <v>-8364.98839778621</v>
      </c>
      <c r="E3126" s="15" t="n">
        <f aca="false">B3126/Summary!$B$5-1</f>
        <v>0.0836498839778621</v>
      </c>
    </row>
    <row r="3127" customFormat="false" ht="15" hidden="false" customHeight="false" outlineLevel="0" collapsed="false">
      <c r="A3127" s="0" t="n">
        <v>3126</v>
      </c>
      <c r="B3127" s="14" t="n">
        <v>93294.8381598929</v>
      </c>
      <c r="C3127" s="15" t="n">
        <v>0.126328457110052</v>
      </c>
      <c r="D3127" s="14" t="n">
        <f aca="false">Summary!$B$5-B3127</f>
        <v>6705.16184010715</v>
      </c>
      <c r="E3127" s="15" t="n">
        <f aca="false">B3127/Summary!$B$5-1</f>
        <v>-0.0670516184010714</v>
      </c>
    </row>
    <row r="3128" customFormat="false" ht="15" hidden="false" customHeight="false" outlineLevel="0" collapsed="false">
      <c r="A3128" s="0" t="n">
        <v>3127</v>
      </c>
      <c r="B3128" s="14" t="n">
        <v>124397.237088946</v>
      </c>
      <c r="C3128" s="15" t="n">
        <v>0.091142992547105</v>
      </c>
      <c r="D3128" s="14" t="n">
        <f aca="false">Summary!$B$5-B3128</f>
        <v>-24397.2370889464</v>
      </c>
      <c r="E3128" s="15" t="n">
        <f aca="false">B3128/Summary!$B$5-1</f>
        <v>0.243972370889464</v>
      </c>
    </row>
    <row r="3129" customFormat="false" ht="15" hidden="false" customHeight="false" outlineLevel="0" collapsed="false">
      <c r="A3129" s="0" t="n">
        <v>3128</v>
      </c>
      <c r="B3129" s="14" t="n">
        <v>97301.9629094117</v>
      </c>
      <c r="C3129" s="15" t="n">
        <v>0.137677359124229</v>
      </c>
      <c r="D3129" s="14" t="n">
        <f aca="false">Summary!$B$5-B3129</f>
        <v>2698.03709058827</v>
      </c>
      <c r="E3129" s="15" t="n">
        <f aca="false">B3129/Summary!$B$5-1</f>
        <v>-0.0269803709058828</v>
      </c>
    </row>
    <row r="3130" customFormat="false" ht="15" hidden="false" customHeight="false" outlineLevel="0" collapsed="false">
      <c r="A3130" s="0" t="n">
        <v>3129</v>
      </c>
      <c r="B3130" s="14" t="n">
        <v>127903.431467972</v>
      </c>
      <c r="C3130" s="15" t="n">
        <v>0.0853516169692435</v>
      </c>
      <c r="D3130" s="14" t="n">
        <f aca="false">Summary!$B$5-B3130</f>
        <v>-27903.4314679721</v>
      </c>
      <c r="E3130" s="15" t="n">
        <f aca="false">B3130/Summary!$B$5-1</f>
        <v>0.279034314679721</v>
      </c>
    </row>
    <row r="3131" customFormat="false" ht="15" hidden="false" customHeight="false" outlineLevel="0" collapsed="false">
      <c r="A3131" s="0" t="n">
        <v>3130</v>
      </c>
      <c r="B3131" s="14" t="n">
        <v>94387.3433945769</v>
      </c>
      <c r="C3131" s="15" t="n">
        <v>0.105569990379272</v>
      </c>
      <c r="D3131" s="14" t="n">
        <f aca="false">Summary!$B$5-B3131</f>
        <v>5612.65660542314</v>
      </c>
      <c r="E3131" s="15" t="n">
        <f aca="false">B3131/Summary!$B$5-1</f>
        <v>-0.0561265660542314</v>
      </c>
    </row>
    <row r="3132" customFormat="false" ht="15" hidden="false" customHeight="false" outlineLevel="0" collapsed="false">
      <c r="A3132" s="0" t="n">
        <v>3131</v>
      </c>
      <c r="B3132" s="14" t="n">
        <v>140383.210884343</v>
      </c>
      <c r="C3132" s="15" t="n">
        <v>0.0407144960544668</v>
      </c>
      <c r="D3132" s="14" t="n">
        <f aca="false">Summary!$B$5-B3132</f>
        <v>-40383.2108843434</v>
      </c>
      <c r="E3132" s="15" t="n">
        <f aca="false">B3132/Summary!$B$5-1</f>
        <v>0.403832108843434</v>
      </c>
    </row>
    <row r="3133" customFormat="false" ht="15" hidden="false" customHeight="false" outlineLevel="0" collapsed="false">
      <c r="A3133" s="0" t="n">
        <v>3132</v>
      </c>
      <c r="B3133" s="14" t="n">
        <v>117165.271510466</v>
      </c>
      <c r="C3133" s="15" t="n">
        <v>0.079283420980206</v>
      </c>
      <c r="D3133" s="14" t="n">
        <f aca="false">Summary!$B$5-B3133</f>
        <v>-17165.2715104659</v>
      </c>
      <c r="E3133" s="15" t="n">
        <f aca="false">B3133/Summary!$B$5-1</f>
        <v>0.171652715104659</v>
      </c>
    </row>
    <row r="3134" customFormat="false" ht="15" hidden="false" customHeight="false" outlineLevel="0" collapsed="false">
      <c r="A3134" s="0" t="n">
        <v>3133</v>
      </c>
      <c r="B3134" s="14" t="n">
        <v>106404.631605582</v>
      </c>
      <c r="C3134" s="15" t="n">
        <v>0.120747749362861</v>
      </c>
      <c r="D3134" s="14" t="n">
        <f aca="false">Summary!$B$5-B3134</f>
        <v>-6404.6316055815</v>
      </c>
      <c r="E3134" s="15" t="n">
        <f aca="false">B3134/Summary!$B$5-1</f>
        <v>0.0640463160558149</v>
      </c>
    </row>
    <row r="3135" customFormat="false" ht="15" hidden="false" customHeight="false" outlineLevel="0" collapsed="false">
      <c r="A3135" s="0" t="n">
        <v>3134</v>
      </c>
      <c r="B3135" s="14" t="n">
        <v>88074.2787345453</v>
      </c>
      <c r="C3135" s="15" t="n">
        <v>0.160636452978021</v>
      </c>
      <c r="D3135" s="14" t="n">
        <f aca="false">Summary!$B$5-B3135</f>
        <v>11925.7212654547</v>
      </c>
      <c r="E3135" s="15" t="n">
        <f aca="false">B3135/Summary!$B$5-1</f>
        <v>-0.119257212654547</v>
      </c>
    </row>
    <row r="3136" customFormat="false" ht="15" hidden="false" customHeight="false" outlineLevel="0" collapsed="false">
      <c r="A3136" s="0" t="n">
        <v>3135</v>
      </c>
      <c r="B3136" s="14" t="n">
        <v>96330.5835945479</v>
      </c>
      <c r="C3136" s="15" t="n">
        <v>0.145244031407711</v>
      </c>
      <c r="D3136" s="14" t="n">
        <f aca="false">Summary!$B$5-B3136</f>
        <v>3669.41640545212</v>
      </c>
      <c r="E3136" s="15" t="n">
        <f aca="false">B3136/Summary!$B$5-1</f>
        <v>-0.0366941640545212</v>
      </c>
    </row>
    <row r="3137" customFormat="false" ht="15" hidden="false" customHeight="false" outlineLevel="0" collapsed="false">
      <c r="A3137" s="0" t="n">
        <v>3136</v>
      </c>
      <c r="B3137" s="14" t="n">
        <v>109123.969512341</v>
      </c>
      <c r="C3137" s="15" t="n">
        <v>0.0525092956314386</v>
      </c>
      <c r="D3137" s="14" t="n">
        <f aca="false">Summary!$B$5-B3137</f>
        <v>-9123.9695123406</v>
      </c>
      <c r="E3137" s="15" t="n">
        <f aca="false">B3137/Summary!$B$5-1</f>
        <v>0.091239695123406</v>
      </c>
    </row>
    <row r="3138" customFormat="false" ht="15" hidden="false" customHeight="false" outlineLevel="0" collapsed="false">
      <c r="A3138" s="0" t="n">
        <v>3137</v>
      </c>
      <c r="B3138" s="14" t="n">
        <v>107981.003149913</v>
      </c>
      <c r="C3138" s="15" t="n">
        <v>0.0865944603644501</v>
      </c>
      <c r="D3138" s="14" t="n">
        <f aca="false">Summary!$B$5-B3138</f>
        <v>-7981.0031499129</v>
      </c>
      <c r="E3138" s="15" t="n">
        <f aca="false">B3138/Summary!$B$5-1</f>
        <v>0.079810031499129</v>
      </c>
    </row>
    <row r="3139" customFormat="false" ht="15" hidden="false" customHeight="false" outlineLevel="0" collapsed="false">
      <c r="A3139" s="0" t="n">
        <v>3138</v>
      </c>
      <c r="B3139" s="14" t="n">
        <v>99031.1683426078</v>
      </c>
      <c r="C3139" s="15" t="n">
        <v>0.134015379162669</v>
      </c>
      <c r="D3139" s="14" t="n">
        <f aca="false">Summary!$B$5-B3139</f>
        <v>968.83165739222</v>
      </c>
      <c r="E3139" s="15" t="n">
        <f aca="false">B3139/Summary!$B$5-1</f>
        <v>-0.00968831657392222</v>
      </c>
    </row>
    <row r="3140" customFormat="false" ht="15" hidden="false" customHeight="false" outlineLevel="0" collapsed="false">
      <c r="A3140" s="0" t="n">
        <v>3139</v>
      </c>
      <c r="B3140" s="14" t="n">
        <v>117887.974729295</v>
      </c>
      <c r="C3140" s="15" t="n">
        <v>0.0496679494389661</v>
      </c>
      <c r="D3140" s="14" t="n">
        <f aca="false">Summary!$B$5-B3140</f>
        <v>-17887.9747292953</v>
      </c>
      <c r="E3140" s="15" t="n">
        <f aca="false">B3140/Summary!$B$5-1</f>
        <v>0.178879747292953</v>
      </c>
    </row>
    <row r="3141" customFormat="false" ht="15" hidden="false" customHeight="false" outlineLevel="0" collapsed="false">
      <c r="A3141" s="0" t="n">
        <v>3140</v>
      </c>
      <c r="B3141" s="14" t="n">
        <v>100875.609662054</v>
      </c>
      <c r="C3141" s="15" t="n">
        <v>0.174153778313212</v>
      </c>
      <c r="D3141" s="14" t="n">
        <f aca="false">Summary!$B$5-B3141</f>
        <v>-875.609662054107</v>
      </c>
      <c r="E3141" s="15" t="n">
        <f aca="false">B3141/Summary!$B$5-1</f>
        <v>0.00875609662054111</v>
      </c>
    </row>
    <row r="3142" customFormat="false" ht="15" hidden="false" customHeight="false" outlineLevel="0" collapsed="false">
      <c r="A3142" s="0" t="n">
        <v>3141</v>
      </c>
      <c r="B3142" s="14" t="n">
        <v>105082.31551473</v>
      </c>
      <c r="C3142" s="15" t="n">
        <v>0.133092741464654</v>
      </c>
      <c r="D3142" s="14" t="n">
        <f aca="false">Summary!$B$5-B3142</f>
        <v>-5082.31551473</v>
      </c>
      <c r="E3142" s="15" t="n">
        <f aca="false">B3142/Summary!$B$5-1</f>
        <v>0.0508231551473</v>
      </c>
    </row>
    <row r="3143" customFormat="false" ht="15" hidden="false" customHeight="false" outlineLevel="0" collapsed="false">
      <c r="A3143" s="0" t="n">
        <v>3142</v>
      </c>
      <c r="B3143" s="14" t="n">
        <v>113158.591498516</v>
      </c>
      <c r="C3143" s="15" t="n">
        <v>0.0764293574227828</v>
      </c>
      <c r="D3143" s="14" t="n">
        <f aca="false">Summary!$B$5-B3143</f>
        <v>-13158.5914985164</v>
      </c>
      <c r="E3143" s="15" t="n">
        <f aca="false">B3143/Summary!$B$5-1</f>
        <v>0.131585914985164</v>
      </c>
    </row>
    <row r="3144" customFormat="false" ht="15" hidden="false" customHeight="false" outlineLevel="0" collapsed="false">
      <c r="A3144" s="0" t="n">
        <v>3143</v>
      </c>
      <c r="B3144" s="14" t="n">
        <v>112420.646872073</v>
      </c>
      <c r="C3144" s="15" t="n">
        <v>0.136939751341138</v>
      </c>
      <c r="D3144" s="14" t="n">
        <f aca="false">Summary!$B$5-B3144</f>
        <v>-12420.6468720727</v>
      </c>
      <c r="E3144" s="15" t="n">
        <f aca="false">B3144/Summary!$B$5-1</f>
        <v>0.124206468720727</v>
      </c>
    </row>
    <row r="3145" customFormat="false" ht="15" hidden="false" customHeight="false" outlineLevel="0" collapsed="false">
      <c r="A3145" s="0" t="n">
        <v>3144</v>
      </c>
      <c r="B3145" s="14" t="n">
        <v>120171.195459198</v>
      </c>
      <c r="C3145" s="15" t="n">
        <v>0.118197455144962</v>
      </c>
      <c r="D3145" s="14" t="n">
        <f aca="false">Summary!$B$5-B3145</f>
        <v>-20171.1954591977</v>
      </c>
      <c r="E3145" s="15" t="n">
        <f aca="false">B3145/Summary!$B$5-1</f>
        <v>0.201711954591977</v>
      </c>
    </row>
    <row r="3146" customFormat="false" ht="15" hidden="false" customHeight="false" outlineLevel="0" collapsed="false">
      <c r="A3146" s="0" t="n">
        <v>3145</v>
      </c>
      <c r="B3146" s="14" t="n">
        <v>98886.9836677066</v>
      </c>
      <c r="C3146" s="15" t="n">
        <v>0.128515633576159</v>
      </c>
      <c r="D3146" s="14" t="n">
        <f aca="false">Summary!$B$5-B3146</f>
        <v>1113.0163322934</v>
      </c>
      <c r="E3146" s="15" t="n">
        <f aca="false">B3146/Summary!$B$5-1</f>
        <v>-0.0111301633229339</v>
      </c>
    </row>
    <row r="3147" customFormat="false" ht="15" hidden="false" customHeight="false" outlineLevel="0" collapsed="false">
      <c r="A3147" s="0" t="n">
        <v>3146</v>
      </c>
      <c r="B3147" s="14" t="n">
        <v>137010.8375299</v>
      </c>
      <c r="C3147" s="15" t="n">
        <v>0.0540534144079228</v>
      </c>
      <c r="D3147" s="14" t="n">
        <f aca="false">Summary!$B$5-B3147</f>
        <v>-37010.8375298996</v>
      </c>
      <c r="E3147" s="15" t="n">
        <f aca="false">B3147/Summary!$B$5-1</f>
        <v>0.370108375298996</v>
      </c>
    </row>
    <row r="3148" customFormat="false" ht="15" hidden="false" customHeight="false" outlineLevel="0" collapsed="false">
      <c r="A3148" s="0" t="n">
        <v>3147</v>
      </c>
      <c r="B3148" s="14" t="n">
        <v>99135.8675711503</v>
      </c>
      <c r="C3148" s="15" t="n">
        <v>0.142748824301474</v>
      </c>
      <c r="D3148" s="14" t="n">
        <f aca="false">Summary!$B$5-B3148</f>
        <v>864.132428849727</v>
      </c>
      <c r="E3148" s="15" t="n">
        <f aca="false">B3148/Summary!$B$5-1</f>
        <v>-0.00864132428849729</v>
      </c>
    </row>
    <row r="3149" customFormat="false" ht="15" hidden="false" customHeight="false" outlineLevel="0" collapsed="false">
      <c r="A3149" s="0" t="n">
        <v>3148</v>
      </c>
      <c r="B3149" s="14" t="n">
        <v>98678.4705463621</v>
      </c>
      <c r="C3149" s="15" t="n">
        <v>0.0986698518470364</v>
      </c>
      <c r="D3149" s="14" t="n">
        <f aca="false">Summary!$B$5-B3149</f>
        <v>1321.52945363786</v>
      </c>
      <c r="E3149" s="15" t="n">
        <f aca="false">B3149/Summary!$B$5-1</f>
        <v>-0.0132152945363786</v>
      </c>
    </row>
    <row r="3150" customFormat="false" ht="15" hidden="false" customHeight="false" outlineLevel="0" collapsed="false">
      <c r="A3150" s="0" t="n">
        <v>3149</v>
      </c>
      <c r="B3150" s="14" t="n">
        <v>112589.865053374</v>
      </c>
      <c r="C3150" s="15" t="n">
        <v>0.0912605700818142</v>
      </c>
      <c r="D3150" s="14" t="n">
        <f aca="false">Summary!$B$5-B3150</f>
        <v>-12589.8650533741</v>
      </c>
      <c r="E3150" s="15" t="n">
        <f aca="false">B3150/Summary!$B$5-1</f>
        <v>0.125898650533741</v>
      </c>
    </row>
    <row r="3151" customFormat="false" ht="15" hidden="false" customHeight="false" outlineLevel="0" collapsed="false">
      <c r="A3151" s="0" t="n">
        <v>3150</v>
      </c>
      <c r="B3151" s="14" t="n">
        <v>129949.003722417</v>
      </c>
      <c r="C3151" s="15" t="n">
        <v>0.0500674599558163</v>
      </c>
      <c r="D3151" s="14" t="n">
        <f aca="false">Summary!$B$5-B3151</f>
        <v>-29949.0037224174</v>
      </c>
      <c r="E3151" s="15" t="n">
        <f aca="false">B3151/Summary!$B$5-1</f>
        <v>0.299490037224174</v>
      </c>
    </row>
    <row r="3152" customFormat="false" ht="15" hidden="false" customHeight="false" outlineLevel="0" collapsed="false">
      <c r="A3152" s="0" t="n">
        <v>3151</v>
      </c>
      <c r="B3152" s="14" t="n">
        <v>92511.2379504977</v>
      </c>
      <c r="C3152" s="15" t="n">
        <v>0.138310084639611</v>
      </c>
      <c r="D3152" s="14" t="n">
        <f aca="false">Summary!$B$5-B3152</f>
        <v>7488.76204950232</v>
      </c>
      <c r="E3152" s="15" t="n">
        <f aca="false">B3152/Summary!$B$5-1</f>
        <v>-0.0748876204950232</v>
      </c>
    </row>
    <row r="3153" customFormat="false" ht="15" hidden="false" customHeight="false" outlineLevel="0" collapsed="false">
      <c r="A3153" s="0" t="n">
        <v>3152</v>
      </c>
      <c r="B3153" s="14" t="n">
        <v>92867.4719679284</v>
      </c>
      <c r="C3153" s="15" t="n">
        <v>0.133528402719874</v>
      </c>
      <c r="D3153" s="14" t="n">
        <f aca="false">Summary!$B$5-B3153</f>
        <v>7132.52803207158</v>
      </c>
      <c r="E3153" s="15" t="n">
        <f aca="false">B3153/Summary!$B$5-1</f>
        <v>-0.0713252803207158</v>
      </c>
    </row>
    <row r="3154" customFormat="false" ht="15" hidden="false" customHeight="false" outlineLevel="0" collapsed="false">
      <c r="A3154" s="0" t="n">
        <v>3153</v>
      </c>
      <c r="B3154" s="14" t="n">
        <v>87436.5318011062</v>
      </c>
      <c r="C3154" s="15" t="n">
        <v>0.18586128975989</v>
      </c>
      <c r="D3154" s="14" t="n">
        <f aca="false">Summary!$B$5-B3154</f>
        <v>12563.4681988938</v>
      </c>
      <c r="E3154" s="15" t="n">
        <f aca="false">B3154/Summary!$B$5-1</f>
        <v>-0.125634681988938</v>
      </c>
    </row>
    <row r="3155" customFormat="false" ht="15" hidden="false" customHeight="false" outlineLevel="0" collapsed="false">
      <c r="A3155" s="0" t="n">
        <v>3154</v>
      </c>
      <c r="B3155" s="14" t="n">
        <v>142725.317054741</v>
      </c>
      <c r="C3155" s="15" t="n">
        <v>0.0394651461408885</v>
      </c>
      <c r="D3155" s="14" t="n">
        <f aca="false">Summary!$B$5-B3155</f>
        <v>-42725.3170547414</v>
      </c>
      <c r="E3155" s="15" t="n">
        <f aca="false">B3155/Summary!$B$5-1</f>
        <v>0.427253170547414</v>
      </c>
    </row>
    <row r="3156" customFormat="false" ht="15" hidden="false" customHeight="false" outlineLevel="0" collapsed="false">
      <c r="A3156" s="0" t="n">
        <v>3155</v>
      </c>
      <c r="B3156" s="14" t="n">
        <v>88128.4511669438</v>
      </c>
      <c r="C3156" s="15" t="n">
        <v>0.174653795750652</v>
      </c>
      <c r="D3156" s="14" t="n">
        <f aca="false">Summary!$B$5-B3156</f>
        <v>11871.5488330562</v>
      </c>
      <c r="E3156" s="15" t="n">
        <f aca="false">B3156/Summary!$B$5-1</f>
        <v>-0.118715488330562</v>
      </c>
    </row>
    <row r="3157" customFormat="false" ht="15" hidden="false" customHeight="false" outlineLevel="0" collapsed="false">
      <c r="A3157" s="0" t="n">
        <v>3156</v>
      </c>
      <c r="B3157" s="14" t="n">
        <v>122338.780461297</v>
      </c>
      <c r="C3157" s="15" t="n">
        <v>0.0699147825523424</v>
      </c>
      <c r="D3157" s="14" t="n">
        <f aca="false">Summary!$B$5-B3157</f>
        <v>-22338.7804612965</v>
      </c>
      <c r="E3157" s="15" t="n">
        <f aca="false">B3157/Summary!$B$5-1</f>
        <v>0.223387804612965</v>
      </c>
    </row>
    <row r="3158" customFormat="false" ht="15" hidden="false" customHeight="false" outlineLevel="0" collapsed="false">
      <c r="A3158" s="0" t="n">
        <v>3157</v>
      </c>
      <c r="B3158" s="14" t="n">
        <v>105273.140828482</v>
      </c>
      <c r="C3158" s="15" t="n">
        <v>0.0795089807783153</v>
      </c>
      <c r="D3158" s="14" t="n">
        <f aca="false">Summary!$B$5-B3158</f>
        <v>-5273.1408284819</v>
      </c>
      <c r="E3158" s="15" t="n">
        <f aca="false">B3158/Summary!$B$5-1</f>
        <v>0.0527314082848192</v>
      </c>
    </row>
    <row r="3159" customFormat="false" ht="15" hidden="false" customHeight="false" outlineLevel="0" collapsed="false">
      <c r="A3159" s="0" t="n">
        <v>3158</v>
      </c>
      <c r="B3159" s="14" t="n">
        <v>103277.619598122</v>
      </c>
      <c r="C3159" s="15" t="n">
        <v>0.12456047467151</v>
      </c>
      <c r="D3159" s="14" t="n">
        <f aca="false">Summary!$B$5-B3159</f>
        <v>-3277.6195981215</v>
      </c>
      <c r="E3159" s="15" t="n">
        <f aca="false">B3159/Summary!$B$5-1</f>
        <v>0.032776195981215</v>
      </c>
    </row>
    <row r="3160" customFormat="false" ht="15" hidden="false" customHeight="false" outlineLevel="0" collapsed="false">
      <c r="A3160" s="0" t="n">
        <v>3159</v>
      </c>
      <c r="B3160" s="14" t="n">
        <v>103592.118746715</v>
      </c>
      <c r="C3160" s="15" t="n">
        <v>0.100382243470448</v>
      </c>
      <c r="D3160" s="14" t="n">
        <f aca="false">Summary!$B$5-B3160</f>
        <v>-3592.1187467148</v>
      </c>
      <c r="E3160" s="15" t="n">
        <f aca="false">B3160/Summary!$B$5-1</f>
        <v>0.0359211874671479</v>
      </c>
    </row>
    <row r="3161" customFormat="false" ht="15" hidden="false" customHeight="false" outlineLevel="0" collapsed="false">
      <c r="A3161" s="0" t="n">
        <v>3160</v>
      </c>
      <c r="B3161" s="14" t="n">
        <v>115043.113635648</v>
      </c>
      <c r="C3161" s="15" t="n">
        <v>0.0913814098452039</v>
      </c>
      <c r="D3161" s="14" t="n">
        <f aca="false">Summary!$B$5-B3161</f>
        <v>-15043.113635648</v>
      </c>
      <c r="E3161" s="15" t="n">
        <f aca="false">B3161/Summary!$B$5-1</f>
        <v>0.15043113635648</v>
      </c>
    </row>
    <row r="3162" customFormat="false" ht="15" hidden="false" customHeight="false" outlineLevel="0" collapsed="false">
      <c r="A3162" s="0" t="n">
        <v>3161</v>
      </c>
      <c r="B3162" s="14" t="n">
        <v>99876.6304843695</v>
      </c>
      <c r="C3162" s="15" t="n">
        <v>0.136856644914357</v>
      </c>
      <c r="D3162" s="14" t="n">
        <f aca="false">Summary!$B$5-B3162</f>
        <v>123.369515630504</v>
      </c>
      <c r="E3162" s="15" t="n">
        <f aca="false">B3162/Summary!$B$5-1</f>
        <v>-0.001233695156305</v>
      </c>
    </row>
    <row r="3163" customFormat="false" ht="15" hidden="false" customHeight="false" outlineLevel="0" collapsed="false">
      <c r="A3163" s="0" t="n">
        <v>3162</v>
      </c>
      <c r="B3163" s="14" t="n">
        <v>110200.647550044</v>
      </c>
      <c r="C3163" s="15" t="n">
        <v>0.104225325897774</v>
      </c>
      <c r="D3163" s="14" t="n">
        <f aca="false">Summary!$B$5-B3163</f>
        <v>-10200.6475500436</v>
      </c>
      <c r="E3163" s="15" t="n">
        <f aca="false">B3163/Summary!$B$5-1</f>
        <v>0.102006475500436</v>
      </c>
    </row>
    <row r="3164" customFormat="false" ht="15" hidden="false" customHeight="false" outlineLevel="0" collapsed="false">
      <c r="A3164" s="0" t="n">
        <v>3163</v>
      </c>
      <c r="B3164" s="14" t="n">
        <v>98849.9660598839</v>
      </c>
      <c r="C3164" s="15" t="n">
        <v>0.104906557816228</v>
      </c>
      <c r="D3164" s="14" t="n">
        <f aca="false">Summary!$B$5-B3164</f>
        <v>1150.03394011613</v>
      </c>
      <c r="E3164" s="15" t="n">
        <f aca="false">B3164/Summary!$B$5-1</f>
        <v>-0.0115003394011614</v>
      </c>
    </row>
    <row r="3165" customFormat="false" ht="15" hidden="false" customHeight="false" outlineLevel="0" collapsed="false">
      <c r="A3165" s="0" t="n">
        <v>3164</v>
      </c>
      <c r="B3165" s="14" t="n">
        <v>71998.565873607</v>
      </c>
      <c r="C3165" s="15" t="n">
        <v>0.295246111880977</v>
      </c>
      <c r="D3165" s="14" t="n">
        <f aca="false">Summary!$B$5-B3165</f>
        <v>28001.434126393</v>
      </c>
      <c r="E3165" s="15" t="n">
        <f aca="false">B3165/Summary!$B$5-1</f>
        <v>-0.28001434126393</v>
      </c>
    </row>
    <row r="3166" customFormat="false" ht="15" hidden="false" customHeight="false" outlineLevel="0" collapsed="false">
      <c r="A3166" s="0" t="n">
        <v>3165</v>
      </c>
      <c r="B3166" s="14" t="n">
        <v>116585.437373211</v>
      </c>
      <c r="C3166" s="15" t="n">
        <v>0.0607364923582986</v>
      </c>
      <c r="D3166" s="14" t="n">
        <f aca="false">Summary!$B$5-B3166</f>
        <v>-16585.437373211</v>
      </c>
      <c r="E3166" s="15" t="n">
        <f aca="false">B3166/Summary!$B$5-1</f>
        <v>0.16585437373211</v>
      </c>
    </row>
    <row r="3167" customFormat="false" ht="15" hidden="false" customHeight="false" outlineLevel="0" collapsed="false">
      <c r="A3167" s="0" t="n">
        <v>3166</v>
      </c>
      <c r="B3167" s="14" t="n">
        <v>120242.133869891</v>
      </c>
      <c r="C3167" s="15" t="n">
        <v>0.0732254578348162</v>
      </c>
      <c r="D3167" s="14" t="n">
        <f aca="false">Summary!$B$5-B3167</f>
        <v>-20242.1338698908</v>
      </c>
      <c r="E3167" s="15" t="n">
        <f aca="false">B3167/Summary!$B$5-1</f>
        <v>0.202421338698908</v>
      </c>
    </row>
    <row r="3168" customFormat="false" ht="15" hidden="false" customHeight="false" outlineLevel="0" collapsed="false">
      <c r="A3168" s="0" t="n">
        <v>3167</v>
      </c>
      <c r="B3168" s="14" t="n">
        <v>118436.523998867</v>
      </c>
      <c r="C3168" s="15" t="n">
        <v>0.0506263948102587</v>
      </c>
      <c r="D3168" s="14" t="n">
        <f aca="false">Summary!$B$5-B3168</f>
        <v>-18436.5239988671</v>
      </c>
      <c r="E3168" s="15" t="n">
        <f aca="false">B3168/Summary!$B$5-1</f>
        <v>0.184365239988671</v>
      </c>
    </row>
    <row r="3169" customFormat="false" ht="15" hidden="false" customHeight="false" outlineLevel="0" collapsed="false">
      <c r="A3169" s="0" t="n">
        <v>3168</v>
      </c>
      <c r="B3169" s="14" t="n">
        <v>105867.776943233</v>
      </c>
      <c r="C3169" s="15" t="n">
        <v>0.0543047816779135</v>
      </c>
      <c r="D3169" s="14" t="n">
        <f aca="false">Summary!$B$5-B3169</f>
        <v>-5867.7769432333</v>
      </c>
      <c r="E3169" s="15" t="n">
        <f aca="false">B3169/Summary!$B$5-1</f>
        <v>0.0586777694323331</v>
      </c>
    </row>
    <row r="3170" customFormat="false" ht="15" hidden="false" customHeight="false" outlineLevel="0" collapsed="false">
      <c r="A3170" s="0" t="n">
        <v>3169</v>
      </c>
      <c r="B3170" s="14" t="n">
        <v>107476.424099537</v>
      </c>
      <c r="C3170" s="15" t="n">
        <v>0.101438362729367</v>
      </c>
      <c r="D3170" s="14" t="n">
        <f aca="false">Summary!$B$5-B3170</f>
        <v>-7476.42409953701</v>
      </c>
      <c r="E3170" s="15" t="n">
        <f aca="false">B3170/Summary!$B$5-1</f>
        <v>0.0747642409953702</v>
      </c>
    </row>
    <row r="3171" customFormat="false" ht="15" hidden="false" customHeight="false" outlineLevel="0" collapsed="false">
      <c r="A3171" s="0" t="n">
        <v>3170</v>
      </c>
      <c r="B3171" s="14" t="n">
        <v>118245.138160121</v>
      </c>
      <c r="C3171" s="15" t="n">
        <v>0.0679257498803666</v>
      </c>
      <c r="D3171" s="14" t="n">
        <f aca="false">Summary!$B$5-B3171</f>
        <v>-18245.1381601207</v>
      </c>
      <c r="E3171" s="15" t="n">
        <f aca="false">B3171/Summary!$B$5-1</f>
        <v>0.182451381601207</v>
      </c>
    </row>
    <row r="3172" customFormat="false" ht="15" hidden="false" customHeight="false" outlineLevel="0" collapsed="false">
      <c r="A3172" s="0" t="n">
        <v>3171</v>
      </c>
      <c r="B3172" s="14" t="n">
        <v>130039.128299736</v>
      </c>
      <c r="C3172" s="15" t="n">
        <v>0.0513825744394042</v>
      </c>
      <c r="D3172" s="14" t="n">
        <f aca="false">Summary!$B$5-B3172</f>
        <v>-30039.128299736</v>
      </c>
      <c r="E3172" s="15" t="n">
        <f aca="false">B3172/Summary!$B$5-1</f>
        <v>0.30039128299736</v>
      </c>
    </row>
    <row r="3173" customFormat="false" ht="15" hidden="false" customHeight="false" outlineLevel="0" collapsed="false">
      <c r="A3173" s="0" t="n">
        <v>3172</v>
      </c>
      <c r="B3173" s="14" t="n">
        <v>108305.205718887</v>
      </c>
      <c r="C3173" s="15" t="n">
        <v>0.064260172092913</v>
      </c>
      <c r="D3173" s="14" t="n">
        <f aca="false">Summary!$B$5-B3173</f>
        <v>-8305.2057188872</v>
      </c>
      <c r="E3173" s="15" t="n">
        <f aca="false">B3173/Summary!$B$5-1</f>
        <v>0.083052057188872</v>
      </c>
    </row>
    <row r="3174" customFormat="false" ht="15" hidden="false" customHeight="false" outlineLevel="0" collapsed="false">
      <c r="A3174" s="0" t="n">
        <v>3173</v>
      </c>
      <c r="B3174" s="14" t="n">
        <v>106678.543498994</v>
      </c>
      <c r="C3174" s="15" t="n">
        <v>0.0711863206255001</v>
      </c>
      <c r="D3174" s="14" t="n">
        <f aca="false">Summary!$B$5-B3174</f>
        <v>-6678.543498994</v>
      </c>
      <c r="E3174" s="15" t="n">
        <f aca="false">B3174/Summary!$B$5-1</f>
        <v>0.0667854349899399</v>
      </c>
    </row>
    <row r="3175" customFormat="false" ht="15" hidden="false" customHeight="false" outlineLevel="0" collapsed="false">
      <c r="A3175" s="0" t="n">
        <v>3174</v>
      </c>
      <c r="B3175" s="14" t="n">
        <v>110733.185225729</v>
      </c>
      <c r="C3175" s="15" t="n">
        <v>0.0711953649408867</v>
      </c>
      <c r="D3175" s="14" t="n">
        <f aca="false">Summary!$B$5-B3175</f>
        <v>-10733.1852257292</v>
      </c>
      <c r="E3175" s="15" t="n">
        <f aca="false">B3175/Summary!$B$5-1</f>
        <v>0.107331852257292</v>
      </c>
    </row>
    <row r="3176" customFormat="false" ht="15" hidden="false" customHeight="false" outlineLevel="0" collapsed="false">
      <c r="A3176" s="0" t="n">
        <v>3175</v>
      </c>
      <c r="B3176" s="14" t="n">
        <v>92941.2943379766</v>
      </c>
      <c r="C3176" s="15" t="n">
        <v>0.126792555004774</v>
      </c>
      <c r="D3176" s="14" t="n">
        <f aca="false">Summary!$B$5-B3176</f>
        <v>7058.70566202344</v>
      </c>
      <c r="E3176" s="15" t="n">
        <f aca="false">B3176/Summary!$B$5-1</f>
        <v>-0.0705870566202344</v>
      </c>
    </row>
    <row r="3177" customFormat="false" ht="15" hidden="false" customHeight="false" outlineLevel="0" collapsed="false">
      <c r="A3177" s="0" t="n">
        <v>3176</v>
      </c>
      <c r="B3177" s="14" t="n">
        <v>100526.09677407</v>
      </c>
      <c r="C3177" s="15" t="n">
        <v>0.0906572887156913</v>
      </c>
      <c r="D3177" s="14" t="n">
        <f aca="false">Summary!$B$5-B3177</f>
        <v>-526.09677407</v>
      </c>
      <c r="E3177" s="15" t="n">
        <f aca="false">B3177/Summary!$B$5-1</f>
        <v>0.00526096774070006</v>
      </c>
    </row>
    <row r="3178" customFormat="false" ht="15" hidden="false" customHeight="false" outlineLevel="0" collapsed="false">
      <c r="A3178" s="0" t="n">
        <v>3177</v>
      </c>
      <c r="B3178" s="14" t="n">
        <v>136352.790051433</v>
      </c>
      <c r="C3178" s="15" t="n">
        <v>0.0767329638794591</v>
      </c>
      <c r="D3178" s="14" t="n">
        <f aca="false">Summary!$B$5-B3178</f>
        <v>-36352.7900514333</v>
      </c>
      <c r="E3178" s="15" t="n">
        <f aca="false">B3178/Summary!$B$5-1</f>
        <v>0.363527900514333</v>
      </c>
    </row>
    <row r="3179" customFormat="false" ht="15" hidden="false" customHeight="false" outlineLevel="0" collapsed="false">
      <c r="A3179" s="0" t="n">
        <v>3178</v>
      </c>
      <c r="B3179" s="14" t="n">
        <v>99636.4322906055</v>
      </c>
      <c r="C3179" s="15" t="n">
        <v>0.120398421997332</v>
      </c>
      <c r="D3179" s="14" t="n">
        <f aca="false">Summary!$B$5-B3179</f>
        <v>363.567709394483</v>
      </c>
      <c r="E3179" s="15" t="n">
        <f aca="false">B3179/Summary!$B$5-1</f>
        <v>-0.00363567709394486</v>
      </c>
    </row>
    <row r="3180" customFormat="false" ht="15" hidden="false" customHeight="false" outlineLevel="0" collapsed="false">
      <c r="A3180" s="0" t="n">
        <v>3179</v>
      </c>
      <c r="B3180" s="14" t="n">
        <v>123010.164637775</v>
      </c>
      <c r="C3180" s="15" t="n">
        <v>0.0756690746444634</v>
      </c>
      <c r="D3180" s="14" t="n">
        <f aca="false">Summary!$B$5-B3180</f>
        <v>-23010.1646377746</v>
      </c>
      <c r="E3180" s="15" t="n">
        <f aca="false">B3180/Summary!$B$5-1</f>
        <v>0.230101646377746</v>
      </c>
    </row>
    <row r="3181" customFormat="false" ht="15" hidden="false" customHeight="false" outlineLevel="0" collapsed="false">
      <c r="A3181" s="0" t="n">
        <v>3180</v>
      </c>
      <c r="B3181" s="14" t="n">
        <v>86136.7698038746</v>
      </c>
      <c r="C3181" s="15" t="n">
        <v>0.20569476206706</v>
      </c>
      <c r="D3181" s="14" t="n">
        <f aca="false">Summary!$B$5-B3181</f>
        <v>13863.2301961254</v>
      </c>
      <c r="E3181" s="15" t="n">
        <f aca="false">B3181/Summary!$B$5-1</f>
        <v>-0.138632301961254</v>
      </c>
    </row>
    <row r="3182" customFormat="false" ht="15" hidden="false" customHeight="false" outlineLevel="0" collapsed="false">
      <c r="A3182" s="0" t="n">
        <v>3181</v>
      </c>
      <c r="B3182" s="14" t="n">
        <v>116547.445389964</v>
      </c>
      <c r="C3182" s="15" t="n">
        <v>0.151609174712575</v>
      </c>
      <c r="D3182" s="14" t="n">
        <f aca="false">Summary!$B$5-B3182</f>
        <v>-16547.4453899644</v>
      </c>
      <c r="E3182" s="15" t="n">
        <f aca="false">B3182/Summary!$B$5-1</f>
        <v>0.165474453899644</v>
      </c>
    </row>
    <row r="3183" customFormat="false" ht="15" hidden="false" customHeight="false" outlineLevel="0" collapsed="false">
      <c r="A3183" s="0" t="n">
        <v>3182</v>
      </c>
      <c r="B3183" s="14" t="n">
        <v>107537.169516443</v>
      </c>
      <c r="C3183" s="15" t="n">
        <v>0.082364218465232</v>
      </c>
      <c r="D3183" s="14" t="n">
        <f aca="false">Summary!$B$5-B3183</f>
        <v>-7537.1695164431</v>
      </c>
      <c r="E3183" s="15" t="n">
        <f aca="false">B3183/Summary!$B$5-1</f>
        <v>0.075371695164431</v>
      </c>
    </row>
    <row r="3184" customFormat="false" ht="15" hidden="false" customHeight="false" outlineLevel="0" collapsed="false">
      <c r="A3184" s="0" t="n">
        <v>3183</v>
      </c>
      <c r="B3184" s="14" t="n">
        <v>100154.307433911</v>
      </c>
      <c r="C3184" s="15" t="n">
        <v>0.171612472628185</v>
      </c>
      <c r="D3184" s="14" t="n">
        <f aca="false">Summary!$B$5-B3184</f>
        <v>-154.307433910697</v>
      </c>
      <c r="E3184" s="15" t="n">
        <f aca="false">B3184/Summary!$B$5-1</f>
        <v>0.00154307433910694</v>
      </c>
    </row>
    <row r="3185" customFormat="false" ht="15" hidden="false" customHeight="false" outlineLevel="0" collapsed="false">
      <c r="A3185" s="0" t="n">
        <v>3184</v>
      </c>
      <c r="B3185" s="14" t="n">
        <v>94298.3244735914</v>
      </c>
      <c r="C3185" s="15" t="n">
        <v>0.175883414409223</v>
      </c>
      <c r="D3185" s="14" t="n">
        <f aca="false">Summary!$B$5-B3185</f>
        <v>5701.67552640861</v>
      </c>
      <c r="E3185" s="15" t="n">
        <f aca="false">B3185/Summary!$B$5-1</f>
        <v>-0.0570167552640861</v>
      </c>
    </row>
    <row r="3186" customFormat="false" ht="15" hidden="false" customHeight="false" outlineLevel="0" collapsed="false">
      <c r="A3186" s="0" t="n">
        <v>3185</v>
      </c>
      <c r="B3186" s="14" t="n">
        <v>98197.2564903067</v>
      </c>
      <c r="C3186" s="15" t="n">
        <v>0.145858265627344</v>
      </c>
      <c r="D3186" s="14" t="n">
        <f aca="false">Summary!$B$5-B3186</f>
        <v>1802.74350969328</v>
      </c>
      <c r="E3186" s="15" t="n">
        <f aca="false">B3186/Summary!$B$5-1</f>
        <v>-0.0180274350969327</v>
      </c>
    </row>
    <row r="3187" customFormat="false" ht="15" hidden="false" customHeight="false" outlineLevel="0" collapsed="false">
      <c r="A3187" s="0" t="n">
        <v>3186</v>
      </c>
      <c r="B3187" s="14" t="n">
        <v>120192.964828425</v>
      </c>
      <c r="C3187" s="15" t="n">
        <v>0.114707595437606</v>
      </c>
      <c r="D3187" s="14" t="n">
        <f aca="false">Summary!$B$5-B3187</f>
        <v>-20192.9648284252</v>
      </c>
      <c r="E3187" s="15" t="n">
        <f aca="false">B3187/Summary!$B$5-1</f>
        <v>0.201929648284252</v>
      </c>
    </row>
    <row r="3188" customFormat="false" ht="15" hidden="false" customHeight="false" outlineLevel="0" collapsed="false">
      <c r="A3188" s="0" t="n">
        <v>3187</v>
      </c>
      <c r="B3188" s="14" t="n">
        <v>107358.114643439</v>
      </c>
      <c r="C3188" s="15" t="n">
        <v>0.0810273884021173</v>
      </c>
      <c r="D3188" s="14" t="n">
        <f aca="false">Summary!$B$5-B3188</f>
        <v>-7358.1146434386</v>
      </c>
      <c r="E3188" s="15" t="n">
        <f aca="false">B3188/Summary!$B$5-1</f>
        <v>0.0735811464343861</v>
      </c>
    </row>
    <row r="3189" customFormat="false" ht="15" hidden="false" customHeight="false" outlineLevel="0" collapsed="false">
      <c r="A3189" s="0" t="n">
        <v>3188</v>
      </c>
      <c r="B3189" s="14" t="n">
        <v>122047.34498736</v>
      </c>
      <c r="C3189" s="15" t="n">
        <v>0.0929549693657702</v>
      </c>
      <c r="D3189" s="14" t="n">
        <f aca="false">Summary!$B$5-B3189</f>
        <v>-22047.3449873599</v>
      </c>
      <c r="E3189" s="15" t="n">
        <f aca="false">B3189/Summary!$B$5-1</f>
        <v>0.220473449873599</v>
      </c>
    </row>
    <row r="3190" customFormat="false" ht="15" hidden="false" customHeight="false" outlineLevel="0" collapsed="false">
      <c r="A3190" s="0" t="n">
        <v>3189</v>
      </c>
      <c r="B3190" s="14" t="n">
        <v>96824.3103252449</v>
      </c>
      <c r="C3190" s="15" t="n">
        <v>0.0926667512892027</v>
      </c>
      <c r="D3190" s="14" t="n">
        <f aca="false">Summary!$B$5-B3190</f>
        <v>3175.68967475512</v>
      </c>
      <c r="E3190" s="15" t="n">
        <f aca="false">B3190/Summary!$B$5-1</f>
        <v>-0.0317568967475512</v>
      </c>
    </row>
    <row r="3191" customFormat="false" ht="15" hidden="false" customHeight="false" outlineLevel="0" collapsed="false">
      <c r="A3191" s="0" t="n">
        <v>3190</v>
      </c>
      <c r="B3191" s="14" t="n">
        <v>106760.310815831</v>
      </c>
      <c r="C3191" s="15" t="n">
        <v>0.0972925612860912</v>
      </c>
      <c r="D3191" s="14" t="n">
        <f aca="false">Summary!$B$5-B3191</f>
        <v>-6760.3108158307</v>
      </c>
      <c r="E3191" s="15" t="n">
        <f aca="false">B3191/Summary!$B$5-1</f>
        <v>0.0676031081583071</v>
      </c>
    </row>
    <row r="3192" customFormat="false" ht="15" hidden="false" customHeight="false" outlineLevel="0" collapsed="false">
      <c r="A3192" s="0" t="n">
        <v>3191</v>
      </c>
      <c r="B3192" s="14" t="n">
        <v>98041.5914354103</v>
      </c>
      <c r="C3192" s="15" t="n">
        <v>0.137190306323238</v>
      </c>
      <c r="D3192" s="14" t="n">
        <f aca="false">Summary!$B$5-B3192</f>
        <v>1958.40856458971</v>
      </c>
      <c r="E3192" s="15" t="n">
        <f aca="false">B3192/Summary!$B$5-1</f>
        <v>-0.0195840856458971</v>
      </c>
    </row>
    <row r="3193" customFormat="false" ht="15" hidden="false" customHeight="false" outlineLevel="0" collapsed="false">
      <c r="A3193" s="0" t="n">
        <v>3192</v>
      </c>
      <c r="B3193" s="14" t="n">
        <v>122864.882126589</v>
      </c>
      <c r="C3193" s="15" t="n">
        <v>0.0563671482289575</v>
      </c>
      <c r="D3193" s="14" t="n">
        <f aca="false">Summary!$B$5-B3193</f>
        <v>-22864.8821265886</v>
      </c>
      <c r="E3193" s="15" t="n">
        <f aca="false">B3193/Summary!$B$5-1</f>
        <v>0.228648821265886</v>
      </c>
    </row>
    <row r="3194" customFormat="false" ht="15" hidden="false" customHeight="false" outlineLevel="0" collapsed="false">
      <c r="A3194" s="0" t="n">
        <v>3193</v>
      </c>
      <c r="B3194" s="14" t="n">
        <v>108578.956173013</v>
      </c>
      <c r="C3194" s="15" t="n">
        <v>0.126453361386714</v>
      </c>
      <c r="D3194" s="14" t="n">
        <f aca="false">Summary!$B$5-B3194</f>
        <v>-8578.95617301299</v>
      </c>
      <c r="E3194" s="15" t="n">
        <f aca="false">B3194/Summary!$B$5-1</f>
        <v>0.0857895617301299</v>
      </c>
    </row>
    <row r="3195" customFormat="false" ht="15" hidden="false" customHeight="false" outlineLevel="0" collapsed="false">
      <c r="A3195" s="0" t="n">
        <v>3194</v>
      </c>
      <c r="B3195" s="14" t="n">
        <v>102105.287400006</v>
      </c>
      <c r="C3195" s="15" t="n">
        <v>0.0929123256972416</v>
      </c>
      <c r="D3195" s="14" t="n">
        <f aca="false">Summary!$B$5-B3195</f>
        <v>-2105.2874000061</v>
      </c>
      <c r="E3195" s="15" t="n">
        <f aca="false">B3195/Summary!$B$5-1</f>
        <v>0.0210528740000611</v>
      </c>
    </row>
    <row r="3196" customFormat="false" ht="15" hidden="false" customHeight="false" outlineLevel="0" collapsed="false">
      <c r="A3196" s="0" t="n">
        <v>3195</v>
      </c>
      <c r="B3196" s="14" t="n">
        <v>112552.988394744</v>
      </c>
      <c r="C3196" s="15" t="n">
        <v>0.0634226396734583</v>
      </c>
      <c r="D3196" s="14" t="n">
        <f aca="false">Summary!$B$5-B3196</f>
        <v>-12552.9883947438</v>
      </c>
      <c r="E3196" s="15" t="n">
        <f aca="false">B3196/Summary!$B$5-1</f>
        <v>0.125529883947438</v>
      </c>
    </row>
    <row r="3197" customFormat="false" ht="15" hidden="false" customHeight="false" outlineLevel="0" collapsed="false">
      <c r="A3197" s="0" t="n">
        <v>3196</v>
      </c>
      <c r="B3197" s="14" t="n">
        <v>107079.694699055</v>
      </c>
      <c r="C3197" s="15" t="n">
        <v>0.10559395015283</v>
      </c>
      <c r="D3197" s="14" t="n">
        <f aca="false">Summary!$B$5-B3197</f>
        <v>-7079.69469905501</v>
      </c>
      <c r="E3197" s="15" t="n">
        <f aca="false">B3197/Summary!$B$5-1</f>
        <v>0.0707969469905501</v>
      </c>
    </row>
    <row r="3198" customFormat="false" ht="15" hidden="false" customHeight="false" outlineLevel="0" collapsed="false">
      <c r="A3198" s="0" t="n">
        <v>3197</v>
      </c>
      <c r="B3198" s="14" t="n">
        <v>92715.8755991178</v>
      </c>
      <c r="C3198" s="15" t="n">
        <v>0.161354418789186</v>
      </c>
      <c r="D3198" s="14" t="n">
        <f aca="false">Summary!$B$5-B3198</f>
        <v>7284.12440088223</v>
      </c>
      <c r="E3198" s="15" t="n">
        <f aca="false">B3198/Summary!$B$5-1</f>
        <v>-0.0728412440088223</v>
      </c>
    </row>
    <row r="3199" customFormat="false" ht="15" hidden="false" customHeight="false" outlineLevel="0" collapsed="false">
      <c r="A3199" s="0" t="n">
        <v>3198</v>
      </c>
      <c r="B3199" s="14" t="n">
        <v>108933.389064766</v>
      </c>
      <c r="C3199" s="15" t="n">
        <v>0.0563062147339929</v>
      </c>
      <c r="D3199" s="14" t="n">
        <f aca="false">Summary!$B$5-B3199</f>
        <v>-8933.3890647661</v>
      </c>
      <c r="E3199" s="15" t="n">
        <f aca="false">B3199/Summary!$B$5-1</f>
        <v>0.0893338906476611</v>
      </c>
    </row>
    <row r="3200" customFormat="false" ht="15" hidden="false" customHeight="false" outlineLevel="0" collapsed="false">
      <c r="A3200" s="0" t="n">
        <v>3199</v>
      </c>
      <c r="B3200" s="14" t="n">
        <v>105407.963792171</v>
      </c>
      <c r="C3200" s="15" t="n">
        <v>0.130532754873568</v>
      </c>
      <c r="D3200" s="14" t="n">
        <f aca="false">Summary!$B$5-B3200</f>
        <v>-5407.963792171</v>
      </c>
      <c r="E3200" s="15" t="n">
        <f aca="false">B3200/Summary!$B$5-1</f>
        <v>0.0540796379217099</v>
      </c>
    </row>
    <row r="3201" customFormat="false" ht="15" hidden="false" customHeight="false" outlineLevel="0" collapsed="false">
      <c r="A3201" s="0" t="n">
        <v>3200</v>
      </c>
      <c r="B3201" s="14" t="n">
        <v>130822.031968712</v>
      </c>
      <c r="C3201" s="15" t="n">
        <v>0.0366679876217383</v>
      </c>
      <c r="D3201" s="14" t="n">
        <f aca="false">Summary!$B$5-B3201</f>
        <v>-30822.0319687119</v>
      </c>
      <c r="E3201" s="15" t="n">
        <f aca="false">B3201/Summary!$B$5-1</f>
        <v>0.308220319687119</v>
      </c>
    </row>
    <row r="3202" customFormat="false" ht="15" hidden="false" customHeight="false" outlineLevel="0" collapsed="false">
      <c r="A3202" s="0" t="n">
        <v>3201</v>
      </c>
      <c r="B3202" s="14" t="n">
        <v>109593.426335044</v>
      </c>
      <c r="C3202" s="15" t="n">
        <v>0.0709707600585408</v>
      </c>
      <c r="D3202" s="14" t="n">
        <f aca="false">Summary!$B$5-B3202</f>
        <v>-9593.42633504359</v>
      </c>
      <c r="E3202" s="15" t="n">
        <f aca="false">B3202/Summary!$B$5-1</f>
        <v>0.0959342633504359</v>
      </c>
    </row>
    <row r="3203" customFormat="false" ht="15" hidden="false" customHeight="false" outlineLevel="0" collapsed="false">
      <c r="A3203" s="0" t="n">
        <v>3202</v>
      </c>
      <c r="B3203" s="14" t="n">
        <v>112741.198575978</v>
      </c>
      <c r="C3203" s="15" t="n">
        <v>0.118278393428782</v>
      </c>
      <c r="D3203" s="14" t="n">
        <f aca="false">Summary!$B$5-B3203</f>
        <v>-12741.1985759777</v>
      </c>
      <c r="E3203" s="15" t="n">
        <f aca="false">B3203/Summary!$B$5-1</f>
        <v>0.127411985759777</v>
      </c>
    </row>
    <row r="3204" customFormat="false" ht="15" hidden="false" customHeight="false" outlineLevel="0" collapsed="false">
      <c r="A3204" s="0" t="n">
        <v>3203</v>
      </c>
      <c r="B3204" s="14" t="n">
        <v>117794.804823788</v>
      </c>
      <c r="C3204" s="15" t="n">
        <v>0.119045200929296</v>
      </c>
      <c r="D3204" s="14" t="n">
        <f aca="false">Summary!$B$5-B3204</f>
        <v>-17794.8048237876</v>
      </c>
      <c r="E3204" s="15" t="n">
        <f aca="false">B3204/Summary!$B$5-1</f>
        <v>0.177948048237876</v>
      </c>
    </row>
    <row r="3205" customFormat="false" ht="15" hidden="false" customHeight="false" outlineLevel="0" collapsed="false">
      <c r="A3205" s="0" t="n">
        <v>3204</v>
      </c>
      <c r="B3205" s="14" t="n">
        <v>98853.8475969588</v>
      </c>
      <c r="C3205" s="15" t="n">
        <v>0.108207542677785</v>
      </c>
      <c r="D3205" s="14" t="n">
        <f aca="false">Summary!$B$5-B3205</f>
        <v>1146.15240304124</v>
      </c>
      <c r="E3205" s="15" t="n">
        <f aca="false">B3205/Summary!$B$5-1</f>
        <v>-0.0114615240304125</v>
      </c>
    </row>
    <row r="3206" customFormat="false" ht="15" hidden="false" customHeight="false" outlineLevel="0" collapsed="false">
      <c r="A3206" s="0" t="n">
        <v>3205</v>
      </c>
      <c r="B3206" s="14" t="n">
        <v>120472.786164224</v>
      </c>
      <c r="C3206" s="15" t="n">
        <v>0.0735599048529375</v>
      </c>
      <c r="D3206" s="14" t="n">
        <f aca="false">Summary!$B$5-B3206</f>
        <v>-20472.7861642244</v>
      </c>
      <c r="E3206" s="15" t="n">
        <f aca="false">B3206/Summary!$B$5-1</f>
        <v>0.204727861642244</v>
      </c>
    </row>
    <row r="3207" customFormat="false" ht="15" hidden="false" customHeight="false" outlineLevel="0" collapsed="false">
      <c r="A3207" s="0" t="n">
        <v>3206</v>
      </c>
      <c r="B3207" s="14" t="n">
        <v>115844.61846729</v>
      </c>
      <c r="C3207" s="15" t="n">
        <v>0.065099324822185</v>
      </c>
      <c r="D3207" s="14" t="n">
        <f aca="false">Summary!$B$5-B3207</f>
        <v>-15844.6184672897</v>
      </c>
      <c r="E3207" s="15" t="n">
        <f aca="false">B3207/Summary!$B$5-1</f>
        <v>0.158446184672897</v>
      </c>
    </row>
    <row r="3208" customFormat="false" ht="15" hidden="false" customHeight="false" outlineLevel="0" collapsed="false">
      <c r="A3208" s="0" t="n">
        <v>3207</v>
      </c>
      <c r="B3208" s="14" t="n">
        <v>95468.7767894828</v>
      </c>
      <c r="C3208" s="15" t="n">
        <v>0.13247733751694</v>
      </c>
      <c r="D3208" s="14" t="n">
        <f aca="false">Summary!$B$5-B3208</f>
        <v>4531.22321051723</v>
      </c>
      <c r="E3208" s="15" t="n">
        <f aca="false">B3208/Summary!$B$5-1</f>
        <v>-0.0453122321051723</v>
      </c>
    </row>
    <row r="3209" customFormat="false" ht="15" hidden="false" customHeight="false" outlineLevel="0" collapsed="false">
      <c r="A3209" s="0" t="n">
        <v>3208</v>
      </c>
      <c r="B3209" s="14" t="n">
        <v>110115.672527881</v>
      </c>
      <c r="C3209" s="15" t="n">
        <v>0.0955574505588254</v>
      </c>
      <c r="D3209" s="14" t="n">
        <f aca="false">Summary!$B$5-B3209</f>
        <v>-10115.6725278806</v>
      </c>
      <c r="E3209" s="15" t="n">
        <f aca="false">B3209/Summary!$B$5-1</f>
        <v>0.101156725278806</v>
      </c>
    </row>
    <row r="3210" customFormat="false" ht="15" hidden="false" customHeight="false" outlineLevel="0" collapsed="false">
      <c r="A3210" s="0" t="n">
        <v>3209</v>
      </c>
      <c r="B3210" s="14" t="n">
        <v>112855.574872248</v>
      </c>
      <c r="C3210" s="15" t="n">
        <v>0.0474788196165666</v>
      </c>
      <c r="D3210" s="14" t="n">
        <f aca="false">Summary!$B$5-B3210</f>
        <v>-12855.574872248</v>
      </c>
      <c r="E3210" s="15" t="n">
        <f aca="false">B3210/Summary!$B$5-1</f>
        <v>0.12855574872248</v>
      </c>
    </row>
    <row r="3211" customFormat="false" ht="15" hidden="false" customHeight="false" outlineLevel="0" collapsed="false">
      <c r="A3211" s="0" t="n">
        <v>3210</v>
      </c>
      <c r="B3211" s="14" t="n">
        <v>122969.77614804</v>
      </c>
      <c r="C3211" s="15" t="n">
        <v>0.078767935936647</v>
      </c>
      <c r="D3211" s="14" t="n">
        <f aca="false">Summary!$B$5-B3211</f>
        <v>-22969.77614804</v>
      </c>
      <c r="E3211" s="15" t="n">
        <f aca="false">B3211/Summary!$B$5-1</f>
        <v>0.2296977614804</v>
      </c>
    </row>
    <row r="3212" customFormat="false" ht="15" hidden="false" customHeight="false" outlineLevel="0" collapsed="false">
      <c r="A3212" s="0" t="n">
        <v>3211</v>
      </c>
      <c r="B3212" s="14" t="n">
        <v>100810.788886163</v>
      </c>
      <c r="C3212" s="15" t="n">
        <v>0.0933378417042901</v>
      </c>
      <c r="D3212" s="14" t="n">
        <f aca="false">Summary!$B$5-B3212</f>
        <v>-810.788886163195</v>
      </c>
      <c r="E3212" s="15" t="n">
        <f aca="false">B3212/Summary!$B$5-1</f>
        <v>0.00810788886163194</v>
      </c>
    </row>
    <row r="3213" customFormat="false" ht="15" hidden="false" customHeight="false" outlineLevel="0" collapsed="false">
      <c r="A3213" s="0" t="n">
        <v>3212</v>
      </c>
      <c r="B3213" s="14" t="n">
        <v>108266.254910576</v>
      </c>
      <c r="C3213" s="15" t="n">
        <v>0.0979888533649357</v>
      </c>
      <c r="D3213" s="14" t="n">
        <f aca="false">Summary!$B$5-B3213</f>
        <v>-8266.2549105761</v>
      </c>
      <c r="E3213" s="15" t="n">
        <f aca="false">B3213/Summary!$B$5-1</f>
        <v>0.0826625491057611</v>
      </c>
    </row>
    <row r="3214" customFormat="false" ht="15" hidden="false" customHeight="false" outlineLevel="0" collapsed="false">
      <c r="A3214" s="0" t="n">
        <v>3213</v>
      </c>
      <c r="B3214" s="14" t="n">
        <v>107916.022603819</v>
      </c>
      <c r="C3214" s="15" t="n">
        <v>0.073082337917756</v>
      </c>
      <c r="D3214" s="14" t="n">
        <f aca="false">Summary!$B$5-B3214</f>
        <v>-7916.0226038188</v>
      </c>
      <c r="E3214" s="15" t="n">
        <f aca="false">B3214/Summary!$B$5-1</f>
        <v>0.0791602260381881</v>
      </c>
    </row>
    <row r="3215" customFormat="false" ht="15" hidden="false" customHeight="false" outlineLevel="0" collapsed="false">
      <c r="A3215" s="0" t="n">
        <v>3214</v>
      </c>
      <c r="B3215" s="14" t="n">
        <v>97336.5296771657</v>
      </c>
      <c r="C3215" s="15" t="n">
        <v>0.114608764623938</v>
      </c>
      <c r="D3215" s="14" t="n">
        <f aca="false">Summary!$B$5-B3215</f>
        <v>2663.47032283431</v>
      </c>
      <c r="E3215" s="15" t="n">
        <f aca="false">B3215/Summary!$B$5-1</f>
        <v>-0.0266347032283432</v>
      </c>
    </row>
    <row r="3216" customFormat="false" ht="15" hidden="false" customHeight="false" outlineLevel="0" collapsed="false">
      <c r="A3216" s="0" t="n">
        <v>3215</v>
      </c>
      <c r="B3216" s="14" t="n">
        <v>124956.244159657</v>
      </c>
      <c r="C3216" s="15" t="n">
        <v>0.0743348135257647</v>
      </c>
      <c r="D3216" s="14" t="n">
        <f aca="false">Summary!$B$5-B3216</f>
        <v>-24956.2441596574</v>
      </c>
      <c r="E3216" s="15" t="n">
        <f aca="false">B3216/Summary!$B$5-1</f>
        <v>0.249562441596574</v>
      </c>
    </row>
    <row r="3217" customFormat="false" ht="15" hidden="false" customHeight="false" outlineLevel="0" collapsed="false">
      <c r="A3217" s="0" t="n">
        <v>3216</v>
      </c>
      <c r="B3217" s="14" t="n">
        <v>130537.057803897</v>
      </c>
      <c r="C3217" s="15" t="n">
        <v>0.0563706188861938</v>
      </c>
      <c r="D3217" s="14" t="n">
        <f aca="false">Summary!$B$5-B3217</f>
        <v>-30537.0578038966</v>
      </c>
      <c r="E3217" s="15" t="n">
        <f aca="false">B3217/Summary!$B$5-1</f>
        <v>0.305370578038966</v>
      </c>
    </row>
    <row r="3218" customFormat="false" ht="15" hidden="false" customHeight="false" outlineLevel="0" collapsed="false">
      <c r="A3218" s="0" t="n">
        <v>3217</v>
      </c>
      <c r="B3218" s="14" t="n">
        <v>127565.081179053</v>
      </c>
      <c r="C3218" s="15" t="n">
        <v>0.101067095936869</v>
      </c>
      <c r="D3218" s="14" t="n">
        <f aca="false">Summary!$B$5-B3218</f>
        <v>-27565.0811790526</v>
      </c>
      <c r="E3218" s="15" t="n">
        <f aca="false">B3218/Summary!$B$5-1</f>
        <v>0.275650811790526</v>
      </c>
    </row>
    <row r="3219" customFormat="false" ht="15" hidden="false" customHeight="false" outlineLevel="0" collapsed="false">
      <c r="A3219" s="0" t="n">
        <v>3218</v>
      </c>
      <c r="B3219" s="14" t="n">
        <v>108634.607317415</v>
      </c>
      <c r="C3219" s="15" t="n">
        <v>0.0643162212533482</v>
      </c>
      <c r="D3219" s="14" t="n">
        <f aca="false">Summary!$B$5-B3219</f>
        <v>-8634.6073174146</v>
      </c>
      <c r="E3219" s="15" t="n">
        <f aca="false">B3219/Summary!$B$5-1</f>
        <v>0.0863460731741461</v>
      </c>
    </row>
    <row r="3220" customFormat="false" ht="15" hidden="false" customHeight="false" outlineLevel="0" collapsed="false">
      <c r="A3220" s="0" t="n">
        <v>3219</v>
      </c>
      <c r="B3220" s="14" t="n">
        <v>95301.8774921782</v>
      </c>
      <c r="C3220" s="15" t="n">
        <v>0.146980093901305</v>
      </c>
      <c r="D3220" s="14" t="n">
        <f aca="false">Summary!$B$5-B3220</f>
        <v>4698.12250782183</v>
      </c>
      <c r="E3220" s="15" t="n">
        <f aca="false">B3220/Summary!$B$5-1</f>
        <v>-0.0469812250782182</v>
      </c>
    </row>
    <row r="3221" customFormat="false" ht="15" hidden="false" customHeight="false" outlineLevel="0" collapsed="false">
      <c r="A3221" s="0" t="n">
        <v>3220</v>
      </c>
      <c r="B3221" s="14" t="n">
        <v>96737.3685633408</v>
      </c>
      <c r="C3221" s="15" t="n">
        <v>0.17402815135379</v>
      </c>
      <c r="D3221" s="14" t="n">
        <f aca="false">Summary!$B$5-B3221</f>
        <v>3262.63143665917</v>
      </c>
      <c r="E3221" s="15" t="n">
        <f aca="false">B3221/Summary!$B$5-1</f>
        <v>-0.0326263143665917</v>
      </c>
    </row>
    <row r="3222" customFormat="false" ht="15" hidden="false" customHeight="false" outlineLevel="0" collapsed="false">
      <c r="A3222" s="0" t="n">
        <v>3221</v>
      </c>
      <c r="B3222" s="14" t="n">
        <v>100699.938038121</v>
      </c>
      <c r="C3222" s="15" t="n">
        <v>0.0882835401259765</v>
      </c>
      <c r="D3222" s="14" t="n">
        <f aca="false">Summary!$B$5-B3222</f>
        <v>-699.938038120905</v>
      </c>
      <c r="E3222" s="15" t="n">
        <f aca="false">B3222/Summary!$B$5-1</f>
        <v>0.00699938038120895</v>
      </c>
    </row>
    <row r="3223" customFormat="false" ht="15" hidden="false" customHeight="false" outlineLevel="0" collapsed="false">
      <c r="A3223" s="0" t="n">
        <v>3222</v>
      </c>
      <c r="B3223" s="14" t="n">
        <v>92968.4261574888</v>
      </c>
      <c r="C3223" s="15" t="n">
        <v>0.143770896507788</v>
      </c>
      <c r="D3223" s="14" t="n">
        <f aca="false">Summary!$B$5-B3223</f>
        <v>7031.57384251122</v>
      </c>
      <c r="E3223" s="15" t="n">
        <f aca="false">B3223/Summary!$B$5-1</f>
        <v>-0.0703157384251122</v>
      </c>
    </row>
    <row r="3224" customFormat="false" ht="15" hidden="false" customHeight="false" outlineLevel="0" collapsed="false">
      <c r="A3224" s="0" t="n">
        <v>3223</v>
      </c>
      <c r="B3224" s="14" t="n">
        <v>101656.449200957</v>
      </c>
      <c r="C3224" s="15" t="n">
        <v>0.130058149259623</v>
      </c>
      <c r="D3224" s="14" t="n">
        <f aca="false">Summary!$B$5-B3224</f>
        <v>-1656.4492009567</v>
      </c>
      <c r="E3224" s="15" t="n">
        <f aca="false">B3224/Summary!$B$5-1</f>
        <v>0.0165644920095671</v>
      </c>
    </row>
    <row r="3225" customFormat="false" ht="15" hidden="false" customHeight="false" outlineLevel="0" collapsed="false">
      <c r="A3225" s="0" t="n">
        <v>3224</v>
      </c>
      <c r="B3225" s="14" t="n">
        <v>104318.024866137</v>
      </c>
      <c r="C3225" s="15" t="n">
        <v>0.100477218753504</v>
      </c>
      <c r="D3225" s="14" t="n">
        <f aca="false">Summary!$B$5-B3225</f>
        <v>-4318.0248661365</v>
      </c>
      <c r="E3225" s="15" t="n">
        <f aca="false">B3225/Summary!$B$5-1</f>
        <v>0.0431802486613651</v>
      </c>
    </row>
    <row r="3226" customFormat="false" ht="15" hidden="false" customHeight="false" outlineLevel="0" collapsed="false">
      <c r="A3226" s="0" t="n">
        <v>3225</v>
      </c>
      <c r="B3226" s="14" t="n">
        <v>114474.150324339</v>
      </c>
      <c r="C3226" s="15" t="n">
        <v>0.0701591912772563</v>
      </c>
      <c r="D3226" s="14" t="n">
        <f aca="false">Summary!$B$5-B3226</f>
        <v>-14474.1503243389</v>
      </c>
      <c r="E3226" s="15" t="n">
        <f aca="false">B3226/Summary!$B$5-1</f>
        <v>0.144741503243389</v>
      </c>
    </row>
    <row r="3227" customFormat="false" ht="15" hidden="false" customHeight="false" outlineLevel="0" collapsed="false">
      <c r="A3227" s="0" t="n">
        <v>3226</v>
      </c>
      <c r="B3227" s="14" t="n">
        <v>79430.0184994785</v>
      </c>
      <c r="C3227" s="15" t="n">
        <v>0.24951667481975</v>
      </c>
      <c r="D3227" s="14" t="n">
        <f aca="false">Summary!$B$5-B3227</f>
        <v>20569.9815005215</v>
      </c>
      <c r="E3227" s="15" t="n">
        <f aca="false">B3227/Summary!$B$5-1</f>
        <v>-0.205699815005215</v>
      </c>
    </row>
    <row r="3228" customFormat="false" ht="15" hidden="false" customHeight="false" outlineLevel="0" collapsed="false">
      <c r="A3228" s="0" t="n">
        <v>3227</v>
      </c>
      <c r="B3228" s="14" t="n">
        <v>103435.378703961</v>
      </c>
      <c r="C3228" s="15" t="n">
        <v>0.109436665448971</v>
      </c>
      <c r="D3228" s="14" t="n">
        <f aca="false">Summary!$B$5-B3228</f>
        <v>-3435.378703961</v>
      </c>
      <c r="E3228" s="15" t="n">
        <f aca="false">B3228/Summary!$B$5-1</f>
        <v>0.03435378703961</v>
      </c>
    </row>
    <row r="3229" customFormat="false" ht="15" hidden="false" customHeight="false" outlineLevel="0" collapsed="false">
      <c r="A3229" s="0" t="n">
        <v>3228</v>
      </c>
      <c r="B3229" s="14" t="n">
        <v>110999.462211748</v>
      </c>
      <c r="C3229" s="15" t="n">
        <v>0.0688595949223859</v>
      </c>
      <c r="D3229" s="14" t="n">
        <f aca="false">Summary!$B$5-B3229</f>
        <v>-10999.4622117477</v>
      </c>
      <c r="E3229" s="15" t="n">
        <f aca="false">B3229/Summary!$B$5-1</f>
        <v>0.109994622117477</v>
      </c>
    </row>
    <row r="3230" customFormat="false" ht="15" hidden="false" customHeight="false" outlineLevel="0" collapsed="false">
      <c r="A3230" s="0" t="n">
        <v>3229</v>
      </c>
      <c r="B3230" s="14" t="n">
        <v>99901.9248518184</v>
      </c>
      <c r="C3230" s="15" t="n">
        <v>0.0933612881393272</v>
      </c>
      <c r="D3230" s="14" t="n">
        <f aca="false">Summary!$B$5-B3230</f>
        <v>98.075148181626</v>
      </c>
      <c r="E3230" s="15" t="n">
        <f aca="false">B3230/Summary!$B$5-1</f>
        <v>-0.000980751481816311</v>
      </c>
    </row>
    <row r="3231" customFormat="false" ht="15" hidden="false" customHeight="false" outlineLevel="0" collapsed="false">
      <c r="A3231" s="0" t="n">
        <v>3230</v>
      </c>
      <c r="B3231" s="14" t="n">
        <v>114204.020449546</v>
      </c>
      <c r="C3231" s="15" t="n">
        <v>0.0887674483733904</v>
      </c>
      <c r="D3231" s="14" t="n">
        <f aca="false">Summary!$B$5-B3231</f>
        <v>-14204.0204495455</v>
      </c>
      <c r="E3231" s="15" t="n">
        <f aca="false">B3231/Summary!$B$5-1</f>
        <v>0.142040204495455</v>
      </c>
    </row>
    <row r="3232" customFormat="false" ht="15" hidden="false" customHeight="false" outlineLevel="0" collapsed="false">
      <c r="A3232" s="0" t="n">
        <v>3231</v>
      </c>
      <c r="B3232" s="14" t="n">
        <v>99600.984189317</v>
      </c>
      <c r="C3232" s="15" t="n">
        <v>0.111758393047271</v>
      </c>
      <c r="D3232" s="14" t="n">
        <f aca="false">Summary!$B$5-B3232</f>
        <v>399.01581068302</v>
      </c>
      <c r="E3232" s="15" t="n">
        <f aca="false">B3232/Summary!$B$5-1</f>
        <v>-0.00399015810683023</v>
      </c>
    </row>
    <row r="3233" customFormat="false" ht="15" hidden="false" customHeight="false" outlineLevel="0" collapsed="false">
      <c r="A3233" s="0" t="n">
        <v>3232</v>
      </c>
      <c r="B3233" s="14" t="n">
        <v>106360.141370434</v>
      </c>
      <c r="C3233" s="15" t="n">
        <v>0.0791581300289339</v>
      </c>
      <c r="D3233" s="14" t="n">
        <f aca="false">Summary!$B$5-B3233</f>
        <v>-6360.1413704335</v>
      </c>
      <c r="E3233" s="15" t="n">
        <f aca="false">B3233/Summary!$B$5-1</f>
        <v>0.063601413704335</v>
      </c>
    </row>
    <row r="3234" customFormat="false" ht="15" hidden="false" customHeight="false" outlineLevel="0" collapsed="false">
      <c r="A3234" s="0" t="n">
        <v>3233</v>
      </c>
      <c r="B3234" s="14" t="n">
        <v>88976.6680006253</v>
      </c>
      <c r="C3234" s="15" t="n">
        <v>0.165155838117157</v>
      </c>
      <c r="D3234" s="14" t="n">
        <f aca="false">Summary!$B$5-B3234</f>
        <v>11023.3319993747</v>
      </c>
      <c r="E3234" s="15" t="n">
        <f aca="false">B3234/Summary!$B$5-1</f>
        <v>-0.110233319993747</v>
      </c>
    </row>
    <row r="3235" customFormat="false" ht="15" hidden="false" customHeight="false" outlineLevel="0" collapsed="false">
      <c r="A3235" s="0" t="n">
        <v>3234</v>
      </c>
      <c r="B3235" s="14" t="n">
        <v>117233.332801944</v>
      </c>
      <c r="C3235" s="15" t="n">
        <v>0.0493695428119032</v>
      </c>
      <c r="D3235" s="14" t="n">
        <f aca="false">Summary!$B$5-B3235</f>
        <v>-17233.3328019441</v>
      </c>
      <c r="E3235" s="15" t="n">
        <f aca="false">B3235/Summary!$B$5-1</f>
        <v>0.172333328019441</v>
      </c>
    </row>
    <row r="3236" customFormat="false" ht="15" hidden="false" customHeight="false" outlineLevel="0" collapsed="false">
      <c r="A3236" s="0" t="n">
        <v>3235</v>
      </c>
      <c r="B3236" s="14" t="n">
        <v>142807.456090748</v>
      </c>
      <c r="C3236" s="15" t="n">
        <v>0.0460209191465516</v>
      </c>
      <c r="D3236" s="14" t="n">
        <f aca="false">Summary!$B$5-B3236</f>
        <v>-42807.4560907478</v>
      </c>
      <c r="E3236" s="15" t="n">
        <f aca="false">B3236/Summary!$B$5-1</f>
        <v>0.428074560907478</v>
      </c>
    </row>
    <row r="3237" customFormat="false" ht="15" hidden="false" customHeight="false" outlineLevel="0" collapsed="false">
      <c r="A3237" s="0" t="n">
        <v>3236</v>
      </c>
      <c r="B3237" s="14" t="n">
        <v>93163.2925945341</v>
      </c>
      <c r="C3237" s="15" t="n">
        <v>0.161273064284751</v>
      </c>
      <c r="D3237" s="14" t="n">
        <f aca="false">Summary!$B$5-B3237</f>
        <v>6836.70740546592</v>
      </c>
      <c r="E3237" s="15" t="n">
        <f aca="false">B3237/Summary!$B$5-1</f>
        <v>-0.0683670740546591</v>
      </c>
    </row>
    <row r="3238" customFormat="false" ht="15" hidden="false" customHeight="false" outlineLevel="0" collapsed="false">
      <c r="A3238" s="0" t="n">
        <v>3237</v>
      </c>
      <c r="B3238" s="14" t="n">
        <v>114695.606939018</v>
      </c>
      <c r="C3238" s="15" t="n">
        <v>0.0420350537356454</v>
      </c>
      <c r="D3238" s="14" t="n">
        <f aca="false">Summary!$B$5-B3238</f>
        <v>-14695.6069390177</v>
      </c>
      <c r="E3238" s="15" t="n">
        <f aca="false">B3238/Summary!$B$5-1</f>
        <v>0.146956069390177</v>
      </c>
    </row>
    <row r="3239" customFormat="false" ht="15" hidden="false" customHeight="false" outlineLevel="0" collapsed="false">
      <c r="A3239" s="0" t="n">
        <v>3238</v>
      </c>
      <c r="B3239" s="14" t="n">
        <v>114386.392761228</v>
      </c>
      <c r="C3239" s="15" t="n">
        <v>0.0421808908336413</v>
      </c>
      <c r="D3239" s="14" t="n">
        <f aca="false">Summary!$B$5-B3239</f>
        <v>-14386.3927612276</v>
      </c>
      <c r="E3239" s="15" t="n">
        <f aca="false">B3239/Summary!$B$5-1</f>
        <v>0.143863927612276</v>
      </c>
    </row>
    <row r="3240" customFormat="false" ht="15" hidden="false" customHeight="false" outlineLevel="0" collapsed="false">
      <c r="A3240" s="0" t="n">
        <v>3239</v>
      </c>
      <c r="B3240" s="14" t="n">
        <v>101556.119339431</v>
      </c>
      <c r="C3240" s="15" t="n">
        <v>0.0615356794920099</v>
      </c>
      <c r="D3240" s="14" t="n">
        <f aca="false">Summary!$B$5-B3240</f>
        <v>-1556.1193394305</v>
      </c>
      <c r="E3240" s="15" t="n">
        <f aca="false">B3240/Summary!$B$5-1</f>
        <v>0.015561193394305</v>
      </c>
    </row>
    <row r="3241" customFormat="false" ht="15" hidden="false" customHeight="false" outlineLevel="0" collapsed="false">
      <c r="A3241" s="0" t="n">
        <v>3240</v>
      </c>
      <c r="B3241" s="14" t="n">
        <v>110928.180853167</v>
      </c>
      <c r="C3241" s="15" t="n">
        <v>0.0902369410393619</v>
      </c>
      <c r="D3241" s="14" t="n">
        <f aca="false">Summary!$B$5-B3241</f>
        <v>-10928.1808531667</v>
      </c>
      <c r="E3241" s="15" t="n">
        <f aca="false">B3241/Summary!$B$5-1</f>
        <v>0.109281808531667</v>
      </c>
    </row>
    <row r="3242" customFormat="false" ht="15" hidden="false" customHeight="false" outlineLevel="0" collapsed="false">
      <c r="A3242" s="0" t="n">
        <v>3241</v>
      </c>
      <c r="B3242" s="14" t="n">
        <v>101056.387015311</v>
      </c>
      <c r="C3242" s="15" t="n">
        <v>0.10761568362057</v>
      </c>
      <c r="D3242" s="14" t="n">
        <f aca="false">Summary!$B$5-B3242</f>
        <v>-1056.38701531119</v>
      </c>
      <c r="E3242" s="15" t="n">
        <f aca="false">B3242/Summary!$B$5-1</f>
        <v>0.0105638701531119</v>
      </c>
    </row>
    <row r="3243" customFormat="false" ht="15" hidden="false" customHeight="false" outlineLevel="0" collapsed="false">
      <c r="A3243" s="0" t="n">
        <v>3242</v>
      </c>
      <c r="B3243" s="14" t="n">
        <v>119312.498200149</v>
      </c>
      <c r="C3243" s="15" t="n">
        <v>0.0742142865668406</v>
      </c>
      <c r="D3243" s="14" t="n">
        <f aca="false">Summary!$B$5-B3243</f>
        <v>-19312.4982001494</v>
      </c>
      <c r="E3243" s="15" t="n">
        <f aca="false">B3243/Summary!$B$5-1</f>
        <v>0.193124982001494</v>
      </c>
    </row>
    <row r="3244" customFormat="false" ht="15" hidden="false" customHeight="false" outlineLevel="0" collapsed="false">
      <c r="A3244" s="0" t="n">
        <v>3243</v>
      </c>
      <c r="B3244" s="14" t="n">
        <v>126685.816743237</v>
      </c>
      <c r="C3244" s="15" t="n">
        <v>0.0706239803666007</v>
      </c>
      <c r="D3244" s="14" t="n">
        <f aca="false">Summary!$B$5-B3244</f>
        <v>-26685.8167432366</v>
      </c>
      <c r="E3244" s="15" t="n">
        <f aca="false">B3244/Summary!$B$5-1</f>
        <v>0.266858167432366</v>
      </c>
    </row>
    <row r="3245" customFormat="false" ht="15" hidden="false" customHeight="false" outlineLevel="0" collapsed="false">
      <c r="A3245" s="0" t="n">
        <v>3244</v>
      </c>
      <c r="B3245" s="14" t="n">
        <v>92618.9068429864</v>
      </c>
      <c r="C3245" s="15" t="n">
        <v>0.162760846427804</v>
      </c>
      <c r="D3245" s="14" t="n">
        <f aca="false">Summary!$B$5-B3245</f>
        <v>7381.09315701362</v>
      </c>
      <c r="E3245" s="15" t="n">
        <f aca="false">B3245/Summary!$B$5-1</f>
        <v>-0.0738109315701362</v>
      </c>
    </row>
    <row r="3246" customFormat="false" ht="15" hidden="false" customHeight="false" outlineLevel="0" collapsed="false">
      <c r="A3246" s="0" t="n">
        <v>3245</v>
      </c>
      <c r="B3246" s="14" t="n">
        <v>89642.8399653963</v>
      </c>
      <c r="C3246" s="15" t="n">
        <v>0.136431493537362</v>
      </c>
      <c r="D3246" s="14" t="n">
        <f aca="false">Summary!$B$5-B3246</f>
        <v>10357.1600346037</v>
      </c>
      <c r="E3246" s="15" t="n">
        <f aca="false">B3246/Summary!$B$5-1</f>
        <v>-0.103571600346037</v>
      </c>
    </row>
    <row r="3247" customFormat="false" ht="15" hidden="false" customHeight="false" outlineLevel="0" collapsed="false">
      <c r="A3247" s="0" t="n">
        <v>3246</v>
      </c>
      <c r="B3247" s="14" t="n">
        <v>107316.211468109</v>
      </c>
      <c r="C3247" s="15" t="n">
        <v>0.0673311708009357</v>
      </c>
      <c r="D3247" s="14" t="n">
        <f aca="false">Summary!$B$5-B3247</f>
        <v>-7316.211468109</v>
      </c>
      <c r="E3247" s="15" t="n">
        <f aca="false">B3247/Summary!$B$5-1</f>
        <v>0.0731621146810901</v>
      </c>
    </row>
    <row r="3248" customFormat="false" ht="15" hidden="false" customHeight="false" outlineLevel="0" collapsed="false">
      <c r="A3248" s="0" t="n">
        <v>3247</v>
      </c>
      <c r="B3248" s="14" t="n">
        <v>93064.1079181632</v>
      </c>
      <c r="C3248" s="15" t="n">
        <v>0.143768505692724</v>
      </c>
      <c r="D3248" s="14" t="n">
        <f aca="false">Summary!$B$5-B3248</f>
        <v>6935.89208183679</v>
      </c>
      <c r="E3248" s="15" t="n">
        <f aca="false">B3248/Summary!$B$5-1</f>
        <v>-0.0693589208183679</v>
      </c>
    </row>
    <row r="3249" customFormat="false" ht="15" hidden="false" customHeight="false" outlineLevel="0" collapsed="false">
      <c r="A3249" s="0" t="n">
        <v>3248</v>
      </c>
      <c r="B3249" s="14" t="n">
        <v>94426.7421493769</v>
      </c>
      <c r="C3249" s="15" t="n">
        <v>0.127302279831674</v>
      </c>
      <c r="D3249" s="14" t="n">
        <f aca="false">Summary!$B$5-B3249</f>
        <v>5573.25785062312</v>
      </c>
      <c r="E3249" s="15" t="n">
        <f aca="false">B3249/Summary!$B$5-1</f>
        <v>-0.0557325785062313</v>
      </c>
    </row>
    <row r="3250" customFormat="false" ht="15" hidden="false" customHeight="false" outlineLevel="0" collapsed="false">
      <c r="A3250" s="0" t="n">
        <v>3249</v>
      </c>
      <c r="B3250" s="14" t="n">
        <v>106926.562887922</v>
      </c>
      <c r="C3250" s="15" t="n">
        <v>0.0979034295366378</v>
      </c>
      <c r="D3250" s="14" t="n">
        <f aca="false">Summary!$B$5-B3250</f>
        <v>-6926.56288792221</v>
      </c>
      <c r="E3250" s="15" t="n">
        <f aca="false">B3250/Summary!$B$5-1</f>
        <v>0.0692656288792222</v>
      </c>
    </row>
    <row r="3251" customFormat="false" ht="15" hidden="false" customHeight="false" outlineLevel="0" collapsed="false">
      <c r="A3251" s="0" t="n">
        <v>3250</v>
      </c>
      <c r="B3251" s="14" t="n">
        <v>122275.37184722</v>
      </c>
      <c r="C3251" s="15" t="n">
        <v>0.0600205619367565</v>
      </c>
      <c r="D3251" s="14" t="n">
        <f aca="false">Summary!$B$5-B3251</f>
        <v>-22275.3718472204</v>
      </c>
      <c r="E3251" s="15" t="n">
        <f aca="false">B3251/Summary!$B$5-1</f>
        <v>0.222753718472204</v>
      </c>
    </row>
    <row r="3252" customFormat="false" ht="15" hidden="false" customHeight="false" outlineLevel="0" collapsed="false">
      <c r="A3252" s="0" t="n">
        <v>3251</v>
      </c>
      <c r="B3252" s="14" t="n">
        <v>104701.165943514</v>
      </c>
      <c r="C3252" s="15" t="n">
        <v>0.126834981443481</v>
      </c>
      <c r="D3252" s="14" t="n">
        <f aca="false">Summary!$B$5-B3252</f>
        <v>-4701.1659435137</v>
      </c>
      <c r="E3252" s="15" t="n">
        <f aca="false">B3252/Summary!$B$5-1</f>
        <v>0.0470116594351371</v>
      </c>
    </row>
    <row r="3253" customFormat="false" ht="15" hidden="false" customHeight="false" outlineLevel="0" collapsed="false">
      <c r="A3253" s="0" t="n">
        <v>3252</v>
      </c>
      <c r="B3253" s="14" t="n">
        <v>124370.853136285</v>
      </c>
      <c r="C3253" s="15" t="n">
        <v>0.052915992008298</v>
      </c>
      <c r="D3253" s="14" t="n">
        <f aca="false">Summary!$B$5-B3253</f>
        <v>-24370.8531362853</v>
      </c>
      <c r="E3253" s="15" t="n">
        <f aca="false">B3253/Summary!$B$5-1</f>
        <v>0.243708531362853</v>
      </c>
    </row>
    <row r="3254" customFormat="false" ht="15" hidden="false" customHeight="false" outlineLevel="0" collapsed="false">
      <c r="A3254" s="0" t="n">
        <v>3253</v>
      </c>
      <c r="B3254" s="14" t="n">
        <v>99733.2524186098</v>
      </c>
      <c r="C3254" s="15" t="n">
        <v>0.102096533362566</v>
      </c>
      <c r="D3254" s="14" t="n">
        <f aca="false">Summary!$B$5-B3254</f>
        <v>266.747581390198</v>
      </c>
      <c r="E3254" s="15" t="n">
        <f aca="false">B3254/Summary!$B$5-1</f>
        <v>-0.00266747581390203</v>
      </c>
    </row>
    <row r="3255" customFormat="false" ht="15" hidden="false" customHeight="false" outlineLevel="0" collapsed="false">
      <c r="A3255" s="0" t="n">
        <v>3254</v>
      </c>
      <c r="B3255" s="14" t="n">
        <v>111738.218444708</v>
      </c>
      <c r="C3255" s="15" t="n">
        <v>0.0754559303318327</v>
      </c>
      <c r="D3255" s="14" t="n">
        <f aca="false">Summary!$B$5-B3255</f>
        <v>-11738.2184447076</v>
      </c>
      <c r="E3255" s="15" t="n">
        <f aca="false">B3255/Summary!$B$5-1</f>
        <v>0.117382184447076</v>
      </c>
    </row>
    <row r="3256" customFormat="false" ht="15" hidden="false" customHeight="false" outlineLevel="0" collapsed="false">
      <c r="A3256" s="0" t="n">
        <v>3255</v>
      </c>
      <c r="B3256" s="14" t="n">
        <v>94032.8171199944</v>
      </c>
      <c r="C3256" s="15" t="n">
        <v>0.213653636112815</v>
      </c>
      <c r="D3256" s="14" t="n">
        <f aca="false">Summary!$B$5-B3256</f>
        <v>5967.1828800056</v>
      </c>
      <c r="E3256" s="15" t="n">
        <f aca="false">B3256/Summary!$B$5-1</f>
        <v>-0.059671828800056</v>
      </c>
    </row>
    <row r="3257" customFormat="false" ht="15" hidden="false" customHeight="false" outlineLevel="0" collapsed="false">
      <c r="A3257" s="0" t="n">
        <v>3256</v>
      </c>
      <c r="B3257" s="14" t="n">
        <v>114677.558870893</v>
      </c>
      <c r="C3257" s="15" t="n">
        <v>0.0600164173819516</v>
      </c>
      <c r="D3257" s="14" t="n">
        <f aca="false">Summary!$B$5-B3257</f>
        <v>-14677.5588708928</v>
      </c>
      <c r="E3257" s="15" t="n">
        <f aca="false">B3257/Summary!$B$5-1</f>
        <v>0.146775588708928</v>
      </c>
    </row>
    <row r="3258" customFormat="false" ht="15" hidden="false" customHeight="false" outlineLevel="0" collapsed="false">
      <c r="A3258" s="0" t="n">
        <v>3257</v>
      </c>
      <c r="B3258" s="14" t="n">
        <v>107521.066800172</v>
      </c>
      <c r="C3258" s="15" t="n">
        <v>0.0594482009417103</v>
      </c>
      <c r="D3258" s="14" t="n">
        <f aca="false">Summary!$B$5-B3258</f>
        <v>-7521.06680017211</v>
      </c>
      <c r="E3258" s="15" t="n">
        <f aca="false">B3258/Summary!$B$5-1</f>
        <v>0.0752106680017211</v>
      </c>
    </row>
    <row r="3259" customFormat="false" ht="15" hidden="false" customHeight="false" outlineLevel="0" collapsed="false">
      <c r="A3259" s="0" t="n">
        <v>3258</v>
      </c>
      <c r="B3259" s="14" t="n">
        <v>108261.862699271</v>
      </c>
      <c r="C3259" s="15" t="n">
        <v>0.100137568043891</v>
      </c>
      <c r="D3259" s="14" t="n">
        <f aca="false">Summary!$B$5-B3259</f>
        <v>-8261.86269927119</v>
      </c>
      <c r="E3259" s="15" t="n">
        <f aca="false">B3259/Summary!$B$5-1</f>
        <v>0.0826186269927121</v>
      </c>
    </row>
    <row r="3260" customFormat="false" ht="15" hidden="false" customHeight="false" outlineLevel="0" collapsed="false">
      <c r="A3260" s="0" t="n">
        <v>3259</v>
      </c>
      <c r="B3260" s="14" t="n">
        <v>118982.704663496</v>
      </c>
      <c r="C3260" s="15" t="n">
        <v>0.130148416950317</v>
      </c>
      <c r="D3260" s="14" t="n">
        <f aca="false">Summary!$B$5-B3260</f>
        <v>-18982.704663496</v>
      </c>
      <c r="E3260" s="15" t="n">
        <f aca="false">B3260/Summary!$B$5-1</f>
        <v>0.18982704663496</v>
      </c>
    </row>
    <row r="3261" customFormat="false" ht="15" hidden="false" customHeight="false" outlineLevel="0" collapsed="false">
      <c r="A3261" s="0" t="n">
        <v>3260</v>
      </c>
      <c r="B3261" s="14" t="n">
        <v>119987.061463259</v>
      </c>
      <c r="C3261" s="15" t="n">
        <v>0.0691983863673822</v>
      </c>
      <c r="D3261" s="14" t="n">
        <f aca="false">Summary!$B$5-B3261</f>
        <v>-19987.0614632586</v>
      </c>
      <c r="E3261" s="15" t="n">
        <f aca="false">B3261/Summary!$B$5-1</f>
        <v>0.199870614632586</v>
      </c>
    </row>
    <row r="3262" customFormat="false" ht="15" hidden="false" customHeight="false" outlineLevel="0" collapsed="false">
      <c r="A3262" s="0" t="n">
        <v>3261</v>
      </c>
      <c r="B3262" s="14" t="n">
        <v>119230.606181906</v>
      </c>
      <c r="C3262" s="15" t="n">
        <v>0.0510427198065117</v>
      </c>
      <c r="D3262" s="14" t="n">
        <f aca="false">Summary!$B$5-B3262</f>
        <v>-19230.6061819062</v>
      </c>
      <c r="E3262" s="15" t="n">
        <f aca="false">B3262/Summary!$B$5-1</f>
        <v>0.192306061819062</v>
      </c>
    </row>
    <row r="3263" customFormat="false" ht="15" hidden="false" customHeight="false" outlineLevel="0" collapsed="false">
      <c r="A3263" s="0" t="n">
        <v>3262</v>
      </c>
      <c r="B3263" s="14" t="n">
        <v>117311.435746428</v>
      </c>
      <c r="C3263" s="15" t="n">
        <v>0.0882282338830666</v>
      </c>
      <c r="D3263" s="14" t="n">
        <f aca="false">Summary!$B$5-B3263</f>
        <v>-17311.4357464283</v>
      </c>
      <c r="E3263" s="15" t="n">
        <f aca="false">B3263/Summary!$B$5-1</f>
        <v>0.173114357464283</v>
      </c>
    </row>
    <row r="3264" customFormat="false" ht="15" hidden="false" customHeight="false" outlineLevel="0" collapsed="false">
      <c r="A3264" s="0" t="n">
        <v>3263</v>
      </c>
      <c r="B3264" s="14" t="n">
        <v>111872.994408904</v>
      </c>
      <c r="C3264" s="15" t="n">
        <v>0.109300015314482</v>
      </c>
      <c r="D3264" s="14" t="n">
        <f aca="false">Summary!$B$5-B3264</f>
        <v>-11872.9944089037</v>
      </c>
      <c r="E3264" s="15" t="n">
        <f aca="false">B3264/Summary!$B$5-1</f>
        <v>0.118729944089037</v>
      </c>
    </row>
    <row r="3265" customFormat="false" ht="15" hidden="false" customHeight="false" outlineLevel="0" collapsed="false">
      <c r="A3265" s="0" t="n">
        <v>3264</v>
      </c>
      <c r="B3265" s="14" t="n">
        <v>113840.000554302</v>
      </c>
      <c r="C3265" s="15" t="n">
        <v>0.094758200747051</v>
      </c>
      <c r="D3265" s="14" t="n">
        <f aca="false">Summary!$B$5-B3265</f>
        <v>-13840.0005543016</v>
      </c>
      <c r="E3265" s="15" t="n">
        <f aca="false">B3265/Summary!$B$5-1</f>
        <v>0.138400005543016</v>
      </c>
    </row>
    <row r="3266" customFormat="false" ht="15" hidden="false" customHeight="false" outlineLevel="0" collapsed="false">
      <c r="A3266" s="0" t="n">
        <v>3265</v>
      </c>
      <c r="B3266" s="14" t="n">
        <v>92447.5527597313</v>
      </c>
      <c r="C3266" s="15" t="n">
        <v>0.151175817601452</v>
      </c>
      <c r="D3266" s="14" t="n">
        <f aca="false">Summary!$B$5-B3266</f>
        <v>7552.44724026871</v>
      </c>
      <c r="E3266" s="15" t="n">
        <f aca="false">B3266/Summary!$B$5-1</f>
        <v>-0.0755244724026871</v>
      </c>
    </row>
    <row r="3267" customFormat="false" ht="15" hidden="false" customHeight="false" outlineLevel="0" collapsed="false">
      <c r="A3267" s="0" t="n">
        <v>3266</v>
      </c>
      <c r="B3267" s="14" t="n">
        <v>110027.325485837</v>
      </c>
      <c r="C3267" s="15" t="n">
        <v>0.0693516358665377</v>
      </c>
      <c r="D3267" s="14" t="n">
        <f aca="false">Summary!$B$5-B3267</f>
        <v>-10027.3254858372</v>
      </c>
      <c r="E3267" s="15" t="n">
        <f aca="false">B3267/Summary!$B$5-1</f>
        <v>0.100273254858372</v>
      </c>
    </row>
    <row r="3268" customFormat="false" ht="15" hidden="false" customHeight="false" outlineLevel="0" collapsed="false">
      <c r="A3268" s="0" t="n">
        <v>3267</v>
      </c>
      <c r="B3268" s="14" t="n">
        <v>105202.299382359</v>
      </c>
      <c r="C3268" s="15" t="n">
        <v>0.0972541187751975</v>
      </c>
      <c r="D3268" s="14" t="n">
        <f aca="false">Summary!$B$5-B3268</f>
        <v>-5202.2993823586</v>
      </c>
      <c r="E3268" s="15" t="n">
        <f aca="false">B3268/Summary!$B$5-1</f>
        <v>0.0520229938235861</v>
      </c>
    </row>
    <row r="3269" customFormat="false" ht="15" hidden="false" customHeight="false" outlineLevel="0" collapsed="false">
      <c r="A3269" s="0" t="n">
        <v>3268</v>
      </c>
      <c r="B3269" s="14" t="n">
        <v>99447.0206711072</v>
      </c>
      <c r="C3269" s="15" t="n">
        <v>0.0847509467027426</v>
      </c>
      <c r="D3269" s="14" t="n">
        <f aca="false">Summary!$B$5-B3269</f>
        <v>552.97932889282</v>
      </c>
      <c r="E3269" s="15" t="n">
        <f aca="false">B3269/Summary!$B$5-1</f>
        <v>-0.00552979328892822</v>
      </c>
    </row>
    <row r="3270" customFormat="false" ht="15" hidden="false" customHeight="false" outlineLevel="0" collapsed="false">
      <c r="A3270" s="0" t="n">
        <v>3269</v>
      </c>
      <c r="B3270" s="14" t="n">
        <v>140214.529490663</v>
      </c>
      <c r="C3270" s="15" t="n">
        <v>0.0410381663557299</v>
      </c>
      <c r="D3270" s="14" t="n">
        <f aca="false">Summary!$B$5-B3270</f>
        <v>-40214.5294906632</v>
      </c>
      <c r="E3270" s="15" t="n">
        <f aca="false">B3270/Summary!$B$5-1</f>
        <v>0.402145294906632</v>
      </c>
    </row>
    <row r="3271" customFormat="false" ht="15" hidden="false" customHeight="false" outlineLevel="0" collapsed="false">
      <c r="A3271" s="0" t="n">
        <v>3270</v>
      </c>
      <c r="B3271" s="14" t="n">
        <v>106074.636249711</v>
      </c>
      <c r="C3271" s="15" t="n">
        <v>0.0740647265225798</v>
      </c>
      <c r="D3271" s="14" t="n">
        <f aca="false">Summary!$B$5-B3271</f>
        <v>-6074.6362497111</v>
      </c>
      <c r="E3271" s="15" t="n">
        <f aca="false">B3271/Summary!$B$5-1</f>
        <v>0.060746362497111</v>
      </c>
    </row>
    <row r="3272" customFormat="false" ht="15" hidden="false" customHeight="false" outlineLevel="0" collapsed="false">
      <c r="A3272" s="0" t="n">
        <v>3271</v>
      </c>
      <c r="B3272" s="14" t="n">
        <v>95161.3823302997</v>
      </c>
      <c r="C3272" s="15" t="n">
        <v>0.124480602655746</v>
      </c>
      <c r="D3272" s="14" t="n">
        <f aca="false">Summary!$B$5-B3272</f>
        <v>4838.61766970027</v>
      </c>
      <c r="E3272" s="15" t="n">
        <f aca="false">B3272/Summary!$B$5-1</f>
        <v>-0.0483861766970026</v>
      </c>
    </row>
    <row r="3273" customFormat="false" ht="15" hidden="false" customHeight="false" outlineLevel="0" collapsed="false">
      <c r="A3273" s="0" t="n">
        <v>3272</v>
      </c>
      <c r="B3273" s="14" t="n">
        <v>99436.2452730572</v>
      </c>
      <c r="C3273" s="15" t="n">
        <v>0.138450518040444</v>
      </c>
      <c r="D3273" s="14" t="n">
        <f aca="false">Summary!$B$5-B3273</f>
        <v>563.75472694276</v>
      </c>
      <c r="E3273" s="15" t="n">
        <f aca="false">B3273/Summary!$B$5-1</f>
        <v>-0.00563754726942756</v>
      </c>
    </row>
    <row r="3274" customFormat="false" ht="15" hidden="false" customHeight="false" outlineLevel="0" collapsed="false">
      <c r="A3274" s="0" t="n">
        <v>3273</v>
      </c>
      <c r="B3274" s="14" t="n">
        <v>125326.08731876</v>
      </c>
      <c r="C3274" s="15" t="n">
        <v>0.0743516710856358</v>
      </c>
      <c r="D3274" s="14" t="n">
        <f aca="false">Summary!$B$5-B3274</f>
        <v>-25326.0873187596</v>
      </c>
      <c r="E3274" s="15" t="n">
        <f aca="false">B3274/Summary!$B$5-1</f>
        <v>0.253260873187596</v>
      </c>
    </row>
    <row r="3275" customFormat="false" ht="15" hidden="false" customHeight="false" outlineLevel="0" collapsed="false">
      <c r="A3275" s="0" t="n">
        <v>3274</v>
      </c>
      <c r="B3275" s="14" t="n">
        <v>116274.071000883</v>
      </c>
      <c r="C3275" s="15" t="n">
        <v>0.109251276764161</v>
      </c>
      <c r="D3275" s="14" t="n">
        <f aca="false">Summary!$B$5-B3275</f>
        <v>-16274.0710008827</v>
      </c>
      <c r="E3275" s="15" t="n">
        <f aca="false">B3275/Summary!$B$5-1</f>
        <v>0.162740710008827</v>
      </c>
    </row>
    <row r="3276" customFormat="false" ht="15" hidden="false" customHeight="false" outlineLevel="0" collapsed="false">
      <c r="A3276" s="0" t="n">
        <v>3275</v>
      </c>
      <c r="B3276" s="14" t="n">
        <v>107224.319497312</v>
      </c>
      <c r="C3276" s="15" t="n">
        <v>0.0717913719779344</v>
      </c>
      <c r="D3276" s="14" t="n">
        <f aca="false">Summary!$B$5-B3276</f>
        <v>-7224.319497312</v>
      </c>
      <c r="E3276" s="15" t="n">
        <f aca="false">B3276/Summary!$B$5-1</f>
        <v>0.0722431949731199</v>
      </c>
    </row>
    <row r="3277" customFormat="false" ht="15" hidden="false" customHeight="false" outlineLevel="0" collapsed="false">
      <c r="A3277" s="0" t="n">
        <v>3276</v>
      </c>
      <c r="B3277" s="14" t="n">
        <v>126463.199459958</v>
      </c>
      <c r="C3277" s="15" t="n">
        <v>0.0689637436418858</v>
      </c>
      <c r="D3277" s="14" t="n">
        <f aca="false">Summary!$B$5-B3277</f>
        <v>-26463.1994599583</v>
      </c>
      <c r="E3277" s="15" t="n">
        <f aca="false">B3277/Summary!$B$5-1</f>
        <v>0.264631994599583</v>
      </c>
    </row>
    <row r="3278" customFormat="false" ht="15" hidden="false" customHeight="false" outlineLevel="0" collapsed="false">
      <c r="A3278" s="0" t="n">
        <v>3277</v>
      </c>
      <c r="B3278" s="14" t="n">
        <v>107665.509970065</v>
      </c>
      <c r="C3278" s="15" t="n">
        <v>0.130688354397685</v>
      </c>
      <c r="D3278" s="14" t="n">
        <f aca="false">Summary!$B$5-B3278</f>
        <v>-7665.5099700651</v>
      </c>
      <c r="E3278" s="15" t="n">
        <f aca="false">B3278/Summary!$B$5-1</f>
        <v>0.076655099700651</v>
      </c>
    </row>
    <row r="3279" customFormat="false" ht="15" hidden="false" customHeight="false" outlineLevel="0" collapsed="false">
      <c r="A3279" s="0" t="n">
        <v>3278</v>
      </c>
      <c r="B3279" s="14" t="n">
        <v>113327.356026332</v>
      </c>
      <c r="C3279" s="15" t="n">
        <v>0.0819991212746308</v>
      </c>
      <c r="D3279" s="14" t="n">
        <f aca="false">Summary!$B$5-B3279</f>
        <v>-13327.3560263317</v>
      </c>
      <c r="E3279" s="15" t="n">
        <f aca="false">B3279/Summary!$B$5-1</f>
        <v>0.133273560263317</v>
      </c>
    </row>
    <row r="3280" customFormat="false" ht="15" hidden="false" customHeight="false" outlineLevel="0" collapsed="false">
      <c r="A3280" s="0" t="n">
        <v>3279</v>
      </c>
      <c r="B3280" s="14" t="n">
        <v>129305.033900058</v>
      </c>
      <c r="C3280" s="15" t="n">
        <v>0.0542608857345548</v>
      </c>
      <c r="D3280" s="14" t="n">
        <f aca="false">Summary!$B$5-B3280</f>
        <v>-29305.0339000582</v>
      </c>
      <c r="E3280" s="15" t="n">
        <f aca="false">B3280/Summary!$B$5-1</f>
        <v>0.293050339000582</v>
      </c>
    </row>
    <row r="3281" customFormat="false" ht="15" hidden="false" customHeight="false" outlineLevel="0" collapsed="false">
      <c r="A3281" s="0" t="n">
        <v>3280</v>
      </c>
      <c r="B3281" s="14" t="n">
        <v>94672.5225227254</v>
      </c>
      <c r="C3281" s="15" t="n">
        <v>0.138527820471596</v>
      </c>
      <c r="D3281" s="14" t="n">
        <f aca="false">Summary!$B$5-B3281</f>
        <v>5327.4774772746</v>
      </c>
      <c r="E3281" s="15" t="n">
        <f aca="false">B3281/Summary!$B$5-1</f>
        <v>-0.053274774772746</v>
      </c>
    </row>
    <row r="3282" customFormat="false" ht="15" hidden="false" customHeight="false" outlineLevel="0" collapsed="false">
      <c r="A3282" s="0" t="n">
        <v>3281</v>
      </c>
      <c r="B3282" s="14" t="n">
        <v>103582.557648313</v>
      </c>
      <c r="C3282" s="15" t="n">
        <v>0.128808966404377</v>
      </c>
      <c r="D3282" s="14" t="n">
        <f aca="false">Summary!$B$5-B3282</f>
        <v>-3582.55764831261</v>
      </c>
      <c r="E3282" s="15" t="n">
        <f aca="false">B3282/Summary!$B$5-1</f>
        <v>0.0358255764831261</v>
      </c>
    </row>
    <row r="3283" customFormat="false" ht="15" hidden="false" customHeight="false" outlineLevel="0" collapsed="false">
      <c r="A3283" s="0" t="n">
        <v>3282</v>
      </c>
      <c r="B3283" s="14" t="n">
        <v>100322.11259289</v>
      </c>
      <c r="C3283" s="15" t="n">
        <v>0.116851456452736</v>
      </c>
      <c r="D3283" s="14" t="n">
        <f aca="false">Summary!$B$5-B3283</f>
        <v>-322.11259289</v>
      </c>
      <c r="E3283" s="15" t="n">
        <f aca="false">B3283/Summary!$B$5-1</f>
        <v>0.00322112592889989</v>
      </c>
    </row>
    <row r="3284" customFormat="false" ht="15" hidden="false" customHeight="false" outlineLevel="0" collapsed="false">
      <c r="A3284" s="0" t="n">
        <v>3283</v>
      </c>
      <c r="B3284" s="14" t="n">
        <v>98961.894899813</v>
      </c>
      <c r="C3284" s="15" t="n">
        <v>0.119585859182799</v>
      </c>
      <c r="D3284" s="14" t="n">
        <f aca="false">Summary!$B$5-B3284</f>
        <v>1038.10510018704</v>
      </c>
      <c r="E3284" s="15" t="n">
        <f aca="false">B3284/Summary!$B$5-1</f>
        <v>-0.0103810510018704</v>
      </c>
    </row>
    <row r="3285" customFormat="false" ht="15" hidden="false" customHeight="false" outlineLevel="0" collapsed="false">
      <c r="A3285" s="0" t="n">
        <v>3284</v>
      </c>
      <c r="B3285" s="14" t="n">
        <v>116269.626405273</v>
      </c>
      <c r="C3285" s="15" t="n">
        <v>0.0907234383065616</v>
      </c>
      <c r="D3285" s="14" t="n">
        <f aca="false">Summary!$B$5-B3285</f>
        <v>-16269.6264052732</v>
      </c>
      <c r="E3285" s="15" t="n">
        <f aca="false">B3285/Summary!$B$5-1</f>
        <v>0.162696264052732</v>
      </c>
    </row>
    <row r="3286" customFormat="false" ht="15" hidden="false" customHeight="false" outlineLevel="0" collapsed="false">
      <c r="A3286" s="0" t="n">
        <v>3285</v>
      </c>
      <c r="B3286" s="14" t="n">
        <v>117608.106416029</v>
      </c>
      <c r="C3286" s="15" t="n">
        <v>0.0753667541365054</v>
      </c>
      <c r="D3286" s="14" t="n">
        <f aca="false">Summary!$B$5-B3286</f>
        <v>-17608.1064160286</v>
      </c>
      <c r="E3286" s="15" t="n">
        <f aca="false">B3286/Summary!$B$5-1</f>
        <v>0.176081064160286</v>
      </c>
    </row>
    <row r="3287" customFormat="false" ht="15" hidden="false" customHeight="false" outlineLevel="0" collapsed="false">
      <c r="A3287" s="0" t="n">
        <v>3286</v>
      </c>
      <c r="B3287" s="14" t="n">
        <v>88367.9887052269</v>
      </c>
      <c r="C3287" s="15" t="n">
        <v>0.201190521233035</v>
      </c>
      <c r="D3287" s="14" t="n">
        <f aca="false">Summary!$B$5-B3287</f>
        <v>11632.0112947731</v>
      </c>
      <c r="E3287" s="15" t="n">
        <f aca="false">B3287/Summary!$B$5-1</f>
        <v>-0.116320112947731</v>
      </c>
    </row>
    <row r="3288" customFormat="false" ht="15" hidden="false" customHeight="false" outlineLevel="0" collapsed="false">
      <c r="A3288" s="0" t="n">
        <v>3287</v>
      </c>
      <c r="B3288" s="14" t="n">
        <v>93652.32291613</v>
      </c>
      <c r="C3288" s="15" t="n">
        <v>0.137688229522533</v>
      </c>
      <c r="D3288" s="14" t="n">
        <f aca="false">Summary!$B$5-B3288</f>
        <v>6347.67708386997</v>
      </c>
      <c r="E3288" s="15" t="n">
        <f aca="false">B3288/Summary!$B$5-1</f>
        <v>-0.0634767708386997</v>
      </c>
    </row>
    <row r="3289" customFormat="false" ht="15" hidden="false" customHeight="false" outlineLevel="0" collapsed="false">
      <c r="A3289" s="0" t="n">
        <v>3288</v>
      </c>
      <c r="B3289" s="14" t="n">
        <v>101823.712077286</v>
      </c>
      <c r="C3289" s="15" t="n">
        <v>0.0981950496202433</v>
      </c>
      <c r="D3289" s="14" t="n">
        <f aca="false">Summary!$B$5-B3289</f>
        <v>-1823.7120772855</v>
      </c>
      <c r="E3289" s="15" t="n">
        <f aca="false">B3289/Summary!$B$5-1</f>
        <v>0.0182371207728549</v>
      </c>
    </row>
    <row r="3290" customFormat="false" ht="15" hidden="false" customHeight="false" outlineLevel="0" collapsed="false">
      <c r="A3290" s="0" t="n">
        <v>3289</v>
      </c>
      <c r="B3290" s="14" t="n">
        <v>120446.363597227</v>
      </c>
      <c r="C3290" s="15" t="n">
        <v>0.0899268520708387</v>
      </c>
      <c r="D3290" s="14" t="n">
        <f aca="false">Summary!$B$5-B3290</f>
        <v>-20446.3635972268</v>
      </c>
      <c r="E3290" s="15" t="n">
        <f aca="false">B3290/Summary!$B$5-1</f>
        <v>0.204463635972268</v>
      </c>
    </row>
    <row r="3291" customFormat="false" ht="15" hidden="false" customHeight="false" outlineLevel="0" collapsed="false">
      <c r="A3291" s="0" t="n">
        <v>3290</v>
      </c>
      <c r="B3291" s="14" t="n">
        <v>113871.004709756</v>
      </c>
      <c r="C3291" s="15" t="n">
        <v>0.0981225704010229</v>
      </c>
      <c r="D3291" s="14" t="n">
        <f aca="false">Summary!$B$5-B3291</f>
        <v>-13871.0047097557</v>
      </c>
      <c r="E3291" s="15" t="n">
        <f aca="false">B3291/Summary!$B$5-1</f>
        <v>0.138710047097557</v>
      </c>
    </row>
    <row r="3292" customFormat="false" ht="15" hidden="false" customHeight="false" outlineLevel="0" collapsed="false">
      <c r="A3292" s="0" t="n">
        <v>3291</v>
      </c>
      <c r="B3292" s="14" t="n">
        <v>130394.927423188</v>
      </c>
      <c r="C3292" s="15" t="n">
        <v>0.0626952237946196</v>
      </c>
      <c r="D3292" s="14" t="n">
        <f aca="false">Summary!$B$5-B3292</f>
        <v>-30394.9274231876</v>
      </c>
      <c r="E3292" s="15" t="n">
        <f aca="false">B3292/Summary!$B$5-1</f>
        <v>0.303949274231876</v>
      </c>
    </row>
    <row r="3293" customFormat="false" ht="15" hidden="false" customHeight="false" outlineLevel="0" collapsed="false">
      <c r="A3293" s="0" t="n">
        <v>3292</v>
      </c>
      <c r="B3293" s="14" t="n">
        <v>130048.653165267</v>
      </c>
      <c r="C3293" s="15" t="n">
        <v>0.0866884091778406</v>
      </c>
      <c r="D3293" s="14" t="n">
        <f aca="false">Summary!$B$5-B3293</f>
        <v>-30048.6531652669</v>
      </c>
      <c r="E3293" s="15" t="n">
        <f aca="false">B3293/Summary!$B$5-1</f>
        <v>0.300486531652669</v>
      </c>
    </row>
    <row r="3294" customFormat="false" ht="15" hidden="false" customHeight="false" outlineLevel="0" collapsed="false">
      <c r="A3294" s="0" t="n">
        <v>3293</v>
      </c>
      <c r="B3294" s="14" t="n">
        <v>115192.407453363</v>
      </c>
      <c r="C3294" s="15" t="n">
        <v>0.073503562945109</v>
      </c>
      <c r="D3294" s="14" t="n">
        <f aca="false">Summary!$B$5-B3294</f>
        <v>-15192.4074533626</v>
      </c>
      <c r="E3294" s="15" t="n">
        <f aca="false">B3294/Summary!$B$5-1</f>
        <v>0.151924074533626</v>
      </c>
    </row>
    <row r="3295" customFormat="false" ht="15" hidden="false" customHeight="false" outlineLevel="0" collapsed="false">
      <c r="A3295" s="0" t="n">
        <v>3294</v>
      </c>
      <c r="B3295" s="14" t="n">
        <v>103866.115331204</v>
      </c>
      <c r="C3295" s="15" t="n">
        <v>0.074745757254914</v>
      </c>
      <c r="D3295" s="14" t="n">
        <f aca="false">Summary!$B$5-B3295</f>
        <v>-3866.1153312041</v>
      </c>
      <c r="E3295" s="15" t="n">
        <f aca="false">B3295/Summary!$B$5-1</f>
        <v>0.0386611533120409</v>
      </c>
    </row>
    <row r="3296" customFormat="false" ht="15" hidden="false" customHeight="false" outlineLevel="0" collapsed="false">
      <c r="A3296" s="0" t="n">
        <v>3295</v>
      </c>
      <c r="B3296" s="14" t="n">
        <v>106831.110442932</v>
      </c>
      <c r="C3296" s="15" t="n">
        <v>0.0943527313210766</v>
      </c>
      <c r="D3296" s="14" t="n">
        <f aca="false">Summary!$B$5-B3296</f>
        <v>-6831.1104429324</v>
      </c>
      <c r="E3296" s="15" t="n">
        <f aca="false">B3296/Summary!$B$5-1</f>
        <v>0.0683111044293241</v>
      </c>
    </row>
    <row r="3297" customFormat="false" ht="15" hidden="false" customHeight="false" outlineLevel="0" collapsed="false">
      <c r="A3297" s="0" t="n">
        <v>3296</v>
      </c>
      <c r="B3297" s="14" t="n">
        <v>86660.8008134252</v>
      </c>
      <c r="C3297" s="15" t="n">
        <v>0.138142739607488</v>
      </c>
      <c r="D3297" s="14" t="n">
        <f aca="false">Summary!$B$5-B3297</f>
        <v>13339.1991865748</v>
      </c>
      <c r="E3297" s="15" t="n">
        <f aca="false">B3297/Summary!$B$5-1</f>
        <v>-0.133391991865748</v>
      </c>
    </row>
    <row r="3298" customFormat="false" ht="15" hidden="false" customHeight="false" outlineLevel="0" collapsed="false">
      <c r="A3298" s="0" t="n">
        <v>3297</v>
      </c>
      <c r="B3298" s="14" t="n">
        <v>112072.335907632</v>
      </c>
      <c r="C3298" s="15" t="n">
        <v>0.105528029915713</v>
      </c>
      <c r="D3298" s="14" t="n">
        <f aca="false">Summary!$B$5-B3298</f>
        <v>-12072.3359076323</v>
      </c>
      <c r="E3298" s="15" t="n">
        <f aca="false">B3298/Summary!$B$5-1</f>
        <v>0.120723359076323</v>
      </c>
    </row>
    <row r="3299" customFormat="false" ht="15" hidden="false" customHeight="false" outlineLevel="0" collapsed="false">
      <c r="A3299" s="0" t="n">
        <v>3298</v>
      </c>
      <c r="B3299" s="14" t="n">
        <v>85970.0985742074</v>
      </c>
      <c r="C3299" s="15" t="n">
        <v>0.145361287425115</v>
      </c>
      <c r="D3299" s="14" t="n">
        <f aca="false">Summary!$B$5-B3299</f>
        <v>14029.9014257926</v>
      </c>
      <c r="E3299" s="15" t="n">
        <f aca="false">B3299/Summary!$B$5-1</f>
        <v>-0.140299014257926</v>
      </c>
    </row>
    <row r="3300" customFormat="false" ht="15" hidden="false" customHeight="false" outlineLevel="0" collapsed="false">
      <c r="A3300" s="0" t="n">
        <v>3299</v>
      </c>
      <c r="B3300" s="14" t="n">
        <v>97552.0900538277</v>
      </c>
      <c r="C3300" s="15" t="n">
        <v>0.110604496661289</v>
      </c>
      <c r="D3300" s="14" t="n">
        <f aca="false">Summary!$B$5-B3300</f>
        <v>2447.90994617235</v>
      </c>
      <c r="E3300" s="15" t="n">
        <f aca="false">B3300/Summary!$B$5-1</f>
        <v>-0.0244790994617236</v>
      </c>
    </row>
    <row r="3301" customFormat="false" ht="15" hidden="false" customHeight="false" outlineLevel="0" collapsed="false">
      <c r="A3301" s="0" t="n">
        <v>3300</v>
      </c>
      <c r="B3301" s="14" t="n">
        <v>96022.08904462</v>
      </c>
      <c r="C3301" s="15" t="n">
        <v>0.137119309938918</v>
      </c>
      <c r="D3301" s="14" t="n">
        <f aca="false">Summary!$B$5-B3301</f>
        <v>3977.91095537998</v>
      </c>
      <c r="E3301" s="15" t="n">
        <f aca="false">B3301/Summary!$B$5-1</f>
        <v>-0.0397791095537998</v>
      </c>
    </row>
    <row r="3302" customFormat="false" ht="15" hidden="false" customHeight="false" outlineLevel="0" collapsed="false">
      <c r="A3302" s="0" t="n">
        <v>3301</v>
      </c>
      <c r="B3302" s="14" t="n">
        <v>125699.937016023</v>
      </c>
      <c r="C3302" s="15" t="n">
        <v>0.0521629757767388</v>
      </c>
      <c r="D3302" s="14" t="n">
        <f aca="false">Summary!$B$5-B3302</f>
        <v>-25699.9370160225</v>
      </c>
      <c r="E3302" s="15" t="n">
        <f aca="false">B3302/Summary!$B$5-1</f>
        <v>0.256999370160225</v>
      </c>
    </row>
    <row r="3303" customFormat="false" ht="15" hidden="false" customHeight="false" outlineLevel="0" collapsed="false">
      <c r="A3303" s="0" t="n">
        <v>3302</v>
      </c>
      <c r="B3303" s="14" t="n">
        <v>93548.6032662622</v>
      </c>
      <c r="C3303" s="15" t="n">
        <v>0.196895651747125</v>
      </c>
      <c r="D3303" s="14" t="n">
        <f aca="false">Summary!$B$5-B3303</f>
        <v>6451.39673373781</v>
      </c>
      <c r="E3303" s="15" t="n">
        <f aca="false">B3303/Summary!$B$5-1</f>
        <v>-0.0645139673373781</v>
      </c>
    </row>
    <row r="3304" customFormat="false" ht="15" hidden="false" customHeight="false" outlineLevel="0" collapsed="false">
      <c r="A3304" s="0" t="n">
        <v>3303</v>
      </c>
      <c r="B3304" s="14" t="n">
        <v>106527.601364221</v>
      </c>
      <c r="C3304" s="15" t="n">
        <v>0.0853894407698573</v>
      </c>
      <c r="D3304" s="14" t="n">
        <f aca="false">Summary!$B$5-B3304</f>
        <v>-6527.6013642208</v>
      </c>
      <c r="E3304" s="15" t="n">
        <f aca="false">B3304/Summary!$B$5-1</f>
        <v>0.0652760136422079</v>
      </c>
    </row>
    <row r="3305" customFormat="false" ht="15" hidden="false" customHeight="false" outlineLevel="0" collapsed="false">
      <c r="A3305" s="0" t="n">
        <v>3304</v>
      </c>
      <c r="B3305" s="14" t="n">
        <v>109999.460487253</v>
      </c>
      <c r="C3305" s="15" t="n">
        <v>0.0690069457525153</v>
      </c>
      <c r="D3305" s="14" t="n">
        <f aca="false">Summary!$B$5-B3305</f>
        <v>-9999.4604872529</v>
      </c>
      <c r="E3305" s="15" t="n">
        <f aca="false">B3305/Summary!$B$5-1</f>
        <v>0.0999946048725291</v>
      </c>
    </row>
    <row r="3306" customFormat="false" ht="15" hidden="false" customHeight="false" outlineLevel="0" collapsed="false">
      <c r="A3306" s="0" t="n">
        <v>3305</v>
      </c>
      <c r="B3306" s="14" t="n">
        <v>105484.386223085</v>
      </c>
      <c r="C3306" s="15" t="n">
        <v>0.0933028432596085</v>
      </c>
      <c r="D3306" s="14" t="n">
        <f aca="false">Summary!$B$5-B3306</f>
        <v>-5484.3862230848</v>
      </c>
      <c r="E3306" s="15" t="n">
        <f aca="false">B3306/Summary!$B$5-1</f>
        <v>0.054843862230848</v>
      </c>
    </row>
    <row r="3307" customFormat="false" ht="15" hidden="false" customHeight="false" outlineLevel="0" collapsed="false">
      <c r="A3307" s="0" t="n">
        <v>3306</v>
      </c>
      <c r="B3307" s="14" t="n">
        <v>99653.8439355666</v>
      </c>
      <c r="C3307" s="15" t="n">
        <v>0.108632118985781</v>
      </c>
      <c r="D3307" s="14" t="n">
        <f aca="false">Summary!$B$5-B3307</f>
        <v>346.156064433439</v>
      </c>
      <c r="E3307" s="15" t="n">
        <f aca="false">B3307/Summary!$B$5-1</f>
        <v>-0.00346156064433434</v>
      </c>
    </row>
    <row r="3308" customFormat="false" ht="15" hidden="false" customHeight="false" outlineLevel="0" collapsed="false">
      <c r="A3308" s="0" t="n">
        <v>3307</v>
      </c>
      <c r="B3308" s="14" t="n">
        <v>127028.238230993</v>
      </c>
      <c r="C3308" s="15" t="n">
        <v>0.0643428227781084</v>
      </c>
      <c r="D3308" s="14" t="n">
        <f aca="false">Summary!$B$5-B3308</f>
        <v>-27028.2382309928</v>
      </c>
      <c r="E3308" s="15" t="n">
        <f aca="false">B3308/Summary!$B$5-1</f>
        <v>0.270282382309928</v>
      </c>
    </row>
    <row r="3309" customFormat="false" ht="15" hidden="false" customHeight="false" outlineLevel="0" collapsed="false">
      <c r="A3309" s="0" t="n">
        <v>3308</v>
      </c>
      <c r="B3309" s="14" t="n">
        <v>115814.772804459</v>
      </c>
      <c r="C3309" s="15" t="n">
        <v>0.0607186952764818</v>
      </c>
      <c r="D3309" s="14" t="n">
        <f aca="false">Summary!$B$5-B3309</f>
        <v>-15814.7728044594</v>
      </c>
      <c r="E3309" s="15" t="n">
        <f aca="false">B3309/Summary!$B$5-1</f>
        <v>0.158147728044594</v>
      </c>
    </row>
    <row r="3310" customFormat="false" ht="15" hidden="false" customHeight="false" outlineLevel="0" collapsed="false">
      <c r="A3310" s="0" t="n">
        <v>3309</v>
      </c>
      <c r="B3310" s="14" t="n">
        <v>94629.3695811875</v>
      </c>
      <c r="C3310" s="15" t="n">
        <v>0.149776982520087</v>
      </c>
      <c r="D3310" s="14" t="n">
        <f aca="false">Summary!$B$5-B3310</f>
        <v>5370.63041881254</v>
      </c>
      <c r="E3310" s="15" t="n">
        <f aca="false">B3310/Summary!$B$5-1</f>
        <v>-0.0537063041881254</v>
      </c>
    </row>
    <row r="3311" customFormat="false" ht="15" hidden="false" customHeight="false" outlineLevel="0" collapsed="false">
      <c r="A3311" s="0" t="n">
        <v>3310</v>
      </c>
      <c r="B3311" s="14" t="n">
        <v>114156.782065906</v>
      </c>
      <c r="C3311" s="15" t="n">
        <v>0.109083828890284</v>
      </c>
      <c r="D3311" s="14" t="n">
        <f aca="false">Summary!$B$5-B3311</f>
        <v>-14156.7820659063</v>
      </c>
      <c r="E3311" s="15" t="n">
        <f aca="false">B3311/Summary!$B$5-1</f>
        <v>0.141567820659063</v>
      </c>
    </row>
    <row r="3312" customFormat="false" ht="15" hidden="false" customHeight="false" outlineLevel="0" collapsed="false">
      <c r="A3312" s="0" t="n">
        <v>3311</v>
      </c>
      <c r="B3312" s="14" t="n">
        <v>107136.482721847</v>
      </c>
      <c r="C3312" s="15" t="n">
        <v>0.127036605153483</v>
      </c>
      <c r="D3312" s="14" t="n">
        <f aca="false">Summary!$B$5-B3312</f>
        <v>-7136.4827218469</v>
      </c>
      <c r="E3312" s="15" t="n">
        <f aca="false">B3312/Summary!$B$5-1</f>
        <v>0.071364827218469</v>
      </c>
    </row>
    <row r="3313" customFormat="false" ht="15" hidden="false" customHeight="false" outlineLevel="0" collapsed="false">
      <c r="A3313" s="0" t="n">
        <v>3312</v>
      </c>
      <c r="B3313" s="14" t="n">
        <v>98470.9452827712</v>
      </c>
      <c r="C3313" s="15" t="n">
        <v>0.104539400566193</v>
      </c>
      <c r="D3313" s="14" t="n">
        <f aca="false">Summary!$B$5-B3313</f>
        <v>1529.05471722881</v>
      </c>
      <c r="E3313" s="15" t="n">
        <f aca="false">B3313/Summary!$B$5-1</f>
        <v>-0.0152905471722881</v>
      </c>
    </row>
    <row r="3314" customFormat="false" ht="15" hidden="false" customHeight="false" outlineLevel="0" collapsed="false">
      <c r="A3314" s="0" t="n">
        <v>3313</v>
      </c>
      <c r="B3314" s="14" t="n">
        <v>108027.699212147</v>
      </c>
      <c r="C3314" s="15" t="n">
        <v>0.0751432568099938</v>
      </c>
      <c r="D3314" s="14" t="n">
        <f aca="false">Summary!$B$5-B3314</f>
        <v>-8027.69921214681</v>
      </c>
      <c r="E3314" s="15" t="n">
        <f aca="false">B3314/Summary!$B$5-1</f>
        <v>0.0802769921214681</v>
      </c>
    </row>
    <row r="3315" customFormat="false" ht="15" hidden="false" customHeight="false" outlineLevel="0" collapsed="false">
      <c r="A3315" s="0" t="n">
        <v>3314</v>
      </c>
      <c r="B3315" s="14" t="n">
        <v>110810.126459741</v>
      </c>
      <c r="C3315" s="15" t="n">
        <v>0.0856024237259282</v>
      </c>
      <c r="D3315" s="14" t="n">
        <f aca="false">Summary!$B$5-B3315</f>
        <v>-10810.1264597411</v>
      </c>
      <c r="E3315" s="15" t="n">
        <f aca="false">B3315/Summary!$B$5-1</f>
        <v>0.108101264597411</v>
      </c>
    </row>
    <row r="3316" customFormat="false" ht="15" hidden="false" customHeight="false" outlineLevel="0" collapsed="false">
      <c r="A3316" s="0" t="n">
        <v>3315</v>
      </c>
      <c r="B3316" s="14" t="n">
        <v>114723.273476712</v>
      </c>
      <c r="C3316" s="15" t="n">
        <v>0.0454264321678125</v>
      </c>
      <c r="D3316" s="14" t="n">
        <f aca="false">Summary!$B$5-B3316</f>
        <v>-14723.2734767124</v>
      </c>
      <c r="E3316" s="15" t="n">
        <f aca="false">B3316/Summary!$B$5-1</f>
        <v>0.147232734767124</v>
      </c>
    </row>
    <row r="3317" customFormat="false" ht="15" hidden="false" customHeight="false" outlineLevel="0" collapsed="false">
      <c r="A3317" s="0" t="n">
        <v>3316</v>
      </c>
      <c r="B3317" s="14" t="n">
        <v>121101.952465158</v>
      </c>
      <c r="C3317" s="15" t="n">
        <v>0.0695487712675761</v>
      </c>
      <c r="D3317" s="14" t="n">
        <f aca="false">Summary!$B$5-B3317</f>
        <v>-21101.9524651581</v>
      </c>
      <c r="E3317" s="15" t="n">
        <f aca="false">B3317/Summary!$B$5-1</f>
        <v>0.211019524651581</v>
      </c>
    </row>
    <row r="3318" customFormat="false" ht="15" hidden="false" customHeight="false" outlineLevel="0" collapsed="false">
      <c r="A3318" s="0" t="n">
        <v>3317</v>
      </c>
      <c r="B3318" s="14" t="n">
        <v>87281.2762621915</v>
      </c>
      <c r="C3318" s="15" t="n">
        <v>0.147050367890003</v>
      </c>
      <c r="D3318" s="14" t="n">
        <f aca="false">Summary!$B$5-B3318</f>
        <v>12718.7237378085</v>
      </c>
      <c r="E3318" s="15" t="n">
        <f aca="false">B3318/Summary!$B$5-1</f>
        <v>-0.127187237378085</v>
      </c>
    </row>
    <row r="3319" customFormat="false" ht="15" hidden="false" customHeight="false" outlineLevel="0" collapsed="false">
      <c r="A3319" s="0" t="n">
        <v>3318</v>
      </c>
      <c r="B3319" s="14" t="n">
        <v>143266.291695017</v>
      </c>
      <c r="C3319" s="15" t="n">
        <v>0.048547691425374</v>
      </c>
      <c r="D3319" s="14" t="n">
        <f aca="false">Summary!$B$5-B3319</f>
        <v>-43266.291695017</v>
      </c>
      <c r="E3319" s="15" t="n">
        <f aca="false">B3319/Summary!$B$5-1</f>
        <v>0.43266291695017</v>
      </c>
    </row>
    <row r="3320" customFormat="false" ht="15" hidden="false" customHeight="false" outlineLevel="0" collapsed="false">
      <c r="A3320" s="0" t="n">
        <v>3319</v>
      </c>
      <c r="B3320" s="14" t="n">
        <v>122958.161634699</v>
      </c>
      <c r="C3320" s="15" t="n">
        <v>0.0958925989650251</v>
      </c>
      <c r="D3320" s="14" t="n">
        <f aca="false">Summary!$B$5-B3320</f>
        <v>-22958.1616346992</v>
      </c>
      <c r="E3320" s="15" t="n">
        <f aca="false">B3320/Summary!$B$5-1</f>
        <v>0.229581616346992</v>
      </c>
    </row>
    <row r="3321" customFormat="false" ht="15" hidden="false" customHeight="false" outlineLevel="0" collapsed="false">
      <c r="A3321" s="0" t="n">
        <v>3320</v>
      </c>
      <c r="B3321" s="14" t="n">
        <v>96295.2328987619</v>
      </c>
      <c r="C3321" s="15" t="n">
        <v>0.123871889471499</v>
      </c>
      <c r="D3321" s="14" t="n">
        <f aca="false">Summary!$B$5-B3321</f>
        <v>3704.76710123813</v>
      </c>
      <c r="E3321" s="15" t="n">
        <f aca="false">B3321/Summary!$B$5-1</f>
        <v>-0.0370476710123814</v>
      </c>
    </row>
    <row r="3322" customFormat="false" ht="15" hidden="false" customHeight="false" outlineLevel="0" collapsed="false">
      <c r="A3322" s="0" t="n">
        <v>3321</v>
      </c>
      <c r="B3322" s="14" t="n">
        <v>117749.043711648</v>
      </c>
      <c r="C3322" s="15" t="n">
        <v>0.0781937359523418</v>
      </c>
      <c r="D3322" s="14" t="n">
        <f aca="false">Summary!$B$5-B3322</f>
        <v>-17749.0437116477</v>
      </c>
      <c r="E3322" s="15" t="n">
        <f aca="false">B3322/Summary!$B$5-1</f>
        <v>0.177490437116477</v>
      </c>
    </row>
    <row r="3323" customFormat="false" ht="15" hidden="false" customHeight="false" outlineLevel="0" collapsed="false">
      <c r="A3323" s="0" t="n">
        <v>3322</v>
      </c>
      <c r="B3323" s="14" t="n">
        <v>136875.750704406</v>
      </c>
      <c r="C3323" s="15" t="n">
        <v>0.0754842659787431</v>
      </c>
      <c r="D3323" s="14" t="n">
        <f aca="false">Summary!$B$5-B3323</f>
        <v>-36875.7507044064</v>
      </c>
      <c r="E3323" s="15" t="n">
        <f aca="false">B3323/Summary!$B$5-1</f>
        <v>0.368757507044064</v>
      </c>
    </row>
    <row r="3324" customFormat="false" ht="15" hidden="false" customHeight="false" outlineLevel="0" collapsed="false">
      <c r="A3324" s="0" t="n">
        <v>3323</v>
      </c>
      <c r="B3324" s="14" t="n">
        <v>84010.9107825605</v>
      </c>
      <c r="C3324" s="15" t="n">
        <v>0.193853860346361</v>
      </c>
      <c r="D3324" s="14" t="n">
        <f aca="false">Summary!$B$5-B3324</f>
        <v>15989.0892174395</v>
      </c>
      <c r="E3324" s="15" t="n">
        <f aca="false">B3324/Summary!$B$5-1</f>
        <v>-0.159890892174395</v>
      </c>
    </row>
    <row r="3325" customFormat="false" ht="15" hidden="false" customHeight="false" outlineLevel="0" collapsed="false">
      <c r="A3325" s="0" t="n">
        <v>3324</v>
      </c>
      <c r="B3325" s="14" t="n">
        <v>99764.6454753631</v>
      </c>
      <c r="C3325" s="15" t="n">
        <v>0.0737143360634096</v>
      </c>
      <c r="D3325" s="14" t="n">
        <f aca="false">Summary!$B$5-B3325</f>
        <v>235.354524636859</v>
      </c>
      <c r="E3325" s="15" t="n">
        <f aca="false">B3325/Summary!$B$5-1</f>
        <v>-0.00235354524636855</v>
      </c>
    </row>
    <row r="3326" customFormat="false" ht="15" hidden="false" customHeight="false" outlineLevel="0" collapsed="false">
      <c r="A3326" s="0" t="n">
        <v>3325</v>
      </c>
      <c r="B3326" s="14" t="n">
        <v>110265.81691524</v>
      </c>
      <c r="C3326" s="15" t="n">
        <v>0.0797110693168762</v>
      </c>
      <c r="D3326" s="14" t="n">
        <f aca="false">Summary!$B$5-B3326</f>
        <v>-10265.8169152395</v>
      </c>
      <c r="E3326" s="15" t="n">
        <f aca="false">B3326/Summary!$B$5-1</f>
        <v>0.102658169152395</v>
      </c>
    </row>
    <row r="3327" customFormat="false" ht="15" hidden="false" customHeight="false" outlineLevel="0" collapsed="false">
      <c r="A3327" s="0" t="n">
        <v>3326</v>
      </c>
      <c r="B3327" s="14" t="n">
        <v>111178.019266882</v>
      </c>
      <c r="C3327" s="15" t="n">
        <v>0.105675397679541</v>
      </c>
      <c r="D3327" s="14" t="n">
        <f aca="false">Summary!$B$5-B3327</f>
        <v>-11178.019266882</v>
      </c>
      <c r="E3327" s="15" t="n">
        <f aca="false">B3327/Summary!$B$5-1</f>
        <v>0.11178019266882</v>
      </c>
    </row>
    <row r="3328" customFormat="false" ht="15" hidden="false" customHeight="false" outlineLevel="0" collapsed="false">
      <c r="A3328" s="0" t="n">
        <v>3327</v>
      </c>
      <c r="B3328" s="14" t="n">
        <v>129251.870409325</v>
      </c>
      <c r="C3328" s="15" t="n">
        <v>0.0395124785692927</v>
      </c>
      <c r="D3328" s="14" t="n">
        <f aca="false">Summary!$B$5-B3328</f>
        <v>-29251.8704093249</v>
      </c>
      <c r="E3328" s="15" t="n">
        <f aca="false">B3328/Summary!$B$5-1</f>
        <v>0.292518704093249</v>
      </c>
    </row>
    <row r="3329" customFormat="false" ht="15" hidden="false" customHeight="false" outlineLevel="0" collapsed="false">
      <c r="A3329" s="0" t="n">
        <v>3328</v>
      </c>
      <c r="B3329" s="14" t="n">
        <v>114142.551159862</v>
      </c>
      <c r="C3329" s="15" t="n">
        <v>0.0978463003685729</v>
      </c>
      <c r="D3329" s="14" t="n">
        <f aca="false">Summary!$B$5-B3329</f>
        <v>-14142.5511598616</v>
      </c>
      <c r="E3329" s="15" t="n">
        <f aca="false">B3329/Summary!$B$5-1</f>
        <v>0.141425511598616</v>
      </c>
    </row>
    <row r="3330" customFormat="false" ht="15" hidden="false" customHeight="false" outlineLevel="0" collapsed="false">
      <c r="A3330" s="0" t="n">
        <v>3329</v>
      </c>
      <c r="B3330" s="14" t="n">
        <v>130857.415369341</v>
      </c>
      <c r="C3330" s="15" t="n">
        <v>0.111345119908218</v>
      </c>
      <c r="D3330" s="14" t="n">
        <f aca="false">Summary!$B$5-B3330</f>
        <v>-30857.4153693406</v>
      </c>
      <c r="E3330" s="15" t="n">
        <f aca="false">B3330/Summary!$B$5-1</f>
        <v>0.308574153693406</v>
      </c>
    </row>
    <row r="3331" customFormat="false" ht="15" hidden="false" customHeight="false" outlineLevel="0" collapsed="false">
      <c r="A3331" s="0" t="n">
        <v>3330</v>
      </c>
      <c r="B3331" s="14" t="n">
        <v>86546.5793598195</v>
      </c>
      <c r="C3331" s="15" t="n">
        <v>0.166521388723852</v>
      </c>
      <c r="D3331" s="14" t="n">
        <f aca="false">Summary!$B$5-B3331</f>
        <v>13453.4206401805</v>
      </c>
      <c r="E3331" s="15" t="n">
        <f aca="false">B3331/Summary!$B$5-1</f>
        <v>-0.134534206401805</v>
      </c>
    </row>
    <row r="3332" customFormat="false" ht="15" hidden="false" customHeight="false" outlineLevel="0" collapsed="false">
      <c r="A3332" s="0" t="n">
        <v>3331</v>
      </c>
      <c r="B3332" s="14" t="n">
        <v>116723.878855028</v>
      </c>
      <c r="C3332" s="15" t="n">
        <v>0.0710341095367241</v>
      </c>
      <c r="D3332" s="14" t="n">
        <f aca="false">Summary!$B$5-B3332</f>
        <v>-16723.8788550279</v>
      </c>
      <c r="E3332" s="15" t="n">
        <f aca="false">B3332/Summary!$B$5-1</f>
        <v>0.167238788550279</v>
      </c>
    </row>
    <row r="3333" customFormat="false" ht="15" hidden="false" customHeight="false" outlineLevel="0" collapsed="false">
      <c r="A3333" s="0" t="n">
        <v>3332</v>
      </c>
      <c r="B3333" s="14" t="n">
        <v>98315.515498198</v>
      </c>
      <c r="C3333" s="15" t="n">
        <v>0.113127941322281</v>
      </c>
      <c r="D3333" s="14" t="n">
        <f aca="false">Summary!$B$5-B3333</f>
        <v>1684.48450180201</v>
      </c>
      <c r="E3333" s="15" t="n">
        <f aca="false">B3333/Summary!$B$5-1</f>
        <v>-0.0168448450180201</v>
      </c>
    </row>
    <row r="3334" customFormat="false" ht="15" hidden="false" customHeight="false" outlineLevel="0" collapsed="false">
      <c r="A3334" s="0" t="n">
        <v>3333</v>
      </c>
      <c r="B3334" s="14" t="n">
        <v>85086.3882254217</v>
      </c>
      <c r="C3334" s="15" t="n">
        <v>0.176989676540307</v>
      </c>
      <c r="D3334" s="14" t="n">
        <f aca="false">Summary!$B$5-B3334</f>
        <v>14913.6117745783</v>
      </c>
      <c r="E3334" s="15" t="n">
        <f aca="false">B3334/Summary!$B$5-1</f>
        <v>-0.149136117745783</v>
      </c>
    </row>
    <row r="3335" customFormat="false" ht="15" hidden="false" customHeight="false" outlineLevel="0" collapsed="false">
      <c r="A3335" s="0" t="n">
        <v>3334</v>
      </c>
      <c r="B3335" s="14" t="n">
        <v>113815.795193507</v>
      </c>
      <c r="C3335" s="15" t="n">
        <v>0.0877081499488934</v>
      </c>
      <c r="D3335" s="14" t="n">
        <f aca="false">Summary!$B$5-B3335</f>
        <v>-13815.7951935073</v>
      </c>
      <c r="E3335" s="15" t="n">
        <f aca="false">B3335/Summary!$B$5-1</f>
        <v>0.138157951935073</v>
      </c>
    </row>
    <row r="3336" customFormat="false" ht="15" hidden="false" customHeight="false" outlineLevel="0" collapsed="false">
      <c r="A3336" s="0" t="n">
        <v>3335</v>
      </c>
      <c r="B3336" s="14" t="n">
        <v>100546.981503567</v>
      </c>
      <c r="C3336" s="15" t="n">
        <v>0.137239452365681</v>
      </c>
      <c r="D3336" s="14" t="n">
        <f aca="false">Summary!$B$5-B3336</f>
        <v>-546.981503566494</v>
      </c>
      <c r="E3336" s="15" t="n">
        <f aca="false">B3336/Summary!$B$5-1</f>
        <v>0.0054698150356649</v>
      </c>
    </row>
    <row r="3337" customFormat="false" ht="15" hidden="false" customHeight="false" outlineLevel="0" collapsed="false">
      <c r="A3337" s="0" t="n">
        <v>3336</v>
      </c>
      <c r="B3337" s="14" t="n">
        <v>104598.152014252</v>
      </c>
      <c r="C3337" s="15" t="n">
        <v>0.0877019710331252</v>
      </c>
      <c r="D3337" s="14" t="n">
        <f aca="false">Summary!$B$5-B3337</f>
        <v>-4598.1520142524</v>
      </c>
      <c r="E3337" s="15" t="n">
        <f aca="false">B3337/Summary!$B$5-1</f>
        <v>0.045981520142524</v>
      </c>
    </row>
    <row r="3338" customFormat="false" ht="15" hidden="false" customHeight="false" outlineLevel="0" collapsed="false">
      <c r="A3338" s="0" t="n">
        <v>3337</v>
      </c>
      <c r="B3338" s="14" t="n">
        <v>126287.7114325</v>
      </c>
      <c r="C3338" s="15" t="n">
        <v>0.0451145691870382</v>
      </c>
      <c r="D3338" s="14" t="n">
        <f aca="false">Summary!$B$5-B3338</f>
        <v>-26287.7114324998</v>
      </c>
      <c r="E3338" s="15" t="n">
        <f aca="false">B3338/Summary!$B$5-1</f>
        <v>0.262877114324998</v>
      </c>
    </row>
    <row r="3339" customFormat="false" ht="15" hidden="false" customHeight="false" outlineLevel="0" collapsed="false">
      <c r="A3339" s="0" t="n">
        <v>3338</v>
      </c>
      <c r="B3339" s="14" t="n">
        <v>104443.405217235</v>
      </c>
      <c r="C3339" s="15" t="n">
        <v>0.0907396993875501</v>
      </c>
      <c r="D3339" s="14" t="n">
        <f aca="false">Summary!$B$5-B3339</f>
        <v>-4443.4052172347</v>
      </c>
      <c r="E3339" s="15" t="n">
        <f aca="false">B3339/Summary!$B$5-1</f>
        <v>0.044434052172347</v>
      </c>
    </row>
    <row r="3340" customFormat="false" ht="15" hidden="false" customHeight="false" outlineLevel="0" collapsed="false">
      <c r="A3340" s="0" t="n">
        <v>3339</v>
      </c>
      <c r="B3340" s="14" t="n">
        <v>102155.073195527</v>
      </c>
      <c r="C3340" s="15" t="n">
        <v>0.130132147228876</v>
      </c>
      <c r="D3340" s="14" t="n">
        <f aca="false">Summary!$B$5-B3340</f>
        <v>-2155.07319552729</v>
      </c>
      <c r="E3340" s="15" t="n">
        <f aca="false">B3340/Summary!$B$5-1</f>
        <v>0.021550731955273</v>
      </c>
    </row>
    <row r="3341" customFormat="false" ht="15" hidden="false" customHeight="false" outlineLevel="0" collapsed="false">
      <c r="A3341" s="0" t="n">
        <v>3340</v>
      </c>
      <c r="B3341" s="14" t="n">
        <v>103976.572442643</v>
      </c>
      <c r="C3341" s="15" t="n">
        <v>0.103534886855213</v>
      </c>
      <c r="D3341" s="14" t="n">
        <f aca="false">Summary!$B$5-B3341</f>
        <v>-3976.5724426431</v>
      </c>
      <c r="E3341" s="15" t="n">
        <f aca="false">B3341/Summary!$B$5-1</f>
        <v>0.0397657244264309</v>
      </c>
    </row>
    <row r="3342" customFormat="false" ht="15" hidden="false" customHeight="false" outlineLevel="0" collapsed="false">
      <c r="A3342" s="0" t="n">
        <v>3341</v>
      </c>
      <c r="B3342" s="14" t="n">
        <v>99930.5278226424</v>
      </c>
      <c r="C3342" s="15" t="n">
        <v>0.146009939438263</v>
      </c>
      <c r="D3342" s="14" t="n">
        <f aca="false">Summary!$B$5-B3342</f>
        <v>69.4721773576312</v>
      </c>
      <c r="E3342" s="15" t="n">
        <f aca="false">B3342/Summary!$B$5-1</f>
        <v>-0.000694721773576323</v>
      </c>
    </row>
    <row r="3343" customFormat="false" ht="15" hidden="false" customHeight="false" outlineLevel="0" collapsed="false">
      <c r="A3343" s="0" t="n">
        <v>3342</v>
      </c>
      <c r="B3343" s="14" t="n">
        <v>100793.821112666</v>
      </c>
      <c r="C3343" s="15" t="n">
        <v>0.0956360263598054</v>
      </c>
      <c r="D3343" s="14" t="n">
        <f aca="false">Summary!$B$5-B3343</f>
        <v>-793.821112666105</v>
      </c>
      <c r="E3343" s="15" t="n">
        <f aca="false">B3343/Summary!$B$5-1</f>
        <v>0.00793821112666104</v>
      </c>
    </row>
    <row r="3344" customFormat="false" ht="15" hidden="false" customHeight="false" outlineLevel="0" collapsed="false">
      <c r="A3344" s="0" t="n">
        <v>3343</v>
      </c>
      <c r="B3344" s="14" t="n">
        <v>91536.7609446081</v>
      </c>
      <c r="C3344" s="15" t="n">
        <v>0.173476854655439</v>
      </c>
      <c r="D3344" s="14" t="n">
        <f aca="false">Summary!$B$5-B3344</f>
        <v>8463.2390553919</v>
      </c>
      <c r="E3344" s="15" t="n">
        <f aca="false">B3344/Summary!$B$5-1</f>
        <v>-0.0846323905539189</v>
      </c>
    </row>
    <row r="3345" customFormat="false" ht="15" hidden="false" customHeight="false" outlineLevel="0" collapsed="false">
      <c r="A3345" s="0" t="n">
        <v>3344</v>
      </c>
      <c r="B3345" s="14" t="n">
        <v>153332.750983083</v>
      </c>
      <c r="C3345" s="15" t="n">
        <v>0.0635247062823557</v>
      </c>
      <c r="D3345" s="14" t="n">
        <f aca="false">Summary!$B$5-B3345</f>
        <v>-53332.7509830832</v>
      </c>
      <c r="E3345" s="15" t="n">
        <f aca="false">B3345/Summary!$B$5-1</f>
        <v>0.533327509830832</v>
      </c>
    </row>
    <row r="3346" customFormat="false" ht="15" hidden="false" customHeight="false" outlineLevel="0" collapsed="false">
      <c r="A3346" s="0" t="n">
        <v>3345</v>
      </c>
      <c r="B3346" s="14" t="n">
        <v>90010.4650535554</v>
      </c>
      <c r="C3346" s="15" t="n">
        <v>0.166537244842894</v>
      </c>
      <c r="D3346" s="14" t="n">
        <f aca="false">Summary!$B$5-B3346</f>
        <v>9989.53494644456</v>
      </c>
      <c r="E3346" s="15" t="n">
        <f aca="false">B3346/Summary!$B$5-1</f>
        <v>-0.0998953494644456</v>
      </c>
    </row>
    <row r="3347" customFormat="false" ht="15" hidden="false" customHeight="false" outlineLevel="0" collapsed="false">
      <c r="A3347" s="0" t="n">
        <v>3346</v>
      </c>
      <c r="B3347" s="14" t="n">
        <v>103306.430047281</v>
      </c>
      <c r="C3347" s="15" t="n">
        <v>0.13299204448855</v>
      </c>
      <c r="D3347" s="14" t="n">
        <f aca="false">Summary!$B$5-B3347</f>
        <v>-3306.4300472805</v>
      </c>
      <c r="E3347" s="15" t="n">
        <f aca="false">B3347/Summary!$B$5-1</f>
        <v>0.0330643004728051</v>
      </c>
    </row>
    <row r="3348" customFormat="false" ht="15" hidden="false" customHeight="false" outlineLevel="0" collapsed="false">
      <c r="A3348" s="0" t="n">
        <v>3347</v>
      </c>
      <c r="B3348" s="14" t="n">
        <v>93811.7474711273</v>
      </c>
      <c r="C3348" s="15" t="n">
        <v>0.120040886406786</v>
      </c>
      <c r="D3348" s="14" t="n">
        <f aca="false">Summary!$B$5-B3348</f>
        <v>6188.25252887275</v>
      </c>
      <c r="E3348" s="15" t="n">
        <f aca="false">B3348/Summary!$B$5-1</f>
        <v>-0.0618825252887275</v>
      </c>
    </row>
    <row r="3349" customFormat="false" ht="15" hidden="false" customHeight="false" outlineLevel="0" collapsed="false">
      <c r="A3349" s="0" t="n">
        <v>3348</v>
      </c>
      <c r="B3349" s="14" t="n">
        <v>109120.571890025</v>
      </c>
      <c r="C3349" s="15" t="n">
        <v>0.0830910182871495</v>
      </c>
      <c r="D3349" s="14" t="n">
        <f aca="false">Summary!$B$5-B3349</f>
        <v>-9120.5718900246</v>
      </c>
      <c r="E3349" s="15" t="n">
        <f aca="false">B3349/Summary!$B$5-1</f>
        <v>0.091205718900246</v>
      </c>
    </row>
    <row r="3350" customFormat="false" ht="15" hidden="false" customHeight="false" outlineLevel="0" collapsed="false">
      <c r="A3350" s="0" t="n">
        <v>3349</v>
      </c>
      <c r="B3350" s="14" t="n">
        <v>112051.265392815</v>
      </c>
      <c r="C3350" s="15" t="n">
        <v>0.055042735364307</v>
      </c>
      <c r="D3350" s="14" t="n">
        <f aca="false">Summary!$B$5-B3350</f>
        <v>-12051.2653928145</v>
      </c>
      <c r="E3350" s="15" t="n">
        <f aca="false">B3350/Summary!$B$5-1</f>
        <v>0.120512653928145</v>
      </c>
    </row>
    <row r="3351" customFormat="false" ht="15" hidden="false" customHeight="false" outlineLevel="0" collapsed="false">
      <c r="A3351" s="0" t="n">
        <v>3350</v>
      </c>
      <c r="B3351" s="14" t="n">
        <v>97782.7210760321</v>
      </c>
      <c r="C3351" s="15" t="n">
        <v>0.184783945218838</v>
      </c>
      <c r="D3351" s="14" t="n">
        <f aca="false">Summary!$B$5-B3351</f>
        <v>2217.27892396793</v>
      </c>
      <c r="E3351" s="15" t="n">
        <f aca="false">B3351/Summary!$B$5-1</f>
        <v>-0.0221727892396792</v>
      </c>
    </row>
    <row r="3352" customFormat="false" ht="15" hidden="false" customHeight="false" outlineLevel="0" collapsed="false">
      <c r="A3352" s="0" t="n">
        <v>3351</v>
      </c>
      <c r="B3352" s="14" t="n">
        <v>101501.00043669</v>
      </c>
      <c r="C3352" s="15" t="n">
        <v>0.0835396389308326</v>
      </c>
      <c r="D3352" s="14" t="n">
        <f aca="false">Summary!$B$5-B3352</f>
        <v>-1501.00043668989</v>
      </c>
      <c r="E3352" s="15" t="n">
        <f aca="false">B3352/Summary!$B$5-1</f>
        <v>0.015010004366899</v>
      </c>
    </row>
    <row r="3353" customFormat="false" ht="15" hidden="false" customHeight="false" outlineLevel="0" collapsed="false">
      <c r="A3353" s="0" t="n">
        <v>3352</v>
      </c>
      <c r="B3353" s="14" t="n">
        <v>134375.623036885</v>
      </c>
      <c r="C3353" s="15" t="n">
        <v>0.0492955699924031</v>
      </c>
      <c r="D3353" s="14" t="n">
        <f aca="false">Summary!$B$5-B3353</f>
        <v>-34375.623036885</v>
      </c>
      <c r="E3353" s="15" t="n">
        <f aca="false">B3353/Summary!$B$5-1</f>
        <v>0.34375623036885</v>
      </c>
    </row>
    <row r="3354" customFormat="false" ht="15" hidden="false" customHeight="false" outlineLevel="0" collapsed="false">
      <c r="A3354" s="0" t="n">
        <v>3353</v>
      </c>
      <c r="B3354" s="14" t="n">
        <v>115185.64472941</v>
      </c>
      <c r="C3354" s="15" t="n">
        <v>0.0802268738125374</v>
      </c>
      <c r="D3354" s="14" t="n">
        <f aca="false">Summary!$B$5-B3354</f>
        <v>-15185.64472941</v>
      </c>
      <c r="E3354" s="15" t="n">
        <f aca="false">B3354/Summary!$B$5-1</f>
        <v>0.1518564472941</v>
      </c>
    </row>
    <row r="3355" customFormat="false" ht="15" hidden="false" customHeight="false" outlineLevel="0" collapsed="false">
      <c r="A3355" s="0" t="n">
        <v>3354</v>
      </c>
      <c r="B3355" s="14" t="n">
        <v>124571.718379071</v>
      </c>
      <c r="C3355" s="15" t="n">
        <v>0.0662438868962304</v>
      </c>
      <c r="D3355" s="14" t="n">
        <f aca="false">Summary!$B$5-B3355</f>
        <v>-24571.718379071</v>
      </c>
      <c r="E3355" s="15" t="n">
        <f aca="false">B3355/Summary!$B$5-1</f>
        <v>0.24571718379071</v>
      </c>
    </row>
    <row r="3356" customFormat="false" ht="15" hidden="false" customHeight="false" outlineLevel="0" collapsed="false">
      <c r="A3356" s="0" t="n">
        <v>3355</v>
      </c>
      <c r="B3356" s="14" t="n">
        <v>134294.070493395</v>
      </c>
      <c r="C3356" s="15" t="n">
        <v>0.0465014728066273</v>
      </c>
      <c r="D3356" s="14" t="n">
        <f aca="false">Summary!$B$5-B3356</f>
        <v>-34294.070493395</v>
      </c>
      <c r="E3356" s="15" t="n">
        <f aca="false">B3356/Summary!$B$5-1</f>
        <v>0.34294070493395</v>
      </c>
    </row>
    <row r="3357" customFormat="false" ht="15" hidden="false" customHeight="false" outlineLevel="0" collapsed="false">
      <c r="A3357" s="0" t="n">
        <v>3356</v>
      </c>
      <c r="B3357" s="14" t="n">
        <v>104508.784234009</v>
      </c>
      <c r="C3357" s="15" t="n">
        <v>0.113643447342082</v>
      </c>
      <c r="D3357" s="14" t="n">
        <f aca="false">Summary!$B$5-B3357</f>
        <v>-4508.78423400931</v>
      </c>
      <c r="E3357" s="15" t="n">
        <f aca="false">B3357/Summary!$B$5-1</f>
        <v>0.0450878423400931</v>
      </c>
    </row>
    <row r="3358" customFormat="false" ht="15" hidden="false" customHeight="false" outlineLevel="0" collapsed="false">
      <c r="A3358" s="0" t="n">
        <v>3357</v>
      </c>
      <c r="B3358" s="14" t="n">
        <v>106352.148543042</v>
      </c>
      <c r="C3358" s="15" t="n">
        <v>0.102279467937287</v>
      </c>
      <c r="D3358" s="14" t="n">
        <f aca="false">Summary!$B$5-B3358</f>
        <v>-6352.14854304151</v>
      </c>
      <c r="E3358" s="15" t="n">
        <f aca="false">B3358/Summary!$B$5-1</f>
        <v>0.0635214854304151</v>
      </c>
    </row>
    <row r="3359" customFormat="false" ht="15" hidden="false" customHeight="false" outlineLevel="0" collapsed="false">
      <c r="A3359" s="0" t="n">
        <v>3358</v>
      </c>
      <c r="B3359" s="14" t="n">
        <v>78542.1883582297</v>
      </c>
      <c r="C3359" s="15" t="n">
        <v>0.223897598364451</v>
      </c>
      <c r="D3359" s="14" t="n">
        <f aca="false">Summary!$B$5-B3359</f>
        <v>21457.8116417703</v>
      </c>
      <c r="E3359" s="15" t="n">
        <f aca="false">B3359/Summary!$B$5-1</f>
        <v>-0.214578116417703</v>
      </c>
    </row>
    <row r="3360" customFormat="false" ht="15" hidden="false" customHeight="false" outlineLevel="0" collapsed="false">
      <c r="A3360" s="0" t="n">
        <v>3359</v>
      </c>
      <c r="B3360" s="14" t="n">
        <v>115591.907049122</v>
      </c>
      <c r="C3360" s="15" t="n">
        <v>0.0927973604895686</v>
      </c>
      <c r="D3360" s="14" t="n">
        <f aca="false">Summary!$B$5-B3360</f>
        <v>-15591.9070491224</v>
      </c>
      <c r="E3360" s="15" t="n">
        <f aca="false">B3360/Summary!$B$5-1</f>
        <v>0.155919070491224</v>
      </c>
    </row>
    <row r="3361" customFormat="false" ht="15" hidden="false" customHeight="false" outlineLevel="0" collapsed="false">
      <c r="A3361" s="0" t="n">
        <v>3360</v>
      </c>
      <c r="B3361" s="14" t="n">
        <v>136992.204706748</v>
      </c>
      <c r="C3361" s="15" t="n">
        <v>0.0714881251719884</v>
      </c>
      <c r="D3361" s="14" t="n">
        <f aca="false">Summary!$B$5-B3361</f>
        <v>-36992.2047067478</v>
      </c>
      <c r="E3361" s="15" t="n">
        <f aca="false">B3361/Summary!$B$5-1</f>
        <v>0.369922047067478</v>
      </c>
    </row>
    <row r="3362" customFormat="false" ht="15" hidden="false" customHeight="false" outlineLevel="0" collapsed="false">
      <c r="A3362" s="0" t="n">
        <v>3361</v>
      </c>
      <c r="B3362" s="14" t="n">
        <v>112562.431843543</v>
      </c>
      <c r="C3362" s="15" t="n">
        <v>0.0858994930334237</v>
      </c>
      <c r="D3362" s="14" t="n">
        <f aca="false">Summary!$B$5-B3362</f>
        <v>-12562.4318435427</v>
      </c>
      <c r="E3362" s="15" t="n">
        <f aca="false">B3362/Summary!$B$5-1</f>
        <v>0.125624318435427</v>
      </c>
    </row>
    <row r="3363" customFormat="false" ht="15" hidden="false" customHeight="false" outlineLevel="0" collapsed="false">
      <c r="A3363" s="0" t="n">
        <v>3362</v>
      </c>
      <c r="B3363" s="14" t="n">
        <v>92995.9082525598</v>
      </c>
      <c r="C3363" s="15" t="n">
        <v>0.143651262271649</v>
      </c>
      <c r="D3363" s="14" t="n">
        <f aca="false">Summary!$B$5-B3363</f>
        <v>7004.09174744024</v>
      </c>
      <c r="E3363" s="15" t="n">
        <f aca="false">B3363/Summary!$B$5-1</f>
        <v>-0.0700409174744023</v>
      </c>
    </row>
    <row r="3364" customFormat="false" ht="15" hidden="false" customHeight="false" outlineLevel="0" collapsed="false">
      <c r="A3364" s="0" t="n">
        <v>3363</v>
      </c>
      <c r="B3364" s="14" t="n">
        <v>90591.1273628272</v>
      </c>
      <c r="C3364" s="15" t="n">
        <v>0.144679677607199</v>
      </c>
      <c r="D3364" s="14" t="n">
        <f aca="false">Summary!$B$5-B3364</f>
        <v>9408.87263717278</v>
      </c>
      <c r="E3364" s="15" t="n">
        <f aca="false">B3364/Summary!$B$5-1</f>
        <v>-0.0940887263717278</v>
      </c>
    </row>
    <row r="3365" customFormat="false" ht="15" hidden="false" customHeight="false" outlineLevel="0" collapsed="false">
      <c r="A3365" s="0" t="n">
        <v>3364</v>
      </c>
      <c r="B3365" s="14" t="n">
        <v>90317.6247384104</v>
      </c>
      <c r="C3365" s="15" t="n">
        <v>0.243293381058231</v>
      </c>
      <c r="D3365" s="14" t="n">
        <f aca="false">Summary!$B$5-B3365</f>
        <v>9682.37526158957</v>
      </c>
      <c r="E3365" s="15" t="n">
        <f aca="false">B3365/Summary!$B$5-1</f>
        <v>-0.0968237526158956</v>
      </c>
    </row>
    <row r="3366" customFormat="false" ht="15" hidden="false" customHeight="false" outlineLevel="0" collapsed="false">
      <c r="A3366" s="0" t="n">
        <v>3365</v>
      </c>
      <c r="B3366" s="14" t="n">
        <v>105216.93511493</v>
      </c>
      <c r="C3366" s="15" t="n">
        <v>0.11695689488845</v>
      </c>
      <c r="D3366" s="14" t="n">
        <f aca="false">Summary!$B$5-B3366</f>
        <v>-5216.9351149304</v>
      </c>
      <c r="E3366" s="15" t="n">
        <f aca="false">B3366/Summary!$B$5-1</f>
        <v>0.052169351149304</v>
      </c>
    </row>
    <row r="3367" customFormat="false" ht="15" hidden="false" customHeight="false" outlineLevel="0" collapsed="false">
      <c r="A3367" s="0" t="n">
        <v>3366</v>
      </c>
      <c r="B3367" s="14" t="n">
        <v>114058.969437194</v>
      </c>
      <c r="C3367" s="15" t="n">
        <v>0.0921003901408954</v>
      </c>
      <c r="D3367" s="14" t="n">
        <f aca="false">Summary!$B$5-B3367</f>
        <v>-14058.9694371938</v>
      </c>
      <c r="E3367" s="15" t="n">
        <f aca="false">B3367/Summary!$B$5-1</f>
        <v>0.140589694371938</v>
      </c>
    </row>
    <row r="3368" customFormat="false" ht="15" hidden="false" customHeight="false" outlineLevel="0" collapsed="false">
      <c r="A3368" s="0" t="n">
        <v>3367</v>
      </c>
      <c r="B3368" s="14" t="n">
        <v>118149.016268557</v>
      </c>
      <c r="C3368" s="15" t="n">
        <v>0.0779906702834152</v>
      </c>
      <c r="D3368" s="14" t="n">
        <f aca="false">Summary!$B$5-B3368</f>
        <v>-18149.0162685574</v>
      </c>
      <c r="E3368" s="15" t="n">
        <f aca="false">B3368/Summary!$B$5-1</f>
        <v>0.181490162685574</v>
      </c>
    </row>
    <row r="3369" customFormat="false" ht="15" hidden="false" customHeight="false" outlineLevel="0" collapsed="false">
      <c r="A3369" s="0" t="n">
        <v>3368</v>
      </c>
      <c r="B3369" s="14" t="n">
        <v>98966.3121617344</v>
      </c>
      <c r="C3369" s="15" t="n">
        <v>0.105642257593334</v>
      </c>
      <c r="D3369" s="14" t="n">
        <f aca="false">Summary!$B$5-B3369</f>
        <v>1033.68783826561</v>
      </c>
      <c r="E3369" s="15" t="n">
        <f aca="false">B3369/Summary!$B$5-1</f>
        <v>-0.0103368783826562</v>
      </c>
    </row>
    <row r="3370" customFormat="false" ht="15" hidden="false" customHeight="false" outlineLevel="0" collapsed="false">
      <c r="A3370" s="0" t="n">
        <v>3369</v>
      </c>
      <c r="B3370" s="14" t="n">
        <v>163836.559375667</v>
      </c>
      <c r="C3370" s="15" t="n">
        <v>0.0927064418564682</v>
      </c>
      <c r="D3370" s="14" t="n">
        <f aca="false">Summary!$B$5-B3370</f>
        <v>-63836.5593756669</v>
      </c>
      <c r="E3370" s="15" t="n">
        <f aca="false">B3370/Summary!$B$5-1</f>
        <v>0.638365593756669</v>
      </c>
    </row>
    <row r="3371" customFormat="false" ht="15" hidden="false" customHeight="false" outlineLevel="0" collapsed="false">
      <c r="A3371" s="0" t="n">
        <v>3370</v>
      </c>
      <c r="B3371" s="14" t="n">
        <v>104124.890421279</v>
      </c>
      <c r="C3371" s="15" t="n">
        <v>0.0988106414889929</v>
      </c>
      <c r="D3371" s="14" t="n">
        <f aca="false">Summary!$B$5-B3371</f>
        <v>-4124.8904212785</v>
      </c>
      <c r="E3371" s="15" t="n">
        <f aca="false">B3371/Summary!$B$5-1</f>
        <v>0.041248904212785</v>
      </c>
    </row>
    <row r="3372" customFormat="false" ht="15" hidden="false" customHeight="false" outlineLevel="0" collapsed="false">
      <c r="A3372" s="0" t="n">
        <v>3371</v>
      </c>
      <c r="B3372" s="14" t="n">
        <v>99658.3035281054</v>
      </c>
      <c r="C3372" s="15" t="n">
        <v>0.164437836915111</v>
      </c>
      <c r="D3372" s="14" t="n">
        <f aca="false">Summary!$B$5-B3372</f>
        <v>341.696471894596</v>
      </c>
      <c r="E3372" s="15" t="n">
        <f aca="false">B3372/Summary!$B$5-1</f>
        <v>-0.00341696471894593</v>
      </c>
    </row>
    <row r="3373" customFormat="false" ht="15" hidden="false" customHeight="false" outlineLevel="0" collapsed="false">
      <c r="A3373" s="0" t="n">
        <v>3372</v>
      </c>
      <c r="B3373" s="14" t="n">
        <v>96388.2309916104</v>
      </c>
      <c r="C3373" s="15" t="n">
        <v>0.13399168303074</v>
      </c>
      <c r="D3373" s="14" t="n">
        <f aca="false">Summary!$B$5-B3373</f>
        <v>3611.76900838959</v>
      </c>
      <c r="E3373" s="15" t="n">
        <f aca="false">B3373/Summary!$B$5-1</f>
        <v>-0.0361176900838959</v>
      </c>
    </row>
    <row r="3374" customFormat="false" ht="15" hidden="false" customHeight="false" outlineLevel="0" collapsed="false">
      <c r="A3374" s="0" t="n">
        <v>3373</v>
      </c>
      <c r="B3374" s="14" t="n">
        <v>115825.637579422</v>
      </c>
      <c r="C3374" s="15" t="n">
        <v>0.0670577974493296</v>
      </c>
      <c r="D3374" s="14" t="n">
        <f aca="false">Summary!$B$5-B3374</f>
        <v>-15825.6375794218</v>
      </c>
      <c r="E3374" s="15" t="n">
        <f aca="false">B3374/Summary!$B$5-1</f>
        <v>0.158256375794218</v>
      </c>
    </row>
    <row r="3375" customFormat="false" ht="15" hidden="false" customHeight="false" outlineLevel="0" collapsed="false">
      <c r="A3375" s="0" t="n">
        <v>3374</v>
      </c>
      <c r="B3375" s="14" t="n">
        <v>128084.351330081</v>
      </c>
      <c r="C3375" s="15" t="n">
        <v>0.0612024393631376</v>
      </c>
      <c r="D3375" s="14" t="n">
        <f aca="false">Summary!$B$5-B3375</f>
        <v>-28084.3513300807</v>
      </c>
      <c r="E3375" s="15" t="n">
        <f aca="false">B3375/Summary!$B$5-1</f>
        <v>0.280843513300807</v>
      </c>
    </row>
    <row r="3376" customFormat="false" ht="15" hidden="false" customHeight="false" outlineLevel="0" collapsed="false">
      <c r="A3376" s="0" t="n">
        <v>3375</v>
      </c>
      <c r="B3376" s="14" t="n">
        <v>125145.677380162</v>
      </c>
      <c r="C3376" s="15" t="n">
        <v>0.0667390297975596</v>
      </c>
      <c r="D3376" s="14" t="n">
        <f aca="false">Summary!$B$5-B3376</f>
        <v>-25145.6773801616</v>
      </c>
      <c r="E3376" s="15" t="n">
        <f aca="false">B3376/Summary!$B$5-1</f>
        <v>0.251456773801616</v>
      </c>
    </row>
    <row r="3377" customFormat="false" ht="15" hidden="false" customHeight="false" outlineLevel="0" collapsed="false">
      <c r="A3377" s="0" t="n">
        <v>3376</v>
      </c>
      <c r="B3377" s="14" t="n">
        <v>102437.308145318</v>
      </c>
      <c r="C3377" s="15" t="n">
        <v>0.13913436921992</v>
      </c>
      <c r="D3377" s="14" t="n">
        <f aca="false">Summary!$B$5-B3377</f>
        <v>-2437.3081453183</v>
      </c>
      <c r="E3377" s="15" t="n">
        <f aca="false">B3377/Summary!$B$5-1</f>
        <v>0.0243730814531831</v>
      </c>
    </row>
    <row r="3378" customFormat="false" ht="15" hidden="false" customHeight="false" outlineLevel="0" collapsed="false">
      <c r="A3378" s="0" t="n">
        <v>3377</v>
      </c>
      <c r="B3378" s="14" t="n">
        <v>108433.75223679</v>
      </c>
      <c r="C3378" s="15" t="n">
        <v>0.113812371181211</v>
      </c>
      <c r="D3378" s="14" t="n">
        <f aca="false">Summary!$B$5-B3378</f>
        <v>-8433.75223678989</v>
      </c>
      <c r="E3378" s="15" t="n">
        <f aca="false">B3378/Summary!$B$5-1</f>
        <v>0.0843375223678988</v>
      </c>
    </row>
    <row r="3379" customFormat="false" ht="15" hidden="false" customHeight="false" outlineLevel="0" collapsed="false">
      <c r="A3379" s="0" t="n">
        <v>3378</v>
      </c>
      <c r="B3379" s="14" t="n">
        <v>113766.494636218</v>
      </c>
      <c r="C3379" s="15" t="n">
        <v>0.0810939316876314</v>
      </c>
      <c r="D3379" s="14" t="n">
        <f aca="false">Summary!$B$5-B3379</f>
        <v>-13766.4946362177</v>
      </c>
      <c r="E3379" s="15" t="n">
        <f aca="false">B3379/Summary!$B$5-1</f>
        <v>0.137664946362177</v>
      </c>
    </row>
    <row r="3380" customFormat="false" ht="15" hidden="false" customHeight="false" outlineLevel="0" collapsed="false">
      <c r="A3380" s="0" t="n">
        <v>3379</v>
      </c>
      <c r="B3380" s="14" t="n">
        <v>111411.737495133</v>
      </c>
      <c r="C3380" s="15" t="n">
        <v>0.0674438056578061</v>
      </c>
      <c r="D3380" s="14" t="n">
        <f aca="false">Summary!$B$5-B3380</f>
        <v>-11411.737495133</v>
      </c>
      <c r="E3380" s="15" t="n">
        <f aca="false">B3380/Summary!$B$5-1</f>
        <v>0.11411737495133</v>
      </c>
    </row>
    <row r="3381" customFormat="false" ht="15" hidden="false" customHeight="false" outlineLevel="0" collapsed="false">
      <c r="A3381" s="0" t="n">
        <v>3380</v>
      </c>
      <c r="B3381" s="14" t="n">
        <v>119152.993276154</v>
      </c>
      <c r="C3381" s="15" t="n">
        <v>0.103410697000471</v>
      </c>
      <c r="D3381" s="14" t="n">
        <f aca="false">Summary!$B$5-B3381</f>
        <v>-19152.9932761535</v>
      </c>
      <c r="E3381" s="15" t="n">
        <f aca="false">B3381/Summary!$B$5-1</f>
        <v>0.191529932761535</v>
      </c>
    </row>
    <row r="3382" customFormat="false" ht="15" hidden="false" customHeight="false" outlineLevel="0" collapsed="false">
      <c r="A3382" s="0" t="n">
        <v>3381</v>
      </c>
      <c r="B3382" s="14" t="n">
        <v>128145.383001367</v>
      </c>
      <c r="C3382" s="15" t="n">
        <v>0.0609477030699765</v>
      </c>
      <c r="D3382" s="14" t="n">
        <f aca="false">Summary!$B$5-B3382</f>
        <v>-28145.3830013666</v>
      </c>
      <c r="E3382" s="15" t="n">
        <f aca="false">B3382/Summary!$B$5-1</f>
        <v>0.281453830013666</v>
      </c>
    </row>
    <row r="3383" customFormat="false" ht="15" hidden="false" customHeight="false" outlineLevel="0" collapsed="false">
      <c r="A3383" s="0" t="n">
        <v>3382</v>
      </c>
      <c r="B3383" s="14" t="n">
        <v>110015.634488452</v>
      </c>
      <c r="C3383" s="15" t="n">
        <v>0.104232229103701</v>
      </c>
      <c r="D3383" s="14" t="n">
        <f aca="false">Summary!$B$5-B3383</f>
        <v>-10015.6344884523</v>
      </c>
      <c r="E3383" s="15" t="n">
        <f aca="false">B3383/Summary!$B$5-1</f>
        <v>0.100156344884523</v>
      </c>
    </row>
    <row r="3384" customFormat="false" ht="15" hidden="false" customHeight="false" outlineLevel="0" collapsed="false">
      <c r="A3384" s="0" t="n">
        <v>3383</v>
      </c>
      <c r="B3384" s="14" t="n">
        <v>93559.0171195499</v>
      </c>
      <c r="C3384" s="15" t="n">
        <v>0.109369825265777</v>
      </c>
      <c r="D3384" s="14" t="n">
        <f aca="false">Summary!$B$5-B3384</f>
        <v>6440.98288045012</v>
      </c>
      <c r="E3384" s="15" t="n">
        <f aca="false">B3384/Summary!$B$5-1</f>
        <v>-0.0644098288045012</v>
      </c>
    </row>
    <row r="3385" customFormat="false" ht="15" hidden="false" customHeight="false" outlineLevel="0" collapsed="false">
      <c r="A3385" s="0" t="n">
        <v>3384</v>
      </c>
      <c r="B3385" s="14" t="n">
        <v>92627.3832704897</v>
      </c>
      <c r="C3385" s="15" t="n">
        <v>0.11934743441904</v>
      </c>
      <c r="D3385" s="14" t="n">
        <f aca="false">Summary!$B$5-B3385</f>
        <v>7372.61672951029</v>
      </c>
      <c r="E3385" s="15" t="n">
        <f aca="false">B3385/Summary!$B$5-1</f>
        <v>-0.073726167295103</v>
      </c>
    </row>
    <row r="3386" customFormat="false" ht="15" hidden="false" customHeight="false" outlineLevel="0" collapsed="false">
      <c r="A3386" s="0" t="n">
        <v>3385</v>
      </c>
      <c r="B3386" s="14" t="n">
        <v>100779.754377281</v>
      </c>
      <c r="C3386" s="15" t="n">
        <v>0.0914523682718351</v>
      </c>
      <c r="D3386" s="14" t="n">
        <f aca="false">Summary!$B$5-B3386</f>
        <v>-779.754377281206</v>
      </c>
      <c r="E3386" s="15" t="n">
        <f aca="false">B3386/Summary!$B$5-1</f>
        <v>0.00779754377281217</v>
      </c>
    </row>
    <row r="3387" customFormat="false" ht="15" hidden="false" customHeight="false" outlineLevel="0" collapsed="false">
      <c r="A3387" s="0" t="n">
        <v>3386</v>
      </c>
      <c r="B3387" s="14" t="n">
        <v>126269.018531246</v>
      </c>
      <c r="C3387" s="15" t="n">
        <v>0.0578195982731098</v>
      </c>
      <c r="D3387" s="14" t="n">
        <f aca="false">Summary!$B$5-B3387</f>
        <v>-26269.0185312463</v>
      </c>
      <c r="E3387" s="15" t="n">
        <f aca="false">B3387/Summary!$B$5-1</f>
        <v>0.262690185312463</v>
      </c>
    </row>
    <row r="3388" customFormat="false" ht="15" hidden="false" customHeight="false" outlineLevel="0" collapsed="false">
      <c r="A3388" s="0" t="n">
        <v>3387</v>
      </c>
      <c r="B3388" s="14" t="n">
        <v>93535.941024321</v>
      </c>
      <c r="C3388" s="15" t="n">
        <v>0.0935653799988089</v>
      </c>
      <c r="D3388" s="14" t="n">
        <f aca="false">Summary!$B$5-B3388</f>
        <v>6464.05897567897</v>
      </c>
      <c r="E3388" s="15" t="n">
        <f aca="false">B3388/Summary!$B$5-1</f>
        <v>-0.0646405897567897</v>
      </c>
    </row>
    <row r="3389" customFormat="false" ht="15" hidden="false" customHeight="false" outlineLevel="0" collapsed="false">
      <c r="A3389" s="0" t="n">
        <v>3388</v>
      </c>
      <c r="B3389" s="14" t="n">
        <v>90104.4120323177</v>
      </c>
      <c r="C3389" s="15" t="n">
        <v>0.169827271031412</v>
      </c>
      <c r="D3389" s="14" t="n">
        <f aca="false">Summary!$B$5-B3389</f>
        <v>9895.58796768228</v>
      </c>
      <c r="E3389" s="15" t="n">
        <f aca="false">B3389/Summary!$B$5-1</f>
        <v>-0.0989558796768228</v>
      </c>
    </row>
    <row r="3390" customFormat="false" ht="15" hidden="false" customHeight="false" outlineLevel="0" collapsed="false">
      <c r="A3390" s="0" t="n">
        <v>3389</v>
      </c>
      <c r="B3390" s="14" t="n">
        <v>108643.994173349</v>
      </c>
      <c r="C3390" s="15" t="n">
        <v>0.0678903816996114</v>
      </c>
      <c r="D3390" s="14" t="n">
        <f aca="false">Summary!$B$5-B3390</f>
        <v>-8643.9941733489</v>
      </c>
      <c r="E3390" s="15" t="n">
        <f aca="false">B3390/Summary!$B$5-1</f>
        <v>0.0864399417334889</v>
      </c>
    </row>
    <row r="3391" customFormat="false" ht="15" hidden="false" customHeight="false" outlineLevel="0" collapsed="false">
      <c r="A3391" s="0" t="n">
        <v>3390</v>
      </c>
      <c r="B3391" s="14" t="n">
        <v>108806.350338562</v>
      </c>
      <c r="C3391" s="15" t="n">
        <v>0.0777145709801969</v>
      </c>
      <c r="D3391" s="14" t="n">
        <f aca="false">Summary!$B$5-B3391</f>
        <v>-8806.3503385621</v>
      </c>
      <c r="E3391" s="15" t="n">
        <f aca="false">B3391/Summary!$B$5-1</f>
        <v>0.088063503385621</v>
      </c>
    </row>
    <row r="3392" customFormat="false" ht="15" hidden="false" customHeight="false" outlineLevel="0" collapsed="false">
      <c r="A3392" s="0" t="n">
        <v>3391</v>
      </c>
      <c r="B3392" s="14" t="n">
        <v>108797.342713119</v>
      </c>
      <c r="C3392" s="15" t="n">
        <v>0.0609399140732094</v>
      </c>
      <c r="D3392" s="14" t="n">
        <f aca="false">Summary!$B$5-B3392</f>
        <v>-8797.3427131189</v>
      </c>
      <c r="E3392" s="15" t="n">
        <f aca="false">B3392/Summary!$B$5-1</f>
        <v>0.0879734271311889</v>
      </c>
    </row>
    <row r="3393" customFormat="false" ht="15" hidden="false" customHeight="false" outlineLevel="0" collapsed="false">
      <c r="A3393" s="0" t="n">
        <v>3392</v>
      </c>
      <c r="B3393" s="14" t="n">
        <v>126185.179356343</v>
      </c>
      <c r="C3393" s="15" t="n">
        <v>0.0443625942271544</v>
      </c>
      <c r="D3393" s="14" t="n">
        <f aca="false">Summary!$B$5-B3393</f>
        <v>-26185.1793563432</v>
      </c>
      <c r="E3393" s="15" t="n">
        <f aca="false">B3393/Summary!$B$5-1</f>
        <v>0.261851793563432</v>
      </c>
    </row>
    <row r="3394" customFormat="false" ht="15" hidden="false" customHeight="false" outlineLevel="0" collapsed="false">
      <c r="A3394" s="0" t="n">
        <v>3393</v>
      </c>
      <c r="B3394" s="14" t="n">
        <v>110140.793354714</v>
      </c>
      <c r="C3394" s="15" t="n">
        <v>0.106914150790529</v>
      </c>
      <c r="D3394" s="14" t="n">
        <f aca="false">Summary!$B$5-B3394</f>
        <v>-10140.7933547144</v>
      </c>
      <c r="E3394" s="15" t="n">
        <f aca="false">B3394/Summary!$B$5-1</f>
        <v>0.101407933547144</v>
      </c>
    </row>
    <row r="3395" customFormat="false" ht="15" hidden="false" customHeight="false" outlineLevel="0" collapsed="false">
      <c r="A3395" s="0" t="n">
        <v>3394</v>
      </c>
      <c r="B3395" s="14" t="n">
        <v>110518.574579957</v>
      </c>
      <c r="C3395" s="15" t="n">
        <v>0.114096347954254</v>
      </c>
      <c r="D3395" s="14" t="n">
        <f aca="false">Summary!$B$5-B3395</f>
        <v>-10518.5745799574</v>
      </c>
      <c r="E3395" s="15" t="n">
        <f aca="false">B3395/Summary!$B$5-1</f>
        <v>0.105185745799574</v>
      </c>
    </row>
    <row r="3396" customFormat="false" ht="15" hidden="false" customHeight="false" outlineLevel="0" collapsed="false">
      <c r="A3396" s="0" t="n">
        <v>3395</v>
      </c>
      <c r="B3396" s="14" t="n">
        <v>104365.496735633</v>
      </c>
      <c r="C3396" s="15" t="n">
        <v>0.080872857863484</v>
      </c>
      <c r="D3396" s="14" t="n">
        <f aca="false">Summary!$B$5-B3396</f>
        <v>-4365.496735633</v>
      </c>
      <c r="E3396" s="15" t="n">
        <f aca="false">B3396/Summary!$B$5-1</f>
        <v>0.04365496735633</v>
      </c>
    </row>
    <row r="3397" customFormat="false" ht="15" hidden="false" customHeight="false" outlineLevel="0" collapsed="false">
      <c r="A3397" s="0" t="n">
        <v>3396</v>
      </c>
      <c r="B3397" s="14" t="n">
        <v>91690.5681395995</v>
      </c>
      <c r="C3397" s="15" t="n">
        <v>0.134990211767208</v>
      </c>
      <c r="D3397" s="14" t="n">
        <f aca="false">Summary!$B$5-B3397</f>
        <v>8309.43186040054</v>
      </c>
      <c r="E3397" s="15" t="n">
        <f aca="false">B3397/Summary!$B$5-1</f>
        <v>-0.0830943186040054</v>
      </c>
    </row>
    <row r="3398" customFormat="false" ht="15" hidden="false" customHeight="false" outlineLevel="0" collapsed="false">
      <c r="A3398" s="0" t="n">
        <v>3397</v>
      </c>
      <c r="B3398" s="14" t="n">
        <v>130735.795182366</v>
      </c>
      <c r="C3398" s="15" t="n">
        <v>0.0766634976624557</v>
      </c>
      <c r="D3398" s="14" t="n">
        <f aca="false">Summary!$B$5-B3398</f>
        <v>-30735.7951823656</v>
      </c>
      <c r="E3398" s="15" t="n">
        <f aca="false">B3398/Summary!$B$5-1</f>
        <v>0.307357951823656</v>
      </c>
    </row>
    <row r="3399" customFormat="false" ht="15" hidden="false" customHeight="false" outlineLevel="0" collapsed="false">
      <c r="A3399" s="0" t="n">
        <v>3398</v>
      </c>
      <c r="B3399" s="14" t="n">
        <v>97633.0530208011</v>
      </c>
      <c r="C3399" s="15" t="n">
        <v>0.192738567018613</v>
      </c>
      <c r="D3399" s="14" t="n">
        <f aca="false">Summary!$B$5-B3399</f>
        <v>2366.94697919893</v>
      </c>
      <c r="E3399" s="15" t="n">
        <f aca="false">B3399/Summary!$B$5-1</f>
        <v>-0.0236694697919893</v>
      </c>
    </row>
    <row r="3400" customFormat="false" ht="15" hidden="false" customHeight="false" outlineLevel="0" collapsed="false">
      <c r="A3400" s="0" t="n">
        <v>3399</v>
      </c>
      <c r="B3400" s="14" t="n">
        <v>92547.204216932</v>
      </c>
      <c r="C3400" s="15" t="n">
        <v>0.15968582116435</v>
      </c>
      <c r="D3400" s="14" t="n">
        <f aca="false">Summary!$B$5-B3400</f>
        <v>7452.795783068</v>
      </c>
      <c r="E3400" s="15" t="n">
        <f aca="false">B3400/Summary!$B$5-1</f>
        <v>-0.07452795783068</v>
      </c>
    </row>
    <row r="3401" customFormat="false" ht="15" hidden="false" customHeight="false" outlineLevel="0" collapsed="false">
      <c r="A3401" s="0" t="n">
        <v>3400</v>
      </c>
      <c r="B3401" s="14" t="n">
        <v>121009.970124088</v>
      </c>
      <c r="C3401" s="15" t="n">
        <v>0.0840606073102032</v>
      </c>
      <c r="D3401" s="14" t="n">
        <f aca="false">Summary!$B$5-B3401</f>
        <v>-21009.970124088</v>
      </c>
      <c r="E3401" s="15" t="n">
        <f aca="false">B3401/Summary!$B$5-1</f>
        <v>0.21009970124088</v>
      </c>
    </row>
    <row r="3402" customFormat="false" ht="15" hidden="false" customHeight="false" outlineLevel="0" collapsed="false">
      <c r="A3402" s="0" t="n">
        <v>3401</v>
      </c>
      <c r="B3402" s="14" t="n">
        <v>121390.022361049</v>
      </c>
      <c r="C3402" s="15" t="n">
        <v>0.0851359456731691</v>
      </c>
      <c r="D3402" s="14" t="n">
        <f aca="false">Summary!$B$5-B3402</f>
        <v>-21390.0223610489</v>
      </c>
      <c r="E3402" s="15" t="n">
        <f aca="false">B3402/Summary!$B$5-1</f>
        <v>0.213900223610489</v>
      </c>
    </row>
    <row r="3403" customFormat="false" ht="15" hidden="false" customHeight="false" outlineLevel="0" collapsed="false">
      <c r="A3403" s="0" t="n">
        <v>3402</v>
      </c>
      <c r="B3403" s="14" t="n">
        <v>102031.060364108</v>
      </c>
      <c r="C3403" s="15" t="n">
        <v>0.126129157401291</v>
      </c>
      <c r="D3403" s="14" t="n">
        <f aca="false">Summary!$B$5-B3403</f>
        <v>-2031.06036410799</v>
      </c>
      <c r="E3403" s="15" t="n">
        <f aca="false">B3403/Summary!$B$5-1</f>
        <v>0.0203106036410798</v>
      </c>
    </row>
    <row r="3404" customFormat="false" ht="15" hidden="false" customHeight="false" outlineLevel="0" collapsed="false">
      <c r="A3404" s="0" t="n">
        <v>3403</v>
      </c>
      <c r="B3404" s="14" t="n">
        <v>107179.318096093</v>
      </c>
      <c r="C3404" s="15" t="n">
        <v>0.111469623983244</v>
      </c>
      <c r="D3404" s="14" t="n">
        <f aca="false">Summary!$B$5-B3404</f>
        <v>-7179.31809609319</v>
      </c>
      <c r="E3404" s="15" t="n">
        <f aca="false">B3404/Summary!$B$5-1</f>
        <v>0.071793180960932</v>
      </c>
    </row>
    <row r="3405" customFormat="false" ht="15" hidden="false" customHeight="false" outlineLevel="0" collapsed="false">
      <c r="A3405" s="0" t="n">
        <v>3404</v>
      </c>
      <c r="B3405" s="14" t="n">
        <v>129473.243564118</v>
      </c>
      <c r="C3405" s="15" t="n">
        <v>0.0608137879152567</v>
      </c>
      <c r="D3405" s="14" t="n">
        <f aca="false">Summary!$B$5-B3405</f>
        <v>-29473.2435641177</v>
      </c>
      <c r="E3405" s="15" t="n">
        <f aca="false">B3405/Summary!$B$5-1</f>
        <v>0.294732435641177</v>
      </c>
    </row>
    <row r="3406" customFormat="false" ht="15" hidden="false" customHeight="false" outlineLevel="0" collapsed="false">
      <c r="A3406" s="0" t="n">
        <v>3405</v>
      </c>
      <c r="B3406" s="14" t="n">
        <v>118641.481524118</v>
      </c>
      <c r="C3406" s="15" t="n">
        <v>0.106884450871058</v>
      </c>
      <c r="D3406" s="14" t="n">
        <f aca="false">Summary!$B$5-B3406</f>
        <v>-18641.4815241182</v>
      </c>
      <c r="E3406" s="15" t="n">
        <f aca="false">B3406/Summary!$B$5-1</f>
        <v>0.186414815241182</v>
      </c>
    </row>
    <row r="3407" customFormat="false" ht="15" hidden="false" customHeight="false" outlineLevel="0" collapsed="false">
      <c r="A3407" s="0" t="n">
        <v>3406</v>
      </c>
      <c r="B3407" s="14" t="n">
        <v>109474.382460269</v>
      </c>
      <c r="C3407" s="15" t="n">
        <v>0.0851261458507147</v>
      </c>
      <c r="D3407" s="14" t="n">
        <f aca="false">Summary!$B$5-B3407</f>
        <v>-9474.3824602688</v>
      </c>
      <c r="E3407" s="15" t="n">
        <f aca="false">B3407/Summary!$B$5-1</f>
        <v>0.0947438246026879</v>
      </c>
    </row>
    <row r="3408" customFormat="false" ht="15" hidden="false" customHeight="false" outlineLevel="0" collapsed="false">
      <c r="A3408" s="0" t="n">
        <v>3407</v>
      </c>
      <c r="B3408" s="14" t="n">
        <v>103277.350534746</v>
      </c>
      <c r="C3408" s="15" t="n">
        <v>0.133362506367768</v>
      </c>
      <c r="D3408" s="14" t="n">
        <f aca="false">Summary!$B$5-B3408</f>
        <v>-3277.350534746</v>
      </c>
      <c r="E3408" s="15" t="n">
        <f aca="false">B3408/Summary!$B$5-1</f>
        <v>0.03277350534746</v>
      </c>
    </row>
    <row r="3409" customFormat="false" ht="15" hidden="false" customHeight="false" outlineLevel="0" collapsed="false">
      <c r="A3409" s="0" t="n">
        <v>3408</v>
      </c>
      <c r="B3409" s="14" t="n">
        <v>96774.2114175437</v>
      </c>
      <c r="C3409" s="15" t="n">
        <v>0.124721048218567</v>
      </c>
      <c r="D3409" s="14" t="n">
        <f aca="false">Summary!$B$5-B3409</f>
        <v>3225.78858245628</v>
      </c>
      <c r="E3409" s="15" t="n">
        <f aca="false">B3409/Summary!$B$5-1</f>
        <v>-0.0322578858245628</v>
      </c>
    </row>
    <row r="3410" customFormat="false" ht="15" hidden="false" customHeight="false" outlineLevel="0" collapsed="false">
      <c r="A3410" s="0" t="n">
        <v>3409</v>
      </c>
      <c r="B3410" s="14" t="n">
        <v>116431.349461711</v>
      </c>
      <c r="C3410" s="15" t="n">
        <v>0.068914040378832</v>
      </c>
      <c r="D3410" s="14" t="n">
        <f aca="false">Summary!$B$5-B3410</f>
        <v>-16431.3494617109</v>
      </c>
      <c r="E3410" s="15" t="n">
        <f aca="false">B3410/Summary!$B$5-1</f>
        <v>0.164313494617109</v>
      </c>
    </row>
    <row r="3411" customFormat="false" ht="15" hidden="false" customHeight="false" outlineLevel="0" collapsed="false">
      <c r="A3411" s="0" t="n">
        <v>3410</v>
      </c>
      <c r="B3411" s="14" t="n">
        <v>113759.385534531</v>
      </c>
      <c r="C3411" s="15" t="n">
        <v>0.10308603002121</v>
      </c>
      <c r="D3411" s="14" t="n">
        <f aca="false">Summary!$B$5-B3411</f>
        <v>-13759.3855345307</v>
      </c>
      <c r="E3411" s="15" t="n">
        <f aca="false">B3411/Summary!$B$5-1</f>
        <v>0.137593855345307</v>
      </c>
    </row>
    <row r="3412" customFormat="false" ht="15" hidden="false" customHeight="false" outlineLevel="0" collapsed="false">
      <c r="A3412" s="0" t="n">
        <v>3411</v>
      </c>
      <c r="B3412" s="14" t="n">
        <v>105516.019445164</v>
      </c>
      <c r="C3412" s="15" t="n">
        <v>0.103435594924788</v>
      </c>
      <c r="D3412" s="14" t="n">
        <f aca="false">Summary!$B$5-B3412</f>
        <v>-5516.01944516379</v>
      </c>
      <c r="E3412" s="15" t="n">
        <f aca="false">B3412/Summary!$B$5-1</f>
        <v>0.055160194451638</v>
      </c>
    </row>
    <row r="3413" customFormat="false" ht="15" hidden="false" customHeight="false" outlineLevel="0" collapsed="false">
      <c r="A3413" s="0" t="n">
        <v>3412</v>
      </c>
      <c r="B3413" s="14" t="n">
        <v>88630.4851898928</v>
      </c>
      <c r="C3413" s="15" t="n">
        <v>0.158077269550179</v>
      </c>
      <c r="D3413" s="14" t="n">
        <f aca="false">Summary!$B$5-B3413</f>
        <v>11369.5148101072</v>
      </c>
      <c r="E3413" s="15" t="n">
        <f aca="false">B3413/Summary!$B$5-1</f>
        <v>-0.113695148101072</v>
      </c>
    </row>
    <row r="3414" customFormat="false" ht="15" hidden="false" customHeight="false" outlineLevel="0" collapsed="false">
      <c r="A3414" s="0" t="n">
        <v>3413</v>
      </c>
      <c r="B3414" s="14" t="n">
        <v>136510.36259394</v>
      </c>
      <c r="C3414" s="15" t="n">
        <v>0.0454712759038461</v>
      </c>
      <c r="D3414" s="14" t="n">
        <f aca="false">Summary!$B$5-B3414</f>
        <v>-36510.3625939401</v>
      </c>
      <c r="E3414" s="15" t="n">
        <f aca="false">B3414/Summary!$B$5-1</f>
        <v>0.365103625939401</v>
      </c>
    </row>
    <row r="3415" customFormat="false" ht="15" hidden="false" customHeight="false" outlineLevel="0" collapsed="false">
      <c r="A3415" s="0" t="n">
        <v>3414</v>
      </c>
      <c r="B3415" s="14" t="n">
        <v>104135.1286079</v>
      </c>
      <c r="C3415" s="15" t="n">
        <v>0.135665503075199</v>
      </c>
      <c r="D3415" s="14" t="n">
        <f aca="false">Summary!$B$5-B3415</f>
        <v>-4135.1286078999</v>
      </c>
      <c r="E3415" s="15" t="n">
        <f aca="false">B3415/Summary!$B$5-1</f>
        <v>0.0413512860789991</v>
      </c>
    </row>
    <row r="3416" customFormat="false" ht="15" hidden="false" customHeight="false" outlineLevel="0" collapsed="false">
      <c r="A3416" s="0" t="n">
        <v>3415</v>
      </c>
      <c r="B3416" s="14" t="n">
        <v>103359.653786733</v>
      </c>
      <c r="C3416" s="15" t="n">
        <v>0.0751166237780252</v>
      </c>
      <c r="D3416" s="14" t="n">
        <f aca="false">Summary!$B$5-B3416</f>
        <v>-3359.6537867333</v>
      </c>
      <c r="E3416" s="15" t="n">
        <f aca="false">B3416/Summary!$B$5-1</f>
        <v>0.0335965378673329</v>
      </c>
    </row>
    <row r="3417" customFormat="false" ht="15" hidden="false" customHeight="false" outlineLevel="0" collapsed="false">
      <c r="A3417" s="0" t="n">
        <v>3416</v>
      </c>
      <c r="B3417" s="14" t="n">
        <v>134511.728943278</v>
      </c>
      <c r="C3417" s="15" t="n">
        <v>0.0422289485320129</v>
      </c>
      <c r="D3417" s="14" t="n">
        <f aca="false">Summary!$B$5-B3417</f>
        <v>-34511.7289432779</v>
      </c>
      <c r="E3417" s="15" t="n">
        <f aca="false">B3417/Summary!$B$5-1</f>
        <v>0.345117289432779</v>
      </c>
    </row>
    <row r="3418" customFormat="false" ht="15" hidden="false" customHeight="false" outlineLevel="0" collapsed="false">
      <c r="A3418" s="0" t="n">
        <v>3417</v>
      </c>
      <c r="B3418" s="14" t="n">
        <v>113457.873356908</v>
      </c>
      <c r="C3418" s="15" t="n">
        <v>0.0931036219446887</v>
      </c>
      <c r="D3418" s="14" t="n">
        <f aca="false">Summary!$B$5-B3418</f>
        <v>-13457.8733569077</v>
      </c>
      <c r="E3418" s="15" t="n">
        <f aca="false">B3418/Summary!$B$5-1</f>
        <v>0.134578733569077</v>
      </c>
    </row>
    <row r="3419" customFormat="false" ht="15" hidden="false" customHeight="false" outlineLevel="0" collapsed="false">
      <c r="A3419" s="0" t="n">
        <v>3418</v>
      </c>
      <c r="B3419" s="14" t="n">
        <v>114376.549224373</v>
      </c>
      <c r="C3419" s="15" t="n">
        <v>0.053670382960492</v>
      </c>
      <c r="D3419" s="14" t="n">
        <f aca="false">Summary!$B$5-B3419</f>
        <v>-14376.5492243732</v>
      </c>
      <c r="E3419" s="15" t="n">
        <f aca="false">B3419/Summary!$B$5-1</f>
        <v>0.143765492243732</v>
      </c>
    </row>
    <row r="3420" customFormat="false" ht="15" hidden="false" customHeight="false" outlineLevel="0" collapsed="false">
      <c r="A3420" s="0" t="n">
        <v>3419</v>
      </c>
      <c r="B3420" s="14" t="n">
        <v>107904.192730761</v>
      </c>
      <c r="C3420" s="15" t="n">
        <v>0.105760705041712</v>
      </c>
      <c r="D3420" s="14" t="n">
        <f aca="false">Summary!$B$5-B3420</f>
        <v>-7904.1927307609</v>
      </c>
      <c r="E3420" s="15" t="n">
        <f aca="false">B3420/Summary!$B$5-1</f>
        <v>0.0790419273076091</v>
      </c>
    </row>
    <row r="3421" customFormat="false" ht="15" hidden="false" customHeight="false" outlineLevel="0" collapsed="false">
      <c r="A3421" s="0" t="n">
        <v>3420</v>
      </c>
      <c r="B3421" s="14" t="n">
        <v>100956.580735635</v>
      </c>
      <c r="C3421" s="15" t="n">
        <v>0.128143405523284</v>
      </c>
      <c r="D3421" s="14" t="n">
        <f aca="false">Summary!$B$5-B3421</f>
        <v>-956.580735634794</v>
      </c>
      <c r="E3421" s="15" t="n">
        <f aca="false">B3421/Summary!$B$5-1</f>
        <v>0.00956580735634804</v>
      </c>
    </row>
    <row r="3422" customFormat="false" ht="15" hidden="false" customHeight="false" outlineLevel="0" collapsed="false">
      <c r="A3422" s="0" t="n">
        <v>3421</v>
      </c>
      <c r="B3422" s="14" t="n">
        <v>108633.793851086</v>
      </c>
      <c r="C3422" s="15" t="n">
        <v>0.0795031035073145</v>
      </c>
      <c r="D3422" s="14" t="n">
        <f aca="false">Summary!$B$5-B3422</f>
        <v>-8633.7938510861</v>
      </c>
      <c r="E3422" s="15" t="n">
        <f aca="false">B3422/Summary!$B$5-1</f>
        <v>0.0863379385108609</v>
      </c>
    </row>
    <row r="3423" customFormat="false" ht="15" hidden="false" customHeight="false" outlineLevel="0" collapsed="false">
      <c r="A3423" s="0" t="n">
        <v>3422</v>
      </c>
      <c r="B3423" s="14" t="n">
        <v>114396.026633197</v>
      </c>
      <c r="C3423" s="15" t="n">
        <v>0.0836192780451088</v>
      </c>
      <c r="D3423" s="14" t="n">
        <f aca="false">Summary!$B$5-B3423</f>
        <v>-14396.0266331966</v>
      </c>
      <c r="E3423" s="15" t="n">
        <f aca="false">B3423/Summary!$B$5-1</f>
        <v>0.143960266331966</v>
      </c>
    </row>
    <row r="3424" customFormat="false" ht="15" hidden="false" customHeight="false" outlineLevel="0" collapsed="false">
      <c r="A3424" s="0" t="n">
        <v>3423</v>
      </c>
      <c r="B3424" s="14" t="n">
        <v>78478.5703620824</v>
      </c>
      <c r="C3424" s="15" t="n">
        <v>0.220657648882824</v>
      </c>
      <c r="D3424" s="14" t="n">
        <f aca="false">Summary!$B$5-B3424</f>
        <v>21521.4296379176</v>
      </c>
      <c r="E3424" s="15" t="n">
        <f aca="false">B3424/Summary!$B$5-1</f>
        <v>-0.215214296379176</v>
      </c>
    </row>
    <row r="3425" customFormat="false" ht="15" hidden="false" customHeight="false" outlineLevel="0" collapsed="false">
      <c r="A3425" s="0" t="n">
        <v>3424</v>
      </c>
      <c r="B3425" s="14" t="n">
        <v>115070.734744621</v>
      </c>
      <c r="C3425" s="15" t="n">
        <v>0.0714211888535742</v>
      </c>
      <c r="D3425" s="14" t="n">
        <f aca="false">Summary!$B$5-B3425</f>
        <v>-15070.7347446208</v>
      </c>
      <c r="E3425" s="15" t="n">
        <f aca="false">B3425/Summary!$B$5-1</f>
        <v>0.150707347446208</v>
      </c>
    </row>
    <row r="3426" customFormat="false" ht="15" hidden="false" customHeight="false" outlineLevel="0" collapsed="false">
      <c r="A3426" s="0" t="n">
        <v>3425</v>
      </c>
      <c r="B3426" s="14" t="n">
        <v>112663.705700464</v>
      </c>
      <c r="C3426" s="15" t="n">
        <v>0.100513968603941</v>
      </c>
      <c r="D3426" s="14" t="n">
        <f aca="false">Summary!$B$5-B3426</f>
        <v>-12663.7057004636</v>
      </c>
      <c r="E3426" s="15" t="n">
        <f aca="false">B3426/Summary!$B$5-1</f>
        <v>0.126637057004636</v>
      </c>
    </row>
    <row r="3427" customFormat="false" ht="15" hidden="false" customHeight="false" outlineLevel="0" collapsed="false">
      <c r="A3427" s="0" t="n">
        <v>3426</v>
      </c>
      <c r="B3427" s="14" t="n">
        <v>116890.751068263</v>
      </c>
      <c r="C3427" s="15" t="n">
        <v>0.0588580247164562</v>
      </c>
      <c r="D3427" s="14" t="n">
        <f aca="false">Summary!$B$5-B3427</f>
        <v>-16890.7510682631</v>
      </c>
      <c r="E3427" s="15" t="n">
        <f aca="false">B3427/Summary!$B$5-1</f>
        <v>0.168907510682631</v>
      </c>
    </row>
    <row r="3428" customFormat="false" ht="15" hidden="false" customHeight="false" outlineLevel="0" collapsed="false">
      <c r="A3428" s="0" t="n">
        <v>3427</v>
      </c>
      <c r="B3428" s="14" t="n">
        <v>111114.019645327</v>
      </c>
      <c r="C3428" s="15" t="n">
        <v>0.108015706239949</v>
      </c>
      <c r="D3428" s="14" t="n">
        <f aca="false">Summary!$B$5-B3428</f>
        <v>-11114.0196453266</v>
      </c>
      <c r="E3428" s="15" t="n">
        <f aca="false">B3428/Summary!$B$5-1</f>
        <v>0.111140196453266</v>
      </c>
    </row>
    <row r="3429" customFormat="false" ht="15" hidden="false" customHeight="false" outlineLevel="0" collapsed="false">
      <c r="A3429" s="0" t="n">
        <v>3428</v>
      </c>
      <c r="B3429" s="14" t="n">
        <v>119748.031713534</v>
      </c>
      <c r="C3429" s="15" t="n">
        <v>0.0602365926538041</v>
      </c>
      <c r="D3429" s="14" t="n">
        <f aca="false">Summary!$B$5-B3429</f>
        <v>-19748.0317135335</v>
      </c>
      <c r="E3429" s="15" t="n">
        <f aca="false">B3429/Summary!$B$5-1</f>
        <v>0.197480317135335</v>
      </c>
    </row>
    <row r="3430" customFormat="false" ht="15" hidden="false" customHeight="false" outlineLevel="0" collapsed="false">
      <c r="A3430" s="0" t="n">
        <v>3429</v>
      </c>
      <c r="B3430" s="14" t="n">
        <v>101673.583431435</v>
      </c>
      <c r="C3430" s="15" t="n">
        <v>0.0658928010844653</v>
      </c>
      <c r="D3430" s="14" t="n">
        <f aca="false">Summary!$B$5-B3430</f>
        <v>-1673.5834314347</v>
      </c>
      <c r="E3430" s="15" t="n">
        <f aca="false">B3430/Summary!$B$5-1</f>
        <v>0.0167358343143471</v>
      </c>
    </row>
    <row r="3431" customFormat="false" ht="15" hidden="false" customHeight="false" outlineLevel="0" collapsed="false">
      <c r="A3431" s="0" t="n">
        <v>3430</v>
      </c>
      <c r="B3431" s="14" t="n">
        <v>137800.760464496</v>
      </c>
      <c r="C3431" s="15" t="n">
        <v>0.101298944899627</v>
      </c>
      <c r="D3431" s="14" t="n">
        <f aca="false">Summary!$B$5-B3431</f>
        <v>-37800.760464496</v>
      </c>
      <c r="E3431" s="15" t="n">
        <f aca="false">B3431/Summary!$B$5-1</f>
        <v>0.37800760464496</v>
      </c>
    </row>
    <row r="3432" customFormat="false" ht="15" hidden="false" customHeight="false" outlineLevel="0" collapsed="false">
      <c r="A3432" s="0" t="n">
        <v>3431</v>
      </c>
      <c r="B3432" s="14" t="n">
        <v>92063.1086350459</v>
      </c>
      <c r="C3432" s="15" t="n">
        <v>0.131762737696721</v>
      </c>
      <c r="D3432" s="14" t="n">
        <f aca="false">Summary!$B$5-B3432</f>
        <v>7936.89136495406</v>
      </c>
      <c r="E3432" s="15" t="n">
        <f aca="false">B3432/Summary!$B$5-1</f>
        <v>-0.0793689136495406</v>
      </c>
    </row>
    <row r="3433" customFormat="false" ht="15" hidden="false" customHeight="false" outlineLevel="0" collapsed="false">
      <c r="A3433" s="0" t="n">
        <v>3432</v>
      </c>
      <c r="B3433" s="14" t="n">
        <v>88135.7780431971</v>
      </c>
      <c r="C3433" s="15" t="n">
        <v>0.1848740944634</v>
      </c>
      <c r="D3433" s="14" t="n">
        <f aca="false">Summary!$B$5-B3433</f>
        <v>11864.221956803</v>
      </c>
      <c r="E3433" s="15" t="n">
        <f aca="false">B3433/Summary!$B$5-1</f>
        <v>-0.11864221956803</v>
      </c>
    </row>
    <row r="3434" customFormat="false" ht="15" hidden="false" customHeight="false" outlineLevel="0" collapsed="false">
      <c r="A3434" s="0" t="n">
        <v>3433</v>
      </c>
      <c r="B3434" s="14" t="n">
        <v>111584.949486614</v>
      </c>
      <c r="C3434" s="15" t="n">
        <v>0.0819175760280617</v>
      </c>
      <c r="D3434" s="14" t="n">
        <f aca="false">Summary!$B$5-B3434</f>
        <v>-11584.9494866141</v>
      </c>
      <c r="E3434" s="15" t="n">
        <f aca="false">B3434/Summary!$B$5-1</f>
        <v>0.115849494866141</v>
      </c>
    </row>
    <row r="3435" customFormat="false" ht="15" hidden="false" customHeight="false" outlineLevel="0" collapsed="false">
      <c r="A3435" s="0" t="n">
        <v>3434</v>
      </c>
      <c r="B3435" s="14" t="n">
        <v>91853.1911865764</v>
      </c>
      <c r="C3435" s="15" t="n">
        <v>0.152183091273521</v>
      </c>
      <c r="D3435" s="14" t="n">
        <f aca="false">Summary!$B$5-B3435</f>
        <v>8146.8088134236</v>
      </c>
      <c r="E3435" s="15" t="n">
        <f aca="false">B3435/Summary!$B$5-1</f>
        <v>-0.081468088134236</v>
      </c>
    </row>
    <row r="3436" customFormat="false" ht="15" hidden="false" customHeight="false" outlineLevel="0" collapsed="false">
      <c r="A3436" s="0" t="n">
        <v>3435</v>
      </c>
      <c r="B3436" s="14" t="n">
        <v>113400.974460842</v>
      </c>
      <c r="C3436" s="15" t="n">
        <v>0.111093390017981</v>
      </c>
      <c r="D3436" s="14" t="n">
        <f aca="false">Summary!$B$5-B3436</f>
        <v>-13400.9744608419</v>
      </c>
      <c r="E3436" s="15" t="n">
        <f aca="false">B3436/Summary!$B$5-1</f>
        <v>0.134009744608419</v>
      </c>
    </row>
    <row r="3437" customFormat="false" ht="15" hidden="false" customHeight="false" outlineLevel="0" collapsed="false">
      <c r="A3437" s="0" t="n">
        <v>3436</v>
      </c>
      <c r="B3437" s="14" t="n">
        <v>94003.0272020192</v>
      </c>
      <c r="C3437" s="15" t="n">
        <v>0.151794850258144</v>
      </c>
      <c r="D3437" s="14" t="n">
        <f aca="false">Summary!$B$5-B3437</f>
        <v>5996.97279798078</v>
      </c>
      <c r="E3437" s="15" t="n">
        <f aca="false">B3437/Summary!$B$5-1</f>
        <v>-0.0599697279798078</v>
      </c>
    </row>
    <row r="3438" customFormat="false" ht="15" hidden="false" customHeight="false" outlineLevel="0" collapsed="false">
      <c r="A3438" s="0" t="n">
        <v>3437</v>
      </c>
      <c r="B3438" s="14" t="n">
        <v>142610.848676897</v>
      </c>
      <c r="C3438" s="15" t="n">
        <v>0.0490872923090012</v>
      </c>
      <c r="D3438" s="14" t="n">
        <f aca="false">Summary!$B$5-B3438</f>
        <v>-42610.8486768973</v>
      </c>
      <c r="E3438" s="15" t="n">
        <f aca="false">B3438/Summary!$B$5-1</f>
        <v>0.426108486768973</v>
      </c>
    </row>
    <row r="3439" customFormat="false" ht="15" hidden="false" customHeight="false" outlineLevel="0" collapsed="false">
      <c r="A3439" s="0" t="n">
        <v>3438</v>
      </c>
      <c r="B3439" s="14" t="n">
        <v>105377.624954128</v>
      </c>
      <c r="C3439" s="15" t="n">
        <v>0.0897961687396202</v>
      </c>
      <c r="D3439" s="14" t="n">
        <f aca="false">Summary!$B$5-B3439</f>
        <v>-5377.62495412761</v>
      </c>
      <c r="E3439" s="15" t="n">
        <f aca="false">B3439/Summary!$B$5-1</f>
        <v>0.0537762495412761</v>
      </c>
    </row>
    <row r="3440" customFormat="false" ht="15" hidden="false" customHeight="false" outlineLevel="0" collapsed="false">
      <c r="A3440" s="0" t="n">
        <v>3439</v>
      </c>
      <c r="B3440" s="14" t="n">
        <v>107529.202189396</v>
      </c>
      <c r="C3440" s="15" t="n">
        <v>0.082004565587541</v>
      </c>
      <c r="D3440" s="14" t="n">
        <f aca="false">Summary!$B$5-B3440</f>
        <v>-7529.20218939611</v>
      </c>
      <c r="E3440" s="15" t="n">
        <f aca="false">B3440/Summary!$B$5-1</f>
        <v>0.075292021893961</v>
      </c>
    </row>
    <row r="3441" customFormat="false" ht="15" hidden="false" customHeight="false" outlineLevel="0" collapsed="false">
      <c r="A3441" s="0" t="n">
        <v>3440</v>
      </c>
      <c r="B3441" s="14" t="n">
        <v>99148.9812511689</v>
      </c>
      <c r="C3441" s="15" t="n">
        <v>0.138284599231043</v>
      </c>
      <c r="D3441" s="14" t="n">
        <f aca="false">Summary!$B$5-B3441</f>
        <v>851.01874883112</v>
      </c>
      <c r="E3441" s="15" t="n">
        <f aca="false">B3441/Summary!$B$5-1</f>
        <v>-0.00851018748831123</v>
      </c>
    </row>
    <row r="3442" customFormat="false" ht="15" hidden="false" customHeight="false" outlineLevel="0" collapsed="false">
      <c r="A3442" s="0" t="n">
        <v>3441</v>
      </c>
      <c r="B3442" s="14" t="n">
        <v>113827.616060285</v>
      </c>
      <c r="C3442" s="15" t="n">
        <v>0.0652123944855451</v>
      </c>
      <c r="D3442" s="14" t="n">
        <f aca="false">Summary!$B$5-B3442</f>
        <v>-13827.6160602849</v>
      </c>
      <c r="E3442" s="15" t="n">
        <f aca="false">B3442/Summary!$B$5-1</f>
        <v>0.138276160602849</v>
      </c>
    </row>
    <row r="3443" customFormat="false" ht="15" hidden="false" customHeight="false" outlineLevel="0" collapsed="false">
      <c r="A3443" s="0" t="n">
        <v>3442</v>
      </c>
      <c r="B3443" s="14" t="n">
        <v>102770.604123348</v>
      </c>
      <c r="C3443" s="15" t="n">
        <v>0.0769546830208797</v>
      </c>
      <c r="D3443" s="14" t="n">
        <f aca="false">Summary!$B$5-B3443</f>
        <v>-2770.6041233476</v>
      </c>
      <c r="E3443" s="15" t="n">
        <f aca="false">B3443/Summary!$B$5-1</f>
        <v>0.027706041233476</v>
      </c>
    </row>
    <row r="3444" customFormat="false" ht="15" hidden="false" customHeight="false" outlineLevel="0" collapsed="false">
      <c r="A3444" s="0" t="n">
        <v>3443</v>
      </c>
      <c r="B3444" s="14" t="n">
        <v>103713.077172131</v>
      </c>
      <c r="C3444" s="15" t="n">
        <v>0.151109652109887</v>
      </c>
      <c r="D3444" s="14" t="n">
        <f aca="false">Summary!$B$5-B3444</f>
        <v>-3713.0771721307</v>
      </c>
      <c r="E3444" s="15" t="n">
        <f aca="false">B3444/Summary!$B$5-1</f>
        <v>0.037130771721307</v>
      </c>
    </row>
    <row r="3445" customFormat="false" ht="15" hidden="false" customHeight="false" outlineLevel="0" collapsed="false">
      <c r="A3445" s="0" t="n">
        <v>3444</v>
      </c>
      <c r="B3445" s="14" t="n">
        <v>110977.383727432</v>
      </c>
      <c r="C3445" s="15" t="n">
        <v>0.110057441985955</v>
      </c>
      <c r="D3445" s="14" t="n">
        <f aca="false">Summary!$B$5-B3445</f>
        <v>-10977.3837274324</v>
      </c>
      <c r="E3445" s="15" t="n">
        <f aca="false">B3445/Summary!$B$5-1</f>
        <v>0.109773837274324</v>
      </c>
    </row>
    <row r="3446" customFormat="false" ht="15" hidden="false" customHeight="false" outlineLevel="0" collapsed="false">
      <c r="A3446" s="0" t="n">
        <v>3445</v>
      </c>
      <c r="B3446" s="14" t="n">
        <v>91427.5419993902</v>
      </c>
      <c r="C3446" s="15" t="n">
        <v>0.149880740984243</v>
      </c>
      <c r="D3446" s="14" t="n">
        <f aca="false">Summary!$B$5-B3446</f>
        <v>8572.45800060984</v>
      </c>
      <c r="E3446" s="15" t="n">
        <f aca="false">B3446/Summary!$B$5-1</f>
        <v>-0.0857245800060984</v>
      </c>
    </row>
    <row r="3447" customFormat="false" ht="15" hidden="false" customHeight="false" outlineLevel="0" collapsed="false">
      <c r="A3447" s="0" t="n">
        <v>3446</v>
      </c>
      <c r="B3447" s="14" t="n">
        <v>113218.315914269</v>
      </c>
      <c r="C3447" s="15" t="n">
        <v>0.0736643505373561</v>
      </c>
      <c r="D3447" s="14" t="n">
        <f aca="false">Summary!$B$5-B3447</f>
        <v>-13218.3159142693</v>
      </c>
      <c r="E3447" s="15" t="n">
        <f aca="false">B3447/Summary!$B$5-1</f>
        <v>0.132183159142693</v>
      </c>
    </row>
    <row r="3448" customFormat="false" ht="15" hidden="false" customHeight="false" outlineLevel="0" collapsed="false">
      <c r="A3448" s="0" t="n">
        <v>3447</v>
      </c>
      <c r="B3448" s="14" t="n">
        <v>105276.915511182</v>
      </c>
      <c r="C3448" s="15" t="n">
        <v>0.0595895156977819</v>
      </c>
      <c r="D3448" s="14" t="n">
        <f aca="false">Summary!$B$5-B3448</f>
        <v>-5276.91551118239</v>
      </c>
      <c r="E3448" s="15" t="n">
        <f aca="false">B3448/Summary!$B$5-1</f>
        <v>0.0527691551118239</v>
      </c>
    </row>
    <row r="3449" customFormat="false" ht="15" hidden="false" customHeight="false" outlineLevel="0" collapsed="false">
      <c r="A3449" s="0" t="n">
        <v>3448</v>
      </c>
      <c r="B3449" s="14" t="n">
        <v>112233.282927842</v>
      </c>
      <c r="C3449" s="15" t="n">
        <v>0.0658053061639251</v>
      </c>
      <c r="D3449" s="14" t="n">
        <f aca="false">Summary!$B$5-B3449</f>
        <v>-12233.2829278415</v>
      </c>
      <c r="E3449" s="15" t="n">
        <f aca="false">B3449/Summary!$B$5-1</f>
        <v>0.122332829278415</v>
      </c>
    </row>
    <row r="3450" customFormat="false" ht="15" hidden="false" customHeight="false" outlineLevel="0" collapsed="false">
      <c r="A3450" s="0" t="n">
        <v>3449</v>
      </c>
      <c r="B3450" s="14" t="n">
        <v>114481.580447396</v>
      </c>
      <c r="C3450" s="15" t="n">
        <v>0.0688858901582897</v>
      </c>
      <c r="D3450" s="14" t="n">
        <f aca="false">Summary!$B$5-B3450</f>
        <v>-14481.580447396</v>
      </c>
      <c r="E3450" s="15" t="n">
        <f aca="false">B3450/Summary!$B$5-1</f>
        <v>0.14481580447396</v>
      </c>
    </row>
    <row r="3451" customFormat="false" ht="15" hidden="false" customHeight="false" outlineLevel="0" collapsed="false">
      <c r="A3451" s="0" t="n">
        <v>3450</v>
      </c>
      <c r="B3451" s="14" t="n">
        <v>113695.304808846</v>
      </c>
      <c r="C3451" s="15" t="n">
        <v>0.0678027837159292</v>
      </c>
      <c r="D3451" s="14" t="n">
        <f aca="false">Summary!$B$5-B3451</f>
        <v>-13695.3048088455</v>
      </c>
      <c r="E3451" s="15" t="n">
        <f aca="false">B3451/Summary!$B$5-1</f>
        <v>0.136953048088455</v>
      </c>
    </row>
    <row r="3452" customFormat="false" ht="15" hidden="false" customHeight="false" outlineLevel="0" collapsed="false">
      <c r="A3452" s="0" t="n">
        <v>3451</v>
      </c>
      <c r="B3452" s="14" t="n">
        <v>100575.814777649</v>
      </c>
      <c r="C3452" s="15" t="n">
        <v>0.0846358768396345</v>
      </c>
      <c r="D3452" s="14" t="n">
        <f aca="false">Summary!$B$5-B3452</f>
        <v>-575.814777648498</v>
      </c>
      <c r="E3452" s="15" t="n">
        <f aca="false">B3452/Summary!$B$5-1</f>
        <v>0.00575814777648498</v>
      </c>
    </row>
    <row r="3453" customFormat="false" ht="15" hidden="false" customHeight="false" outlineLevel="0" collapsed="false">
      <c r="A3453" s="0" t="n">
        <v>3452</v>
      </c>
      <c r="B3453" s="14" t="n">
        <v>100995.265894267</v>
      </c>
      <c r="C3453" s="15" t="n">
        <v>0.091391006782372</v>
      </c>
      <c r="D3453" s="14" t="n">
        <f aca="false">Summary!$B$5-B3453</f>
        <v>-995.265894267403</v>
      </c>
      <c r="E3453" s="15" t="n">
        <f aca="false">B3453/Summary!$B$5-1</f>
        <v>0.00995265894267394</v>
      </c>
    </row>
    <row r="3454" customFormat="false" ht="15" hidden="false" customHeight="false" outlineLevel="0" collapsed="false">
      <c r="A3454" s="0" t="n">
        <v>3453</v>
      </c>
      <c r="B3454" s="14" t="n">
        <v>108248.782780627</v>
      </c>
      <c r="C3454" s="15" t="n">
        <v>0.0867717208446192</v>
      </c>
      <c r="D3454" s="14" t="n">
        <f aca="false">Summary!$B$5-B3454</f>
        <v>-8248.78278062691</v>
      </c>
      <c r="E3454" s="15" t="n">
        <f aca="false">B3454/Summary!$B$5-1</f>
        <v>0.0824878278062691</v>
      </c>
    </row>
    <row r="3455" customFormat="false" ht="15" hidden="false" customHeight="false" outlineLevel="0" collapsed="false">
      <c r="A3455" s="0" t="n">
        <v>3454</v>
      </c>
      <c r="B3455" s="14" t="n">
        <v>103481.961081112</v>
      </c>
      <c r="C3455" s="15" t="n">
        <v>0.0876503642579669</v>
      </c>
      <c r="D3455" s="14" t="n">
        <f aca="false">Summary!$B$5-B3455</f>
        <v>-3481.9610811118</v>
      </c>
      <c r="E3455" s="15" t="n">
        <f aca="false">B3455/Summary!$B$5-1</f>
        <v>0.0348196108111181</v>
      </c>
    </row>
    <row r="3456" customFormat="false" ht="15" hidden="false" customHeight="false" outlineLevel="0" collapsed="false">
      <c r="A3456" s="0" t="n">
        <v>3455</v>
      </c>
      <c r="B3456" s="14" t="n">
        <v>125008.117815244</v>
      </c>
      <c r="C3456" s="15" t="n">
        <v>0.0458276212285248</v>
      </c>
      <c r="D3456" s="14" t="n">
        <f aca="false">Summary!$B$5-B3456</f>
        <v>-25008.1178152444</v>
      </c>
      <c r="E3456" s="15" t="n">
        <f aca="false">B3456/Summary!$B$5-1</f>
        <v>0.250081178152444</v>
      </c>
    </row>
    <row r="3457" customFormat="false" ht="15" hidden="false" customHeight="false" outlineLevel="0" collapsed="false">
      <c r="A3457" s="0" t="n">
        <v>3456</v>
      </c>
      <c r="B3457" s="14" t="n">
        <v>101163.991882823</v>
      </c>
      <c r="C3457" s="15" t="n">
        <v>0.0800930689593735</v>
      </c>
      <c r="D3457" s="14" t="n">
        <f aca="false">Summary!$B$5-B3457</f>
        <v>-1163.99188282331</v>
      </c>
      <c r="E3457" s="15" t="n">
        <f aca="false">B3457/Summary!$B$5-1</f>
        <v>0.011639918828233</v>
      </c>
    </row>
    <row r="3458" customFormat="false" ht="15" hidden="false" customHeight="false" outlineLevel="0" collapsed="false">
      <c r="A3458" s="0" t="n">
        <v>3457</v>
      </c>
      <c r="B3458" s="14" t="n">
        <v>102415.680927074</v>
      </c>
      <c r="C3458" s="15" t="n">
        <v>0.158077186216233</v>
      </c>
      <c r="D3458" s="14" t="n">
        <f aca="false">Summary!$B$5-B3458</f>
        <v>-2415.6809270739</v>
      </c>
      <c r="E3458" s="15" t="n">
        <f aca="false">B3458/Summary!$B$5-1</f>
        <v>0.0241568092707389</v>
      </c>
    </row>
    <row r="3459" customFormat="false" ht="15" hidden="false" customHeight="false" outlineLevel="0" collapsed="false">
      <c r="A3459" s="0" t="n">
        <v>3458</v>
      </c>
      <c r="B3459" s="14" t="n">
        <v>118339.429610652</v>
      </c>
      <c r="C3459" s="15" t="n">
        <v>0.0649026931235011</v>
      </c>
      <c r="D3459" s="14" t="n">
        <f aca="false">Summary!$B$5-B3459</f>
        <v>-18339.4296106522</v>
      </c>
      <c r="E3459" s="15" t="n">
        <f aca="false">B3459/Summary!$B$5-1</f>
        <v>0.183394296106522</v>
      </c>
    </row>
    <row r="3460" customFormat="false" ht="15" hidden="false" customHeight="false" outlineLevel="0" collapsed="false">
      <c r="A3460" s="0" t="n">
        <v>3459</v>
      </c>
      <c r="B3460" s="14" t="n">
        <v>98903.0664332543</v>
      </c>
      <c r="C3460" s="15" t="n">
        <v>0.0763078029070159</v>
      </c>
      <c r="D3460" s="14" t="n">
        <f aca="false">Summary!$B$5-B3460</f>
        <v>1096.93356674575</v>
      </c>
      <c r="E3460" s="15" t="n">
        <f aca="false">B3460/Summary!$B$5-1</f>
        <v>-0.0109693356674575</v>
      </c>
    </row>
    <row r="3461" customFormat="false" ht="15" hidden="false" customHeight="false" outlineLevel="0" collapsed="false">
      <c r="A3461" s="0" t="n">
        <v>3460</v>
      </c>
      <c r="B3461" s="14" t="n">
        <v>135157.863705947</v>
      </c>
      <c r="C3461" s="15" t="n">
        <v>0.0607286113101357</v>
      </c>
      <c r="D3461" s="14" t="n">
        <f aca="false">Summary!$B$5-B3461</f>
        <v>-35157.8637059467</v>
      </c>
      <c r="E3461" s="15" t="n">
        <f aca="false">B3461/Summary!$B$5-1</f>
        <v>0.351578637059467</v>
      </c>
    </row>
    <row r="3462" customFormat="false" ht="15" hidden="false" customHeight="false" outlineLevel="0" collapsed="false">
      <c r="A3462" s="0" t="n">
        <v>3461</v>
      </c>
      <c r="B3462" s="14" t="n">
        <v>120692.209360042</v>
      </c>
      <c r="C3462" s="15" t="n">
        <v>0.0650239572140817</v>
      </c>
      <c r="D3462" s="14" t="n">
        <f aca="false">Summary!$B$5-B3462</f>
        <v>-20692.2093600415</v>
      </c>
      <c r="E3462" s="15" t="n">
        <f aca="false">B3462/Summary!$B$5-1</f>
        <v>0.206922093600415</v>
      </c>
    </row>
    <row r="3463" customFormat="false" ht="15" hidden="false" customHeight="false" outlineLevel="0" collapsed="false">
      <c r="A3463" s="0" t="n">
        <v>3462</v>
      </c>
      <c r="B3463" s="14" t="n">
        <v>91604.7942467665</v>
      </c>
      <c r="C3463" s="15" t="n">
        <v>0.136825230670276</v>
      </c>
      <c r="D3463" s="14" t="n">
        <f aca="false">Summary!$B$5-B3463</f>
        <v>8395.20575323346</v>
      </c>
      <c r="E3463" s="15" t="n">
        <f aca="false">B3463/Summary!$B$5-1</f>
        <v>-0.0839520575323346</v>
      </c>
    </row>
    <row r="3464" customFormat="false" ht="15" hidden="false" customHeight="false" outlineLevel="0" collapsed="false">
      <c r="A3464" s="0" t="n">
        <v>3463</v>
      </c>
      <c r="B3464" s="14" t="n">
        <v>101821.312904652</v>
      </c>
      <c r="C3464" s="15" t="n">
        <v>0.0670826516376251</v>
      </c>
      <c r="D3464" s="14" t="n">
        <f aca="false">Summary!$B$5-B3464</f>
        <v>-1821.3129046516</v>
      </c>
      <c r="E3464" s="15" t="n">
        <f aca="false">B3464/Summary!$B$5-1</f>
        <v>0.018213129046516</v>
      </c>
    </row>
    <row r="3465" customFormat="false" ht="15" hidden="false" customHeight="false" outlineLevel="0" collapsed="false">
      <c r="A3465" s="0" t="n">
        <v>3464</v>
      </c>
      <c r="B3465" s="14" t="n">
        <v>109056.862032728</v>
      </c>
      <c r="C3465" s="15" t="n">
        <v>0.0643383750649212</v>
      </c>
      <c r="D3465" s="14" t="n">
        <f aca="false">Summary!$B$5-B3465</f>
        <v>-9056.8620327276</v>
      </c>
      <c r="E3465" s="15" t="n">
        <f aca="false">B3465/Summary!$B$5-1</f>
        <v>0.090568620327276</v>
      </c>
    </row>
    <row r="3466" customFormat="false" ht="15" hidden="false" customHeight="false" outlineLevel="0" collapsed="false">
      <c r="A3466" s="0" t="n">
        <v>3465</v>
      </c>
      <c r="B3466" s="14" t="n">
        <v>108342.605743206</v>
      </c>
      <c r="C3466" s="15" t="n">
        <v>0.099553649159171</v>
      </c>
      <c r="D3466" s="14" t="n">
        <f aca="false">Summary!$B$5-B3466</f>
        <v>-8342.6057432058</v>
      </c>
      <c r="E3466" s="15" t="n">
        <f aca="false">B3466/Summary!$B$5-1</f>
        <v>0.083426057432058</v>
      </c>
    </row>
    <row r="3467" customFormat="false" ht="15" hidden="false" customHeight="false" outlineLevel="0" collapsed="false">
      <c r="A3467" s="0" t="n">
        <v>3466</v>
      </c>
      <c r="B3467" s="14" t="n">
        <v>111456.481470683</v>
      </c>
      <c r="C3467" s="15" t="n">
        <v>0.131120358141004</v>
      </c>
      <c r="D3467" s="14" t="n">
        <f aca="false">Summary!$B$5-B3467</f>
        <v>-11456.4814706829</v>
      </c>
      <c r="E3467" s="15" t="n">
        <f aca="false">B3467/Summary!$B$5-1</f>
        <v>0.114564814706829</v>
      </c>
    </row>
    <row r="3468" customFormat="false" ht="15" hidden="false" customHeight="false" outlineLevel="0" collapsed="false">
      <c r="A3468" s="0" t="n">
        <v>3467</v>
      </c>
      <c r="B3468" s="14" t="n">
        <v>109658.032803143</v>
      </c>
      <c r="C3468" s="15" t="n">
        <v>0.0484208054324491</v>
      </c>
      <c r="D3468" s="14" t="n">
        <f aca="false">Summary!$B$5-B3468</f>
        <v>-9658.0328031425</v>
      </c>
      <c r="E3468" s="15" t="n">
        <f aca="false">B3468/Summary!$B$5-1</f>
        <v>0.096580328031425</v>
      </c>
    </row>
    <row r="3469" customFormat="false" ht="15" hidden="false" customHeight="false" outlineLevel="0" collapsed="false">
      <c r="A3469" s="0" t="n">
        <v>3468</v>
      </c>
      <c r="B3469" s="14" t="n">
        <v>110303.372588224</v>
      </c>
      <c r="C3469" s="15" t="n">
        <v>0.0825775290228277</v>
      </c>
      <c r="D3469" s="14" t="n">
        <f aca="false">Summary!$B$5-B3469</f>
        <v>-10303.3725882242</v>
      </c>
      <c r="E3469" s="15" t="n">
        <f aca="false">B3469/Summary!$B$5-1</f>
        <v>0.103033725882242</v>
      </c>
    </row>
    <row r="3470" customFormat="false" ht="15" hidden="false" customHeight="false" outlineLevel="0" collapsed="false">
      <c r="A3470" s="0" t="n">
        <v>3469</v>
      </c>
      <c r="B3470" s="14" t="n">
        <v>116875.167502393</v>
      </c>
      <c r="C3470" s="15" t="n">
        <v>0.0492987768342369</v>
      </c>
      <c r="D3470" s="14" t="n">
        <f aca="false">Summary!$B$5-B3470</f>
        <v>-16875.1675023929</v>
      </c>
      <c r="E3470" s="15" t="n">
        <f aca="false">B3470/Summary!$B$5-1</f>
        <v>0.168751675023929</v>
      </c>
    </row>
    <row r="3471" customFormat="false" ht="15" hidden="false" customHeight="false" outlineLevel="0" collapsed="false">
      <c r="A3471" s="0" t="n">
        <v>3470</v>
      </c>
      <c r="B3471" s="14" t="n">
        <v>138397.782729572</v>
      </c>
      <c r="C3471" s="15" t="n">
        <v>0.0455478647029304</v>
      </c>
      <c r="D3471" s="14" t="n">
        <f aca="false">Summary!$B$5-B3471</f>
        <v>-38397.7827295722</v>
      </c>
      <c r="E3471" s="15" t="n">
        <f aca="false">B3471/Summary!$B$5-1</f>
        <v>0.383977827295722</v>
      </c>
    </row>
    <row r="3472" customFormat="false" ht="15" hidden="false" customHeight="false" outlineLevel="0" collapsed="false">
      <c r="A3472" s="0" t="n">
        <v>3471</v>
      </c>
      <c r="B3472" s="14" t="n">
        <v>125986.67768641</v>
      </c>
      <c r="C3472" s="15" t="n">
        <v>0.0530405214765318</v>
      </c>
      <c r="D3472" s="14" t="n">
        <f aca="false">Summary!$B$5-B3472</f>
        <v>-25986.6776864101</v>
      </c>
      <c r="E3472" s="15" t="n">
        <f aca="false">B3472/Summary!$B$5-1</f>
        <v>0.259866776864101</v>
      </c>
    </row>
    <row r="3473" customFormat="false" ht="15" hidden="false" customHeight="false" outlineLevel="0" collapsed="false">
      <c r="A3473" s="0" t="n">
        <v>3472</v>
      </c>
      <c r="B3473" s="14" t="n">
        <v>99627.5241715238</v>
      </c>
      <c r="C3473" s="15" t="n">
        <v>0.104419971965485</v>
      </c>
      <c r="D3473" s="14" t="n">
        <f aca="false">Summary!$B$5-B3473</f>
        <v>372.475828476163</v>
      </c>
      <c r="E3473" s="15" t="n">
        <f aca="false">B3473/Summary!$B$5-1</f>
        <v>-0.0037247582847616</v>
      </c>
    </row>
    <row r="3474" customFormat="false" ht="15" hidden="false" customHeight="false" outlineLevel="0" collapsed="false">
      <c r="A3474" s="0" t="n">
        <v>3473</v>
      </c>
      <c r="B3474" s="14" t="n">
        <v>112339.751461167</v>
      </c>
      <c r="C3474" s="15" t="n">
        <v>0.060471564274894</v>
      </c>
      <c r="D3474" s="14" t="n">
        <f aca="false">Summary!$B$5-B3474</f>
        <v>-12339.751461167</v>
      </c>
      <c r="E3474" s="15" t="n">
        <f aca="false">B3474/Summary!$B$5-1</f>
        <v>0.12339751461167</v>
      </c>
    </row>
    <row r="3475" customFormat="false" ht="15" hidden="false" customHeight="false" outlineLevel="0" collapsed="false">
      <c r="A3475" s="0" t="n">
        <v>3474</v>
      </c>
      <c r="B3475" s="14" t="n">
        <v>91051.2131301872</v>
      </c>
      <c r="C3475" s="15" t="n">
        <v>0.180630774201539</v>
      </c>
      <c r="D3475" s="14" t="n">
        <f aca="false">Summary!$B$5-B3475</f>
        <v>8948.78686981279</v>
      </c>
      <c r="E3475" s="15" t="n">
        <f aca="false">B3475/Summary!$B$5-1</f>
        <v>-0.0894878686981279</v>
      </c>
    </row>
    <row r="3476" customFormat="false" ht="15" hidden="false" customHeight="false" outlineLevel="0" collapsed="false">
      <c r="A3476" s="0" t="n">
        <v>3475</v>
      </c>
      <c r="B3476" s="14" t="n">
        <v>102371.88567224</v>
      </c>
      <c r="C3476" s="15" t="n">
        <v>0.0956540949498288</v>
      </c>
      <c r="D3476" s="14" t="n">
        <f aca="false">Summary!$B$5-B3476</f>
        <v>-2371.8856722401</v>
      </c>
      <c r="E3476" s="15" t="n">
        <f aca="false">B3476/Summary!$B$5-1</f>
        <v>0.0237188567224009</v>
      </c>
    </row>
    <row r="3477" customFormat="false" ht="15" hidden="false" customHeight="false" outlineLevel="0" collapsed="false">
      <c r="A3477" s="0" t="n">
        <v>3476</v>
      </c>
      <c r="B3477" s="14" t="n">
        <v>99951.8595977922</v>
      </c>
      <c r="C3477" s="15" t="n">
        <v>0.154469030333545</v>
      </c>
      <c r="D3477" s="14" t="n">
        <f aca="false">Summary!$B$5-B3477</f>
        <v>48.1404022077622</v>
      </c>
      <c r="E3477" s="15" t="n">
        <f aca="false">B3477/Summary!$B$5-1</f>
        <v>-0.000481404022077636</v>
      </c>
    </row>
    <row r="3478" customFormat="false" ht="15" hidden="false" customHeight="false" outlineLevel="0" collapsed="false">
      <c r="A3478" s="0" t="n">
        <v>3477</v>
      </c>
      <c r="B3478" s="14" t="n">
        <v>96266.443208786</v>
      </c>
      <c r="C3478" s="15" t="n">
        <v>0.126994322577182</v>
      </c>
      <c r="D3478" s="14" t="n">
        <f aca="false">Summary!$B$5-B3478</f>
        <v>3733.55679121397</v>
      </c>
      <c r="E3478" s="15" t="n">
        <f aca="false">B3478/Summary!$B$5-1</f>
        <v>-0.0373355679121397</v>
      </c>
    </row>
    <row r="3479" customFormat="false" ht="15" hidden="false" customHeight="false" outlineLevel="0" collapsed="false">
      <c r="A3479" s="0" t="n">
        <v>3478</v>
      </c>
      <c r="B3479" s="14" t="n">
        <v>99367.1085414972</v>
      </c>
      <c r="C3479" s="15" t="n">
        <v>0.0664698296508933</v>
      </c>
      <c r="D3479" s="14" t="n">
        <f aca="false">Summary!$B$5-B3479</f>
        <v>632.891458502825</v>
      </c>
      <c r="E3479" s="15" t="n">
        <f aca="false">B3479/Summary!$B$5-1</f>
        <v>-0.00632891458502827</v>
      </c>
    </row>
    <row r="3480" customFormat="false" ht="15" hidden="false" customHeight="false" outlineLevel="0" collapsed="false">
      <c r="A3480" s="0" t="n">
        <v>3479</v>
      </c>
      <c r="B3480" s="14" t="n">
        <v>97341.7209899213</v>
      </c>
      <c r="C3480" s="15" t="n">
        <v>0.1279134056235</v>
      </c>
      <c r="D3480" s="14" t="n">
        <f aca="false">Summary!$B$5-B3480</f>
        <v>2658.27901007867</v>
      </c>
      <c r="E3480" s="15" t="n">
        <f aca="false">B3480/Summary!$B$5-1</f>
        <v>-0.0265827901007867</v>
      </c>
    </row>
    <row r="3481" customFormat="false" ht="15" hidden="false" customHeight="false" outlineLevel="0" collapsed="false">
      <c r="A3481" s="0" t="n">
        <v>3480</v>
      </c>
      <c r="B3481" s="14" t="n">
        <v>135655.559619864</v>
      </c>
      <c r="C3481" s="15" t="n">
        <v>0.0912220410444973</v>
      </c>
      <c r="D3481" s="14" t="n">
        <f aca="false">Summary!$B$5-B3481</f>
        <v>-35655.5596198644</v>
      </c>
      <c r="E3481" s="15" t="n">
        <f aca="false">B3481/Summary!$B$5-1</f>
        <v>0.356555596198644</v>
      </c>
    </row>
    <row r="3482" customFormat="false" ht="15" hidden="false" customHeight="false" outlineLevel="0" collapsed="false">
      <c r="A3482" s="0" t="n">
        <v>3481</v>
      </c>
      <c r="B3482" s="14" t="n">
        <v>91652.2197111236</v>
      </c>
      <c r="C3482" s="15" t="n">
        <v>0.153641925381729</v>
      </c>
      <c r="D3482" s="14" t="n">
        <f aca="false">Summary!$B$5-B3482</f>
        <v>8347.78028887641</v>
      </c>
      <c r="E3482" s="15" t="n">
        <f aca="false">B3482/Summary!$B$5-1</f>
        <v>-0.0834778028887642</v>
      </c>
    </row>
    <row r="3483" customFormat="false" ht="15" hidden="false" customHeight="false" outlineLevel="0" collapsed="false">
      <c r="A3483" s="0" t="n">
        <v>3482</v>
      </c>
      <c r="B3483" s="14" t="n">
        <v>113221.471236084</v>
      </c>
      <c r="C3483" s="15" t="n">
        <v>0.0896419806908272</v>
      </c>
      <c r="D3483" s="14" t="n">
        <f aca="false">Summary!$B$5-B3483</f>
        <v>-13221.4712360842</v>
      </c>
      <c r="E3483" s="15" t="n">
        <f aca="false">B3483/Summary!$B$5-1</f>
        <v>0.132214712360842</v>
      </c>
    </row>
    <row r="3484" customFormat="false" ht="15" hidden="false" customHeight="false" outlineLevel="0" collapsed="false">
      <c r="A3484" s="0" t="n">
        <v>3483</v>
      </c>
      <c r="B3484" s="14" t="n">
        <v>136283.231301591</v>
      </c>
      <c r="C3484" s="15" t="n">
        <v>0.126186936376652</v>
      </c>
      <c r="D3484" s="14" t="n">
        <f aca="false">Summary!$B$5-B3484</f>
        <v>-36283.2313015907</v>
      </c>
      <c r="E3484" s="15" t="n">
        <f aca="false">B3484/Summary!$B$5-1</f>
        <v>0.362832313015907</v>
      </c>
    </row>
    <row r="3485" customFormat="false" ht="15" hidden="false" customHeight="false" outlineLevel="0" collapsed="false">
      <c r="A3485" s="0" t="n">
        <v>3484</v>
      </c>
      <c r="B3485" s="14" t="n">
        <v>105769.139241931</v>
      </c>
      <c r="C3485" s="15" t="n">
        <v>0.117776710243266</v>
      </c>
      <c r="D3485" s="14" t="n">
        <f aca="false">Summary!$B$5-B3485</f>
        <v>-5769.13924193131</v>
      </c>
      <c r="E3485" s="15" t="n">
        <f aca="false">B3485/Summary!$B$5-1</f>
        <v>0.057691392419313</v>
      </c>
    </row>
    <row r="3486" customFormat="false" ht="15" hidden="false" customHeight="false" outlineLevel="0" collapsed="false">
      <c r="A3486" s="0" t="n">
        <v>3485</v>
      </c>
      <c r="B3486" s="14" t="n">
        <v>114673.021389764</v>
      </c>
      <c r="C3486" s="15" t="n">
        <v>0.0541283740281142</v>
      </c>
      <c r="D3486" s="14" t="n">
        <f aca="false">Summary!$B$5-B3486</f>
        <v>-14673.0213897635</v>
      </c>
      <c r="E3486" s="15" t="n">
        <f aca="false">B3486/Summary!$B$5-1</f>
        <v>0.146730213897635</v>
      </c>
    </row>
    <row r="3487" customFormat="false" ht="15" hidden="false" customHeight="false" outlineLevel="0" collapsed="false">
      <c r="A3487" s="0" t="n">
        <v>3486</v>
      </c>
      <c r="B3487" s="14" t="n">
        <v>82142.1786644223</v>
      </c>
      <c r="C3487" s="15" t="n">
        <v>0.25228866221733</v>
      </c>
      <c r="D3487" s="14" t="n">
        <f aca="false">Summary!$B$5-B3487</f>
        <v>17857.8213355777</v>
      </c>
      <c r="E3487" s="15" t="n">
        <f aca="false">B3487/Summary!$B$5-1</f>
        <v>-0.178578213355777</v>
      </c>
    </row>
    <row r="3488" customFormat="false" ht="15" hidden="false" customHeight="false" outlineLevel="0" collapsed="false">
      <c r="A3488" s="0" t="n">
        <v>3487</v>
      </c>
      <c r="B3488" s="14" t="n">
        <v>116345.35022849</v>
      </c>
      <c r="C3488" s="15" t="n">
        <v>0.0881244212719511</v>
      </c>
      <c r="D3488" s="14" t="n">
        <f aca="false">Summary!$B$5-B3488</f>
        <v>-16345.3502284903</v>
      </c>
      <c r="E3488" s="15" t="n">
        <f aca="false">B3488/Summary!$B$5-1</f>
        <v>0.163453502284903</v>
      </c>
    </row>
    <row r="3489" customFormat="false" ht="15" hidden="false" customHeight="false" outlineLevel="0" collapsed="false">
      <c r="A3489" s="0" t="n">
        <v>3488</v>
      </c>
      <c r="B3489" s="14" t="n">
        <v>110076.965893464</v>
      </c>
      <c r="C3489" s="15" t="n">
        <v>0.0823385796814394</v>
      </c>
      <c r="D3489" s="14" t="n">
        <f aca="false">Summary!$B$5-B3489</f>
        <v>-10076.9658934643</v>
      </c>
      <c r="E3489" s="15" t="n">
        <f aca="false">B3489/Summary!$B$5-1</f>
        <v>0.100769658934643</v>
      </c>
    </row>
    <row r="3490" customFormat="false" ht="15" hidden="false" customHeight="false" outlineLevel="0" collapsed="false">
      <c r="A3490" s="0" t="n">
        <v>3489</v>
      </c>
      <c r="B3490" s="14" t="n">
        <v>108045.613750841</v>
      </c>
      <c r="C3490" s="15" t="n">
        <v>0.120238553301076</v>
      </c>
      <c r="D3490" s="14" t="n">
        <f aca="false">Summary!$B$5-B3490</f>
        <v>-8045.61375084111</v>
      </c>
      <c r="E3490" s="15" t="n">
        <f aca="false">B3490/Summary!$B$5-1</f>
        <v>0.080456137508411</v>
      </c>
    </row>
    <row r="3491" customFormat="false" ht="15" hidden="false" customHeight="false" outlineLevel="0" collapsed="false">
      <c r="A3491" s="0" t="n">
        <v>3490</v>
      </c>
      <c r="B3491" s="14" t="n">
        <v>107705.44611358</v>
      </c>
      <c r="C3491" s="15" t="n">
        <v>0.111941456395749</v>
      </c>
      <c r="D3491" s="14" t="n">
        <f aca="false">Summary!$B$5-B3491</f>
        <v>-7705.44611357991</v>
      </c>
      <c r="E3491" s="15" t="n">
        <f aca="false">B3491/Summary!$B$5-1</f>
        <v>0.0770544611357991</v>
      </c>
    </row>
    <row r="3492" customFormat="false" ht="15" hidden="false" customHeight="false" outlineLevel="0" collapsed="false">
      <c r="A3492" s="0" t="n">
        <v>3491</v>
      </c>
      <c r="B3492" s="14" t="n">
        <v>105991.843376933</v>
      </c>
      <c r="C3492" s="15" t="n">
        <v>0.0849317851398258</v>
      </c>
      <c r="D3492" s="14" t="n">
        <f aca="false">Summary!$B$5-B3492</f>
        <v>-5991.8433769331</v>
      </c>
      <c r="E3492" s="15" t="n">
        <f aca="false">B3492/Summary!$B$5-1</f>
        <v>0.059918433769331</v>
      </c>
    </row>
    <row r="3493" customFormat="false" ht="15" hidden="false" customHeight="false" outlineLevel="0" collapsed="false">
      <c r="A3493" s="0" t="n">
        <v>3492</v>
      </c>
      <c r="B3493" s="14" t="n">
        <v>91928.3044341332</v>
      </c>
      <c r="C3493" s="15" t="n">
        <v>0.127006976451644</v>
      </c>
      <c r="D3493" s="14" t="n">
        <f aca="false">Summary!$B$5-B3493</f>
        <v>8071.69556586677</v>
      </c>
      <c r="E3493" s="15" t="n">
        <f aca="false">B3493/Summary!$B$5-1</f>
        <v>-0.0807169556586678</v>
      </c>
    </row>
    <row r="3494" customFormat="false" ht="15" hidden="false" customHeight="false" outlineLevel="0" collapsed="false">
      <c r="A3494" s="0" t="n">
        <v>3493</v>
      </c>
      <c r="B3494" s="14" t="n">
        <v>110010.397168811</v>
      </c>
      <c r="C3494" s="15" t="n">
        <v>0.0927258138139938</v>
      </c>
      <c r="D3494" s="14" t="n">
        <f aca="false">Summary!$B$5-B3494</f>
        <v>-10010.3971688108</v>
      </c>
      <c r="E3494" s="15" t="n">
        <f aca="false">B3494/Summary!$B$5-1</f>
        <v>0.100103971688108</v>
      </c>
    </row>
    <row r="3495" customFormat="false" ht="15" hidden="false" customHeight="false" outlineLevel="0" collapsed="false">
      <c r="A3495" s="0" t="n">
        <v>3494</v>
      </c>
      <c r="B3495" s="14" t="n">
        <v>130217.959584024</v>
      </c>
      <c r="C3495" s="15" t="n">
        <v>0.0728795228122761</v>
      </c>
      <c r="D3495" s="14" t="n">
        <f aca="false">Summary!$B$5-B3495</f>
        <v>-30217.9595840243</v>
      </c>
      <c r="E3495" s="15" t="n">
        <f aca="false">B3495/Summary!$B$5-1</f>
        <v>0.302179595840243</v>
      </c>
    </row>
    <row r="3496" customFormat="false" ht="15" hidden="false" customHeight="false" outlineLevel="0" collapsed="false">
      <c r="A3496" s="0" t="n">
        <v>3495</v>
      </c>
      <c r="B3496" s="14" t="n">
        <v>160508.63831666</v>
      </c>
      <c r="C3496" s="15" t="n">
        <v>0.0500626987488773</v>
      </c>
      <c r="D3496" s="14" t="n">
        <f aca="false">Summary!$B$5-B3496</f>
        <v>-60508.6383166596</v>
      </c>
      <c r="E3496" s="15" t="n">
        <f aca="false">B3496/Summary!$B$5-1</f>
        <v>0.605086383166596</v>
      </c>
    </row>
    <row r="3497" customFormat="false" ht="15" hidden="false" customHeight="false" outlineLevel="0" collapsed="false">
      <c r="A3497" s="0" t="n">
        <v>3496</v>
      </c>
      <c r="B3497" s="14" t="n">
        <v>147864.948305308</v>
      </c>
      <c r="C3497" s="15" t="n">
        <v>0.0675328122931286</v>
      </c>
      <c r="D3497" s="14" t="n">
        <f aca="false">Summary!$B$5-B3497</f>
        <v>-47864.948305308</v>
      </c>
      <c r="E3497" s="15" t="n">
        <f aca="false">B3497/Summary!$B$5-1</f>
        <v>0.47864948305308</v>
      </c>
    </row>
    <row r="3498" customFormat="false" ht="15" hidden="false" customHeight="false" outlineLevel="0" collapsed="false">
      <c r="A3498" s="0" t="n">
        <v>3497</v>
      </c>
      <c r="B3498" s="14" t="n">
        <v>113201.165307755</v>
      </c>
      <c r="C3498" s="15" t="n">
        <v>0.0858106620159523</v>
      </c>
      <c r="D3498" s="14" t="n">
        <f aca="false">Summary!$B$5-B3498</f>
        <v>-13201.1653077553</v>
      </c>
      <c r="E3498" s="15" t="n">
        <f aca="false">B3498/Summary!$B$5-1</f>
        <v>0.132011653077553</v>
      </c>
    </row>
    <row r="3499" customFormat="false" ht="15" hidden="false" customHeight="false" outlineLevel="0" collapsed="false">
      <c r="A3499" s="0" t="n">
        <v>3498</v>
      </c>
      <c r="B3499" s="14" t="n">
        <v>93520.2971595734</v>
      </c>
      <c r="C3499" s="15" t="n">
        <v>0.110849564371382</v>
      </c>
      <c r="D3499" s="14" t="n">
        <f aca="false">Summary!$B$5-B3499</f>
        <v>6479.70284042659</v>
      </c>
      <c r="E3499" s="15" t="n">
        <f aca="false">B3499/Summary!$B$5-1</f>
        <v>-0.0647970284042658</v>
      </c>
    </row>
    <row r="3500" customFormat="false" ht="15" hidden="false" customHeight="false" outlineLevel="0" collapsed="false">
      <c r="A3500" s="0" t="n">
        <v>3499</v>
      </c>
      <c r="B3500" s="14" t="n">
        <v>127444.542636193</v>
      </c>
      <c r="C3500" s="15" t="n">
        <v>0.0614151665041312</v>
      </c>
      <c r="D3500" s="14" t="n">
        <f aca="false">Summary!$B$5-B3500</f>
        <v>-27444.5426361928</v>
      </c>
      <c r="E3500" s="15" t="n">
        <f aca="false">B3500/Summary!$B$5-1</f>
        <v>0.274445426361928</v>
      </c>
    </row>
    <row r="3501" customFormat="false" ht="15" hidden="false" customHeight="false" outlineLevel="0" collapsed="false">
      <c r="A3501" s="0" t="n">
        <v>3500</v>
      </c>
      <c r="B3501" s="14" t="n">
        <v>140815.231399322</v>
      </c>
      <c r="C3501" s="15" t="n">
        <v>0.0610566924289606</v>
      </c>
      <c r="D3501" s="14" t="n">
        <f aca="false">Summary!$B$5-B3501</f>
        <v>-40815.2313993223</v>
      </c>
      <c r="E3501" s="15" t="n">
        <f aca="false">B3501/Summary!$B$5-1</f>
        <v>0.408152313993223</v>
      </c>
    </row>
    <row r="3502" customFormat="false" ht="15" hidden="false" customHeight="false" outlineLevel="0" collapsed="false">
      <c r="A3502" s="0" t="n">
        <v>3501</v>
      </c>
      <c r="B3502" s="14" t="n">
        <v>117288.829256195</v>
      </c>
      <c r="C3502" s="15" t="n">
        <v>0.0766740610821823</v>
      </c>
      <c r="D3502" s="14" t="n">
        <f aca="false">Summary!$B$5-B3502</f>
        <v>-17288.8292561947</v>
      </c>
      <c r="E3502" s="15" t="n">
        <f aca="false">B3502/Summary!$B$5-1</f>
        <v>0.172888292561947</v>
      </c>
    </row>
    <row r="3503" customFormat="false" ht="15" hidden="false" customHeight="false" outlineLevel="0" collapsed="false">
      <c r="A3503" s="0" t="n">
        <v>3502</v>
      </c>
      <c r="B3503" s="14" t="n">
        <v>117762.52343293</v>
      </c>
      <c r="C3503" s="15" t="n">
        <v>0.0752652187641529</v>
      </c>
      <c r="D3503" s="14" t="n">
        <f aca="false">Summary!$B$5-B3503</f>
        <v>-17762.5234329298</v>
      </c>
      <c r="E3503" s="15" t="n">
        <f aca="false">B3503/Summary!$B$5-1</f>
        <v>0.177625234329298</v>
      </c>
    </row>
    <row r="3504" customFormat="false" ht="15" hidden="false" customHeight="false" outlineLevel="0" collapsed="false">
      <c r="A3504" s="0" t="n">
        <v>3503</v>
      </c>
      <c r="B3504" s="14" t="n">
        <v>108395.061891437</v>
      </c>
      <c r="C3504" s="15" t="n">
        <v>0.0553314689353625</v>
      </c>
      <c r="D3504" s="14" t="n">
        <f aca="false">Summary!$B$5-B3504</f>
        <v>-8395.0618914368</v>
      </c>
      <c r="E3504" s="15" t="n">
        <f aca="false">B3504/Summary!$B$5-1</f>
        <v>0.083950618914368</v>
      </c>
    </row>
    <row r="3505" customFormat="false" ht="15" hidden="false" customHeight="false" outlineLevel="0" collapsed="false">
      <c r="A3505" s="0" t="n">
        <v>3504</v>
      </c>
      <c r="B3505" s="14" t="n">
        <v>105222.322739095</v>
      </c>
      <c r="C3505" s="15" t="n">
        <v>0.0711616201234301</v>
      </c>
      <c r="D3505" s="14" t="n">
        <f aca="false">Summary!$B$5-B3505</f>
        <v>-5222.3227390949</v>
      </c>
      <c r="E3505" s="15" t="n">
        <f aca="false">B3505/Summary!$B$5-1</f>
        <v>0.0522232273909491</v>
      </c>
    </row>
    <row r="3506" customFormat="false" ht="15" hidden="false" customHeight="false" outlineLevel="0" collapsed="false">
      <c r="A3506" s="0" t="n">
        <v>3505</v>
      </c>
      <c r="B3506" s="14" t="n">
        <v>120625.772683948</v>
      </c>
      <c r="C3506" s="15" t="n">
        <v>0.0535616022227017</v>
      </c>
      <c r="D3506" s="14" t="n">
        <f aca="false">Summary!$B$5-B3506</f>
        <v>-20625.772683948</v>
      </c>
      <c r="E3506" s="15" t="n">
        <f aca="false">B3506/Summary!$B$5-1</f>
        <v>0.20625772683948</v>
      </c>
    </row>
    <row r="3507" customFormat="false" ht="15" hidden="false" customHeight="false" outlineLevel="0" collapsed="false">
      <c r="A3507" s="0" t="n">
        <v>3506</v>
      </c>
      <c r="B3507" s="14" t="n">
        <v>105043.408841104</v>
      </c>
      <c r="C3507" s="15" t="n">
        <v>0.059000895485783</v>
      </c>
      <c r="D3507" s="14" t="n">
        <f aca="false">Summary!$B$5-B3507</f>
        <v>-5043.408841104</v>
      </c>
      <c r="E3507" s="15" t="n">
        <f aca="false">B3507/Summary!$B$5-1</f>
        <v>0.0504340884110399</v>
      </c>
    </row>
    <row r="3508" customFormat="false" ht="15" hidden="false" customHeight="false" outlineLevel="0" collapsed="false">
      <c r="A3508" s="0" t="n">
        <v>3507</v>
      </c>
      <c r="B3508" s="14" t="n">
        <v>121125.101375286</v>
      </c>
      <c r="C3508" s="15" t="n">
        <v>0.0562005381862307</v>
      </c>
      <c r="D3508" s="14" t="n">
        <f aca="false">Summary!$B$5-B3508</f>
        <v>-21125.1013752857</v>
      </c>
      <c r="E3508" s="15" t="n">
        <f aca="false">B3508/Summary!$B$5-1</f>
        <v>0.211251013752857</v>
      </c>
    </row>
    <row r="3509" customFormat="false" ht="15" hidden="false" customHeight="false" outlineLevel="0" collapsed="false">
      <c r="A3509" s="0" t="n">
        <v>3508</v>
      </c>
      <c r="B3509" s="14" t="n">
        <v>109033.320944668</v>
      </c>
      <c r="C3509" s="15" t="n">
        <v>0.0689528522822548</v>
      </c>
      <c r="D3509" s="14" t="n">
        <f aca="false">Summary!$B$5-B3509</f>
        <v>-9033.3209446675</v>
      </c>
      <c r="E3509" s="15" t="n">
        <f aca="false">B3509/Summary!$B$5-1</f>
        <v>0.0903332094466751</v>
      </c>
    </row>
    <row r="3510" customFormat="false" ht="15" hidden="false" customHeight="false" outlineLevel="0" collapsed="false">
      <c r="A3510" s="0" t="n">
        <v>3509</v>
      </c>
      <c r="B3510" s="14" t="n">
        <v>100966.028455533</v>
      </c>
      <c r="C3510" s="15" t="n">
        <v>0.141147962646073</v>
      </c>
      <c r="D3510" s="14" t="n">
        <f aca="false">Summary!$B$5-B3510</f>
        <v>-966.028455532607</v>
      </c>
      <c r="E3510" s="15" t="n">
        <f aca="false">B3510/Summary!$B$5-1</f>
        <v>0.00966028455532597</v>
      </c>
    </row>
    <row r="3511" customFormat="false" ht="15" hidden="false" customHeight="false" outlineLevel="0" collapsed="false">
      <c r="A3511" s="0" t="n">
        <v>3510</v>
      </c>
      <c r="B3511" s="14" t="n">
        <v>123658.363379894</v>
      </c>
      <c r="C3511" s="15" t="n">
        <v>0.0731742850847819</v>
      </c>
      <c r="D3511" s="14" t="n">
        <f aca="false">Summary!$B$5-B3511</f>
        <v>-23658.3633798941</v>
      </c>
      <c r="E3511" s="15" t="n">
        <f aca="false">B3511/Summary!$B$5-1</f>
        <v>0.236583633798941</v>
      </c>
    </row>
    <row r="3512" customFormat="false" ht="15" hidden="false" customHeight="false" outlineLevel="0" collapsed="false">
      <c r="A3512" s="0" t="n">
        <v>3511</v>
      </c>
      <c r="B3512" s="14" t="n">
        <v>112699.736717893</v>
      </c>
      <c r="C3512" s="15" t="n">
        <v>0.0551617574219132</v>
      </c>
      <c r="D3512" s="14" t="n">
        <f aca="false">Summary!$B$5-B3512</f>
        <v>-12699.7367178925</v>
      </c>
      <c r="E3512" s="15" t="n">
        <f aca="false">B3512/Summary!$B$5-1</f>
        <v>0.126997367178925</v>
      </c>
    </row>
    <row r="3513" customFormat="false" ht="15" hidden="false" customHeight="false" outlineLevel="0" collapsed="false">
      <c r="A3513" s="0" t="n">
        <v>3512</v>
      </c>
      <c r="B3513" s="14" t="n">
        <v>124763.302041931</v>
      </c>
      <c r="C3513" s="15" t="n">
        <v>0.0596586792543314</v>
      </c>
      <c r="D3513" s="14" t="n">
        <f aca="false">Summary!$B$5-B3513</f>
        <v>-24763.3020419314</v>
      </c>
      <c r="E3513" s="15" t="n">
        <f aca="false">B3513/Summary!$B$5-1</f>
        <v>0.247633020419314</v>
      </c>
    </row>
    <row r="3514" customFormat="false" ht="15" hidden="false" customHeight="false" outlineLevel="0" collapsed="false">
      <c r="A3514" s="0" t="n">
        <v>3513</v>
      </c>
      <c r="B3514" s="14" t="n">
        <v>105419.522604546</v>
      </c>
      <c r="C3514" s="15" t="n">
        <v>0.064811740129065</v>
      </c>
      <c r="D3514" s="14" t="n">
        <f aca="false">Summary!$B$5-B3514</f>
        <v>-5419.52260454559</v>
      </c>
      <c r="E3514" s="15" t="n">
        <f aca="false">B3514/Summary!$B$5-1</f>
        <v>0.0541952260454559</v>
      </c>
    </row>
    <row r="3515" customFormat="false" ht="15" hidden="false" customHeight="false" outlineLevel="0" collapsed="false">
      <c r="A3515" s="0" t="n">
        <v>3514</v>
      </c>
      <c r="B3515" s="14" t="n">
        <v>118455.216540156</v>
      </c>
      <c r="C3515" s="15" t="n">
        <v>0.111888046912447</v>
      </c>
      <c r="D3515" s="14" t="n">
        <f aca="false">Summary!$B$5-B3515</f>
        <v>-18455.216540156</v>
      </c>
      <c r="E3515" s="15" t="n">
        <f aca="false">B3515/Summary!$B$5-1</f>
        <v>0.18455216540156</v>
      </c>
    </row>
    <row r="3516" customFormat="false" ht="15" hidden="false" customHeight="false" outlineLevel="0" collapsed="false">
      <c r="A3516" s="0" t="n">
        <v>3515</v>
      </c>
      <c r="B3516" s="14" t="n">
        <v>115116.481835984</v>
      </c>
      <c r="C3516" s="15" t="n">
        <v>0.0691682874789982</v>
      </c>
      <c r="D3516" s="14" t="n">
        <f aca="false">Summary!$B$5-B3516</f>
        <v>-15116.481835984</v>
      </c>
      <c r="E3516" s="15" t="n">
        <f aca="false">B3516/Summary!$B$5-1</f>
        <v>0.15116481835984</v>
      </c>
    </row>
    <row r="3517" customFormat="false" ht="15" hidden="false" customHeight="false" outlineLevel="0" collapsed="false">
      <c r="A3517" s="0" t="n">
        <v>3516</v>
      </c>
      <c r="B3517" s="14" t="n">
        <v>111415.85058602</v>
      </c>
      <c r="C3517" s="15" t="n">
        <v>0.111883308345816</v>
      </c>
      <c r="D3517" s="14" t="n">
        <f aca="false">Summary!$B$5-B3517</f>
        <v>-11415.8505860195</v>
      </c>
      <c r="E3517" s="15" t="n">
        <f aca="false">B3517/Summary!$B$5-1</f>
        <v>0.114158505860195</v>
      </c>
    </row>
    <row r="3518" customFormat="false" ht="15" hidden="false" customHeight="false" outlineLevel="0" collapsed="false">
      <c r="A3518" s="0" t="n">
        <v>3517</v>
      </c>
      <c r="B3518" s="14" t="n">
        <v>109726.178107858</v>
      </c>
      <c r="C3518" s="15" t="n">
        <v>0.10308995527337</v>
      </c>
      <c r="D3518" s="14" t="n">
        <f aca="false">Summary!$B$5-B3518</f>
        <v>-9726.1781078583</v>
      </c>
      <c r="E3518" s="15" t="n">
        <f aca="false">B3518/Summary!$B$5-1</f>
        <v>0.097261781078583</v>
      </c>
    </row>
    <row r="3519" customFormat="false" ht="15" hidden="false" customHeight="false" outlineLevel="0" collapsed="false">
      <c r="A3519" s="0" t="n">
        <v>3518</v>
      </c>
      <c r="B3519" s="14" t="n">
        <v>100924.358064656</v>
      </c>
      <c r="C3519" s="15" t="n">
        <v>0.122696365184817</v>
      </c>
      <c r="D3519" s="14" t="n">
        <f aca="false">Summary!$B$5-B3519</f>
        <v>-924.358064655506</v>
      </c>
      <c r="E3519" s="15" t="n">
        <f aca="false">B3519/Summary!$B$5-1</f>
        <v>0.00924358064655495</v>
      </c>
    </row>
    <row r="3520" customFormat="false" ht="15" hidden="false" customHeight="false" outlineLevel="0" collapsed="false">
      <c r="A3520" s="0" t="n">
        <v>3519</v>
      </c>
      <c r="B3520" s="14" t="n">
        <v>105350.881224813</v>
      </c>
      <c r="C3520" s="15" t="n">
        <v>0.0841251240890213</v>
      </c>
      <c r="D3520" s="14" t="n">
        <f aca="false">Summary!$B$5-B3520</f>
        <v>-5350.8812248132</v>
      </c>
      <c r="E3520" s="15" t="n">
        <f aca="false">B3520/Summary!$B$5-1</f>
        <v>0.053508812248132</v>
      </c>
    </row>
    <row r="3521" customFormat="false" ht="15" hidden="false" customHeight="false" outlineLevel="0" collapsed="false">
      <c r="A3521" s="0" t="n">
        <v>3520</v>
      </c>
      <c r="B3521" s="14" t="n">
        <v>123779.2739064</v>
      </c>
      <c r="C3521" s="15" t="n">
        <v>0.100406141124292</v>
      </c>
      <c r="D3521" s="14" t="n">
        <f aca="false">Summary!$B$5-B3521</f>
        <v>-23779.2739064004</v>
      </c>
      <c r="E3521" s="15" t="n">
        <f aca="false">B3521/Summary!$B$5-1</f>
        <v>0.237792739064004</v>
      </c>
    </row>
    <row r="3522" customFormat="false" ht="15" hidden="false" customHeight="false" outlineLevel="0" collapsed="false">
      <c r="A3522" s="0" t="n">
        <v>3521</v>
      </c>
      <c r="B3522" s="14" t="n">
        <v>113458.856823873</v>
      </c>
      <c r="C3522" s="15" t="n">
        <v>0.114816764105004</v>
      </c>
      <c r="D3522" s="14" t="n">
        <f aca="false">Summary!$B$5-B3522</f>
        <v>-13458.8568238732</v>
      </c>
      <c r="E3522" s="15" t="n">
        <f aca="false">B3522/Summary!$B$5-1</f>
        <v>0.134588568238732</v>
      </c>
    </row>
    <row r="3523" customFormat="false" ht="15" hidden="false" customHeight="false" outlineLevel="0" collapsed="false">
      <c r="A3523" s="0" t="n">
        <v>3522</v>
      </c>
      <c r="B3523" s="14" t="n">
        <v>106709.077316422</v>
      </c>
      <c r="C3523" s="15" t="n">
        <v>0.0758045579376594</v>
      </c>
      <c r="D3523" s="14" t="n">
        <f aca="false">Summary!$B$5-B3523</f>
        <v>-6709.0773164217</v>
      </c>
      <c r="E3523" s="15" t="n">
        <f aca="false">B3523/Summary!$B$5-1</f>
        <v>0.067090773164217</v>
      </c>
    </row>
    <row r="3524" customFormat="false" ht="15" hidden="false" customHeight="false" outlineLevel="0" collapsed="false">
      <c r="A3524" s="0" t="n">
        <v>3523</v>
      </c>
      <c r="B3524" s="14" t="n">
        <v>94418.4080479447</v>
      </c>
      <c r="C3524" s="15" t="n">
        <v>0.183560775233176</v>
      </c>
      <c r="D3524" s="14" t="n">
        <f aca="false">Summary!$B$5-B3524</f>
        <v>5581.59195205533</v>
      </c>
      <c r="E3524" s="15" t="n">
        <f aca="false">B3524/Summary!$B$5-1</f>
        <v>-0.0558159195205533</v>
      </c>
    </row>
    <row r="3525" customFormat="false" ht="15" hidden="false" customHeight="false" outlineLevel="0" collapsed="false">
      <c r="A3525" s="0" t="n">
        <v>3524</v>
      </c>
      <c r="B3525" s="14" t="n">
        <v>113655.001940359</v>
      </c>
      <c r="C3525" s="15" t="n">
        <v>0.0492585361964107</v>
      </c>
      <c r="D3525" s="14" t="n">
        <f aca="false">Summary!$B$5-B3525</f>
        <v>-13655.0019403593</v>
      </c>
      <c r="E3525" s="15" t="n">
        <f aca="false">B3525/Summary!$B$5-1</f>
        <v>0.136550019403593</v>
      </c>
    </row>
    <row r="3526" customFormat="false" ht="15" hidden="false" customHeight="false" outlineLevel="0" collapsed="false">
      <c r="A3526" s="0" t="n">
        <v>3525</v>
      </c>
      <c r="B3526" s="14" t="n">
        <v>92488.1099298256</v>
      </c>
      <c r="C3526" s="15" t="n">
        <v>0.174934994531311</v>
      </c>
      <c r="D3526" s="14" t="n">
        <f aca="false">Summary!$B$5-B3526</f>
        <v>7511.89007017441</v>
      </c>
      <c r="E3526" s="15" t="n">
        <f aca="false">B3526/Summary!$B$5-1</f>
        <v>-0.0751189007017441</v>
      </c>
    </row>
    <row r="3527" customFormat="false" ht="15" hidden="false" customHeight="false" outlineLevel="0" collapsed="false">
      <c r="A3527" s="0" t="n">
        <v>3526</v>
      </c>
      <c r="B3527" s="14" t="n">
        <v>113261.739273425</v>
      </c>
      <c r="C3527" s="15" t="n">
        <v>0.127030366864231</v>
      </c>
      <c r="D3527" s="14" t="n">
        <f aca="false">Summary!$B$5-B3527</f>
        <v>-13261.7392734249</v>
      </c>
      <c r="E3527" s="15" t="n">
        <f aca="false">B3527/Summary!$B$5-1</f>
        <v>0.132617392734249</v>
      </c>
    </row>
    <row r="3528" customFormat="false" ht="15" hidden="false" customHeight="false" outlineLevel="0" collapsed="false">
      <c r="A3528" s="0" t="n">
        <v>3527</v>
      </c>
      <c r="B3528" s="14" t="n">
        <v>97794.6293842884</v>
      </c>
      <c r="C3528" s="15" t="n">
        <v>0.104612964274601</v>
      </c>
      <c r="D3528" s="14" t="n">
        <f aca="false">Summary!$B$5-B3528</f>
        <v>2205.37061571165</v>
      </c>
      <c r="E3528" s="15" t="n">
        <f aca="false">B3528/Summary!$B$5-1</f>
        <v>-0.0220537061571165</v>
      </c>
    </row>
    <row r="3529" customFormat="false" ht="15" hidden="false" customHeight="false" outlineLevel="0" collapsed="false">
      <c r="A3529" s="0" t="n">
        <v>3528</v>
      </c>
      <c r="B3529" s="14" t="n">
        <v>112069.13749141</v>
      </c>
      <c r="C3529" s="15" t="n">
        <v>0.050397009533121</v>
      </c>
      <c r="D3529" s="14" t="n">
        <f aca="false">Summary!$B$5-B3529</f>
        <v>-12069.13749141</v>
      </c>
      <c r="E3529" s="15" t="n">
        <f aca="false">B3529/Summary!$B$5-1</f>
        <v>0.1206913749141</v>
      </c>
    </row>
    <row r="3530" customFormat="false" ht="15" hidden="false" customHeight="false" outlineLevel="0" collapsed="false">
      <c r="A3530" s="0" t="n">
        <v>3529</v>
      </c>
      <c r="B3530" s="14" t="n">
        <v>130251.540295365</v>
      </c>
      <c r="C3530" s="15" t="n">
        <v>0.0546144321681912</v>
      </c>
      <c r="D3530" s="14" t="n">
        <f aca="false">Summary!$B$5-B3530</f>
        <v>-30251.5402953648</v>
      </c>
      <c r="E3530" s="15" t="n">
        <f aca="false">B3530/Summary!$B$5-1</f>
        <v>0.302515402953648</v>
      </c>
    </row>
    <row r="3531" customFormat="false" ht="15" hidden="false" customHeight="false" outlineLevel="0" collapsed="false">
      <c r="A3531" s="0" t="n">
        <v>3530</v>
      </c>
      <c r="B3531" s="14" t="n">
        <v>115253.209687122</v>
      </c>
      <c r="C3531" s="15" t="n">
        <v>0.088736719334563</v>
      </c>
      <c r="D3531" s="14" t="n">
        <f aca="false">Summary!$B$5-B3531</f>
        <v>-15253.2096871215</v>
      </c>
      <c r="E3531" s="15" t="n">
        <f aca="false">B3531/Summary!$B$5-1</f>
        <v>0.152532096871215</v>
      </c>
    </row>
    <row r="3532" customFormat="false" ht="15" hidden="false" customHeight="false" outlineLevel="0" collapsed="false">
      <c r="A3532" s="0" t="n">
        <v>3531</v>
      </c>
      <c r="B3532" s="14" t="n">
        <v>113606.129503573</v>
      </c>
      <c r="C3532" s="15" t="n">
        <v>0.0724760317400783</v>
      </c>
      <c r="D3532" s="14" t="n">
        <f aca="false">Summary!$B$5-B3532</f>
        <v>-13606.1295035733</v>
      </c>
      <c r="E3532" s="15" t="n">
        <f aca="false">B3532/Summary!$B$5-1</f>
        <v>0.136061295035733</v>
      </c>
    </row>
    <row r="3533" customFormat="false" ht="15" hidden="false" customHeight="false" outlineLevel="0" collapsed="false">
      <c r="A3533" s="0" t="n">
        <v>3532</v>
      </c>
      <c r="B3533" s="14" t="n">
        <v>106955.459801232</v>
      </c>
      <c r="C3533" s="15" t="n">
        <v>0.0846681269174546</v>
      </c>
      <c r="D3533" s="14" t="n">
        <f aca="false">Summary!$B$5-B3533</f>
        <v>-6955.45980123201</v>
      </c>
      <c r="E3533" s="15" t="n">
        <f aca="false">B3533/Summary!$B$5-1</f>
        <v>0.06955459801232</v>
      </c>
    </row>
    <row r="3534" customFormat="false" ht="15" hidden="false" customHeight="false" outlineLevel="0" collapsed="false">
      <c r="A3534" s="0" t="n">
        <v>3533</v>
      </c>
      <c r="B3534" s="14" t="n">
        <v>92000.0842144143</v>
      </c>
      <c r="C3534" s="15" t="n">
        <v>0.11795799658397</v>
      </c>
      <c r="D3534" s="14" t="n">
        <f aca="false">Summary!$B$5-B3534</f>
        <v>7999.91578558569</v>
      </c>
      <c r="E3534" s="15" t="n">
        <f aca="false">B3534/Summary!$B$5-1</f>
        <v>-0.0799991578558569</v>
      </c>
    </row>
    <row r="3535" customFormat="false" ht="15" hidden="false" customHeight="false" outlineLevel="0" collapsed="false">
      <c r="A3535" s="0" t="n">
        <v>3534</v>
      </c>
      <c r="B3535" s="14" t="n">
        <v>107108.834384297</v>
      </c>
      <c r="C3535" s="15" t="n">
        <v>0.106461617718228</v>
      </c>
      <c r="D3535" s="14" t="n">
        <f aca="false">Summary!$B$5-B3535</f>
        <v>-7108.83438429709</v>
      </c>
      <c r="E3535" s="15" t="n">
        <f aca="false">B3535/Summary!$B$5-1</f>
        <v>0.071088343842971</v>
      </c>
    </row>
    <row r="3536" customFormat="false" ht="15" hidden="false" customHeight="false" outlineLevel="0" collapsed="false">
      <c r="A3536" s="0" t="n">
        <v>3535</v>
      </c>
      <c r="B3536" s="14" t="n">
        <v>117344.99389419</v>
      </c>
      <c r="C3536" s="15" t="n">
        <v>0.0676680413233458</v>
      </c>
      <c r="D3536" s="14" t="n">
        <f aca="false">Summary!$B$5-B3536</f>
        <v>-17344.99389419</v>
      </c>
      <c r="E3536" s="15" t="n">
        <f aca="false">B3536/Summary!$B$5-1</f>
        <v>0.1734499389419</v>
      </c>
    </row>
    <row r="3537" customFormat="false" ht="15" hidden="false" customHeight="false" outlineLevel="0" collapsed="false">
      <c r="A3537" s="0" t="n">
        <v>3536</v>
      </c>
      <c r="B3537" s="14" t="n">
        <v>99441.4277521369</v>
      </c>
      <c r="C3537" s="15" t="n">
        <v>0.138337944170803</v>
      </c>
      <c r="D3537" s="14" t="n">
        <f aca="false">Summary!$B$5-B3537</f>
        <v>558.572247863136</v>
      </c>
      <c r="E3537" s="15" t="n">
        <f aca="false">B3537/Summary!$B$5-1</f>
        <v>-0.00558572247863132</v>
      </c>
    </row>
    <row r="3538" customFormat="false" ht="15" hidden="false" customHeight="false" outlineLevel="0" collapsed="false">
      <c r="A3538" s="0" t="n">
        <v>3537</v>
      </c>
      <c r="B3538" s="14" t="n">
        <v>114351.858251095</v>
      </c>
      <c r="C3538" s="15" t="n">
        <v>0.0642413111109904</v>
      </c>
      <c r="D3538" s="14" t="n">
        <f aca="false">Summary!$B$5-B3538</f>
        <v>-14351.858251095</v>
      </c>
      <c r="E3538" s="15" t="n">
        <f aca="false">B3538/Summary!$B$5-1</f>
        <v>0.14351858251095</v>
      </c>
    </row>
    <row r="3539" customFormat="false" ht="15" hidden="false" customHeight="false" outlineLevel="0" collapsed="false">
      <c r="A3539" s="0" t="n">
        <v>3538</v>
      </c>
      <c r="B3539" s="14" t="n">
        <v>105111.255758697</v>
      </c>
      <c r="C3539" s="15" t="n">
        <v>0.128483797625981</v>
      </c>
      <c r="D3539" s="14" t="n">
        <f aca="false">Summary!$B$5-B3539</f>
        <v>-5111.25575869709</v>
      </c>
      <c r="E3539" s="15" t="n">
        <f aca="false">B3539/Summary!$B$5-1</f>
        <v>0.0511125575869709</v>
      </c>
    </row>
    <row r="3540" customFormat="false" ht="15" hidden="false" customHeight="false" outlineLevel="0" collapsed="false">
      <c r="A3540" s="0" t="n">
        <v>3539</v>
      </c>
      <c r="B3540" s="14" t="n">
        <v>91168.0929021332</v>
      </c>
      <c r="C3540" s="15" t="n">
        <v>0.134203595993044</v>
      </c>
      <c r="D3540" s="14" t="n">
        <f aca="false">Summary!$B$5-B3540</f>
        <v>8831.9070978668</v>
      </c>
      <c r="E3540" s="15" t="n">
        <f aca="false">B3540/Summary!$B$5-1</f>
        <v>-0.088319070978668</v>
      </c>
    </row>
    <row r="3541" customFormat="false" ht="15" hidden="false" customHeight="false" outlineLevel="0" collapsed="false">
      <c r="A3541" s="0" t="n">
        <v>3540</v>
      </c>
      <c r="B3541" s="14" t="n">
        <v>119331.702258083</v>
      </c>
      <c r="C3541" s="15" t="n">
        <v>0.0751698059496473</v>
      </c>
      <c r="D3541" s="14" t="n">
        <f aca="false">Summary!$B$5-B3541</f>
        <v>-19331.7022580826</v>
      </c>
      <c r="E3541" s="15" t="n">
        <f aca="false">B3541/Summary!$B$5-1</f>
        <v>0.193317022580826</v>
      </c>
    </row>
    <row r="3542" customFormat="false" ht="15" hidden="false" customHeight="false" outlineLevel="0" collapsed="false">
      <c r="A3542" s="0" t="n">
        <v>3541</v>
      </c>
      <c r="B3542" s="14" t="n">
        <v>127131.248732013</v>
      </c>
      <c r="C3542" s="15" t="n">
        <v>0.0666068051574397</v>
      </c>
      <c r="D3542" s="14" t="n">
        <f aca="false">Summary!$B$5-B3542</f>
        <v>-27131.2487320131</v>
      </c>
      <c r="E3542" s="15" t="n">
        <f aca="false">B3542/Summary!$B$5-1</f>
        <v>0.271312487320131</v>
      </c>
    </row>
    <row r="3543" customFormat="false" ht="15" hidden="false" customHeight="false" outlineLevel="0" collapsed="false">
      <c r="A3543" s="0" t="n">
        <v>3542</v>
      </c>
      <c r="B3543" s="14" t="n">
        <v>103516.644015164</v>
      </c>
      <c r="C3543" s="15" t="n">
        <v>0.0768598587709631</v>
      </c>
      <c r="D3543" s="14" t="n">
        <f aca="false">Summary!$B$5-B3543</f>
        <v>-3516.644015164</v>
      </c>
      <c r="E3543" s="15" t="n">
        <f aca="false">B3543/Summary!$B$5-1</f>
        <v>0.0351664401516401</v>
      </c>
    </row>
    <row r="3544" customFormat="false" ht="15" hidden="false" customHeight="false" outlineLevel="0" collapsed="false">
      <c r="A3544" s="0" t="n">
        <v>3543</v>
      </c>
      <c r="B3544" s="14" t="n">
        <v>85887.6851886374</v>
      </c>
      <c r="C3544" s="15" t="n">
        <v>0.151439894658276</v>
      </c>
      <c r="D3544" s="14" t="n">
        <f aca="false">Summary!$B$5-B3544</f>
        <v>14112.3148113626</v>
      </c>
      <c r="E3544" s="15" t="n">
        <f aca="false">B3544/Summary!$B$5-1</f>
        <v>-0.141123148113626</v>
      </c>
    </row>
    <row r="3545" customFormat="false" ht="15" hidden="false" customHeight="false" outlineLevel="0" collapsed="false">
      <c r="A3545" s="0" t="n">
        <v>3544</v>
      </c>
      <c r="B3545" s="14" t="n">
        <v>89383.4798690026</v>
      </c>
      <c r="C3545" s="15" t="n">
        <v>0.183387605255548</v>
      </c>
      <c r="D3545" s="14" t="n">
        <f aca="false">Summary!$B$5-B3545</f>
        <v>10616.5201309974</v>
      </c>
      <c r="E3545" s="15" t="n">
        <f aca="false">B3545/Summary!$B$5-1</f>
        <v>-0.106165201309974</v>
      </c>
    </row>
    <row r="3546" customFormat="false" ht="15" hidden="false" customHeight="false" outlineLevel="0" collapsed="false">
      <c r="A3546" s="0" t="n">
        <v>3545</v>
      </c>
      <c r="B3546" s="14" t="n">
        <v>99196.8022346899</v>
      </c>
      <c r="C3546" s="15" t="n">
        <v>0.0866155711851715</v>
      </c>
      <c r="D3546" s="14" t="n">
        <f aca="false">Summary!$B$5-B3546</f>
        <v>803.197765310135</v>
      </c>
      <c r="E3546" s="15" t="n">
        <f aca="false">B3546/Summary!$B$5-1</f>
        <v>-0.00803197765310137</v>
      </c>
    </row>
    <row r="3547" customFormat="false" ht="15" hidden="false" customHeight="false" outlineLevel="0" collapsed="false">
      <c r="A3547" s="0" t="n">
        <v>3546</v>
      </c>
      <c r="B3547" s="14" t="n">
        <v>97318.6079508361</v>
      </c>
      <c r="C3547" s="15" t="n">
        <v>0.115014940888077</v>
      </c>
      <c r="D3547" s="14" t="n">
        <f aca="false">Summary!$B$5-B3547</f>
        <v>2681.3920491639</v>
      </c>
      <c r="E3547" s="15" t="n">
        <f aca="false">B3547/Summary!$B$5-1</f>
        <v>-0.026813920491639</v>
      </c>
    </row>
    <row r="3548" customFormat="false" ht="15" hidden="false" customHeight="false" outlineLevel="0" collapsed="false">
      <c r="A3548" s="0" t="n">
        <v>3547</v>
      </c>
      <c r="B3548" s="14" t="n">
        <v>101384.119964967</v>
      </c>
      <c r="C3548" s="15" t="n">
        <v>0.124711963732579</v>
      </c>
      <c r="D3548" s="14" t="n">
        <f aca="false">Summary!$B$5-B3548</f>
        <v>-1384.11996496739</v>
      </c>
      <c r="E3548" s="15" t="n">
        <f aca="false">B3548/Summary!$B$5-1</f>
        <v>0.0138411996496739</v>
      </c>
    </row>
    <row r="3549" customFormat="false" ht="15" hidden="false" customHeight="false" outlineLevel="0" collapsed="false">
      <c r="A3549" s="0" t="n">
        <v>3548</v>
      </c>
      <c r="B3549" s="14" t="n">
        <v>115661.072417581</v>
      </c>
      <c r="C3549" s="15" t="n">
        <v>0.0820077023908785</v>
      </c>
      <c r="D3549" s="14" t="n">
        <f aca="false">Summary!$B$5-B3549</f>
        <v>-15661.0724175808</v>
      </c>
      <c r="E3549" s="15" t="n">
        <f aca="false">B3549/Summary!$B$5-1</f>
        <v>0.156610724175808</v>
      </c>
    </row>
    <row r="3550" customFormat="false" ht="15" hidden="false" customHeight="false" outlineLevel="0" collapsed="false">
      <c r="A3550" s="0" t="n">
        <v>3549</v>
      </c>
      <c r="B3550" s="14" t="n">
        <v>105547.46664508</v>
      </c>
      <c r="C3550" s="15" t="n">
        <v>0.0769721583746386</v>
      </c>
      <c r="D3550" s="14" t="n">
        <f aca="false">Summary!$B$5-B3550</f>
        <v>-5547.46664507961</v>
      </c>
      <c r="E3550" s="15" t="n">
        <f aca="false">B3550/Summary!$B$5-1</f>
        <v>0.0554746664507961</v>
      </c>
    </row>
    <row r="3551" customFormat="false" ht="15" hidden="false" customHeight="false" outlineLevel="0" collapsed="false">
      <c r="A3551" s="0" t="n">
        <v>3550</v>
      </c>
      <c r="B3551" s="14" t="n">
        <v>116132.840159907</v>
      </c>
      <c r="C3551" s="15" t="n">
        <v>0.0908080571000527</v>
      </c>
      <c r="D3551" s="14" t="n">
        <f aca="false">Summary!$B$5-B3551</f>
        <v>-16132.840159907</v>
      </c>
      <c r="E3551" s="15" t="n">
        <f aca="false">B3551/Summary!$B$5-1</f>
        <v>0.16132840159907</v>
      </c>
    </row>
    <row r="3552" customFormat="false" ht="15" hidden="false" customHeight="false" outlineLevel="0" collapsed="false">
      <c r="A3552" s="0" t="n">
        <v>3551</v>
      </c>
      <c r="B3552" s="14" t="n">
        <v>102672.893796023</v>
      </c>
      <c r="C3552" s="15" t="n">
        <v>0.070268770906591</v>
      </c>
      <c r="D3552" s="14" t="n">
        <f aca="false">Summary!$B$5-B3552</f>
        <v>-2672.89379602289</v>
      </c>
      <c r="E3552" s="15" t="n">
        <f aca="false">B3552/Summary!$B$5-1</f>
        <v>0.0267289379602289</v>
      </c>
    </row>
    <row r="3553" customFormat="false" ht="15" hidden="false" customHeight="false" outlineLevel="0" collapsed="false">
      <c r="A3553" s="0" t="n">
        <v>3552</v>
      </c>
      <c r="B3553" s="14" t="n">
        <v>118400.792185749</v>
      </c>
      <c r="C3553" s="15" t="n">
        <v>0.0523481753913803</v>
      </c>
      <c r="D3553" s="14" t="n">
        <f aca="false">Summary!$B$5-B3553</f>
        <v>-18400.7921857493</v>
      </c>
      <c r="E3553" s="15" t="n">
        <f aca="false">B3553/Summary!$B$5-1</f>
        <v>0.184007921857493</v>
      </c>
    </row>
    <row r="3554" customFormat="false" ht="15" hidden="false" customHeight="false" outlineLevel="0" collapsed="false">
      <c r="A3554" s="0" t="n">
        <v>3553</v>
      </c>
      <c r="B3554" s="14" t="n">
        <v>94265.4771555213</v>
      </c>
      <c r="C3554" s="15" t="n">
        <v>0.127406768868608</v>
      </c>
      <c r="D3554" s="14" t="n">
        <f aca="false">Summary!$B$5-B3554</f>
        <v>5734.52284447866</v>
      </c>
      <c r="E3554" s="15" t="n">
        <f aca="false">B3554/Summary!$B$5-1</f>
        <v>-0.0573452284447866</v>
      </c>
    </row>
    <row r="3555" customFormat="false" ht="15" hidden="false" customHeight="false" outlineLevel="0" collapsed="false">
      <c r="A3555" s="0" t="n">
        <v>3554</v>
      </c>
      <c r="B3555" s="14" t="n">
        <v>108007.349879267</v>
      </c>
      <c r="C3555" s="15" t="n">
        <v>0.081269682063168</v>
      </c>
      <c r="D3555" s="14" t="n">
        <f aca="false">Summary!$B$5-B3555</f>
        <v>-8007.349879267</v>
      </c>
      <c r="E3555" s="15" t="n">
        <f aca="false">B3555/Summary!$B$5-1</f>
        <v>0.0800734987926699</v>
      </c>
    </row>
    <row r="3556" customFormat="false" ht="15" hidden="false" customHeight="false" outlineLevel="0" collapsed="false">
      <c r="A3556" s="0" t="n">
        <v>3555</v>
      </c>
      <c r="B3556" s="14" t="n">
        <v>90958.9852956381</v>
      </c>
      <c r="C3556" s="15" t="n">
        <v>0.196683473600719</v>
      </c>
      <c r="D3556" s="14" t="n">
        <f aca="false">Summary!$B$5-B3556</f>
        <v>9041.01470436191</v>
      </c>
      <c r="E3556" s="15" t="n">
        <f aca="false">B3556/Summary!$B$5-1</f>
        <v>-0.0904101470436191</v>
      </c>
    </row>
    <row r="3557" customFormat="false" ht="15" hidden="false" customHeight="false" outlineLevel="0" collapsed="false">
      <c r="A3557" s="0" t="n">
        <v>3556</v>
      </c>
      <c r="B3557" s="14" t="n">
        <v>97027.7788661448</v>
      </c>
      <c r="C3557" s="15" t="n">
        <v>0.097696326267436</v>
      </c>
      <c r="D3557" s="14" t="n">
        <f aca="false">Summary!$B$5-B3557</f>
        <v>2972.22113385516</v>
      </c>
      <c r="E3557" s="15" t="n">
        <f aca="false">B3557/Summary!$B$5-1</f>
        <v>-0.0297222113385516</v>
      </c>
    </row>
    <row r="3558" customFormat="false" ht="15" hidden="false" customHeight="false" outlineLevel="0" collapsed="false">
      <c r="A3558" s="0" t="n">
        <v>3557</v>
      </c>
      <c r="B3558" s="14" t="n">
        <v>121152.85550223</v>
      </c>
      <c r="C3558" s="15" t="n">
        <v>0.105706935336937</v>
      </c>
      <c r="D3558" s="14" t="n">
        <f aca="false">Summary!$B$5-B3558</f>
        <v>-21152.8555022295</v>
      </c>
      <c r="E3558" s="15" t="n">
        <f aca="false">B3558/Summary!$B$5-1</f>
        <v>0.211528555022295</v>
      </c>
    </row>
    <row r="3559" customFormat="false" ht="15" hidden="false" customHeight="false" outlineLevel="0" collapsed="false">
      <c r="A3559" s="0" t="n">
        <v>3558</v>
      </c>
      <c r="B3559" s="14" t="n">
        <v>122541.665184031</v>
      </c>
      <c r="C3559" s="15" t="n">
        <v>0.0597511997563783</v>
      </c>
      <c r="D3559" s="14" t="n">
        <f aca="false">Summary!$B$5-B3559</f>
        <v>-22541.6651840308</v>
      </c>
      <c r="E3559" s="15" t="n">
        <f aca="false">B3559/Summary!$B$5-1</f>
        <v>0.225416651840308</v>
      </c>
    </row>
    <row r="3560" customFormat="false" ht="15" hidden="false" customHeight="false" outlineLevel="0" collapsed="false">
      <c r="A3560" s="0" t="n">
        <v>3559</v>
      </c>
      <c r="B3560" s="14" t="n">
        <v>97492.323852986</v>
      </c>
      <c r="C3560" s="15" t="n">
        <v>0.106815801790465</v>
      </c>
      <c r="D3560" s="14" t="n">
        <f aca="false">Summary!$B$5-B3560</f>
        <v>2507.67614701396</v>
      </c>
      <c r="E3560" s="15" t="n">
        <f aca="false">B3560/Summary!$B$5-1</f>
        <v>-0.0250767614701396</v>
      </c>
    </row>
    <row r="3561" customFormat="false" ht="15" hidden="false" customHeight="false" outlineLevel="0" collapsed="false">
      <c r="A3561" s="0" t="n">
        <v>3560</v>
      </c>
      <c r="B3561" s="14" t="n">
        <v>103345.174315907</v>
      </c>
      <c r="C3561" s="15" t="n">
        <v>0.104155791154367</v>
      </c>
      <c r="D3561" s="14" t="n">
        <f aca="false">Summary!$B$5-B3561</f>
        <v>-3345.17431590729</v>
      </c>
      <c r="E3561" s="15" t="n">
        <f aca="false">B3561/Summary!$B$5-1</f>
        <v>0.0334517431590728</v>
      </c>
    </row>
    <row r="3562" customFormat="false" ht="15" hidden="false" customHeight="false" outlineLevel="0" collapsed="false">
      <c r="A3562" s="0" t="n">
        <v>3561</v>
      </c>
      <c r="B3562" s="14" t="n">
        <v>114606.319202238</v>
      </c>
      <c r="C3562" s="15" t="n">
        <v>0.0546781473308263</v>
      </c>
      <c r="D3562" s="14" t="n">
        <f aca="false">Summary!$B$5-B3562</f>
        <v>-14606.3192022376</v>
      </c>
      <c r="E3562" s="15" t="n">
        <f aca="false">B3562/Summary!$B$5-1</f>
        <v>0.146063192022376</v>
      </c>
    </row>
    <row r="3563" customFormat="false" ht="15" hidden="false" customHeight="false" outlineLevel="0" collapsed="false">
      <c r="A3563" s="0" t="n">
        <v>3562</v>
      </c>
      <c r="B3563" s="14" t="n">
        <v>109213.070042545</v>
      </c>
      <c r="C3563" s="15" t="n">
        <v>0.0736979656524109</v>
      </c>
      <c r="D3563" s="14" t="n">
        <f aca="false">Summary!$B$5-B3563</f>
        <v>-9213.0700425447</v>
      </c>
      <c r="E3563" s="15" t="n">
        <f aca="false">B3563/Summary!$B$5-1</f>
        <v>0.092130700425447</v>
      </c>
    </row>
    <row r="3564" customFormat="false" ht="15" hidden="false" customHeight="false" outlineLevel="0" collapsed="false">
      <c r="A3564" s="0" t="n">
        <v>3563</v>
      </c>
      <c r="B3564" s="14" t="n">
        <v>106590.197462195</v>
      </c>
      <c r="C3564" s="15" t="n">
        <v>0.0815985958068904</v>
      </c>
      <c r="D3564" s="14" t="n">
        <f aca="false">Summary!$B$5-B3564</f>
        <v>-6590.1974621954</v>
      </c>
      <c r="E3564" s="15" t="n">
        <f aca="false">B3564/Summary!$B$5-1</f>
        <v>0.065901974621954</v>
      </c>
    </row>
    <row r="3565" customFormat="false" ht="15" hidden="false" customHeight="false" outlineLevel="0" collapsed="false">
      <c r="A3565" s="0" t="n">
        <v>3564</v>
      </c>
      <c r="B3565" s="14" t="n">
        <v>134183.564421947</v>
      </c>
      <c r="C3565" s="15" t="n">
        <v>0.103599376282955</v>
      </c>
      <c r="D3565" s="14" t="n">
        <f aca="false">Summary!$B$5-B3565</f>
        <v>-34183.5644219466</v>
      </c>
      <c r="E3565" s="15" t="n">
        <f aca="false">B3565/Summary!$B$5-1</f>
        <v>0.341835644219466</v>
      </c>
    </row>
    <row r="3566" customFormat="false" ht="15" hidden="false" customHeight="false" outlineLevel="0" collapsed="false">
      <c r="A3566" s="0" t="n">
        <v>3565</v>
      </c>
      <c r="B3566" s="14" t="n">
        <v>98692.5641715886</v>
      </c>
      <c r="C3566" s="15" t="n">
        <v>0.121357331469088</v>
      </c>
      <c r="D3566" s="14" t="n">
        <f aca="false">Summary!$B$5-B3566</f>
        <v>1307.43582841143</v>
      </c>
      <c r="E3566" s="15" t="n">
        <f aca="false">B3566/Summary!$B$5-1</f>
        <v>-0.0130743582841143</v>
      </c>
    </row>
    <row r="3567" customFormat="false" ht="15" hidden="false" customHeight="false" outlineLevel="0" collapsed="false">
      <c r="A3567" s="0" t="n">
        <v>3566</v>
      </c>
      <c r="B3567" s="14" t="n">
        <v>106449.185740759</v>
      </c>
      <c r="C3567" s="15" t="n">
        <v>0.115211840815891</v>
      </c>
      <c r="D3567" s="14" t="n">
        <f aca="false">Summary!$B$5-B3567</f>
        <v>-6449.18574075931</v>
      </c>
      <c r="E3567" s="15" t="n">
        <f aca="false">B3567/Summary!$B$5-1</f>
        <v>0.064491857407593</v>
      </c>
    </row>
    <row r="3568" customFormat="false" ht="15" hidden="false" customHeight="false" outlineLevel="0" collapsed="false">
      <c r="A3568" s="0" t="n">
        <v>3567</v>
      </c>
      <c r="B3568" s="14" t="n">
        <v>98804.2183532133</v>
      </c>
      <c r="C3568" s="15" t="n">
        <v>0.123027863815931</v>
      </c>
      <c r="D3568" s="14" t="n">
        <f aca="false">Summary!$B$5-B3568</f>
        <v>1195.78164678669</v>
      </c>
      <c r="E3568" s="15" t="n">
        <f aca="false">B3568/Summary!$B$5-1</f>
        <v>-0.011957816467867</v>
      </c>
    </row>
    <row r="3569" customFormat="false" ht="15" hidden="false" customHeight="false" outlineLevel="0" collapsed="false">
      <c r="A3569" s="0" t="n">
        <v>3568</v>
      </c>
      <c r="B3569" s="14" t="n">
        <v>105480.780840781</v>
      </c>
      <c r="C3569" s="15" t="n">
        <v>0.0601183744209114</v>
      </c>
      <c r="D3569" s="14" t="n">
        <f aca="false">Summary!$B$5-B3569</f>
        <v>-5480.78084078091</v>
      </c>
      <c r="E3569" s="15" t="n">
        <f aca="false">B3569/Summary!$B$5-1</f>
        <v>0.054807808407809</v>
      </c>
    </row>
    <row r="3570" customFormat="false" ht="15" hidden="false" customHeight="false" outlineLevel="0" collapsed="false">
      <c r="A3570" s="0" t="n">
        <v>3569</v>
      </c>
      <c r="B3570" s="14" t="n">
        <v>98921.4396051395</v>
      </c>
      <c r="C3570" s="15" t="n">
        <v>0.123002416531463</v>
      </c>
      <c r="D3570" s="14" t="n">
        <f aca="false">Summary!$B$5-B3570</f>
        <v>1078.56039486053</v>
      </c>
      <c r="E3570" s="15" t="n">
        <f aca="false">B3570/Summary!$B$5-1</f>
        <v>-0.0107856039486053</v>
      </c>
    </row>
    <row r="3571" customFormat="false" ht="15" hidden="false" customHeight="false" outlineLevel="0" collapsed="false">
      <c r="A3571" s="0" t="n">
        <v>3570</v>
      </c>
      <c r="B3571" s="14" t="n">
        <v>101888.984219162</v>
      </c>
      <c r="C3571" s="15" t="n">
        <v>0.105400594361542</v>
      </c>
      <c r="D3571" s="14" t="n">
        <f aca="false">Summary!$B$5-B3571</f>
        <v>-1888.98421916179</v>
      </c>
      <c r="E3571" s="15" t="n">
        <f aca="false">B3571/Summary!$B$5-1</f>
        <v>0.0188898421916179</v>
      </c>
    </row>
    <row r="3572" customFormat="false" ht="15" hidden="false" customHeight="false" outlineLevel="0" collapsed="false">
      <c r="A3572" s="0" t="n">
        <v>3571</v>
      </c>
      <c r="B3572" s="14" t="n">
        <v>98014.0572654984</v>
      </c>
      <c r="C3572" s="15" t="n">
        <v>0.0786663006193336</v>
      </c>
      <c r="D3572" s="14" t="n">
        <f aca="false">Summary!$B$5-B3572</f>
        <v>1985.94273450162</v>
      </c>
      <c r="E3572" s="15" t="n">
        <f aca="false">B3572/Summary!$B$5-1</f>
        <v>-0.0198594273450161</v>
      </c>
    </row>
    <row r="3573" customFormat="false" ht="15" hidden="false" customHeight="false" outlineLevel="0" collapsed="false">
      <c r="A3573" s="0" t="n">
        <v>3572</v>
      </c>
      <c r="B3573" s="14" t="n">
        <v>106448.68009496</v>
      </c>
      <c r="C3573" s="15" t="n">
        <v>0.085297963454581</v>
      </c>
      <c r="D3573" s="14" t="n">
        <f aca="false">Summary!$B$5-B3573</f>
        <v>-6448.68009496031</v>
      </c>
      <c r="E3573" s="15" t="n">
        <f aca="false">B3573/Summary!$B$5-1</f>
        <v>0.0644868009496031</v>
      </c>
    </row>
    <row r="3574" customFormat="false" ht="15" hidden="false" customHeight="false" outlineLevel="0" collapsed="false">
      <c r="A3574" s="0" t="n">
        <v>3573</v>
      </c>
      <c r="B3574" s="14" t="n">
        <v>100448.545591704</v>
      </c>
      <c r="C3574" s="15" t="n">
        <v>0.119635846785061</v>
      </c>
      <c r="D3574" s="14" t="n">
        <f aca="false">Summary!$B$5-B3574</f>
        <v>-448.5455917043</v>
      </c>
      <c r="E3574" s="15" t="n">
        <f aca="false">B3574/Summary!$B$5-1</f>
        <v>0.00448545591704308</v>
      </c>
    </row>
    <row r="3575" customFormat="false" ht="15" hidden="false" customHeight="false" outlineLevel="0" collapsed="false">
      <c r="A3575" s="0" t="n">
        <v>3574</v>
      </c>
      <c r="B3575" s="14" t="n">
        <v>94163.209258997</v>
      </c>
      <c r="C3575" s="15" t="n">
        <v>0.132961708674753</v>
      </c>
      <c r="D3575" s="14" t="n">
        <f aca="false">Summary!$B$5-B3575</f>
        <v>5836.79074100303</v>
      </c>
      <c r="E3575" s="15" t="n">
        <f aca="false">B3575/Summary!$B$5-1</f>
        <v>-0.0583679074100303</v>
      </c>
    </row>
    <row r="3576" customFormat="false" ht="15" hidden="false" customHeight="false" outlineLevel="0" collapsed="false">
      <c r="A3576" s="0" t="n">
        <v>3575</v>
      </c>
      <c r="B3576" s="14" t="n">
        <v>129781.381220813</v>
      </c>
      <c r="C3576" s="15" t="n">
        <v>0.0824468110377661</v>
      </c>
      <c r="D3576" s="14" t="n">
        <f aca="false">Summary!$B$5-B3576</f>
        <v>-29781.381220813</v>
      </c>
      <c r="E3576" s="15" t="n">
        <f aca="false">B3576/Summary!$B$5-1</f>
        <v>0.29781381220813</v>
      </c>
    </row>
    <row r="3577" customFormat="false" ht="15" hidden="false" customHeight="false" outlineLevel="0" collapsed="false">
      <c r="A3577" s="0" t="n">
        <v>3576</v>
      </c>
      <c r="B3577" s="14" t="n">
        <v>110430.463387883</v>
      </c>
      <c r="C3577" s="15" t="n">
        <v>0.0922513180512786</v>
      </c>
      <c r="D3577" s="14" t="n">
        <f aca="false">Summary!$B$5-B3577</f>
        <v>-10430.463387883</v>
      </c>
      <c r="E3577" s="15" t="n">
        <f aca="false">B3577/Summary!$B$5-1</f>
        <v>0.10430463387883</v>
      </c>
    </row>
    <row r="3578" customFormat="false" ht="15" hidden="false" customHeight="false" outlineLevel="0" collapsed="false">
      <c r="A3578" s="0" t="n">
        <v>3577</v>
      </c>
      <c r="B3578" s="14" t="n">
        <v>106893.428040982</v>
      </c>
      <c r="C3578" s="15" t="n">
        <v>0.089798772423958</v>
      </c>
      <c r="D3578" s="14" t="n">
        <f aca="false">Summary!$B$5-B3578</f>
        <v>-6893.4280409815</v>
      </c>
      <c r="E3578" s="15" t="n">
        <f aca="false">B3578/Summary!$B$5-1</f>
        <v>0.068934280409815</v>
      </c>
    </row>
    <row r="3579" customFormat="false" ht="15" hidden="false" customHeight="false" outlineLevel="0" collapsed="false">
      <c r="A3579" s="0" t="n">
        <v>3578</v>
      </c>
      <c r="B3579" s="14" t="n">
        <v>128345.363980588</v>
      </c>
      <c r="C3579" s="15" t="n">
        <v>0.0566070124604144</v>
      </c>
      <c r="D3579" s="14" t="n">
        <f aca="false">Summary!$B$5-B3579</f>
        <v>-28345.3639805878</v>
      </c>
      <c r="E3579" s="15" t="n">
        <f aca="false">B3579/Summary!$B$5-1</f>
        <v>0.283453639805878</v>
      </c>
    </row>
    <row r="3580" customFormat="false" ht="15" hidden="false" customHeight="false" outlineLevel="0" collapsed="false">
      <c r="A3580" s="0" t="n">
        <v>3579</v>
      </c>
      <c r="B3580" s="14" t="n">
        <v>106598.945104121</v>
      </c>
      <c r="C3580" s="15" t="n">
        <v>0.132504830244299</v>
      </c>
      <c r="D3580" s="14" t="n">
        <f aca="false">Summary!$B$5-B3580</f>
        <v>-6598.945104121</v>
      </c>
      <c r="E3580" s="15" t="n">
        <f aca="false">B3580/Summary!$B$5-1</f>
        <v>0.06598945104121</v>
      </c>
    </row>
    <row r="3581" customFormat="false" ht="15" hidden="false" customHeight="false" outlineLevel="0" collapsed="false">
      <c r="A3581" s="0" t="n">
        <v>3580</v>
      </c>
      <c r="B3581" s="14" t="n">
        <v>94848.4455276777</v>
      </c>
      <c r="C3581" s="15" t="n">
        <v>0.12706444404068</v>
      </c>
      <c r="D3581" s="14" t="n">
        <f aca="false">Summary!$B$5-B3581</f>
        <v>5151.55447232226</v>
      </c>
      <c r="E3581" s="15" t="n">
        <f aca="false">B3581/Summary!$B$5-1</f>
        <v>-0.0515155447232225</v>
      </c>
    </row>
    <row r="3582" customFormat="false" ht="15" hidden="false" customHeight="false" outlineLevel="0" collapsed="false">
      <c r="A3582" s="0" t="n">
        <v>3581</v>
      </c>
      <c r="B3582" s="14" t="n">
        <v>108776.670000035</v>
      </c>
      <c r="C3582" s="15" t="n">
        <v>0.0860268155603615</v>
      </c>
      <c r="D3582" s="14" t="n">
        <f aca="false">Summary!$B$5-B3582</f>
        <v>-8776.6700000354</v>
      </c>
      <c r="E3582" s="15" t="n">
        <f aca="false">B3582/Summary!$B$5-1</f>
        <v>0.0877667000003541</v>
      </c>
    </row>
    <row r="3583" customFormat="false" ht="15" hidden="false" customHeight="false" outlineLevel="0" collapsed="false">
      <c r="A3583" s="0" t="n">
        <v>3582</v>
      </c>
      <c r="B3583" s="14" t="n">
        <v>95129.5890684906</v>
      </c>
      <c r="C3583" s="15" t="n">
        <v>0.0956532333803101</v>
      </c>
      <c r="D3583" s="14" t="n">
        <f aca="false">Summary!$B$5-B3583</f>
        <v>4870.41093150943</v>
      </c>
      <c r="E3583" s="15" t="n">
        <f aca="false">B3583/Summary!$B$5-1</f>
        <v>-0.0487041093150943</v>
      </c>
    </row>
    <row r="3584" customFormat="false" ht="15" hidden="false" customHeight="false" outlineLevel="0" collapsed="false">
      <c r="A3584" s="0" t="n">
        <v>3583</v>
      </c>
      <c r="B3584" s="14" t="n">
        <v>103126.085380609</v>
      </c>
      <c r="C3584" s="15" t="n">
        <v>0.0835392299277437</v>
      </c>
      <c r="D3584" s="14" t="n">
        <f aca="false">Summary!$B$5-B3584</f>
        <v>-3126.0853806091</v>
      </c>
      <c r="E3584" s="15" t="n">
        <f aca="false">B3584/Summary!$B$5-1</f>
        <v>0.031260853806091</v>
      </c>
    </row>
    <row r="3585" customFormat="false" ht="15" hidden="false" customHeight="false" outlineLevel="0" collapsed="false">
      <c r="A3585" s="0" t="n">
        <v>3584</v>
      </c>
      <c r="B3585" s="14" t="n">
        <v>99281.6986709847</v>
      </c>
      <c r="C3585" s="15" t="n">
        <v>0.180798713288412</v>
      </c>
      <c r="D3585" s="14" t="n">
        <f aca="false">Summary!$B$5-B3585</f>
        <v>718.301329015259</v>
      </c>
      <c r="E3585" s="15" t="n">
        <f aca="false">B3585/Summary!$B$5-1</f>
        <v>-0.00718301329015258</v>
      </c>
    </row>
    <row r="3586" customFormat="false" ht="15" hidden="false" customHeight="false" outlineLevel="0" collapsed="false">
      <c r="A3586" s="0" t="n">
        <v>3585</v>
      </c>
      <c r="B3586" s="14" t="n">
        <v>105688.303768935</v>
      </c>
      <c r="C3586" s="15" t="n">
        <v>0.104225756718927</v>
      </c>
      <c r="D3586" s="14" t="n">
        <f aca="false">Summary!$B$5-B3586</f>
        <v>-5688.30376893521</v>
      </c>
      <c r="E3586" s="15" t="n">
        <f aca="false">B3586/Summary!$B$5-1</f>
        <v>0.0568830376893521</v>
      </c>
    </row>
    <row r="3587" customFormat="false" ht="15" hidden="false" customHeight="false" outlineLevel="0" collapsed="false">
      <c r="A3587" s="0" t="n">
        <v>3586</v>
      </c>
      <c r="B3587" s="14" t="n">
        <v>99164.3197534283</v>
      </c>
      <c r="C3587" s="15" t="n">
        <v>0.0904879618646334</v>
      </c>
      <c r="D3587" s="14" t="n">
        <f aca="false">Summary!$B$5-B3587</f>
        <v>835.680246571719</v>
      </c>
      <c r="E3587" s="15" t="n">
        <f aca="false">B3587/Summary!$B$5-1</f>
        <v>-0.00835680246571724</v>
      </c>
    </row>
    <row r="3588" customFormat="false" ht="15" hidden="false" customHeight="false" outlineLevel="0" collapsed="false">
      <c r="A3588" s="0" t="n">
        <v>3587</v>
      </c>
      <c r="B3588" s="14" t="n">
        <v>101377.823489469</v>
      </c>
      <c r="C3588" s="15" t="n">
        <v>0.117504972055226</v>
      </c>
      <c r="D3588" s="14" t="n">
        <f aca="false">Summary!$B$5-B3588</f>
        <v>-1377.8234894691</v>
      </c>
      <c r="E3588" s="15" t="n">
        <f aca="false">B3588/Summary!$B$5-1</f>
        <v>0.0137782348946909</v>
      </c>
    </row>
    <row r="3589" customFormat="false" ht="15" hidden="false" customHeight="false" outlineLevel="0" collapsed="false">
      <c r="A3589" s="0" t="n">
        <v>3588</v>
      </c>
      <c r="B3589" s="14" t="n">
        <v>104042.880694201</v>
      </c>
      <c r="C3589" s="15" t="n">
        <v>0.150426792971204</v>
      </c>
      <c r="D3589" s="14" t="n">
        <f aca="false">Summary!$B$5-B3589</f>
        <v>-4042.8806942011</v>
      </c>
      <c r="E3589" s="15" t="n">
        <f aca="false">B3589/Summary!$B$5-1</f>
        <v>0.0404288069420109</v>
      </c>
    </row>
    <row r="3590" customFormat="false" ht="15" hidden="false" customHeight="false" outlineLevel="0" collapsed="false">
      <c r="A3590" s="0" t="n">
        <v>3589</v>
      </c>
      <c r="B3590" s="14" t="n">
        <v>93398.7903514972</v>
      </c>
      <c r="C3590" s="15" t="n">
        <v>0.116997821747125</v>
      </c>
      <c r="D3590" s="14" t="n">
        <f aca="false">Summary!$B$5-B3590</f>
        <v>6601.20964850282</v>
      </c>
      <c r="E3590" s="15" t="n">
        <f aca="false">B3590/Summary!$B$5-1</f>
        <v>-0.0660120964850282</v>
      </c>
    </row>
    <row r="3591" customFormat="false" ht="15" hidden="false" customHeight="false" outlineLevel="0" collapsed="false">
      <c r="A3591" s="0" t="n">
        <v>3590</v>
      </c>
      <c r="B3591" s="14" t="n">
        <v>113714.429238435</v>
      </c>
      <c r="C3591" s="15" t="n">
        <v>0.0527319814387968</v>
      </c>
      <c r="D3591" s="14" t="n">
        <f aca="false">Summary!$B$5-B3591</f>
        <v>-13714.4292384352</v>
      </c>
      <c r="E3591" s="15" t="n">
        <f aca="false">B3591/Summary!$B$5-1</f>
        <v>0.137144292384352</v>
      </c>
    </row>
    <row r="3592" customFormat="false" ht="15" hidden="false" customHeight="false" outlineLevel="0" collapsed="false">
      <c r="A3592" s="0" t="n">
        <v>3591</v>
      </c>
      <c r="B3592" s="14" t="n">
        <v>96674.9840737759</v>
      </c>
      <c r="C3592" s="15" t="n">
        <v>0.151008312190776</v>
      </c>
      <c r="D3592" s="14" t="n">
        <f aca="false">Summary!$B$5-B3592</f>
        <v>3325.01592622415</v>
      </c>
      <c r="E3592" s="15" t="n">
        <f aca="false">B3592/Summary!$B$5-1</f>
        <v>-0.0332501592622415</v>
      </c>
    </row>
    <row r="3593" customFormat="false" ht="15" hidden="false" customHeight="false" outlineLevel="0" collapsed="false">
      <c r="A3593" s="0" t="n">
        <v>3592</v>
      </c>
      <c r="B3593" s="14" t="n">
        <v>117808.555319956</v>
      </c>
      <c r="C3593" s="15" t="n">
        <v>0.100529738827341</v>
      </c>
      <c r="D3593" s="14" t="n">
        <f aca="false">Summary!$B$5-B3593</f>
        <v>-17808.5553199562</v>
      </c>
      <c r="E3593" s="15" t="n">
        <f aca="false">B3593/Summary!$B$5-1</f>
        <v>0.178085553199562</v>
      </c>
    </row>
    <row r="3594" customFormat="false" ht="15" hidden="false" customHeight="false" outlineLevel="0" collapsed="false">
      <c r="A3594" s="0" t="n">
        <v>3593</v>
      </c>
      <c r="B3594" s="14" t="n">
        <v>97642.0513262265</v>
      </c>
      <c r="C3594" s="15" t="n">
        <v>0.124491068620178</v>
      </c>
      <c r="D3594" s="14" t="n">
        <f aca="false">Summary!$B$5-B3594</f>
        <v>2357.94867377347</v>
      </c>
      <c r="E3594" s="15" t="n">
        <f aca="false">B3594/Summary!$B$5-1</f>
        <v>-0.0235794867377347</v>
      </c>
    </row>
    <row r="3595" customFormat="false" ht="15" hidden="false" customHeight="false" outlineLevel="0" collapsed="false">
      <c r="A3595" s="0" t="n">
        <v>3594</v>
      </c>
      <c r="B3595" s="14" t="n">
        <v>113901.625963604</v>
      </c>
      <c r="C3595" s="15" t="n">
        <v>0.0884445816582047</v>
      </c>
      <c r="D3595" s="14" t="n">
        <f aca="false">Summary!$B$5-B3595</f>
        <v>-13901.6259636037</v>
      </c>
      <c r="E3595" s="15" t="n">
        <f aca="false">B3595/Summary!$B$5-1</f>
        <v>0.139016259636037</v>
      </c>
    </row>
    <row r="3596" customFormat="false" ht="15" hidden="false" customHeight="false" outlineLevel="0" collapsed="false">
      <c r="A3596" s="0" t="n">
        <v>3595</v>
      </c>
      <c r="B3596" s="14" t="n">
        <v>94878.318430948</v>
      </c>
      <c r="C3596" s="15" t="n">
        <v>0.105243602206836</v>
      </c>
      <c r="D3596" s="14" t="n">
        <f aca="false">Summary!$B$5-B3596</f>
        <v>5121.68156905202</v>
      </c>
      <c r="E3596" s="15" t="n">
        <f aca="false">B3596/Summary!$B$5-1</f>
        <v>-0.0512168156905202</v>
      </c>
    </row>
    <row r="3597" customFormat="false" ht="15" hidden="false" customHeight="false" outlineLevel="0" collapsed="false">
      <c r="A3597" s="0" t="n">
        <v>3596</v>
      </c>
      <c r="B3597" s="14" t="n">
        <v>131306.11936493</v>
      </c>
      <c r="C3597" s="15" t="n">
        <v>0.0834037279983461</v>
      </c>
      <c r="D3597" s="14" t="n">
        <f aca="false">Summary!$B$5-B3597</f>
        <v>-31306.1193649301</v>
      </c>
      <c r="E3597" s="15" t="n">
        <f aca="false">B3597/Summary!$B$5-1</f>
        <v>0.313061193649301</v>
      </c>
    </row>
    <row r="3598" customFormat="false" ht="15" hidden="false" customHeight="false" outlineLevel="0" collapsed="false">
      <c r="A3598" s="0" t="n">
        <v>3597</v>
      </c>
      <c r="B3598" s="14" t="n">
        <v>104489.913594212</v>
      </c>
      <c r="C3598" s="15" t="n">
        <v>0.105352380981737</v>
      </c>
      <c r="D3598" s="14" t="n">
        <f aca="false">Summary!$B$5-B3598</f>
        <v>-4489.9135942119</v>
      </c>
      <c r="E3598" s="15" t="n">
        <f aca="false">B3598/Summary!$B$5-1</f>
        <v>0.0448991359421189</v>
      </c>
    </row>
    <row r="3599" customFormat="false" ht="15" hidden="false" customHeight="false" outlineLevel="0" collapsed="false">
      <c r="A3599" s="0" t="n">
        <v>3598</v>
      </c>
      <c r="B3599" s="14" t="n">
        <v>93169.2852737263</v>
      </c>
      <c r="C3599" s="15" t="n">
        <v>0.171056364941238</v>
      </c>
      <c r="D3599" s="14" t="n">
        <f aca="false">Summary!$B$5-B3599</f>
        <v>6830.71472627368</v>
      </c>
      <c r="E3599" s="15" t="n">
        <f aca="false">B3599/Summary!$B$5-1</f>
        <v>-0.0683071472627368</v>
      </c>
    </row>
    <row r="3600" customFormat="false" ht="15" hidden="false" customHeight="false" outlineLevel="0" collapsed="false">
      <c r="A3600" s="0" t="n">
        <v>3599</v>
      </c>
      <c r="B3600" s="14" t="n">
        <v>101026.780399625</v>
      </c>
      <c r="C3600" s="15" t="n">
        <v>0.103017911564687</v>
      </c>
      <c r="D3600" s="14" t="n">
        <f aca="false">Summary!$B$5-B3600</f>
        <v>-1026.7803996248</v>
      </c>
      <c r="E3600" s="15" t="n">
        <f aca="false">B3600/Summary!$B$5-1</f>
        <v>0.010267803996248</v>
      </c>
    </row>
    <row r="3601" customFormat="false" ht="15" hidden="false" customHeight="false" outlineLevel="0" collapsed="false">
      <c r="A3601" s="0" t="n">
        <v>3600</v>
      </c>
      <c r="B3601" s="14" t="n">
        <v>122005.28503364</v>
      </c>
      <c r="C3601" s="15" t="n">
        <v>0.131173283140955</v>
      </c>
      <c r="D3601" s="14" t="n">
        <f aca="false">Summary!$B$5-B3601</f>
        <v>-22005.2850336399</v>
      </c>
      <c r="E3601" s="15" t="n">
        <f aca="false">B3601/Summary!$B$5-1</f>
        <v>0.220052850336399</v>
      </c>
    </row>
    <row r="3602" customFormat="false" ht="15" hidden="false" customHeight="false" outlineLevel="0" collapsed="false">
      <c r="A3602" s="0" t="n">
        <v>3601</v>
      </c>
      <c r="B3602" s="14" t="n">
        <v>102578.458288918</v>
      </c>
      <c r="C3602" s="15" t="n">
        <v>0.0921805560976935</v>
      </c>
      <c r="D3602" s="14" t="n">
        <f aca="false">Summary!$B$5-B3602</f>
        <v>-2578.4582889181</v>
      </c>
      <c r="E3602" s="15" t="n">
        <f aca="false">B3602/Summary!$B$5-1</f>
        <v>0.025784582889181</v>
      </c>
    </row>
    <row r="3603" customFormat="false" ht="15" hidden="false" customHeight="false" outlineLevel="0" collapsed="false">
      <c r="A3603" s="0" t="n">
        <v>3602</v>
      </c>
      <c r="B3603" s="14" t="n">
        <v>110131.672190803</v>
      </c>
      <c r="C3603" s="15" t="n">
        <v>0.101720008254198</v>
      </c>
      <c r="D3603" s="14" t="n">
        <f aca="false">Summary!$B$5-B3603</f>
        <v>-10131.6721908027</v>
      </c>
      <c r="E3603" s="15" t="n">
        <f aca="false">B3603/Summary!$B$5-1</f>
        <v>0.101316721908027</v>
      </c>
    </row>
    <row r="3604" customFormat="false" ht="15" hidden="false" customHeight="false" outlineLevel="0" collapsed="false">
      <c r="A3604" s="0" t="n">
        <v>3603</v>
      </c>
      <c r="B3604" s="14" t="n">
        <v>103366.882552637</v>
      </c>
      <c r="C3604" s="15" t="n">
        <v>0.0619387447014721</v>
      </c>
      <c r="D3604" s="14" t="n">
        <f aca="false">Summary!$B$5-B3604</f>
        <v>-3366.8825526366</v>
      </c>
      <c r="E3604" s="15" t="n">
        <f aca="false">B3604/Summary!$B$5-1</f>
        <v>0.033668825526366</v>
      </c>
    </row>
    <row r="3605" customFormat="false" ht="15" hidden="false" customHeight="false" outlineLevel="0" collapsed="false">
      <c r="A3605" s="0" t="n">
        <v>3604</v>
      </c>
      <c r="B3605" s="14" t="n">
        <v>106732.623108219</v>
      </c>
      <c r="C3605" s="15" t="n">
        <v>0.0819278754539619</v>
      </c>
      <c r="D3605" s="14" t="n">
        <f aca="false">Summary!$B$5-B3605</f>
        <v>-6732.62310821901</v>
      </c>
      <c r="E3605" s="15" t="n">
        <f aca="false">B3605/Summary!$B$5-1</f>
        <v>0.0673262310821901</v>
      </c>
    </row>
    <row r="3606" customFormat="false" ht="15" hidden="false" customHeight="false" outlineLevel="0" collapsed="false">
      <c r="A3606" s="0" t="n">
        <v>3605</v>
      </c>
      <c r="B3606" s="14" t="n">
        <v>110167.051844864</v>
      </c>
      <c r="C3606" s="15" t="n">
        <v>0.0971135127772048</v>
      </c>
      <c r="D3606" s="14" t="n">
        <f aca="false">Summary!$B$5-B3606</f>
        <v>-10167.0518448637</v>
      </c>
      <c r="E3606" s="15" t="n">
        <f aca="false">B3606/Summary!$B$5-1</f>
        <v>0.101670518448637</v>
      </c>
    </row>
    <row r="3607" customFormat="false" ht="15" hidden="false" customHeight="false" outlineLevel="0" collapsed="false">
      <c r="A3607" s="0" t="n">
        <v>3606</v>
      </c>
      <c r="B3607" s="14" t="n">
        <v>111289.438866458</v>
      </c>
      <c r="C3607" s="15" t="n">
        <v>0.0940054546700974</v>
      </c>
      <c r="D3607" s="14" t="n">
        <f aca="false">Summary!$B$5-B3607</f>
        <v>-11289.4388664584</v>
      </c>
      <c r="E3607" s="15" t="n">
        <f aca="false">B3607/Summary!$B$5-1</f>
        <v>0.112894388664584</v>
      </c>
    </row>
    <row r="3608" customFormat="false" ht="15" hidden="false" customHeight="false" outlineLevel="0" collapsed="false">
      <c r="A3608" s="0" t="n">
        <v>3607</v>
      </c>
      <c r="B3608" s="14" t="n">
        <v>104531.286316081</v>
      </c>
      <c r="C3608" s="15" t="n">
        <v>0.174446773455453</v>
      </c>
      <c r="D3608" s="14" t="n">
        <f aca="false">Summary!$B$5-B3608</f>
        <v>-4531.28631608099</v>
      </c>
      <c r="E3608" s="15" t="n">
        <f aca="false">B3608/Summary!$B$5-1</f>
        <v>0.04531286316081</v>
      </c>
    </row>
    <row r="3609" customFormat="false" ht="15" hidden="false" customHeight="false" outlineLevel="0" collapsed="false">
      <c r="A3609" s="0" t="n">
        <v>3608</v>
      </c>
      <c r="B3609" s="14" t="n">
        <v>98331.6134780545</v>
      </c>
      <c r="C3609" s="15" t="n">
        <v>0.0889896113087716</v>
      </c>
      <c r="D3609" s="14" t="n">
        <f aca="false">Summary!$B$5-B3609</f>
        <v>1668.3865219455</v>
      </c>
      <c r="E3609" s="15" t="n">
        <f aca="false">B3609/Summary!$B$5-1</f>
        <v>-0.0166838652194551</v>
      </c>
    </row>
    <row r="3610" customFormat="false" ht="15" hidden="false" customHeight="false" outlineLevel="0" collapsed="false">
      <c r="A3610" s="0" t="n">
        <v>3609</v>
      </c>
      <c r="B3610" s="14" t="n">
        <v>97819.4464000291</v>
      </c>
      <c r="C3610" s="15" t="n">
        <v>0.108693324409744</v>
      </c>
      <c r="D3610" s="14" t="n">
        <f aca="false">Summary!$B$5-B3610</f>
        <v>2180.55359997087</v>
      </c>
      <c r="E3610" s="15" t="n">
        <f aca="false">B3610/Summary!$B$5-1</f>
        <v>-0.0218055359997087</v>
      </c>
    </row>
    <row r="3611" customFormat="false" ht="15" hidden="false" customHeight="false" outlineLevel="0" collapsed="false">
      <c r="A3611" s="0" t="n">
        <v>3610</v>
      </c>
      <c r="B3611" s="14" t="n">
        <v>99149.6775766096</v>
      </c>
      <c r="C3611" s="15" t="n">
        <v>0.128148800970792</v>
      </c>
      <c r="D3611" s="14" t="n">
        <f aca="false">Summary!$B$5-B3611</f>
        <v>850.32242339036</v>
      </c>
      <c r="E3611" s="15" t="n">
        <f aca="false">B3611/Summary!$B$5-1</f>
        <v>-0.0085032242339036</v>
      </c>
    </row>
    <row r="3612" customFormat="false" ht="15" hidden="false" customHeight="false" outlineLevel="0" collapsed="false">
      <c r="A3612" s="0" t="n">
        <v>3611</v>
      </c>
      <c r="B3612" s="14" t="n">
        <v>106503.664986667</v>
      </c>
      <c r="C3612" s="15" t="n">
        <v>0.0903550110412021</v>
      </c>
      <c r="D3612" s="14" t="n">
        <f aca="false">Summary!$B$5-B3612</f>
        <v>-6503.6649866668</v>
      </c>
      <c r="E3612" s="15" t="n">
        <f aca="false">B3612/Summary!$B$5-1</f>
        <v>0.0650366498666679</v>
      </c>
    </row>
    <row r="3613" customFormat="false" ht="15" hidden="false" customHeight="false" outlineLevel="0" collapsed="false">
      <c r="A3613" s="0" t="n">
        <v>3612</v>
      </c>
      <c r="B3613" s="14" t="n">
        <v>87143.7341499018</v>
      </c>
      <c r="C3613" s="15" t="n">
        <v>0.188440712044181</v>
      </c>
      <c r="D3613" s="14" t="n">
        <f aca="false">Summary!$B$5-B3613</f>
        <v>12856.2658500983</v>
      </c>
      <c r="E3613" s="15" t="n">
        <f aca="false">B3613/Summary!$B$5-1</f>
        <v>-0.128562658500982</v>
      </c>
    </row>
    <row r="3614" customFormat="false" ht="15" hidden="false" customHeight="false" outlineLevel="0" collapsed="false">
      <c r="A3614" s="0" t="n">
        <v>3613</v>
      </c>
      <c r="B3614" s="14" t="n">
        <v>122552.965204342</v>
      </c>
      <c r="C3614" s="15" t="n">
        <v>0.0977915886488147</v>
      </c>
      <c r="D3614" s="14" t="n">
        <f aca="false">Summary!$B$5-B3614</f>
        <v>-22552.9652043419</v>
      </c>
      <c r="E3614" s="15" t="n">
        <f aca="false">B3614/Summary!$B$5-1</f>
        <v>0.225529652043419</v>
      </c>
    </row>
    <row r="3615" customFormat="false" ht="15" hidden="false" customHeight="false" outlineLevel="0" collapsed="false">
      <c r="A3615" s="0" t="n">
        <v>3614</v>
      </c>
      <c r="B3615" s="14" t="n">
        <v>109637.805645245</v>
      </c>
      <c r="C3615" s="15" t="n">
        <v>0.0928196359759608</v>
      </c>
      <c r="D3615" s="14" t="n">
        <f aca="false">Summary!$B$5-B3615</f>
        <v>-9637.8056452453</v>
      </c>
      <c r="E3615" s="15" t="n">
        <f aca="false">B3615/Summary!$B$5-1</f>
        <v>0.096378056452453</v>
      </c>
    </row>
    <row r="3616" customFormat="false" ht="15" hidden="false" customHeight="false" outlineLevel="0" collapsed="false">
      <c r="A3616" s="0" t="n">
        <v>3615</v>
      </c>
      <c r="B3616" s="14" t="n">
        <v>109412.07346105</v>
      </c>
      <c r="C3616" s="15" t="n">
        <v>0.104487657539204</v>
      </c>
      <c r="D3616" s="14" t="n">
        <f aca="false">Summary!$B$5-B3616</f>
        <v>-9412.0734610501</v>
      </c>
      <c r="E3616" s="15" t="n">
        <f aca="false">B3616/Summary!$B$5-1</f>
        <v>0.0941207346105009</v>
      </c>
    </row>
    <row r="3617" customFormat="false" ht="15" hidden="false" customHeight="false" outlineLevel="0" collapsed="false">
      <c r="A3617" s="0" t="n">
        <v>3616</v>
      </c>
      <c r="B3617" s="14" t="n">
        <v>121512.867312639</v>
      </c>
      <c r="C3617" s="15" t="n">
        <v>0.090689823060199</v>
      </c>
      <c r="D3617" s="14" t="n">
        <f aca="false">Summary!$B$5-B3617</f>
        <v>-21512.8673126391</v>
      </c>
      <c r="E3617" s="15" t="n">
        <f aca="false">B3617/Summary!$B$5-1</f>
        <v>0.215128673126391</v>
      </c>
    </row>
    <row r="3618" customFormat="false" ht="15" hidden="false" customHeight="false" outlineLevel="0" collapsed="false">
      <c r="A3618" s="0" t="n">
        <v>3617</v>
      </c>
      <c r="B3618" s="14" t="n">
        <v>100695.194753654</v>
      </c>
      <c r="C3618" s="15" t="n">
        <v>0.129639634508464</v>
      </c>
      <c r="D3618" s="14" t="n">
        <f aca="false">Summary!$B$5-B3618</f>
        <v>-695.194753653996</v>
      </c>
      <c r="E3618" s="15" t="n">
        <f aca="false">B3618/Summary!$B$5-1</f>
        <v>0.00695194753654005</v>
      </c>
    </row>
    <row r="3619" customFormat="false" ht="15" hidden="false" customHeight="false" outlineLevel="0" collapsed="false">
      <c r="A3619" s="0" t="n">
        <v>3618</v>
      </c>
      <c r="B3619" s="14" t="n">
        <v>112967.008939342</v>
      </c>
      <c r="C3619" s="15" t="n">
        <v>0.0629747354750635</v>
      </c>
      <c r="D3619" s="14" t="n">
        <f aca="false">Summary!$B$5-B3619</f>
        <v>-12967.0089393423</v>
      </c>
      <c r="E3619" s="15" t="n">
        <f aca="false">B3619/Summary!$B$5-1</f>
        <v>0.129670089393423</v>
      </c>
    </row>
    <row r="3620" customFormat="false" ht="15" hidden="false" customHeight="false" outlineLevel="0" collapsed="false">
      <c r="A3620" s="0" t="n">
        <v>3619</v>
      </c>
      <c r="B3620" s="14" t="n">
        <v>99610.7960892045</v>
      </c>
      <c r="C3620" s="15" t="n">
        <v>0.102487381182402</v>
      </c>
      <c r="D3620" s="14" t="n">
        <f aca="false">Summary!$B$5-B3620</f>
        <v>389.203910795506</v>
      </c>
      <c r="E3620" s="15" t="n">
        <f aca="false">B3620/Summary!$B$5-1</f>
        <v>-0.0038920391079551</v>
      </c>
    </row>
    <row r="3621" customFormat="false" ht="15" hidden="false" customHeight="false" outlineLevel="0" collapsed="false">
      <c r="A3621" s="0" t="n">
        <v>3620</v>
      </c>
      <c r="B3621" s="14" t="n">
        <v>98434.8026149868</v>
      </c>
      <c r="C3621" s="15" t="n">
        <v>0.176945676927045</v>
      </c>
      <c r="D3621" s="14" t="n">
        <f aca="false">Summary!$B$5-B3621</f>
        <v>1565.19738501323</v>
      </c>
      <c r="E3621" s="15" t="n">
        <f aca="false">B3621/Summary!$B$5-1</f>
        <v>-0.0156519738501324</v>
      </c>
    </row>
    <row r="3622" customFormat="false" ht="15" hidden="false" customHeight="false" outlineLevel="0" collapsed="false">
      <c r="A3622" s="0" t="n">
        <v>3621</v>
      </c>
      <c r="B3622" s="14" t="n">
        <v>116952.294953561</v>
      </c>
      <c r="C3622" s="15" t="n">
        <v>0.0892010620562771</v>
      </c>
      <c r="D3622" s="14" t="n">
        <f aca="false">Summary!$B$5-B3622</f>
        <v>-16952.2949535613</v>
      </c>
      <c r="E3622" s="15" t="n">
        <f aca="false">B3622/Summary!$B$5-1</f>
        <v>0.169522949535613</v>
      </c>
    </row>
    <row r="3623" customFormat="false" ht="15" hidden="false" customHeight="false" outlineLevel="0" collapsed="false">
      <c r="A3623" s="0" t="n">
        <v>3622</v>
      </c>
      <c r="B3623" s="14" t="n">
        <v>129413.936141301</v>
      </c>
      <c r="C3623" s="15" t="n">
        <v>0.0774205901192234</v>
      </c>
      <c r="D3623" s="14" t="n">
        <f aca="false">Summary!$B$5-B3623</f>
        <v>-29413.9361413013</v>
      </c>
      <c r="E3623" s="15" t="n">
        <f aca="false">B3623/Summary!$B$5-1</f>
        <v>0.294139361413013</v>
      </c>
    </row>
    <row r="3624" customFormat="false" ht="15" hidden="false" customHeight="false" outlineLevel="0" collapsed="false">
      <c r="A3624" s="0" t="n">
        <v>3623</v>
      </c>
      <c r="B3624" s="14" t="n">
        <v>95750.3516542509</v>
      </c>
      <c r="C3624" s="15" t="n">
        <v>0.104466218855677</v>
      </c>
      <c r="D3624" s="14" t="n">
        <f aca="false">Summary!$B$5-B3624</f>
        <v>4249.6483457491</v>
      </c>
      <c r="E3624" s="15" t="n">
        <f aca="false">B3624/Summary!$B$5-1</f>
        <v>-0.042496483457491</v>
      </c>
    </row>
    <row r="3625" customFormat="false" ht="15" hidden="false" customHeight="false" outlineLevel="0" collapsed="false">
      <c r="A3625" s="0" t="n">
        <v>3624</v>
      </c>
      <c r="B3625" s="14" t="n">
        <v>101976.103917847</v>
      </c>
      <c r="C3625" s="15" t="n">
        <v>0.119223271507528</v>
      </c>
      <c r="D3625" s="14" t="n">
        <f aca="false">Summary!$B$5-B3625</f>
        <v>-1976.1039178467</v>
      </c>
      <c r="E3625" s="15" t="n">
        <f aca="false">B3625/Summary!$B$5-1</f>
        <v>0.0197610391784671</v>
      </c>
    </row>
    <row r="3626" customFormat="false" ht="15" hidden="false" customHeight="false" outlineLevel="0" collapsed="false">
      <c r="A3626" s="0" t="n">
        <v>3625</v>
      </c>
      <c r="B3626" s="14" t="n">
        <v>103061.378195288</v>
      </c>
      <c r="C3626" s="15" t="n">
        <v>0.0941525498096077</v>
      </c>
      <c r="D3626" s="14" t="n">
        <f aca="false">Summary!$B$5-B3626</f>
        <v>-3061.3781952884</v>
      </c>
      <c r="E3626" s="15" t="n">
        <f aca="false">B3626/Summary!$B$5-1</f>
        <v>0.030613781952884</v>
      </c>
    </row>
    <row r="3627" customFormat="false" ht="15" hidden="false" customHeight="false" outlineLevel="0" collapsed="false">
      <c r="A3627" s="0" t="n">
        <v>3626</v>
      </c>
      <c r="B3627" s="14" t="n">
        <v>105580.361845412</v>
      </c>
      <c r="C3627" s="15" t="n">
        <v>0.0961487682585288</v>
      </c>
      <c r="D3627" s="14" t="n">
        <f aca="false">Summary!$B$5-B3627</f>
        <v>-5580.3618454118</v>
      </c>
      <c r="E3627" s="15" t="n">
        <f aca="false">B3627/Summary!$B$5-1</f>
        <v>0.055803618454118</v>
      </c>
    </row>
    <row r="3628" customFormat="false" ht="15" hidden="false" customHeight="false" outlineLevel="0" collapsed="false">
      <c r="A3628" s="0" t="n">
        <v>3627</v>
      </c>
      <c r="B3628" s="14" t="n">
        <v>109154.601457834</v>
      </c>
      <c r="C3628" s="15" t="n">
        <v>0.16419275315203</v>
      </c>
      <c r="D3628" s="14" t="n">
        <f aca="false">Summary!$B$5-B3628</f>
        <v>-9154.6014578344</v>
      </c>
      <c r="E3628" s="15" t="n">
        <f aca="false">B3628/Summary!$B$5-1</f>
        <v>0.091546014578344</v>
      </c>
    </row>
    <row r="3629" customFormat="false" ht="15" hidden="false" customHeight="false" outlineLevel="0" collapsed="false">
      <c r="A3629" s="0" t="n">
        <v>3628</v>
      </c>
      <c r="B3629" s="14" t="n">
        <v>121526.240833925</v>
      </c>
      <c r="C3629" s="15" t="n">
        <v>0.0688875361976343</v>
      </c>
      <c r="D3629" s="14" t="n">
        <f aca="false">Summary!$B$5-B3629</f>
        <v>-21526.2408339245</v>
      </c>
      <c r="E3629" s="15" t="n">
        <f aca="false">B3629/Summary!$B$5-1</f>
        <v>0.215262408339245</v>
      </c>
    </row>
    <row r="3630" customFormat="false" ht="15" hidden="false" customHeight="false" outlineLevel="0" collapsed="false">
      <c r="A3630" s="0" t="n">
        <v>3629</v>
      </c>
      <c r="B3630" s="14" t="n">
        <v>114207.098520066</v>
      </c>
      <c r="C3630" s="15" t="n">
        <v>0.0736535784217094</v>
      </c>
      <c r="D3630" s="14" t="n">
        <f aca="false">Summary!$B$5-B3630</f>
        <v>-14207.098520066</v>
      </c>
      <c r="E3630" s="15" t="n">
        <f aca="false">B3630/Summary!$B$5-1</f>
        <v>0.14207098520066</v>
      </c>
    </row>
    <row r="3631" customFormat="false" ht="15" hidden="false" customHeight="false" outlineLevel="0" collapsed="false">
      <c r="A3631" s="0" t="n">
        <v>3630</v>
      </c>
      <c r="B3631" s="14" t="n">
        <v>102494.29758802</v>
      </c>
      <c r="C3631" s="15" t="n">
        <v>0.0937475246331123</v>
      </c>
      <c r="D3631" s="14" t="n">
        <f aca="false">Summary!$B$5-B3631</f>
        <v>-2494.29758802</v>
      </c>
      <c r="E3631" s="15" t="n">
        <f aca="false">B3631/Summary!$B$5-1</f>
        <v>0.0249429758802</v>
      </c>
    </row>
    <row r="3632" customFormat="false" ht="15" hidden="false" customHeight="false" outlineLevel="0" collapsed="false">
      <c r="A3632" s="0" t="n">
        <v>3631</v>
      </c>
      <c r="B3632" s="14" t="n">
        <v>90038.1609888018</v>
      </c>
      <c r="C3632" s="15" t="n">
        <v>0.12517921560027</v>
      </c>
      <c r="D3632" s="14" t="n">
        <f aca="false">Summary!$B$5-B3632</f>
        <v>9961.83901119822</v>
      </c>
      <c r="E3632" s="15" t="n">
        <f aca="false">B3632/Summary!$B$5-1</f>
        <v>-0.0996183901119822</v>
      </c>
    </row>
    <row r="3633" customFormat="false" ht="15" hidden="false" customHeight="false" outlineLevel="0" collapsed="false">
      <c r="A3633" s="0" t="n">
        <v>3632</v>
      </c>
      <c r="B3633" s="14" t="n">
        <v>93276.3130638999</v>
      </c>
      <c r="C3633" s="15" t="n">
        <v>0.139378133358274</v>
      </c>
      <c r="D3633" s="14" t="n">
        <f aca="false">Summary!$B$5-B3633</f>
        <v>6723.68693610007</v>
      </c>
      <c r="E3633" s="15" t="n">
        <f aca="false">B3633/Summary!$B$5-1</f>
        <v>-0.0672368693610007</v>
      </c>
    </row>
    <row r="3634" customFormat="false" ht="15" hidden="false" customHeight="false" outlineLevel="0" collapsed="false">
      <c r="A3634" s="0" t="n">
        <v>3633</v>
      </c>
      <c r="B3634" s="14" t="n">
        <v>98523.5349805579</v>
      </c>
      <c r="C3634" s="15" t="n">
        <v>0.0988570542417268</v>
      </c>
      <c r="D3634" s="14" t="n">
        <f aca="false">Summary!$B$5-B3634</f>
        <v>1476.46501944208</v>
      </c>
      <c r="E3634" s="15" t="n">
        <f aca="false">B3634/Summary!$B$5-1</f>
        <v>-0.0147646501944209</v>
      </c>
    </row>
    <row r="3635" customFormat="false" ht="15" hidden="false" customHeight="false" outlineLevel="0" collapsed="false">
      <c r="A3635" s="0" t="n">
        <v>3634</v>
      </c>
      <c r="B3635" s="14" t="n">
        <v>110200.294300597</v>
      </c>
      <c r="C3635" s="15" t="n">
        <v>0.0840274002157735</v>
      </c>
      <c r="D3635" s="14" t="n">
        <f aca="false">Summary!$B$5-B3635</f>
        <v>-10200.2943005971</v>
      </c>
      <c r="E3635" s="15" t="n">
        <f aca="false">B3635/Summary!$B$5-1</f>
        <v>0.102002943005971</v>
      </c>
    </row>
    <row r="3636" customFormat="false" ht="15" hidden="false" customHeight="false" outlineLevel="0" collapsed="false">
      <c r="A3636" s="0" t="n">
        <v>3635</v>
      </c>
      <c r="B3636" s="14" t="n">
        <v>86325.042759426</v>
      </c>
      <c r="C3636" s="15" t="n">
        <v>0.161906704646587</v>
      </c>
      <c r="D3636" s="14" t="n">
        <f aca="false">Summary!$B$5-B3636</f>
        <v>13674.957240574</v>
      </c>
      <c r="E3636" s="15" t="n">
        <f aca="false">B3636/Summary!$B$5-1</f>
        <v>-0.13674957240574</v>
      </c>
    </row>
    <row r="3637" customFormat="false" ht="15" hidden="false" customHeight="false" outlineLevel="0" collapsed="false">
      <c r="A3637" s="0" t="n">
        <v>3636</v>
      </c>
      <c r="B3637" s="14" t="n">
        <v>87392.4781203905</v>
      </c>
      <c r="C3637" s="15" t="n">
        <v>0.169869369966483</v>
      </c>
      <c r="D3637" s="14" t="n">
        <f aca="false">Summary!$B$5-B3637</f>
        <v>12607.5218796095</v>
      </c>
      <c r="E3637" s="15" t="n">
        <f aca="false">B3637/Summary!$B$5-1</f>
        <v>-0.126075218796095</v>
      </c>
    </row>
    <row r="3638" customFormat="false" ht="15" hidden="false" customHeight="false" outlineLevel="0" collapsed="false">
      <c r="A3638" s="0" t="n">
        <v>3637</v>
      </c>
      <c r="B3638" s="14" t="n">
        <v>118762.622799794</v>
      </c>
      <c r="C3638" s="15" t="n">
        <v>0.105723716106756</v>
      </c>
      <c r="D3638" s="14" t="n">
        <f aca="false">Summary!$B$5-B3638</f>
        <v>-18762.6227997943</v>
      </c>
      <c r="E3638" s="15" t="n">
        <f aca="false">B3638/Summary!$B$5-1</f>
        <v>0.187626227997943</v>
      </c>
    </row>
    <row r="3639" customFormat="false" ht="15" hidden="false" customHeight="false" outlineLevel="0" collapsed="false">
      <c r="A3639" s="0" t="n">
        <v>3638</v>
      </c>
      <c r="B3639" s="14" t="n">
        <v>86621.649498566</v>
      </c>
      <c r="C3639" s="15" t="n">
        <v>0.160908031644475</v>
      </c>
      <c r="D3639" s="14" t="n">
        <f aca="false">Summary!$B$5-B3639</f>
        <v>13378.350501434</v>
      </c>
      <c r="E3639" s="15" t="n">
        <f aca="false">B3639/Summary!$B$5-1</f>
        <v>-0.13378350501434</v>
      </c>
    </row>
    <row r="3640" customFormat="false" ht="15" hidden="false" customHeight="false" outlineLevel="0" collapsed="false">
      <c r="A3640" s="0" t="n">
        <v>3639</v>
      </c>
      <c r="B3640" s="14" t="n">
        <v>111461.293438343</v>
      </c>
      <c r="C3640" s="15" t="n">
        <v>0.0698202143396889</v>
      </c>
      <c r="D3640" s="14" t="n">
        <f aca="false">Summary!$B$5-B3640</f>
        <v>-11461.2934383428</v>
      </c>
      <c r="E3640" s="15" t="n">
        <f aca="false">B3640/Summary!$B$5-1</f>
        <v>0.114612934383428</v>
      </c>
    </row>
    <row r="3641" customFormat="false" ht="15" hidden="false" customHeight="false" outlineLevel="0" collapsed="false">
      <c r="A3641" s="0" t="n">
        <v>3640</v>
      </c>
      <c r="B3641" s="14" t="n">
        <v>93731.0912734245</v>
      </c>
      <c r="C3641" s="15" t="n">
        <v>0.12689674812819</v>
      </c>
      <c r="D3641" s="14" t="n">
        <f aca="false">Summary!$B$5-B3641</f>
        <v>6268.90872657546</v>
      </c>
      <c r="E3641" s="15" t="n">
        <f aca="false">B3641/Summary!$B$5-1</f>
        <v>-0.0626890872657546</v>
      </c>
    </row>
    <row r="3642" customFormat="false" ht="15" hidden="false" customHeight="false" outlineLevel="0" collapsed="false">
      <c r="A3642" s="0" t="n">
        <v>3641</v>
      </c>
      <c r="B3642" s="14" t="n">
        <v>110163.651110238</v>
      </c>
      <c r="C3642" s="15" t="n">
        <v>0.0935790363055803</v>
      </c>
      <c r="D3642" s="14" t="n">
        <f aca="false">Summary!$B$5-B3642</f>
        <v>-10163.6511102382</v>
      </c>
      <c r="E3642" s="15" t="n">
        <f aca="false">B3642/Summary!$B$5-1</f>
        <v>0.101636511102382</v>
      </c>
    </row>
    <row r="3643" customFormat="false" ht="15" hidden="false" customHeight="false" outlineLevel="0" collapsed="false">
      <c r="A3643" s="0" t="n">
        <v>3642</v>
      </c>
      <c r="B3643" s="14" t="n">
        <v>89712.8950421865</v>
      </c>
      <c r="C3643" s="15" t="n">
        <v>0.161394718486091</v>
      </c>
      <c r="D3643" s="14" t="n">
        <f aca="false">Summary!$B$5-B3643</f>
        <v>10287.1049578135</v>
      </c>
      <c r="E3643" s="15" t="n">
        <f aca="false">B3643/Summary!$B$5-1</f>
        <v>-0.102871049578135</v>
      </c>
    </row>
    <row r="3644" customFormat="false" ht="15" hidden="false" customHeight="false" outlineLevel="0" collapsed="false">
      <c r="A3644" s="0" t="n">
        <v>3643</v>
      </c>
      <c r="B3644" s="14" t="n">
        <v>109556.582155478</v>
      </c>
      <c r="C3644" s="15" t="n">
        <v>0.0670160559727033</v>
      </c>
      <c r="D3644" s="14" t="n">
        <f aca="false">Summary!$B$5-B3644</f>
        <v>-9556.5821554783</v>
      </c>
      <c r="E3644" s="15" t="n">
        <f aca="false">B3644/Summary!$B$5-1</f>
        <v>0.095565821554783</v>
      </c>
    </row>
    <row r="3645" customFormat="false" ht="15" hidden="false" customHeight="false" outlineLevel="0" collapsed="false">
      <c r="A3645" s="0" t="n">
        <v>3644</v>
      </c>
      <c r="B3645" s="14" t="n">
        <v>89623.5023575978</v>
      </c>
      <c r="C3645" s="15" t="n">
        <v>0.162799247933859</v>
      </c>
      <c r="D3645" s="14" t="n">
        <f aca="false">Summary!$B$5-B3645</f>
        <v>10376.4976424022</v>
      </c>
      <c r="E3645" s="15" t="n">
        <f aca="false">B3645/Summary!$B$5-1</f>
        <v>-0.103764976424022</v>
      </c>
    </row>
    <row r="3646" customFormat="false" ht="15" hidden="false" customHeight="false" outlineLevel="0" collapsed="false">
      <c r="A3646" s="0" t="n">
        <v>3645</v>
      </c>
      <c r="B3646" s="14" t="n">
        <v>102116.5742839</v>
      </c>
      <c r="C3646" s="15" t="n">
        <v>0.111111010509308</v>
      </c>
      <c r="D3646" s="14" t="n">
        <f aca="false">Summary!$B$5-B3646</f>
        <v>-2116.57428390039</v>
      </c>
      <c r="E3646" s="15" t="n">
        <f aca="false">B3646/Summary!$B$5-1</f>
        <v>0.021165742839004</v>
      </c>
    </row>
    <row r="3647" customFormat="false" ht="15" hidden="false" customHeight="false" outlineLevel="0" collapsed="false">
      <c r="A3647" s="0" t="n">
        <v>3646</v>
      </c>
      <c r="B3647" s="14" t="n">
        <v>124121.664957116</v>
      </c>
      <c r="C3647" s="15" t="n">
        <v>0.0463930342658365</v>
      </c>
      <c r="D3647" s="14" t="n">
        <f aca="false">Summary!$B$5-B3647</f>
        <v>-24121.6649571161</v>
      </c>
      <c r="E3647" s="15" t="n">
        <f aca="false">B3647/Summary!$B$5-1</f>
        <v>0.241216649571161</v>
      </c>
    </row>
    <row r="3648" customFormat="false" ht="15" hidden="false" customHeight="false" outlineLevel="0" collapsed="false">
      <c r="A3648" s="0" t="n">
        <v>3647</v>
      </c>
      <c r="B3648" s="14" t="n">
        <v>102655.123906394</v>
      </c>
      <c r="C3648" s="15" t="n">
        <v>0.0877491341521529</v>
      </c>
      <c r="D3648" s="14" t="n">
        <f aca="false">Summary!$B$5-B3648</f>
        <v>-2655.12390639359</v>
      </c>
      <c r="E3648" s="15" t="n">
        <f aca="false">B3648/Summary!$B$5-1</f>
        <v>0.026551239063936</v>
      </c>
    </row>
    <row r="3649" customFormat="false" ht="15" hidden="false" customHeight="false" outlineLevel="0" collapsed="false">
      <c r="A3649" s="0" t="n">
        <v>3648</v>
      </c>
      <c r="B3649" s="14" t="n">
        <v>91344.7868486651</v>
      </c>
      <c r="C3649" s="15" t="n">
        <v>0.15878186595388</v>
      </c>
      <c r="D3649" s="14" t="n">
        <f aca="false">Summary!$B$5-B3649</f>
        <v>8655.2131513349</v>
      </c>
      <c r="E3649" s="15" t="n">
        <f aca="false">B3649/Summary!$B$5-1</f>
        <v>-0.0865521315133491</v>
      </c>
    </row>
    <row r="3650" customFormat="false" ht="15" hidden="false" customHeight="false" outlineLevel="0" collapsed="false">
      <c r="A3650" s="0" t="n">
        <v>3649</v>
      </c>
      <c r="B3650" s="14" t="n">
        <v>101284.344802798</v>
      </c>
      <c r="C3650" s="15" t="n">
        <v>0.0884559470463568</v>
      </c>
      <c r="D3650" s="14" t="n">
        <f aca="false">Summary!$B$5-B3650</f>
        <v>-1284.34480279811</v>
      </c>
      <c r="E3650" s="15" t="n">
        <f aca="false">B3650/Summary!$B$5-1</f>
        <v>0.0128434480279811</v>
      </c>
    </row>
    <row r="3651" customFormat="false" ht="15" hidden="false" customHeight="false" outlineLevel="0" collapsed="false">
      <c r="A3651" s="0" t="n">
        <v>3650</v>
      </c>
      <c r="B3651" s="14" t="n">
        <v>106149.958899676</v>
      </c>
      <c r="C3651" s="15" t="n">
        <v>0.0684928439277253</v>
      </c>
      <c r="D3651" s="14" t="n">
        <f aca="false">Summary!$B$5-B3651</f>
        <v>-6149.95889967551</v>
      </c>
      <c r="E3651" s="15" t="n">
        <f aca="false">B3651/Summary!$B$5-1</f>
        <v>0.0614995889967551</v>
      </c>
    </row>
    <row r="3652" customFormat="false" ht="15" hidden="false" customHeight="false" outlineLevel="0" collapsed="false">
      <c r="A3652" s="0" t="n">
        <v>3651</v>
      </c>
      <c r="B3652" s="14" t="n">
        <v>118949.771839983</v>
      </c>
      <c r="C3652" s="15" t="n">
        <v>0.0661039210196039</v>
      </c>
      <c r="D3652" s="14" t="n">
        <f aca="false">Summary!$B$5-B3652</f>
        <v>-18949.7718399825</v>
      </c>
      <c r="E3652" s="15" t="n">
        <f aca="false">B3652/Summary!$B$5-1</f>
        <v>0.189497718399825</v>
      </c>
    </row>
    <row r="3653" customFormat="false" ht="15" hidden="false" customHeight="false" outlineLevel="0" collapsed="false">
      <c r="A3653" s="0" t="n">
        <v>3652</v>
      </c>
      <c r="B3653" s="14" t="n">
        <v>100334.824355506</v>
      </c>
      <c r="C3653" s="15" t="n">
        <v>0.113614927131273</v>
      </c>
      <c r="D3653" s="14" t="n">
        <f aca="false">Summary!$B$5-B3653</f>
        <v>-334.8243555058</v>
      </c>
      <c r="E3653" s="15" t="n">
        <f aca="false">B3653/Summary!$B$5-1</f>
        <v>0.00334824355505803</v>
      </c>
    </row>
    <row r="3654" customFormat="false" ht="15" hidden="false" customHeight="false" outlineLevel="0" collapsed="false">
      <c r="A3654" s="0" t="n">
        <v>3653</v>
      </c>
      <c r="B3654" s="14" t="n">
        <v>104201.648416534</v>
      </c>
      <c r="C3654" s="15" t="n">
        <v>0.095230938546962</v>
      </c>
      <c r="D3654" s="14" t="n">
        <f aca="false">Summary!$B$5-B3654</f>
        <v>-4201.6484165344</v>
      </c>
      <c r="E3654" s="15" t="n">
        <f aca="false">B3654/Summary!$B$5-1</f>
        <v>0.0420164841653441</v>
      </c>
    </row>
    <row r="3655" customFormat="false" ht="15" hidden="false" customHeight="false" outlineLevel="0" collapsed="false">
      <c r="A3655" s="0" t="n">
        <v>3654</v>
      </c>
      <c r="B3655" s="14" t="n">
        <v>117477.278282834</v>
      </c>
      <c r="C3655" s="15" t="n">
        <v>0.0470297610459751</v>
      </c>
      <c r="D3655" s="14" t="n">
        <f aca="false">Summary!$B$5-B3655</f>
        <v>-17477.2782828343</v>
      </c>
      <c r="E3655" s="15" t="n">
        <f aca="false">B3655/Summary!$B$5-1</f>
        <v>0.174772782828343</v>
      </c>
    </row>
    <row r="3656" customFormat="false" ht="15" hidden="false" customHeight="false" outlineLevel="0" collapsed="false">
      <c r="A3656" s="0" t="n">
        <v>3655</v>
      </c>
      <c r="B3656" s="14" t="n">
        <v>108107.336967705</v>
      </c>
      <c r="C3656" s="15" t="n">
        <v>0.0726591756011866</v>
      </c>
      <c r="D3656" s="14" t="n">
        <f aca="false">Summary!$B$5-B3656</f>
        <v>-8107.3369677053</v>
      </c>
      <c r="E3656" s="15" t="n">
        <f aca="false">B3656/Summary!$B$5-1</f>
        <v>0.0810733696770529</v>
      </c>
    </row>
    <row r="3657" customFormat="false" ht="15" hidden="false" customHeight="false" outlineLevel="0" collapsed="false">
      <c r="A3657" s="0" t="n">
        <v>3656</v>
      </c>
      <c r="B3657" s="14" t="n">
        <v>133414.026081729</v>
      </c>
      <c r="C3657" s="15" t="n">
        <v>0.0560658506986231</v>
      </c>
      <c r="D3657" s="14" t="n">
        <f aca="false">Summary!$B$5-B3657</f>
        <v>-33414.0260817292</v>
      </c>
      <c r="E3657" s="15" t="n">
        <f aca="false">B3657/Summary!$B$5-1</f>
        <v>0.334140260817292</v>
      </c>
    </row>
    <row r="3658" customFormat="false" ht="15" hidden="false" customHeight="false" outlineLevel="0" collapsed="false">
      <c r="A3658" s="0" t="n">
        <v>3657</v>
      </c>
      <c r="B3658" s="14" t="n">
        <v>102877.162090249</v>
      </c>
      <c r="C3658" s="15" t="n">
        <v>0.106231161787387</v>
      </c>
      <c r="D3658" s="14" t="n">
        <f aca="false">Summary!$B$5-B3658</f>
        <v>-2877.1620902487</v>
      </c>
      <c r="E3658" s="15" t="n">
        <f aca="false">B3658/Summary!$B$5-1</f>
        <v>0.0287716209024871</v>
      </c>
    </row>
    <row r="3659" customFormat="false" ht="15" hidden="false" customHeight="false" outlineLevel="0" collapsed="false">
      <c r="A3659" s="0" t="n">
        <v>3658</v>
      </c>
      <c r="B3659" s="14" t="n">
        <v>94199.7782558615</v>
      </c>
      <c r="C3659" s="15" t="n">
        <v>0.0864052700357515</v>
      </c>
      <c r="D3659" s="14" t="n">
        <f aca="false">Summary!$B$5-B3659</f>
        <v>5800.22174413852</v>
      </c>
      <c r="E3659" s="15" t="n">
        <f aca="false">B3659/Summary!$B$5-1</f>
        <v>-0.0580022174413851</v>
      </c>
    </row>
    <row r="3660" customFormat="false" ht="15" hidden="false" customHeight="false" outlineLevel="0" collapsed="false">
      <c r="A3660" s="0" t="n">
        <v>3659</v>
      </c>
      <c r="B3660" s="14" t="n">
        <v>106139.893980784</v>
      </c>
      <c r="C3660" s="15" t="n">
        <v>0.108758417137269</v>
      </c>
      <c r="D3660" s="14" t="n">
        <f aca="false">Summary!$B$5-B3660</f>
        <v>-6139.89398078409</v>
      </c>
      <c r="E3660" s="15" t="n">
        <f aca="false">B3660/Summary!$B$5-1</f>
        <v>0.0613989398078409</v>
      </c>
    </row>
    <row r="3661" customFormat="false" ht="15" hidden="false" customHeight="false" outlineLevel="0" collapsed="false">
      <c r="A3661" s="0" t="n">
        <v>3660</v>
      </c>
      <c r="B3661" s="14" t="n">
        <v>106371.871143325</v>
      </c>
      <c r="C3661" s="15" t="n">
        <v>0.073502181470176</v>
      </c>
      <c r="D3661" s="14" t="n">
        <f aca="false">Summary!$B$5-B3661</f>
        <v>-6371.8711433248</v>
      </c>
      <c r="E3661" s="15" t="n">
        <f aca="false">B3661/Summary!$B$5-1</f>
        <v>0.063718711433248</v>
      </c>
    </row>
    <row r="3662" customFormat="false" ht="15" hidden="false" customHeight="false" outlineLevel="0" collapsed="false">
      <c r="A3662" s="0" t="n">
        <v>3661</v>
      </c>
      <c r="B3662" s="14" t="n">
        <v>106089.610192844</v>
      </c>
      <c r="C3662" s="15" t="n">
        <v>0.0788909735149241</v>
      </c>
      <c r="D3662" s="14" t="n">
        <f aca="false">Summary!$B$5-B3662</f>
        <v>-6089.6101928436</v>
      </c>
      <c r="E3662" s="15" t="n">
        <f aca="false">B3662/Summary!$B$5-1</f>
        <v>0.060896101928436</v>
      </c>
    </row>
    <row r="3663" customFormat="false" ht="15" hidden="false" customHeight="false" outlineLevel="0" collapsed="false">
      <c r="A3663" s="0" t="n">
        <v>3662</v>
      </c>
      <c r="B3663" s="14" t="n">
        <v>117828.630346727</v>
      </c>
      <c r="C3663" s="15" t="n">
        <v>0.0646479205827324</v>
      </c>
      <c r="D3663" s="14" t="n">
        <f aca="false">Summary!$B$5-B3663</f>
        <v>-17828.6303467272</v>
      </c>
      <c r="E3663" s="15" t="n">
        <f aca="false">B3663/Summary!$B$5-1</f>
        <v>0.178286303467272</v>
      </c>
    </row>
    <row r="3664" customFormat="false" ht="15" hidden="false" customHeight="false" outlineLevel="0" collapsed="false">
      <c r="A3664" s="0" t="n">
        <v>3663</v>
      </c>
      <c r="B3664" s="14" t="n">
        <v>109984.780308987</v>
      </c>
      <c r="C3664" s="15" t="n">
        <v>0.079053963651633</v>
      </c>
      <c r="D3664" s="14" t="n">
        <f aca="false">Summary!$B$5-B3664</f>
        <v>-9984.78030898669</v>
      </c>
      <c r="E3664" s="15" t="n">
        <f aca="false">B3664/Summary!$B$5-1</f>
        <v>0.0998478030898669</v>
      </c>
    </row>
    <row r="3665" customFormat="false" ht="15" hidden="false" customHeight="false" outlineLevel="0" collapsed="false">
      <c r="A3665" s="0" t="n">
        <v>3664</v>
      </c>
      <c r="B3665" s="14" t="n">
        <v>87076.2507959433</v>
      </c>
      <c r="C3665" s="15" t="n">
        <v>0.158329108764572</v>
      </c>
      <c r="D3665" s="14" t="n">
        <f aca="false">Summary!$B$5-B3665</f>
        <v>12923.7492040567</v>
      </c>
      <c r="E3665" s="15" t="n">
        <f aca="false">B3665/Summary!$B$5-1</f>
        <v>-0.129237492040567</v>
      </c>
    </row>
    <row r="3666" customFormat="false" ht="15" hidden="false" customHeight="false" outlineLevel="0" collapsed="false">
      <c r="A3666" s="0" t="n">
        <v>3665</v>
      </c>
      <c r="B3666" s="14" t="n">
        <v>122015.954596956</v>
      </c>
      <c r="C3666" s="15" t="n">
        <v>0.0869185728216659</v>
      </c>
      <c r="D3666" s="14" t="n">
        <f aca="false">Summary!$B$5-B3666</f>
        <v>-22015.9545969555</v>
      </c>
      <c r="E3666" s="15" t="n">
        <f aca="false">B3666/Summary!$B$5-1</f>
        <v>0.220159545969555</v>
      </c>
    </row>
    <row r="3667" customFormat="false" ht="15" hidden="false" customHeight="false" outlineLevel="0" collapsed="false">
      <c r="A3667" s="0" t="n">
        <v>3666</v>
      </c>
      <c r="B3667" s="14" t="n">
        <v>109878.462846809</v>
      </c>
      <c r="C3667" s="15" t="n">
        <v>0.100394166347425</v>
      </c>
      <c r="D3667" s="14" t="n">
        <f aca="false">Summary!$B$5-B3667</f>
        <v>-9878.4628468091</v>
      </c>
      <c r="E3667" s="15" t="n">
        <f aca="false">B3667/Summary!$B$5-1</f>
        <v>0.0987846284680909</v>
      </c>
    </row>
    <row r="3668" customFormat="false" ht="15" hidden="false" customHeight="false" outlineLevel="0" collapsed="false">
      <c r="A3668" s="0" t="n">
        <v>3667</v>
      </c>
      <c r="B3668" s="14" t="n">
        <v>90741.5734377623</v>
      </c>
      <c r="C3668" s="15" t="n">
        <v>0.171669574660324</v>
      </c>
      <c r="D3668" s="14" t="n">
        <f aca="false">Summary!$B$5-B3668</f>
        <v>9258.4265622377</v>
      </c>
      <c r="E3668" s="15" t="n">
        <f aca="false">B3668/Summary!$B$5-1</f>
        <v>-0.092584265622377</v>
      </c>
    </row>
    <row r="3669" customFormat="false" ht="15" hidden="false" customHeight="false" outlineLevel="0" collapsed="false">
      <c r="A3669" s="0" t="n">
        <v>3668</v>
      </c>
      <c r="B3669" s="14" t="n">
        <v>112066.080347214</v>
      </c>
      <c r="C3669" s="15" t="n">
        <v>0.0690043363220652</v>
      </c>
      <c r="D3669" s="14" t="n">
        <f aca="false">Summary!$B$5-B3669</f>
        <v>-12066.0803472144</v>
      </c>
      <c r="E3669" s="15" t="n">
        <f aca="false">B3669/Summary!$B$5-1</f>
        <v>0.120660803472144</v>
      </c>
    </row>
    <row r="3670" customFormat="false" ht="15" hidden="false" customHeight="false" outlineLevel="0" collapsed="false">
      <c r="A3670" s="0" t="n">
        <v>3669</v>
      </c>
      <c r="B3670" s="14" t="n">
        <v>129143.853212085</v>
      </c>
      <c r="C3670" s="15" t="n">
        <v>0.085784775086352</v>
      </c>
      <c r="D3670" s="14" t="n">
        <f aca="false">Summary!$B$5-B3670</f>
        <v>-29143.8532120852</v>
      </c>
      <c r="E3670" s="15" t="n">
        <f aca="false">B3670/Summary!$B$5-1</f>
        <v>0.291438532120852</v>
      </c>
    </row>
    <row r="3671" customFormat="false" ht="15" hidden="false" customHeight="false" outlineLevel="0" collapsed="false">
      <c r="A3671" s="0" t="n">
        <v>3670</v>
      </c>
      <c r="B3671" s="14" t="n">
        <v>121965.585938209</v>
      </c>
      <c r="C3671" s="15" t="n">
        <v>0.0431763335555605</v>
      </c>
      <c r="D3671" s="14" t="n">
        <f aca="false">Summary!$B$5-B3671</f>
        <v>-21965.5859382086</v>
      </c>
      <c r="E3671" s="15" t="n">
        <f aca="false">B3671/Summary!$B$5-1</f>
        <v>0.219655859382086</v>
      </c>
    </row>
    <row r="3672" customFormat="false" ht="15" hidden="false" customHeight="false" outlineLevel="0" collapsed="false">
      <c r="A3672" s="0" t="n">
        <v>3671</v>
      </c>
      <c r="B3672" s="14" t="n">
        <v>106266.183749436</v>
      </c>
      <c r="C3672" s="15" t="n">
        <v>0.126425425376509</v>
      </c>
      <c r="D3672" s="14" t="n">
        <f aca="false">Summary!$B$5-B3672</f>
        <v>-6266.1837494361</v>
      </c>
      <c r="E3672" s="15" t="n">
        <f aca="false">B3672/Summary!$B$5-1</f>
        <v>0.0626618374943611</v>
      </c>
    </row>
    <row r="3673" customFormat="false" ht="15" hidden="false" customHeight="false" outlineLevel="0" collapsed="false">
      <c r="A3673" s="0" t="n">
        <v>3672</v>
      </c>
      <c r="B3673" s="14" t="n">
        <v>95206.3238936194</v>
      </c>
      <c r="C3673" s="15" t="n">
        <v>0.176800486184307</v>
      </c>
      <c r="D3673" s="14" t="n">
        <f aca="false">Summary!$B$5-B3673</f>
        <v>4793.67610638065</v>
      </c>
      <c r="E3673" s="15" t="n">
        <f aca="false">B3673/Summary!$B$5-1</f>
        <v>-0.0479367610638065</v>
      </c>
    </row>
    <row r="3674" customFormat="false" ht="15" hidden="false" customHeight="false" outlineLevel="0" collapsed="false">
      <c r="A3674" s="0" t="n">
        <v>3673</v>
      </c>
      <c r="B3674" s="14" t="n">
        <v>122841.500060663</v>
      </c>
      <c r="C3674" s="15" t="n">
        <v>0.0893013231785086</v>
      </c>
      <c r="D3674" s="14" t="n">
        <f aca="false">Summary!$B$5-B3674</f>
        <v>-22841.5000606634</v>
      </c>
      <c r="E3674" s="15" t="n">
        <f aca="false">B3674/Summary!$B$5-1</f>
        <v>0.228415000606634</v>
      </c>
    </row>
    <row r="3675" customFormat="false" ht="15" hidden="false" customHeight="false" outlineLevel="0" collapsed="false">
      <c r="A3675" s="0" t="n">
        <v>3674</v>
      </c>
      <c r="B3675" s="14" t="n">
        <v>106292.100341082</v>
      </c>
      <c r="C3675" s="15" t="n">
        <v>0.0654605278219583</v>
      </c>
      <c r="D3675" s="14" t="n">
        <f aca="false">Summary!$B$5-B3675</f>
        <v>-6292.1003410823</v>
      </c>
      <c r="E3675" s="15" t="n">
        <f aca="false">B3675/Summary!$B$5-1</f>
        <v>0.062921003410823</v>
      </c>
    </row>
    <row r="3676" customFormat="false" ht="15" hidden="false" customHeight="false" outlineLevel="0" collapsed="false">
      <c r="A3676" s="0" t="n">
        <v>3675</v>
      </c>
      <c r="B3676" s="14" t="n">
        <v>106245.615587797</v>
      </c>
      <c r="C3676" s="15" t="n">
        <v>0.0710430478794317</v>
      </c>
      <c r="D3676" s="14" t="n">
        <f aca="false">Summary!$B$5-B3676</f>
        <v>-6245.6155877967</v>
      </c>
      <c r="E3676" s="15" t="n">
        <f aca="false">B3676/Summary!$B$5-1</f>
        <v>0.062456155877967</v>
      </c>
    </row>
    <row r="3677" customFormat="false" ht="15" hidden="false" customHeight="false" outlineLevel="0" collapsed="false">
      <c r="A3677" s="0" t="n">
        <v>3676</v>
      </c>
      <c r="B3677" s="14" t="n">
        <v>103648.115698566</v>
      </c>
      <c r="C3677" s="15" t="n">
        <v>0.0907138742182724</v>
      </c>
      <c r="D3677" s="14" t="n">
        <f aca="false">Summary!$B$5-B3677</f>
        <v>-3648.1156985659</v>
      </c>
      <c r="E3677" s="15" t="n">
        <f aca="false">B3677/Summary!$B$5-1</f>
        <v>0.0364811569856591</v>
      </c>
    </row>
    <row r="3678" customFormat="false" ht="15" hidden="false" customHeight="false" outlineLevel="0" collapsed="false">
      <c r="A3678" s="0" t="n">
        <v>3677</v>
      </c>
      <c r="B3678" s="14" t="n">
        <v>126732.332863034</v>
      </c>
      <c r="C3678" s="15" t="n">
        <v>0.0683826242583716</v>
      </c>
      <c r="D3678" s="14" t="n">
        <f aca="false">Summary!$B$5-B3678</f>
        <v>-26732.3328630339</v>
      </c>
      <c r="E3678" s="15" t="n">
        <f aca="false">B3678/Summary!$B$5-1</f>
        <v>0.267323328630339</v>
      </c>
    </row>
    <row r="3679" customFormat="false" ht="15" hidden="false" customHeight="false" outlineLevel="0" collapsed="false">
      <c r="A3679" s="0" t="n">
        <v>3678</v>
      </c>
      <c r="B3679" s="14" t="n">
        <v>113575.245166439</v>
      </c>
      <c r="C3679" s="15" t="n">
        <v>0.103152442612633</v>
      </c>
      <c r="D3679" s="14" t="n">
        <f aca="false">Summary!$B$5-B3679</f>
        <v>-13575.2451664385</v>
      </c>
      <c r="E3679" s="15" t="n">
        <f aca="false">B3679/Summary!$B$5-1</f>
        <v>0.135752451664385</v>
      </c>
    </row>
    <row r="3680" customFormat="false" ht="15" hidden="false" customHeight="false" outlineLevel="0" collapsed="false">
      <c r="A3680" s="0" t="n">
        <v>3679</v>
      </c>
      <c r="B3680" s="14" t="n">
        <v>118524.617338136</v>
      </c>
      <c r="C3680" s="15" t="n">
        <v>0.0524204928332562</v>
      </c>
      <c r="D3680" s="14" t="n">
        <f aca="false">Summary!$B$5-B3680</f>
        <v>-18524.6173381361</v>
      </c>
      <c r="E3680" s="15" t="n">
        <f aca="false">B3680/Summary!$B$5-1</f>
        <v>0.185246173381361</v>
      </c>
    </row>
    <row r="3681" customFormat="false" ht="15" hidden="false" customHeight="false" outlineLevel="0" collapsed="false">
      <c r="A3681" s="0" t="n">
        <v>3680</v>
      </c>
      <c r="B3681" s="14" t="n">
        <v>102896.335470189</v>
      </c>
      <c r="C3681" s="15" t="n">
        <v>0.129408209615448</v>
      </c>
      <c r="D3681" s="14" t="n">
        <f aca="false">Summary!$B$5-B3681</f>
        <v>-2896.3354701894</v>
      </c>
      <c r="E3681" s="15" t="n">
        <f aca="false">B3681/Summary!$B$5-1</f>
        <v>0.0289633547018939</v>
      </c>
    </row>
    <row r="3682" customFormat="false" ht="15" hidden="false" customHeight="false" outlineLevel="0" collapsed="false">
      <c r="A3682" s="0" t="n">
        <v>3681</v>
      </c>
      <c r="B3682" s="14" t="n">
        <v>104007.297033923</v>
      </c>
      <c r="C3682" s="15" t="n">
        <v>0.106205152794688</v>
      </c>
      <c r="D3682" s="14" t="n">
        <f aca="false">Summary!$B$5-B3682</f>
        <v>-4007.2970339227</v>
      </c>
      <c r="E3682" s="15" t="n">
        <f aca="false">B3682/Summary!$B$5-1</f>
        <v>0.0400729703392271</v>
      </c>
    </row>
    <row r="3683" customFormat="false" ht="15" hidden="false" customHeight="false" outlineLevel="0" collapsed="false">
      <c r="A3683" s="0" t="n">
        <v>3682</v>
      </c>
      <c r="B3683" s="14" t="n">
        <v>116560.377209002</v>
      </c>
      <c r="C3683" s="15" t="n">
        <v>0.0741444134816262</v>
      </c>
      <c r="D3683" s="14" t="n">
        <f aca="false">Summary!$B$5-B3683</f>
        <v>-16560.3772090016</v>
      </c>
      <c r="E3683" s="15" t="n">
        <f aca="false">B3683/Summary!$B$5-1</f>
        <v>0.165603772090016</v>
      </c>
    </row>
    <row r="3684" customFormat="false" ht="15" hidden="false" customHeight="false" outlineLevel="0" collapsed="false">
      <c r="A3684" s="0" t="n">
        <v>3683</v>
      </c>
      <c r="B3684" s="14" t="n">
        <v>133362.3348295</v>
      </c>
      <c r="C3684" s="15" t="n">
        <v>0.0466747898221471</v>
      </c>
      <c r="D3684" s="14" t="n">
        <f aca="false">Summary!$B$5-B3684</f>
        <v>-33362.3348294997</v>
      </c>
      <c r="E3684" s="15" t="n">
        <f aca="false">B3684/Summary!$B$5-1</f>
        <v>0.333623348294997</v>
      </c>
    </row>
    <row r="3685" customFormat="false" ht="15" hidden="false" customHeight="false" outlineLevel="0" collapsed="false">
      <c r="A3685" s="0" t="n">
        <v>3684</v>
      </c>
      <c r="B3685" s="14" t="n">
        <v>90839.6555792734</v>
      </c>
      <c r="C3685" s="15" t="n">
        <v>0.167950550259438</v>
      </c>
      <c r="D3685" s="14" t="n">
        <f aca="false">Summary!$B$5-B3685</f>
        <v>9160.34442072663</v>
      </c>
      <c r="E3685" s="15" t="n">
        <f aca="false">B3685/Summary!$B$5-1</f>
        <v>-0.0916034442072663</v>
      </c>
    </row>
    <row r="3686" customFormat="false" ht="15" hidden="false" customHeight="false" outlineLevel="0" collapsed="false">
      <c r="A3686" s="0" t="n">
        <v>3685</v>
      </c>
      <c r="B3686" s="14" t="n">
        <v>140199.329400168</v>
      </c>
      <c r="C3686" s="15" t="n">
        <v>0.0430157691936803</v>
      </c>
      <c r="D3686" s="14" t="n">
        <f aca="false">Summary!$B$5-B3686</f>
        <v>-40199.3294001681</v>
      </c>
      <c r="E3686" s="15" t="n">
        <f aca="false">B3686/Summary!$B$5-1</f>
        <v>0.401993294001681</v>
      </c>
    </row>
    <row r="3687" customFormat="false" ht="15" hidden="false" customHeight="false" outlineLevel="0" collapsed="false">
      <c r="A3687" s="0" t="n">
        <v>3686</v>
      </c>
      <c r="B3687" s="14" t="n">
        <v>122047.170683387</v>
      </c>
      <c r="C3687" s="15" t="n">
        <v>0.072677741969438</v>
      </c>
      <c r="D3687" s="14" t="n">
        <f aca="false">Summary!$B$5-B3687</f>
        <v>-22047.170683387</v>
      </c>
      <c r="E3687" s="15" t="n">
        <f aca="false">B3687/Summary!$B$5-1</f>
        <v>0.22047170683387</v>
      </c>
    </row>
    <row r="3688" customFormat="false" ht="15" hidden="false" customHeight="false" outlineLevel="0" collapsed="false">
      <c r="A3688" s="0" t="n">
        <v>3687</v>
      </c>
      <c r="B3688" s="14" t="n">
        <v>99965.9431137462</v>
      </c>
      <c r="C3688" s="15" t="n">
        <v>0.186530404052487</v>
      </c>
      <c r="D3688" s="14" t="n">
        <f aca="false">Summary!$B$5-B3688</f>
        <v>34.0568862537621</v>
      </c>
      <c r="E3688" s="15" t="n">
        <f aca="false">B3688/Summary!$B$5-1</f>
        <v>-0.000340568862537638</v>
      </c>
    </row>
    <row r="3689" customFormat="false" ht="15" hidden="false" customHeight="false" outlineLevel="0" collapsed="false">
      <c r="A3689" s="0" t="n">
        <v>3688</v>
      </c>
      <c r="B3689" s="14" t="n">
        <v>115558.66738704</v>
      </c>
      <c r="C3689" s="15" t="n">
        <v>0.0563291883095359</v>
      </c>
      <c r="D3689" s="14" t="n">
        <f aca="false">Summary!$B$5-B3689</f>
        <v>-15558.66738704</v>
      </c>
      <c r="E3689" s="15" t="n">
        <f aca="false">B3689/Summary!$B$5-1</f>
        <v>0.1555866738704</v>
      </c>
    </row>
    <row r="3690" customFormat="false" ht="15" hidden="false" customHeight="false" outlineLevel="0" collapsed="false">
      <c r="A3690" s="0" t="n">
        <v>3689</v>
      </c>
      <c r="B3690" s="14" t="n">
        <v>104907.213020479</v>
      </c>
      <c r="C3690" s="15" t="n">
        <v>0.132291222799654</v>
      </c>
      <c r="D3690" s="14" t="n">
        <f aca="false">Summary!$B$5-B3690</f>
        <v>-4907.21302047851</v>
      </c>
      <c r="E3690" s="15" t="n">
        <f aca="false">B3690/Summary!$B$5-1</f>
        <v>0.049072130204785</v>
      </c>
    </row>
    <row r="3691" customFormat="false" ht="15" hidden="false" customHeight="false" outlineLevel="0" collapsed="false">
      <c r="A3691" s="0" t="n">
        <v>3690</v>
      </c>
      <c r="B3691" s="14" t="n">
        <v>117267.102231218</v>
      </c>
      <c r="C3691" s="15" t="n">
        <v>0.0516670112458564</v>
      </c>
      <c r="D3691" s="14" t="n">
        <f aca="false">Summary!$B$5-B3691</f>
        <v>-17267.1022312179</v>
      </c>
      <c r="E3691" s="15" t="n">
        <f aca="false">B3691/Summary!$B$5-1</f>
        <v>0.172671022312179</v>
      </c>
    </row>
    <row r="3692" customFormat="false" ht="15" hidden="false" customHeight="false" outlineLevel="0" collapsed="false">
      <c r="A3692" s="0" t="n">
        <v>3691</v>
      </c>
      <c r="B3692" s="14" t="n">
        <v>95437.4656278591</v>
      </c>
      <c r="C3692" s="15" t="n">
        <v>0.10171173635072</v>
      </c>
      <c r="D3692" s="14" t="n">
        <f aca="false">Summary!$B$5-B3692</f>
        <v>4562.53437214086</v>
      </c>
      <c r="E3692" s="15" t="n">
        <f aca="false">B3692/Summary!$B$5-1</f>
        <v>-0.0456253437214086</v>
      </c>
    </row>
    <row r="3693" customFormat="false" ht="15" hidden="false" customHeight="false" outlineLevel="0" collapsed="false">
      <c r="A3693" s="0" t="n">
        <v>3692</v>
      </c>
      <c r="B3693" s="14" t="n">
        <v>124086.760854433</v>
      </c>
      <c r="C3693" s="15" t="n">
        <v>0.0965995343848047</v>
      </c>
      <c r="D3693" s="14" t="n">
        <f aca="false">Summary!$B$5-B3693</f>
        <v>-24086.7608544328</v>
      </c>
      <c r="E3693" s="15" t="n">
        <f aca="false">B3693/Summary!$B$5-1</f>
        <v>0.240867608544328</v>
      </c>
    </row>
    <row r="3694" customFormat="false" ht="15" hidden="false" customHeight="false" outlineLevel="0" collapsed="false">
      <c r="A3694" s="0" t="n">
        <v>3693</v>
      </c>
      <c r="B3694" s="14" t="n">
        <v>94648.0436285717</v>
      </c>
      <c r="C3694" s="15" t="n">
        <v>0.191863362533558</v>
      </c>
      <c r="D3694" s="14" t="n">
        <f aca="false">Summary!$B$5-B3694</f>
        <v>5351.9563714283</v>
      </c>
      <c r="E3694" s="15" t="n">
        <f aca="false">B3694/Summary!$B$5-1</f>
        <v>-0.053519563714283</v>
      </c>
    </row>
    <row r="3695" customFormat="false" ht="15" hidden="false" customHeight="false" outlineLevel="0" collapsed="false">
      <c r="A3695" s="0" t="n">
        <v>3694</v>
      </c>
      <c r="B3695" s="14" t="n">
        <v>117661.822312229</v>
      </c>
      <c r="C3695" s="15" t="n">
        <v>0.0668094774271277</v>
      </c>
      <c r="D3695" s="14" t="n">
        <f aca="false">Summary!$B$5-B3695</f>
        <v>-17661.8223122294</v>
      </c>
      <c r="E3695" s="15" t="n">
        <f aca="false">B3695/Summary!$B$5-1</f>
        <v>0.176618223122294</v>
      </c>
    </row>
    <row r="3696" customFormat="false" ht="15" hidden="false" customHeight="false" outlineLevel="0" collapsed="false">
      <c r="A3696" s="0" t="n">
        <v>3695</v>
      </c>
      <c r="B3696" s="14" t="n">
        <v>114347.835210611</v>
      </c>
      <c r="C3696" s="15" t="n">
        <v>0.0686883889339952</v>
      </c>
      <c r="D3696" s="14" t="n">
        <f aca="false">Summary!$B$5-B3696</f>
        <v>-14347.8352106112</v>
      </c>
      <c r="E3696" s="15" t="n">
        <f aca="false">B3696/Summary!$B$5-1</f>
        <v>0.143478352106112</v>
      </c>
    </row>
    <row r="3697" customFormat="false" ht="15" hidden="false" customHeight="false" outlineLevel="0" collapsed="false">
      <c r="A3697" s="0" t="n">
        <v>3696</v>
      </c>
      <c r="B3697" s="14" t="n">
        <v>121331.242671091</v>
      </c>
      <c r="C3697" s="15" t="n">
        <v>0.0711662164839744</v>
      </c>
      <c r="D3697" s="14" t="n">
        <f aca="false">Summary!$B$5-B3697</f>
        <v>-21331.2426710912</v>
      </c>
      <c r="E3697" s="15" t="n">
        <f aca="false">B3697/Summary!$B$5-1</f>
        <v>0.213312426710912</v>
      </c>
    </row>
    <row r="3698" customFormat="false" ht="15" hidden="false" customHeight="false" outlineLevel="0" collapsed="false">
      <c r="A3698" s="0" t="n">
        <v>3697</v>
      </c>
      <c r="B3698" s="14" t="n">
        <v>124106.375085569</v>
      </c>
      <c r="C3698" s="15" t="n">
        <v>0.0522423520886306</v>
      </c>
      <c r="D3698" s="14" t="n">
        <f aca="false">Summary!$B$5-B3698</f>
        <v>-24106.3750855693</v>
      </c>
      <c r="E3698" s="15" t="n">
        <f aca="false">B3698/Summary!$B$5-1</f>
        <v>0.241063750855693</v>
      </c>
    </row>
    <row r="3699" customFormat="false" ht="15" hidden="false" customHeight="false" outlineLevel="0" collapsed="false">
      <c r="A3699" s="0" t="n">
        <v>3698</v>
      </c>
      <c r="B3699" s="14" t="n">
        <v>114583.87187514</v>
      </c>
      <c r="C3699" s="15" t="n">
        <v>0.0631271510828755</v>
      </c>
      <c r="D3699" s="14" t="n">
        <f aca="false">Summary!$B$5-B3699</f>
        <v>-14583.8718751404</v>
      </c>
      <c r="E3699" s="15" t="n">
        <f aca="false">B3699/Summary!$B$5-1</f>
        <v>0.145838718751404</v>
      </c>
    </row>
    <row r="3700" customFormat="false" ht="15" hidden="false" customHeight="false" outlineLevel="0" collapsed="false">
      <c r="A3700" s="0" t="n">
        <v>3699</v>
      </c>
      <c r="B3700" s="14" t="n">
        <v>117111.207757526</v>
      </c>
      <c r="C3700" s="15" t="n">
        <v>0.0560119327955566</v>
      </c>
      <c r="D3700" s="14" t="n">
        <f aca="false">Summary!$B$5-B3700</f>
        <v>-17111.207757526</v>
      </c>
      <c r="E3700" s="15" t="n">
        <f aca="false">B3700/Summary!$B$5-1</f>
        <v>0.17111207757526</v>
      </c>
    </row>
    <row r="3701" customFormat="false" ht="15" hidden="false" customHeight="false" outlineLevel="0" collapsed="false">
      <c r="A3701" s="0" t="n">
        <v>3700</v>
      </c>
      <c r="B3701" s="14" t="n">
        <v>117072.593147065</v>
      </c>
      <c r="C3701" s="15" t="n">
        <v>0.0664027348869769</v>
      </c>
      <c r="D3701" s="14" t="n">
        <f aca="false">Summary!$B$5-B3701</f>
        <v>-17072.5931470647</v>
      </c>
      <c r="E3701" s="15" t="n">
        <f aca="false">B3701/Summary!$B$5-1</f>
        <v>0.170725931470647</v>
      </c>
    </row>
    <row r="3702" customFormat="false" ht="15" hidden="false" customHeight="false" outlineLevel="0" collapsed="false">
      <c r="A3702" s="0" t="n">
        <v>3701</v>
      </c>
      <c r="B3702" s="14" t="n">
        <v>107121.640170024</v>
      </c>
      <c r="C3702" s="15" t="n">
        <v>0.0989904751188473</v>
      </c>
      <c r="D3702" s="14" t="n">
        <f aca="false">Summary!$B$5-B3702</f>
        <v>-7121.64017002381</v>
      </c>
      <c r="E3702" s="15" t="n">
        <f aca="false">B3702/Summary!$B$5-1</f>
        <v>0.0712164017002381</v>
      </c>
    </row>
    <row r="3703" customFormat="false" ht="15" hidden="false" customHeight="false" outlineLevel="0" collapsed="false">
      <c r="A3703" s="0" t="n">
        <v>3702</v>
      </c>
      <c r="B3703" s="14" t="n">
        <v>121023.82605284</v>
      </c>
      <c r="C3703" s="15" t="n">
        <v>0.0727021610828103</v>
      </c>
      <c r="D3703" s="14" t="n">
        <f aca="false">Summary!$B$5-B3703</f>
        <v>-21023.82605284</v>
      </c>
      <c r="E3703" s="15" t="n">
        <f aca="false">B3703/Summary!$B$5-1</f>
        <v>0.2102382605284</v>
      </c>
    </row>
    <row r="3704" customFormat="false" ht="15" hidden="false" customHeight="false" outlineLevel="0" collapsed="false">
      <c r="A3704" s="0" t="n">
        <v>3703</v>
      </c>
      <c r="B3704" s="14" t="n">
        <v>96199.3956656503</v>
      </c>
      <c r="C3704" s="15" t="n">
        <v>0.101521221434202</v>
      </c>
      <c r="D3704" s="14" t="n">
        <f aca="false">Summary!$B$5-B3704</f>
        <v>3800.60433434966</v>
      </c>
      <c r="E3704" s="15" t="n">
        <f aca="false">B3704/Summary!$B$5-1</f>
        <v>-0.0380060433434966</v>
      </c>
    </row>
    <row r="3705" customFormat="false" ht="15" hidden="false" customHeight="false" outlineLevel="0" collapsed="false">
      <c r="A3705" s="0" t="n">
        <v>3704</v>
      </c>
      <c r="B3705" s="14" t="n">
        <v>138129.290841114</v>
      </c>
      <c r="C3705" s="15" t="n">
        <v>0.0509187697199044</v>
      </c>
      <c r="D3705" s="14" t="n">
        <f aca="false">Summary!$B$5-B3705</f>
        <v>-38129.2908411141</v>
      </c>
      <c r="E3705" s="15" t="n">
        <f aca="false">B3705/Summary!$B$5-1</f>
        <v>0.381292908411141</v>
      </c>
    </row>
    <row r="3706" customFormat="false" ht="15" hidden="false" customHeight="false" outlineLevel="0" collapsed="false">
      <c r="A3706" s="0" t="n">
        <v>3705</v>
      </c>
      <c r="B3706" s="14" t="n">
        <v>97684.6996455111</v>
      </c>
      <c r="C3706" s="15" t="n">
        <v>0.108262092646207</v>
      </c>
      <c r="D3706" s="14" t="n">
        <f aca="false">Summary!$B$5-B3706</f>
        <v>2315.30035448889</v>
      </c>
      <c r="E3706" s="15" t="n">
        <f aca="false">B3706/Summary!$B$5-1</f>
        <v>-0.0231530035448889</v>
      </c>
    </row>
    <row r="3707" customFormat="false" ht="15" hidden="false" customHeight="false" outlineLevel="0" collapsed="false">
      <c r="A3707" s="0" t="n">
        <v>3706</v>
      </c>
      <c r="B3707" s="14" t="n">
        <v>121168.341749111</v>
      </c>
      <c r="C3707" s="15" t="n">
        <v>0.0580900431223501</v>
      </c>
      <c r="D3707" s="14" t="n">
        <f aca="false">Summary!$B$5-B3707</f>
        <v>-21168.3417491108</v>
      </c>
      <c r="E3707" s="15" t="n">
        <f aca="false">B3707/Summary!$B$5-1</f>
        <v>0.211683417491108</v>
      </c>
    </row>
    <row r="3708" customFormat="false" ht="15" hidden="false" customHeight="false" outlineLevel="0" collapsed="false">
      <c r="A3708" s="0" t="n">
        <v>3707</v>
      </c>
      <c r="B3708" s="14" t="n">
        <v>85774.0852079314</v>
      </c>
      <c r="C3708" s="15" t="n">
        <v>0.151694270325528</v>
      </c>
      <c r="D3708" s="14" t="n">
        <f aca="false">Summary!$B$5-B3708</f>
        <v>14225.9147920686</v>
      </c>
      <c r="E3708" s="15" t="n">
        <f aca="false">B3708/Summary!$B$5-1</f>
        <v>-0.142259147920686</v>
      </c>
    </row>
    <row r="3709" customFormat="false" ht="15" hidden="false" customHeight="false" outlineLevel="0" collapsed="false">
      <c r="A3709" s="0" t="n">
        <v>3708</v>
      </c>
      <c r="B3709" s="14" t="n">
        <v>105426.998465201</v>
      </c>
      <c r="C3709" s="15" t="n">
        <v>0.0924340249964717</v>
      </c>
      <c r="D3709" s="14" t="n">
        <f aca="false">Summary!$B$5-B3709</f>
        <v>-5426.9984652008</v>
      </c>
      <c r="E3709" s="15" t="n">
        <f aca="false">B3709/Summary!$B$5-1</f>
        <v>0.0542699846520081</v>
      </c>
    </row>
    <row r="3710" customFormat="false" ht="15" hidden="false" customHeight="false" outlineLevel="0" collapsed="false">
      <c r="A3710" s="0" t="n">
        <v>3709</v>
      </c>
      <c r="B3710" s="14" t="n">
        <v>109441.99899513</v>
      </c>
      <c r="C3710" s="15" t="n">
        <v>0.0677657191473953</v>
      </c>
      <c r="D3710" s="14" t="n">
        <f aca="false">Summary!$B$5-B3710</f>
        <v>-9441.9989951304</v>
      </c>
      <c r="E3710" s="15" t="n">
        <f aca="false">B3710/Summary!$B$5-1</f>
        <v>0.0944199899513041</v>
      </c>
    </row>
    <row r="3711" customFormat="false" ht="15" hidden="false" customHeight="false" outlineLevel="0" collapsed="false">
      <c r="A3711" s="0" t="n">
        <v>3710</v>
      </c>
      <c r="B3711" s="14" t="n">
        <v>99740.2139826233</v>
      </c>
      <c r="C3711" s="15" t="n">
        <v>0.113656172574647</v>
      </c>
      <c r="D3711" s="14" t="n">
        <f aca="false">Summary!$B$5-B3711</f>
        <v>259.786017376755</v>
      </c>
      <c r="E3711" s="15" t="n">
        <f aca="false">B3711/Summary!$B$5-1</f>
        <v>-0.00259786017376751</v>
      </c>
    </row>
    <row r="3712" customFormat="false" ht="15" hidden="false" customHeight="false" outlineLevel="0" collapsed="false">
      <c r="A3712" s="0" t="n">
        <v>3711</v>
      </c>
      <c r="B3712" s="14" t="n">
        <v>108589.681182885</v>
      </c>
      <c r="C3712" s="15" t="n">
        <v>0.0960088135173857</v>
      </c>
      <c r="D3712" s="14" t="n">
        <f aca="false">Summary!$B$5-B3712</f>
        <v>-8589.6811828847</v>
      </c>
      <c r="E3712" s="15" t="n">
        <f aca="false">B3712/Summary!$B$5-1</f>
        <v>0.085896811828847</v>
      </c>
    </row>
    <row r="3713" customFormat="false" ht="15" hidden="false" customHeight="false" outlineLevel="0" collapsed="false">
      <c r="A3713" s="0" t="n">
        <v>3712</v>
      </c>
      <c r="B3713" s="14" t="n">
        <v>99723.4532645169</v>
      </c>
      <c r="C3713" s="15" t="n">
        <v>0.0749573786801274</v>
      </c>
      <c r="D3713" s="14" t="n">
        <f aca="false">Summary!$B$5-B3713</f>
        <v>276.546735483062</v>
      </c>
      <c r="E3713" s="15" t="n">
        <f aca="false">B3713/Summary!$B$5-1</f>
        <v>-0.00276546735483063</v>
      </c>
    </row>
    <row r="3714" customFormat="false" ht="15" hidden="false" customHeight="false" outlineLevel="0" collapsed="false">
      <c r="A3714" s="0" t="n">
        <v>3713</v>
      </c>
      <c r="B3714" s="14" t="n">
        <v>108249.963280928</v>
      </c>
      <c r="C3714" s="15" t="n">
        <v>0.0840515994167534</v>
      </c>
      <c r="D3714" s="14" t="n">
        <f aca="false">Summary!$B$5-B3714</f>
        <v>-8249.963280928</v>
      </c>
      <c r="E3714" s="15" t="n">
        <f aca="false">B3714/Summary!$B$5-1</f>
        <v>0.08249963280928</v>
      </c>
    </row>
    <row r="3715" customFormat="false" ht="15" hidden="false" customHeight="false" outlineLevel="0" collapsed="false">
      <c r="A3715" s="0" t="n">
        <v>3714</v>
      </c>
      <c r="B3715" s="14" t="n">
        <v>141805.455173502</v>
      </c>
      <c r="C3715" s="15" t="n">
        <v>0.0676278809627331</v>
      </c>
      <c r="D3715" s="14" t="n">
        <f aca="false">Summary!$B$5-B3715</f>
        <v>-41805.4551735017</v>
      </c>
      <c r="E3715" s="15" t="n">
        <f aca="false">B3715/Summary!$B$5-1</f>
        <v>0.418054551735017</v>
      </c>
    </row>
    <row r="3716" customFormat="false" ht="15" hidden="false" customHeight="false" outlineLevel="0" collapsed="false">
      <c r="A3716" s="0" t="n">
        <v>3715</v>
      </c>
      <c r="B3716" s="14" t="n">
        <v>112119.606999029</v>
      </c>
      <c r="C3716" s="15" t="n">
        <v>0.0841185035618594</v>
      </c>
      <c r="D3716" s="14" t="n">
        <f aca="false">Summary!$B$5-B3716</f>
        <v>-12119.606999029</v>
      </c>
      <c r="E3716" s="15" t="n">
        <f aca="false">B3716/Summary!$B$5-1</f>
        <v>0.12119606999029</v>
      </c>
    </row>
    <row r="3717" customFormat="false" ht="15" hidden="false" customHeight="false" outlineLevel="0" collapsed="false">
      <c r="A3717" s="0" t="n">
        <v>3716</v>
      </c>
      <c r="B3717" s="14" t="n">
        <v>116145.500243309</v>
      </c>
      <c r="C3717" s="15" t="n">
        <v>0.0583057726760543</v>
      </c>
      <c r="D3717" s="14" t="n">
        <f aca="false">Summary!$B$5-B3717</f>
        <v>-16145.5002433093</v>
      </c>
      <c r="E3717" s="15" t="n">
        <f aca="false">B3717/Summary!$B$5-1</f>
        <v>0.161455002433093</v>
      </c>
    </row>
    <row r="3718" customFormat="false" ht="15" hidden="false" customHeight="false" outlineLevel="0" collapsed="false">
      <c r="A3718" s="0" t="n">
        <v>3717</v>
      </c>
      <c r="B3718" s="14" t="n">
        <v>114655.172188292</v>
      </c>
      <c r="C3718" s="15" t="n">
        <v>0.063258145794469</v>
      </c>
      <c r="D3718" s="14" t="n">
        <f aca="false">Summary!$B$5-B3718</f>
        <v>-14655.1721882924</v>
      </c>
      <c r="E3718" s="15" t="n">
        <f aca="false">B3718/Summary!$B$5-1</f>
        <v>0.146551721882924</v>
      </c>
    </row>
    <row r="3719" customFormat="false" ht="15" hidden="false" customHeight="false" outlineLevel="0" collapsed="false">
      <c r="A3719" s="0" t="n">
        <v>3718</v>
      </c>
      <c r="B3719" s="14" t="n">
        <v>127376.025613836</v>
      </c>
      <c r="C3719" s="15" t="n">
        <v>0.0520514184836152</v>
      </c>
      <c r="D3719" s="14" t="n">
        <f aca="false">Summary!$B$5-B3719</f>
        <v>-27376.0256138361</v>
      </c>
      <c r="E3719" s="15" t="n">
        <f aca="false">B3719/Summary!$B$5-1</f>
        <v>0.273760256138361</v>
      </c>
    </row>
    <row r="3720" customFormat="false" ht="15" hidden="false" customHeight="false" outlineLevel="0" collapsed="false">
      <c r="A3720" s="0" t="n">
        <v>3719</v>
      </c>
      <c r="B3720" s="14" t="n">
        <v>103942.794457328</v>
      </c>
      <c r="C3720" s="15" t="n">
        <v>0.113184064271566</v>
      </c>
      <c r="D3720" s="14" t="n">
        <f aca="false">Summary!$B$5-B3720</f>
        <v>-3942.79445732771</v>
      </c>
      <c r="E3720" s="15" t="n">
        <f aca="false">B3720/Summary!$B$5-1</f>
        <v>0.039427944573277</v>
      </c>
    </row>
    <row r="3721" customFormat="false" ht="15" hidden="false" customHeight="false" outlineLevel="0" collapsed="false">
      <c r="A3721" s="0" t="n">
        <v>3720</v>
      </c>
      <c r="B3721" s="14" t="n">
        <v>105834.501915273</v>
      </c>
      <c r="C3721" s="15" t="n">
        <v>0.129299762312645</v>
      </c>
      <c r="D3721" s="14" t="n">
        <f aca="false">Summary!$B$5-B3721</f>
        <v>-5834.5019152726</v>
      </c>
      <c r="E3721" s="15" t="n">
        <f aca="false">B3721/Summary!$B$5-1</f>
        <v>0.0583450191527259</v>
      </c>
    </row>
    <row r="3722" customFormat="false" ht="15" hidden="false" customHeight="false" outlineLevel="0" collapsed="false">
      <c r="A3722" s="0" t="n">
        <v>3721</v>
      </c>
      <c r="B3722" s="14" t="n">
        <v>114639.142546171</v>
      </c>
      <c r="C3722" s="15" t="n">
        <v>0.0657182563330245</v>
      </c>
      <c r="D3722" s="14" t="n">
        <f aca="false">Summary!$B$5-B3722</f>
        <v>-14639.1425461712</v>
      </c>
      <c r="E3722" s="15" t="n">
        <f aca="false">B3722/Summary!$B$5-1</f>
        <v>0.146391425461712</v>
      </c>
    </row>
    <row r="3723" customFormat="false" ht="15" hidden="false" customHeight="false" outlineLevel="0" collapsed="false">
      <c r="A3723" s="0" t="n">
        <v>3722</v>
      </c>
      <c r="B3723" s="14" t="n">
        <v>98497.6620099352</v>
      </c>
      <c r="C3723" s="15" t="n">
        <v>0.131761688748813</v>
      </c>
      <c r="D3723" s="14" t="n">
        <f aca="false">Summary!$B$5-B3723</f>
        <v>1502.33799006483</v>
      </c>
      <c r="E3723" s="15" t="n">
        <f aca="false">B3723/Summary!$B$5-1</f>
        <v>-0.0150233799006483</v>
      </c>
    </row>
    <row r="3724" customFormat="false" ht="15" hidden="false" customHeight="false" outlineLevel="0" collapsed="false">
      <c r="A3724" s="0" t="n">
        <v>3723</v>
      </c>
      <c r="B3724" s="14" t="n">
        <v>103967.785483279</v>
      </c>
      <c r="C3724" s="15" t="n">
        <v>0.0794493308956924</v>
      </c>
      <c r="D3724" s="14" t="n">
        <f aca="false">Summary!$B$5-B3724</f>
        <v>-3967.78548327911</v>
      </c>
      <c r="E3724" s="15" t="n">
        <f aca="false">B3724/Summary!$B$5-1</f>
        <v>0.039677854832791</v>
      </c>
    </row>
    <row r="3725" customFormat="false" ht="15" hidden="false" customHeight="false" outlineLevel="0" collapsed="false">
      <c r="A3725" s="0" t="n">
        <v>3724</v>
      </c>
      <c r="B3725" s="14" t="n">
        <v>146824.193041776</v>
      </c>
      <c r="C3725" s="15" t="n">
        <v>0.0496528766117367</v>
      </c>
      <c r="D3725" s="14" t="n">
        <f aca="false">Summary!$B$5-B3725</f>
        <v>-46824.1930417755</v>
      </c>
      <c r="E3725" s="15" t="n">
        <f aca="false">B3725/Summary!$B$5-1</f>
        <v>0.468241930417755</v>
      </c>
    </row>
    <row r="3726" customFormat="false" ht="15" hidden="false" customHeight="false" outlineLevel="0" collapsed="false">
      <c r="A3726" s="0" t="n">
        <v>3725</v>
      </c>
      <c r="B3726" s="14" t="n">
        <v>97571.3520925485</v>
      </c>
      <c r="C3726" s="15" t="n">
        <v>0.109501085069949</v>
      </c>
      <c r="D3726" s="14" t="n">
        <f aca="false">Summary!$B$5-B3726</f>
        <v>2428.64790745148</v>
      </c>
      <c r="E3726" s="15" t="n">
        <f aca="false">B3726/Summary!$B$5-1</f>
        <v>-0.0242864790745148</v>
      </c>
    </row>
    <row r="3727" customFormat="false" ht="15" hidden="false" customHeight="false" outlineLevel="0" collapsed="false">
      <c r="A3727" s="0" t="n">
        <v>3726</v>
      </c>
      <c r="B3727" s="14" t="n">
        <v>94791.3805391026</v>
      </c>
      <c r="C3727" s="15" t="n">
        <v>0.119885215477734</v>
      </c>
      <c r="D3727" s="14" t="n">
        <f aca="false">Summary!$B$5-B3727</f>
        <v>5208.61946089739</v>
      </c>
      <c r="E3727" s="15" t="n">
        <f aca="false">B3727/Summary!$B$5-1</f>
        <v>-0.0520861946089739</v>
      </c>
    </row>
    <row r="3728" customFormat="false" ht="15" hidden="false" customHeight="false" outlineLevel="0" collapsed="false">
      <c r="A3728" s="0" t="n">
        <v>3727</v>
      </c>
      <c r="B3728" s="14" t="n">
        <v>106286.386987774</v>
      </c>
      <c r="C3728" s="15" t="n">
        <v>0.0715670916213713</v>
      </c>
      <c r="D3728" s="14" t="n">
        <f aca="false">Summary!$B$5-B3728</f>
        <v>-6286.3869877736</v>
      </c>
      <c r="E3728" s="15" t="n">
        <f aca="false">B3728/Summary!$B$5-1</f>
        <v>0.062863869877736</v>
      </c>
    </row>
    <row r="3729" customFormat="false" ht="15" hidden="false" customHeight="false" outlineLevel="0" collapsed="false">
      <c r="A3729" s="0" t="n">
        <v>3728</v>
      </c>
      <c r="B3729" s="14" t="n">
        <v>105285.20531625</v>
      </c>
      <c r="C3729" s="15" t="n">
        <v>0.0769665703769232</v>
      </c>
      <c r="D3729" s="14" t="n">
        <f aca="false">Summary!$B$5-B3729</f>
        <v>-5285.20531624991</v>
      </c>
      <c r="E3729" s="15" t="n">
        <f aca="false">B3729/Summary!$B$5-1</f>
        <v>0.052852053162499</v>
      </c>
    </row>
    <row r="3730" customFormat="false" ht="15" hidden="false" customHeight="false" outlineLevel="0" collapsed="false">
      <c r="A3730" s="0" t="n">
        <v>3729</v>
      </c>
      <c r="B3730" s="14" t="n">
        <v>117236.052761003</v>
      </c>
      <c r="C3730" s="15" t="n">
        <v>0.0855247511145596</v>
      </c>
      <c r="D3730" s="14" t="n">
        <f aca="false">Summary!$B$5-B3730</f>
        <v>-17236.0527610033</v>
      </c>
      <c r="E3730" s="15" t="n">
        <f aca="false">B3730/Summary!$B$5-1</f>
        <v>0.172360527610033</v>
      </c>
    </row>
    <row r="3731" customFormat="false" ht="15" hidden="false" customHeight="false" outlineLevel="0" collapsed="false">
      <c r="A3731" s="0" t="n">
        <v>3730</v>
      </c>
      <c r="B3731" s="14" t="n">
        <v>106369.150749649</v>
      </c>
      <c r="C3731" s="15" t="n">
        <v>0.0625488307930247</v>
      </c>
      <c r="D3731" s="14" t="n">
        <f aca="false">Summary!$B$5-B3731</f>
        <v>-6369.15074964899</v>
      </c>
      <c r="E3731" s="15" t="n">
        <f aca="false">B3731/Summary!$B$5-1</f>
        <v>0.0636915074964899</v>
      </c>
    </row>
    <row r="3732" customFormat="false" ht="15" hidden="false" customHeight="false" outlineLevel="0" collapsed="false">
      <c r="A3732" s="0" t="n">
        <v>3731</v>
      </c>
      <c r="B3732" s="14" t="n">
        <v>110451.720221216</v>
      </c>
      <c r="C3732" s="15" t="n">
        <v>0.10409718080828</v>
      </c>
      <c r="D3732" s="14" t="n">
        <f aca="false">Summary!$B$5-B3732</f>
        <v>-10451.7202212159</v>
      </c>
      <c r="E3732" s="15" t="n">
        <f aca="false">B3732/Summary!$B$5-1</f>
        <v>0.104517202212159</v>
      </c>
    </row>
    <row r="3733" customFormat="false" ht="15" hidden="false" customHeight="false" outlineLevel="0" collapsed="false">
      <c r="A3733" s="0" t="n">
        <v>3732</v>
      </c>
      <c r="B3733" s="14" t="n">
        <v>108648.717481905</v>
      </c>
      <c r="C3733" s="15" t="n">
        <v>0.0953524277513926</v>
      </c>
      <c r="D3733" s="14" t="n">
        <f aca="false">Summary!$B$5-B3733</f>
        <v>-8648.7174819051</v>
      </c>
      <c r="E3733" s="15" t="n">
        <f aca="false">B3733/Summary!$B$5-1</f>
        <v>0.086487174819051</v>
      </c>
    </row>
    <row r="3734" customFormat="false" ht="15" hidden="false" customHeight="false" outlineLevel="0" collapsed="false">
      <c r="A3734" s="0" t="n">
        <v>3733</v>
      </c>
      <c r="B3734" s="14" t="n">
        <v>91076.266140123</v>
      </c>
      <c r="C3734" s="15" t="n">
        <v>0.204764234376845</v>
      </c>
      <c r="D3734" s="14" t="n">
        <f aca="false">Summary!$B$5-B3734</f>
        <v>8923.733859877</v>
      </c>
      <c r="E3734" s="15" t="n">
        <f aca="false">B3734/Summary!$B$5-1</f>
        <v>-0.08923733859877</v>
      </c>
    </row>
    <row r="3735" customFormat="false" ht="15" hidden="false" customHeight="false" outlineLevel="0" collapsed="false">
      <c r="A3735" s="0" t="n">
        <v>3734</v>
      </c>
      <c r="B3735" s="14" t="n">
        <v>102608.570938572</v>
      </c>
      <c r="C3735" s="15" t="n">
        <v>0.109776375585254</v>
      </c>
      <c r="D3735" s="14" t="n">
        <f aca="false">Summary!$B$5-B3735</f>
        <v>-2608.5709385715</v>
      </c>
      <c r="E3735" s="15" t="n">
        <f aca="false">B3735/Summary!$B$5-1</f>
        <v>0.026085709385715</v>
      </c>
    </row>
    <row r="3736" customFormat="false" ht="15" hidden="false" customHeight="false" outlineLevel="0" collapsed="false">
      <c r="A3736" s="0" t="n">
        <v>3735</v>
      </c>
      <c r="B3736" s="14" t="n">
        <v>90021.8752097431</v>
      </c>
      <c r="C3736" s="15" t="n">
        <v>0.155238093534025</v>
      </c>
      <c r="D3736" s="14" t="n">
        <f aca="false">Summary!$B$5-B3736</f>
        <v>9978.12479025693</v>
      </c>
      <c r="E3736" s="15" t="n">
        <f aca="false">B3736/Summary!$B$5-1</f>
        <v>-0.0997812479025693</v>
      </c>
    </row>
    <row r="3737" customFormat="false" ht="15" hidden="false" customHeight="false" outlineLevel="0" collapsed="false">
      <c r="A3737" s="0" t="n">
        <v>3736</v>
      </c>
      <c r="B3737" s="14" t="n">
        <v>98673.4152421786</v>
      </c>
      <c r="C3737" s="15" t="n">
        <v>0.1535428344121</v>
      </c>
      <c r="D3737" s="14" t="n">
        <f aca="false">Summary!$B$5-B3737</f>
        <v>1326.58475782137</v>
      </c>
      <c r="E3737" s="15" t="n">
        <f aca="false">B3737/Summary!$B$5-1</f>
        <v>-0.0132658475782137</v>
      </c>
    </row>
    <row r="3738" customFormat="false" ht="15" hidden="false" customHeight="false" outlineLevel="0" collapsed="false">
      <c r="A3738" s="0" t="n">
        <v>3737</v>
      </c>
      <c r="B3738" s="14" t="n">
        <v>102533.671990678</v>
      </c>
      <c r="C3738" s="15" t="n">
        <v>0.0707548931107477</v>
      </c>
      <c r="D3738" s="14" t="n">
        <f aca="false">Summary!$B$5-B3738</f>
        <v>-2533.67199067819</v>
      </c>
      <c r="E3738" s="15" t="n">
        <f aca="false">B3738/Summary!$B$5-1</f>
        <v>0.025336719906782</v>
      </c>
    </row>
    <row r="3739" customFormat="false" ht="15" hidden="false" customHeight="false" outlineLevel="0" collapsed="false">
      <c r="A3739" s="0" t="n">
        <v>3738</v>
      </c>
      <c r="B3739" s="14" t="n">
        <v>111036.097851295</v>
      </c>
      <c r="C3739" s="15" t="n">
        <v>0.0860616003046314</v>
      </c>
      <c r="D3739" s="14" t="n">
        <f aca="false">Summary!$B$5-B3739</f>
        <v>-11036.0978512953</v>
      </c>
      <c r="E3739" s="15" t="n">
        <f aca="false">B3739/Summary!$B$5-1</f>
        <v>0.110360978512953</v>
      </c>
    </row>
    <row r="3740" customFormat="false" ht="15" hidden="false" customHeight="false" outlineLevel="0" collapsed="false">
      <c r="A3740" s="0" t="n">
        <v>3739</v>
      </c>
      <c r="B3740" s="14" t="n">
        <v>83424.2699428009</v>
      </c>
      <c r="C3740" s="15" t="n">
        <v>0.247033503649389</v>
      </c>
      <c r="D3740" s="14" t="n">
        <f aca="false">Summary!$B$5-B3740</f>
        <v>16575.7300571991</v>
      </c>
      <c r="E3740" s="15" t="n">
        <f aca="false">B3740/Summary!$B$5-1</f>
        <v>-0.165757300571991</v>
      </c>
    </row>
    <row r="3741" customFormat="false" ht="15" hidden="false" customHeight="false" outlineLevel="0" collapsed="false">
      <c r="A3741" s="0" t="n">
        <v>3740</v>
      </c>
      <c r="B3741" s="14" t="n">
        <v>98783.3815689771</v>
      </c>
      <c r="C3741" s="15" t="n">
        <v>0.120447719880781</v>
      </c>
      <c r="D3741" s="14" t="n">
        <f aca="false">Summary!$B$5-B3741</f>
        <v>1216.61843102286</v>
      </c>
      <c r="E3741" s="15" t="n">
        <f aca="false">B3741/Summary!$B$5-1</f>
        <v>-0.0121661843102285</v>
      </c>
    </row>
    <row r="3742" customFormat="false" ht="15" hidden="false" customHeight="false" outlineLevel="0" collapsed="false">
      <c r="A3742" s="0" t="n">
        <v>3741</v>
      </c>
      <c r="B3742" s="14" t="n">
        <v>109674.364440228</v>
      </c>
      <c r="C3742" s="15" t="n">
        <v>0.0976114530504144</v>
      </c>
      <c r="D3742" s="14" t="n">
        <f aca="false">Summary!$B$5-B3742</f>
        <v>-9674.3644402278</v>
      </c>
      <c r="E3742" s="15" t="n">
        <f aca="false">B3742/Summary!$B$5-1</f>
        <v>0.096743644402278</v>
      </c>
    </row>
    <row r="3743" customFormat="false" ht="15" hidden="false" customHeight="false" outlineLevel="0" collapsed="false">
      <c r="A3743" s="0" t="n">
        <v>3742</v>
      </c>
      <c r="B3743" s="14" t="n">
        <v>102607.575739356</v>
      </c>
      <c r="C3743" s="15" t="n">
        <v>0.130635286370813</v>
      </c>
      <c r="D3743" s="14" t="n">
        <f aca="false">Summary!$B$5-B3743</f>
        <v>-2607.5757393558</v>
      </c>
      <c r="E3743" s="15" t="n">
        <f aca="false">B3743/Summary!$B$5-1</f>
        <v>0.0260757573935579</v>
      </c>
    </row>
    <row r="3744" customFormat="false" ht="15" hidden="false" customHeight="false" outlineLevel="0" collapsed="false">
      <c r="A3744" s="0" t="n">
        <v>3743</v>
      </c>
      <c r="B3744" s="14" t="n">
        <v>122137.42108214</v>
      </c>
      <c r="C3744" s="15" t="n">
        <v>0.0540659760436145</v>
      </c>
      <c r="D3744" s="14" t="n">
        <f aca="false">Summary!$B$5-B3744</f>
        <v>-22137.4210821395</v>
      </c>
      <c r="E3744" s="15" t="n">
        <f aca="false">B3744/Summary!$B$5-1</f>
        <v>0.221374210821395</v>
      </c>
    </row>
    <row r="3745" customFormat="false" ht="15" hidden="false" customHeight="false" outlineLevel="0" collapsed="false">
      <c r="A3745" s="0" t="n">
        <v>3744</v>
      </c>
      <c r="B3745" s="14" t="n">
        <v>81675.3699948883</v>
      </c>
      <c r="C3745" s="15" t="n">
        <v>0.203099427134776</v>
      </c>
      <c r="D3745" s="14" t="n">
        <f aca="false">Summary!$B$5-B3745</f>
        <v>18324.6300051117</v>
      </c>
      <c r="E3745" s="15" t="n">
        <f aca="false">B3745/Summary!$B$5-1</f>
        <v>-0.183246300051117</v>
      </c>
    </row>
    <row r="3746" customFormat="false" ht="15" hidden="false" customHeight="false" outlineLevel="0" collapsed="false">
      <c r="A3746" s="0" t="n">
        <v>3745</v>
      </c>
      <c r="B3746" s="14" t="n">
        <v>101175.606083987</v>
      </c>
      <c r="C3746" s="15" t="n">
        <v>0.0870183535831132</v>
      </c>
      <c r="D3746" s="14" t="n">
        <f aca="false">Summary!$B$5-B3746</f>
        <v>-1175.606083987</v>
      </c>
      <c r="E3746" s="15" t="n">
        <f aca="false">B3746/Summary!$B$5-1</f>
        <v>0.0117560608398701</v>
      </c>
    </row>
    <row r="3747" customFormat="false" ht="15" hidden="false" customHeight="false" outlineLevel="0" collapsed="false">
      <c r="A3747" s="0" t="n">
        <v>3746</v>
      </c>
      <c r="B3747" s="14" t="n">
        <v>100013.243156938</v>
      </c>
      <c r="C3747" s="15" t="n">
        <v>0.0925593230780294</v>
      </c>
      <c r="D3747" s="14" t="n">
        <f aca="false">Summary!$B$5-B3747</f>
        <v>-13.2431569376931</v>
      </c>
      <c r="E3747" s="15" t="n">
        <f aca="false">B3747/Summary!$B$5-1</f>
        <v>0.000132431569376923</v>
      </c>
    </row>
    <row r="3748" customFormat="false" ht="15" hidden="false" customHeight="false" outlineLevel="0" collapsed="false">
      <c r="A3748" s="0" t="n">
        <v>3747</v>
      </c>
      <c r="B3748" s="14" t="n">
        <v>108845.508077766</v>
      </c>
      <c r="C3748" s="15" t="n">
        <v>0.0896745001163726</v>
      </c>
      <c r="D3748" s="14" t="n">
        <f aca="false">Summary!$B$5-B3748</f>
        <v>-8845.5080777664</v>
      </c>
      <c r="E3748" s="15" t="n">
        <f aca="false">B3748/Summary!$B$5-1</f>
        <v>0.0884550807776641</v>
      </c>
    </row>
    <row r="3749" customFormat="false" ht="15" hidden="false" customHeight="false" outlineLevel="0" collapsed="false">
      <c r="A3749" s="0" t="n">
        <v>3748</v>
      </c>
      <c r="B3749" s="14" t="n">
        <v>116449.441444483</v>
      </c>
      <c r="C3749" s="15" t="n">
        <v>0.0822178042227429</v>
      </c>
      <c r="D3749" s="14" t="n">
        <f aca="false">Summary!$B$5-B3749</f>
        <v>-16449.4414444834</v>
      </c>
      <c r="E3749" s="15" t="n">
        <f aca="false">B3749/Summary!$B$5-1</f>
        <v>0.164494414444834</v>
      </c>
    </row>
    <row r="3750" customFormat="false" ht="15" hidden="false" customHeight="false" outlineLevel="0" collapsed="false">
      <c r="A3750" s="0" t="n">
        <v>3749</v>
      </c>
      <c r="B3750" s="14" t="n">
        <v>105547.424619923</v>
      </c>
      <c r="C3750" s="15" t="n">
        <v>0.0650289243146495</v>
      </c>
      <c r="D3750" s="14" t="n">
        <f aca="false">Summary!$B$5-B3750</f>
        <v>-5547.4246199231</v>
      </c>
      <c r="E3750" s="15" t="n">
        <f aca="false">B3750/Summary!$B$5-1</f>
        <v>0.055474246199231</v>
      </c>
    </row>
    <row r="3751" customFormat="false" ht="15" hidden="false" customHeight="false" outlineLevel="0" collapsed="false">
      <c r="A3751" s="0" t="n">
        <v>3750</v>
      </c>
      <c r="B3751" s="14" t="n">
        <v>87712.7917990269</v>
      </c>
      <c r="C3751" s="15" t="n">
        <v>0.148860330149194</v>
      </c>
      <c r="D3751" s="14" t="n">
        <f aca="false">Summary!$B$5-B3751</f>
        <v>12287.2082009731</v>
      </c>
      <c r="E3751" s="15" t="n">
        <f aca="false">B3751/Summary!$B$5-1</f>
        <v>-0.122872082009731</v>
      </c>
    </row>
    <row r="3752" customFormat="false" ht="15" hidden="false" customHeight="false" outlineLevel="0" collapsed="false">
      <c r="A3752" s="0" t="n">
        <v>3751</v>
      </c>
      <c r="B3752" s="14" t="n">
        <v>91471.308268726</v>
      </c>
      <c r="C3752" s="15" t="n">
        <v>0.15331056563017</v>
      </c>
      <c r="D3752" s="14" t="n">
        <f aca="false">Summary!$B$5-B3752</f>
        <v>8528.69173127397</v>
      </c>
      <c r="E3752" s="15" t="n">
        <f aca="false">B3752/Summary!$B$5-1</f>
        <v>-0.0852869173127396</v>
      </c>
    </row>
    <row r="3753" customFormat="false" ht="15" hidden="false" customHeight="false" outlineLevel="0" collapsed="false">
      <c r="A3753" s="0" t="n">
        <v>3752</v>
      </c>
      <c r="B3753" s="14" t="n">
        <v>104954.502196358</v>
      </c>
      <c r="C3753" s="15" t="n">
        <v>0.0988918692036712</v>
      </c>
      <c r="D3753" s="14" t="n">
        <f aca="false">Summary!$B$5-B3753</f>
        <v>-4954.5021963577</v>
      </c>
      <c r="E3753" s="15" t="n">
        <f aca="false">B3753/Summary!$B$5-1</f>
        <v>0.0495450219635771</v>
      </c>
    </row>
    <row r="3754" customFormat="false" ht="15" hidden="false" customHeight="false" outlineLevel="0" collapsed="false">
      <c r="A3754" s="0" t="n">
        <v>3753</v>
      </c>
      <c r="B3754" s="14" t="n">
        <v>99328.8190821323</v>
      </c>
      <c r="C3754" s="15" t="n">
        <v>0.103211033232982</v>
      </c>
      <c r="D3754" s="14" t="n">
        <f aca="false">Summary!$B$5-B3754</f>
        <v>671.180917867678</v>
      </c>
      <c r="E3754" s="15" t="n">
        <f aca="false">B3754/Summary!$B$5-1</f>
        <v>-0.00671180917867675</v>
      </c>
    </row>
    <row r="3755" customFormat="false" ht="15" hidden="false" customHeight="false" outlineLevel="0" collapsed="false">
      <c r="A3755" s="0" t="n">
        <v>3754</v>
      </c>
      <c r="B3755" s="14" t="n">
        <v>95543.1417784553</v>
      </c>
      <c r="C3755" s="15" t="n">
        <v>0.155422559838714</v>
      </c>
      <c r="D3755" s="14" t="n">
        <f aca="false">Summary!$B$5-B3755</f>
        <v>4456.85822154471</v>
      </c>
      <c r="E3755" s="15" t="n">
        <f aca="false">B3755/Summary!$B$5-1</f>
        <v>-0.0445685822154471</v>
      </c>
    </row>
    <row r="3756" customFormat="false" ht="15" hidden="false" customHeight="false" outlineLevel="0" collapsed="false">
      <c r="A3756" s="0" t="n">
        <v>3755</v>
      </c>
      <c r="B3756" s="14" t="n">
        <v>134326.477932792</v>
      </c>
      <c r="C3756" s="15" t="n">
        <v>0.078972387723551</v>
      </c>
      <c r="D3756" s="14" t="n">
        <f aca="false">Summary!$B$5-B3756</f>
        <v>-34326.4779327916</v>
      </c>
      <c r="E3756" s="15" t="n">
        <f aca="false">B3756/Summary!$B$5-1</f>
        <v>0.343264779327916</v>
      </c>
    </row>
    <row r="3757" customFormat="false" ht="15" hidden="false" customHeight="false" outlineLevel="0" collapsed="false">
      <c r="A3757" s="0" t="n">
        <v>3756</v>
      </c>
      <c r="B3757" s="14" t="n">
        <v>106167.275932006</v>
      </c>
      <c r="C3757" s="15" t="n">
        <v>0.0756332283531862</v>
      </c>
      <c r="D3757" s="14" t="n">
        <f aca="false">Summary!$B$5-B3757</f>
        <v>-6167.2759320059</v>
      </c>
      <c r="E3757" s="15" t="n">
        <f aca="false">B3757/Summary!$B$5-1</f>
        <v>0.061672759320059</v>
      </c>
    </row>
    <row r="3758" customFormat="false" ht="15" hidden="false" customHeight="false" outlineLevel="0" collapsed="false">
      <c r="A3758" s="0" t="n">
        <v>3757</v>
      </c>
      <c r="B3758" s="14" t="n">
        <v>121403.859640023</v>
      </c>
      <c r="C3758" s="15" t="n">
        <v>0.0438181686303033</v>
      </c>
      <c r="D3758" s="14" t="n">
        <f aca="false">Summary!$B$5-B3758</f>
        <v>-21403.8596400226</v>
      </c>
      <c r="E3758" s="15" t="n">
        <f aca="false">B3758/Summary!$B$5-1</f>
        <v>0.214038596400226</v>
      </c>
    </row>
    <row r="3759" customFormat="false" ht="15" hidden="false" customHeight="false" outlineLevel="0" collapsed="false">
      <c r="A3759" s="0" t="n">
        <v>3758</v>
      </c>
      <c r="B3759" s="14" t="n">
        <v>121213.239035432</v>
      </c>
      <c r="C3759" s="15" t="n">
        <v>0.058398373209018</v>
      </c>
      <c r="D3759" s="14" t="n">
        <f aca="false">Summary!$B$5-B3759</f>
        <v>-21213.2390354318</v>
      </c>
      <c r="E3759" s="15" t="n">
        <f aca="false">B3759/Summary!$B$5-1</f>
        <v>0.212132390354318</v>
      </c>
    </row>
    <row r="3760" customFormat="false" ht="15" hidden="false" customHeight="false" outlineLevel="0" collapsed="false">
      <c r="A3760" s="0" t="n">
        <v>3759</v>
      </c>
      <c r="B3760" s="14" t="n">
        <v>121467.545703567</v>
      </c>
      <c r="C3760" s="15" t="n">
        <v>0.0919560617677855</v>
      </c>
      <c r="D3760" s="14" t="n">
        <f aca="false">Summary!$B$5-B3760</f>
        <v>-21467.545703567</v>
      </c>
      <c r="E3760" s="15" t="n">
        <f aca="false">B3760/Summary!$B$5-1</f>
        <v>0.21467545703567</v>
      </c>
    </row>
    <row r="3761" customFormat="false" ht="15" hidden="false" customHeight="false" outlineLevel="0" collapsed="false">
      <c r="A3761" s="0" t="n">
        <v>3760</v>
      </c>
      <c r="B3761" s="14" t="n">
        <v>112863.309270909</v>
      </c>
      <c r="C3761" s="15" t="n">
        <v>0.0705625644727924</v>
      </c>
      <c r="D3761" s="14" t="n">
        <f aca="false">Summary!$B$5-B3761</f>
        <v>-12863.3092709089</v>
      </c>
      <c r="E3761" s="15" t="n">
        <f aca="false">B3761/Summary!$B$5-1</f>
        <v>0.128633092709089</v>
      </c>
    </row>
    <row r="3762" customFormat="false" ht="15" hidden="false" customHeight="false" outlineLevel="0" collapsed="false">
      <c r="A3762" s="0" t="n">
        <v>3761</v>
      </c>
      <c r="B3762" s="14" t="n">
        <v>111912.409444625</v>
      </c>
      <c r="C3762" s="15" t="n">
        <v>0.0730654201058677</v>
      </c>
      <c r="D3762" s="14" t="n">
        <f aca="false">Summary!$B$5-B3762</f>
        <v>-11912.4094446251</v>
      </c>
      <c r="E3762" s="15" t="n">
        <f aca="false">B3762/Summary!$B$5-1</f>
        <v>0.119124094446251</v>
      </c>
    </row>
    <row r="3763" customFormat="false" ht="15" hidden="false" customHeight="false" outlineLevel="0" collapsed="false">
      <c r="A3763" s="0" t="n">
        <v>3762</v>
      </c>
      <c r="B3763" s="14" t="n">
        <v>115811.915139398</v>
      </c>
      <c r="C3763" s="15" t="n">
        <v>0.0764176352563087</v>
      </c>
      <c r="D3763" s="14" t="n">
        <f aca="false">Summary!$B$5-B3763</f>
        <v>-15811.9151393984</v>
      </c>
      <c r="E3763" s="15" t="n">
        <f aca="false">B3763/Summary!$B$5-1</f>
        <v>0.158119151393984</v>
      </c>
    </row>
    <row r="3764" customFormat="false" ht="15" hidden="false" customHeight="false" outlineLevel="0" collapsed="false">
      <c r="A3764" s="0" t="n">
        <v>3763</v>
      </c>
      <c r="B3764" s="14" t="n">
        <v>89895.4805074452</v>
      </c>
      <c r="C3764" s="15" t="n">
        <v>0.181975171402004</v>
      </c>
      <c r="D3764" s="14" t="n">
        <f aca="false">Summary!$B$5-B3764</f>
        <v>10104.5194925548</v>
      </c>
      <c r="E3764" s="15" t="n">
        <f aca="false">B3764/Summary!$B$5-1</f>
        <v>-0.101045194925548</v>
      </c>
    </row>
    <row r="3765" customFormat="false" ht="15" hidden="false" customHeight="false" outlineLevel="0" collapsed="false">
      <c r="A3765" s="0" t="n">
        <v>3764</v>
      </c>
      <c r="B3765" s="14" t="n">
        <v>95405.2093872016</v>
      </c>
      <c r="C3765" s="15" t="n">
        <v>0.141341268850027</v>
      </c>
      <c r="D3765" s="14" t="n">
        <f aca="false">Summary!$B$5-B3765</f>
        <v>4594.79061279842</v>
      </c>
      <c r="E3765" s="15" t="n">
        <f aca="false">B3765/Summary!$B$5-1</f>
        <v>-0.0459479061279842</v>
      </c>
    </row>
    <row r="3766" customFormat="false" ht="15" hidden="false" customHeight="false" outlineLevel="0" collapsed="false">
      <c r="A3766" s="0" t="n">
        <v>3765</v>
      </c>
      <c r="B3766" s="14" t="n">
        <v>101002.757176218</v>
      </c>
      <c r="C3766" s="15" t="n">
        <v>0.110518321120775</v>
      </c>
      <c r="D3766" s="14" t="n">
        <f aca="false">Summary!$B$5-B3766</f>
        <v>-1002.7571762178</v>
      </c>
      <c r="E3766" s="15" t="n">
        <f aca="false">B3766/Summary!$B$5-1</f>
        <v>0.0100275717621781</v>
      </c>
    </row>
    <row r="3767" customFormat="false" ht="15" hidden="false" customHeight="false" outlineLevel="0" collapsed="false">
      <c r="A3767" s="0" t="n">
        <v>3766</v>
      </c>
      <c r="B3767" s="14" t="n">
        <v>103935.261469508</v>
      </c>
      <c r="C3767" s="15" t="n">
        <v>0.0642439646447166</v>
      </c>
      <c r="D3767" s="14" t="n">
        <f aca="false">Summary!$B$5-B3767</f>
        <v>-3935.26146950841</v>
      </c>
      <c r="E3767" s="15" t="n">
        <f aca="false">B3767/Summary!$B$5-1</f>
        <v>0.039352614695084</v>
      </c>
    </row>
    <row r="3768" customFormat="false" ht="15" hidden="false" customHeight="false" outlineLevel="0" collapsed="false">
      <c r="A3768" s="0" t="n">
        <v>3767</v>
      </c>
      <c r="B3768" s="14" t="n">
        <v>122624.688080257</v>
      </c>
      <c r="C3768" s="15" t="n">
        <v>0.0721925029876791</v>
      </c>
      <c r="D3768" s="14" t="n">
        <f aca="false">Summary!$B$5-B3768</f>
        <v>-22624.6880802573</v>
      </c>
      <c r="E3768" s="15" t="n">
        <f aca="false">B3768/Summary!$B$5-1</f>
        <v>0.226246880802573</v>
      </c>
    </row>
    <row r="3769" customFormat="false" ht="15" hidden="false" customHeight="false" outlineLevel="0" collapsed="false">
      <c r="A3769" s="0" t="n">
        <v>3768</v>
      </c>
      <c r="B3769" s="14" t="n">
        <v>124841.36652748</v>
      </c>
      <c r="C3769" s="15" t="n">
        <v>0.0647748510793715</v>
      </c>
      <c r="D3769" s="14" t="n">
        <f aca="false">Summary!$B$5-B3769</f>
        <v>-24841.36652748</v>
      </c>
      <c r="E3769" s="15" t="n">
        <f aca="false">B3769/Summary!$B$5-1</f>
        <v>0.2484136652748</v>
      </c>
    </row>
    <row r="3770" customFormat="false" ht="15" hidden="false" customHeight="false" outlineLevel="0" collapsed="false">
      <c r="A3770" s="0" t="n">
        <v>3769</v>
      </c>
      <c r="B3770" s="14" t="n">
        <v>104584.549817382</v>
      </c>
      <c r="C3770" s="15" t="n">
        <v>0.083526359064136</v>
      </c>
      <c r="D3770" s="14" t="n">
        <f aca="false">Summary!$B$5-B3770</f>
        <v>-4584.54981738191</v>
      </c>
      <c r="E3770" s="15" t="n">
        <f aca="false">B3770/Summary!$B$5-1</f>
        <v>0.045845498173819</v>
      </c>
    </row>
    <row r="3771" customFormat="false" ht="15" hidden="false" customHeight="false" outlineLevel="0" collapsed="false">
      <c r="A3771" s="0" t="n">
        <v>3770</v>
      </c>
      <c r="B3771" s="14" t="n">
        <v>125377.189672133</v>
      </c>
      <c r="C3771" s="15" t="n">
        <v>0.0490570162989458</v>
      </c>
      <c r="D3771" s="14" t="n">
        <f aca="false">Summary!$B$5-B3771</f>
        <v>-25377.1896721333</v>
      </c>
      <c r="E3771" s="15" t="n">
        <f aca="false">B3771/Summary!$B$5-1</f>
        <v>0.253771896721333</v>
      </c>
    </row>
    <row r="3772" customFormat="false" ht="15" hidden="false" customHeight="false" outlineLevel="0" collapsed="false">
      <c r="A3772" s="0" t="n">
        <v>3771</v>
      </c>
      <c r="B3772" s="14" t="n">
        <v>126445.481978505</v>
      </c>
      <c r="C3772" s="15" t="n">
        <v>0.0406814955021334</v>
      </c>
      <c r="D3772" s="14" t="n">
        <f aca="false">Summary!$B$5-B3772</f>
        <v>-26445.4819785047</v>
      </c>
      <c r="E3772" s="15" t="n">
        <f aca="false">B3772/Summary!$B$5-1</f>
        <v>0.264454819785047</v>
      </c>
    </row>
    <row r="3773" customFormat="false" ht="15" hidden="false" customHeight="false" outlineLevel="0" collapsed="false">
      <c r="A3773" s="0" t="n">
        <v>3772</v>
      </c>
      <c r="B3773" s="14" t="n">
        <v>122753.805311985</v>
      </c>
      <c r="C3773" s="15" t="n">
        <v>0.0985493872706181</v>
      </c>
      <c r="D3773" s="14" t="n">
        <f aca="false">Summary!$B$5-B3773</f>
        <v>-22753.8053119852</v>
      </c>
      <c r="E3773" s="15" t="n">
        <f aca="false">B3773/Summary!$B$5-1</f>
        <v>0.227538053119852</v>
      </c>
    </row>
    <row r="3774" customFormat="false" ht="15" hidden="false" customHeight="false" outlineLevel="0" collapsed="false">
      <c r="A3774" s="0" t="n">
        <v>3773</v>
      </c>
      <c r="B3774" s="14" t="n">
        <v>106379.795488339</v>
      </c>
      <c r="C3774" s="15" t="n">
        <v>0.0877817097613068</v>
      </c>
      <c r="D3774" s="14" t="n">
        <f aca="false">Summary!$B$5-B3774</f>
        <v>-6379.7954883386</v>
      </c>
      <c r="E3774" s="15" t="n">
        <f aca="false">B3774/Summary!$B$5-1</f>
        <v>0.063797954883386</v>
      </c>
    </row>
    <row r="3775" customFormat="false" ht="15" hidden="false" customHeight="false" outlineLevel="0" collapsed="false">
      <c r="A3775" s="0" t="n">
        <v>3774</v>
      </c>
      <c r="B3775" s="14" t="n">
        <v>104997.097932992</v>
      </c>
      <c r="C3775" s="15" t="n">
        <v>0.0711272724518421</v>
      </c>
      <c r="D3775" s="14" t="n">
        <f aca="false">Summary!$B$5-B3775</f>
        <v>-4997.0979329917</v>
      </c>
      <c r="E3775" s="15" t="n">
        <f aca="false">B3775/Summary!$B$5-1</f>
        <v>0.049970979329917</v>
      </c>
    </row>
    <row r="3776" customFormat="false" ht="15" hidden="false" customHeight="false" outlineLevel="0" collapsed="false">
      <c r="A3776" s="0" t="n">
        <v>3775</v>
      </c>
      <c r="B3776" s="14" t="n">
        <v>96411.647691788</v>
      </c>
      <c r="C3776" s="15" t="n">
        <v>0.0993914310029627</v>
      </c>
      <c r="D3776" s="14" t="n">
        <f aca="false">Summary!$B$5-B3776</f>
        <v>3588.35230821204</v>
      </c>
      <c r="E3776" s="15" t="n">
        <f aca="false">B3776/Summary!$B$5-1</f>
        <v>-0.0358835230821204</v>
      </c>
    </row>
    <row r="3777" customFormat="false" ht="15" hidden="false" customHeight="false" outlineLevel="0" collapsed="false">
      <c r="A3777" s="0" t="n">
        <v>3776</v>
      </c>
      <c r="B3777" s="14" t="n">
        <v>88969.970571818</v>
      </c>
      <c r="C3777" s="15" t="n">
        <v>0.169677689724086</v>
      </c>
      <c r="D3777" s="14" t="n">
        <f aca="false">Summary!$B$5-B3777</f>
        <v>11030.029428182</v>
      </c>
      <c r="E3777" s="15" t="n">
        <f aca="false">B3777/Summary!$B$5-1</f>
        <v>-0.11030029428182</v>
      </c>
    </row>
    <row r="3778" customFormat="false" ht="15" hidden="false" customHeight="false" outlineLevel="0" collapsed="false">
      <c r="A3778" s="0" t="n">
        <v>3777</v>
      </c>
      <c r="B3778" s="14" t="n">
        <v>108179.995884647</v>
      </c>
      <c r="C3778" s="15" t="n">
        <v>0.0892313469428099</v>
      </c>
      <c r="D3778" s="14" t="n">
        <f aca="false">Summary!$B$5-B3778</f>
        <v>-8179.995884647</v>
      </c>
      <c r="E3778" s="15" t="n">
        <f aca="false">B3778/Summary!$B$5-1</f>
        <v>0.08179995884647</v>
      </c>
    </row>
    <row r="3779" customFormat="false" ht="15" hidden="false" customHeight="false" outlineLevel="0" collapsed="false">
      <c r="A3779" s="0" t="n">
        <v>3778</v>
      </c>
      <c r="B3779" s="14" t="n">
        <v>90351.6259766661</v>
      </c>
      <c r="C3779" s="15" t="n">
        <v>0.195124701488613</v>
      </c>
      <c r="D3779" s="14" t="n">
        <f aca="false">Summary!$B$5-B3779</f>
        <v>9648.37402333393</v>
      </c>
      <c r="E3779" s="15" t="n">
        <f aca="false">B3779/Summary!$B$5-1</f>
        <v>-0.0964837402333394</v>
      </c>
    </row>
    <row r="3780" customFormat="false" ht="15" hidden="false" customHeight="false" outlineLevel="0" collapsed="false">
      <c r="A3780" s="0" t="n">
        <v>3779</v>
      </c>
      <c r="B3780" s="14" t="n">
        <v>131547.405532251</v>
      </c>
      <c r="C3780" s="15" t="n">
        <v>0.0516544173226968</v>
      </c>
      <c r="D3780" s="14" t="n">
        <f aca="false">Summary!$B$5-B3780</f>
        <v>-31547.4055322506</v>
      </c>
      <c r="E3780" s="15" t="n">
        <f aca="false">B3780/Summary!$B$5-1</f>
        <v>0.315474055322506</v>
      </c>
    </row>
    <row r="3781" customFormat="false" ht="15" hidden="false" customHeight="false" outlineLevel="0" collapsed="false">
      <c r="A3781" s="0" t="n">
        <v>3780</v>
      </c>
      <c r="B3781" s="14" t="n">
        <v>110601.128747811</v>
      </c>
      <c r="C3781" s="15" t="n">
        <v>0.0806082950993954</v>
      </c>
      <c r="D3781" s="14" t="n">
        <f aca="false">Summary!$B$5-B3781</f>
        <v>-10601.128747811</v>
      </c>
      <c r="E3781" s="15" t="n">
        <f aca="false">B3781/Summary!$B$5-1</f>
        <v>0.10601128747811</v>
      </c>
    </row>
    <row r="3782" customFormat="false" ht="15" hidden="false" customHeight="false" outlineLevel="0" collapsed="false">
      <c r="A3782" s="0" t="n">
        <v>3781</v>
      </c>
      <c r="B3782" s="14" t="n">
        <v>118195.260891891</v>
      </c>
      <c r="C3782" s="15" t="n">
        <v>0.0839683277657147</v>
      </c>
      <c r="D3782" s="14" t="n">
        <f aca="false">Summary!$B$5-B3782</f>
        <v>-18195.2608918905</v>
      </c>
      <c r="E3782" s="15" t="n">
        <f aca="false">B3782/Summary!$B$5-1</f>
        <v>0.181952608918905</v>
      </c>
    </row>
    <row r="3783" customFormat="false" ht="15" hidden="false" customHeight="false" outlineLevel="0" collapsed="false">
      <c r="A3783" s="0" t="n">
        <v>3782</v>
      </c>
      <c r="B3783" s="14" t="n">
        <v>100354.361392715</v>
      </c>
      <c r="C3783" s="15" t="n">
        <v>0.105055561939771</v>
      </c>
      <c r="D3783" s="14" t="n">
        <f aca="false">Summary!$B$5-B3783</f>
        <v>-354.361392715</v>
      </c>
      <c r="E3783" s="15" t="n">
        <f aca="false">B3783/Summary!$B$5-1</f>
        <v>0.00354361392715008</v>
      </c>
    </row>
    <row r="3784" customFormat="false" ht="15" hidden="false" customHeight="false" outlineLevel="0" collapsed="false">
      <c r="A3784" s="0" t="n">
        <v>3783</v>
      </c>
      <c r="B3784" s="14" t="n">
        <v>91505.9814537845</v>
      </c>
      <c r="C3784" s="15" t="n">
        <v>0.132274426491736</v>
      </c>
      <c r="D3784" s="14" t="n">
        <f aca="false">Summary!$B$5-B3784</f>
        <v>8494.01854621548</v>
      </c>
      <c r="E3784" s="15" t="n">
        <f aca="false">B3784/Summary!$B$5-1</f>
        <v>-0.0849401854621548</v>
      </c>
    </row>
    <row r="3785" customFormat="false" ht="15" hidden="false" customHeight="false" outlineLevel="0" collapsed="false">
      <c r="A3785" s="0" t="n">
        <v>3784</v>
      </c>
      <c r="B3785" s="14" t="n">
        <v>110599.348765051</v>
      </c>
      <c r="C3785" s="15" t="n">
        <v>0.118326642080083</v>
      </c>
      <c r="D3785" s="14" t="n">
        <f aca="false">Summary!$B$5-B3785</f>
        <v>-10599.3487650508</v>
      </c>
      <c r="E3785" s="15" t="n">
        <f aca="false">B3785/Summary!$B$5-1</f>
        <v>0.105993487650508</v>
      </c>
    </row>
    <row r="3786" customFormat="false" ht="15" hidden="false" customHeight="false" outlineLevel="0" collapsed="false">
      <c r="A3786" s="0" t="n">
        <v>3785</v>
      </c>
      <c r="B3786" s="14" t="n">
        <v>128469.848864127</v>
      </c>
      <c r="C3786" s="15" t="n">
        <v>0.0527835372188007</v>
      </c>
      <c r="D3786" s="14" t="n">
        <f aca="false">Summary!$B$5-B3786</f>
        <v>-28469.8488641272</v>
      </c>
      <c r="E3786" s="15" t="n">
        <f aca="false">B3786/Summary!$B$5-1</f>
        <v>0.284698488641272</v>
      </c>
    </row>
    <row r="3787" customFormat="false" ht="15" hidden="false" customHeight="false" outlineLevel="0" collapsed="false">
      <c r="A3787" s="0" t="n">
        <v>3786</v>
      </c>
      <c r="B3787" s="14" t="n">
        <v>110255.991761953</v>
      </c>
      <c r="C3787" s="15" t="n">
        <v>0.0558193663420457</v>
      </c>
      <c r="D3787" s="14" t="n">
        <f aca="false">Summary!$B$5-B3787</f>
        <v>-10255.9917619529</v>
      </c>
      <c r="E3787" s="15" t="n">
        <f aca="false">B3787/Summary!$B$5-1</f>
        <v>0.102559917619529</v>
      </c>
    </row>
    <row r="3788" customFormat="false" ht="15" hidden="false" customHeight="false" outlineLevel="0" collapsed="false">
      <c r="A3788" s="0" t="n">
        <v>3787</v>
      </c>
      <c r="B3788" s="14" t="n">
        <v>109676.092038912</v>
      </c>
      <c r="C3788" s="15" t="n">
        <v>0.060908282624014</v>
      </c>
      <c r="D3788" s="14" t="n">
        <f aca="false">Summary!$B$5-B3788</f>
        <v>-9676.0920389119</v>
      </c>
      <c r="E3788" s="15" t="n">
        <f aca="false">B3788/Summary!$B$5-1</f>
        <v>0.0967609203891189</v>
      </c>
    </row>
    <row r="3789" customFormat="false" ht="15" hidden="false" customHeight="false" outlineLevel="0" collapsed="false">
      <c r="A3789" s="0" t="n">
        <v>3788</v>
      </c>
      <c r="B3789" s="14" t="n">
        <v>98982.0643727942</v>
      </c>
      <c r="C3789" s="15" t="n">
        <v>0.0884268214498218</v>
      </c>
      <c r="D3789" s="14" t="n">
        <f aca="false">Summary!$B$5-B3789</f>
        <v>1017.93562720582</v>
      </c>
      <c r="E3789" s="15" t="n">
        <f aca="false">B3789/Summary!$B$5-1</f>
        <v>-0.0101793562720582</v>
      </c>
    </row>
    <row r="3790" customFormat="false" ht="15" hidden="false" customHeight="false" outlineLevel="0" collapsed="false">
      <c r="A3790" s="0" t="n">
        <v>3789</v>
      </c>
      <c r="B3790" s="14" t="n">
        <v>86546.2665867209</v>
      </c>
      <c r="C3790" s="15" t="n">
        <v>0.198205266474613</v>
      </c>
      <c r="D3790" s="14" t="n">
        <f aca="false">Summary!$B$5-B3790</f>
        <v>13453.7334132791</v>
      </c>
      <c r="E3790" s="15" t="n">
        <f aca="false">B3790/Summary!$B$5-1</f>
        <v>-0.134537334132791</v>
      </c>
    </row>
    <row r="3791" customFormat="false" ht="15" hidden="false" customHeight="false" outlineLevel="0" collapsed="false">
      <c r="A3791" s="0" t="n">
        <v>3790</v>
      </c>
      <c r="B3791" s="14" t="n">
        <v>113509.959081646</v>
      </c>
      <c r="C3791" s="15" t="n">
        <v>0.0964041079050746</v>
      </c>
      <c r="D3791" s="14" t="n">
        <f aca="false">Summary!$B$5-B3791</f>
        <v>-13509.9590816458</v>
      </c>
      <c r="E3791" s="15" t="n">
        <f aca="false">B3791/Summary!$B$5-1</f>
        <v>0.135099590816458</v>
      </c>
    </row>
    <row r="3792" customFormat="false" ht="15" hidden="false" customHeight="false" outlineLevel="0" collapsed="false">
      <c r="A3792" s="0" t="n">
        <v>3791</v>
      </c>
      <c r="B3792" s="14" t="n">
        <v>110509.619173602</v>
      </c>
      <c r="C3792" s="15" t="n">
        <v>0.0586326305679924</v>
      </c>
      <c r="D3792" s="14" t="n">
        <f aca="false">Summary!$B$5-B3792</f>
        <v>-10509.6191736019</v>
      </c>
      <c r="E3792" s="15" t="n">
        <f aca="false">B3792/Summary!$B$5-1</f>
        <v>0.105096191736019</v>
      </c>
    </row>
    <row r="3793" customFormat="false" ht="15" hidden="false" customHeight="false" outlineLevel="0" collapsed="false">
      <c r="A3793" s="0" t="n">
        <v>3792</v>
      </c>
      <c r="B3793" s="14" t="n">
        <v>118031.146497544</v>
      </c>
      <c r="C3793" s="15" t="n">
        <v>0.0769360182958048</v>
      </c>
      <c r="D3793" s="14" t="n">
        <f aca="false">Summary!$B$5-B3793</f>
        <v>-18031.1464975436</v>
      </c>
      <c r="E3793" s="15" t="n">
        <f aca="false">B3793/Summary!$B$5-1</f>
        <v>0.180311464975436</v>
      </c>
    </row>
    <row r="3794" customFormat="false" ht="15" hidden="false" customHeight="false" outlineLevel="0" collapsed="false">
      <c r="A3794" s="0" t="n">
        <v>3793</v>
      </c>
      <c r="B3794" s="14" t="n">
        <v>104311.597100232</v>
      </c>
      <c r="C3794" s="15" t="n">
        <v>0.106413003157305</v>
      </c>
      <c r="D3794" s="14" t="n">
        <f aca="false">Summary!$B$5-B3794</f>
        <v>-4311.5971002319</v>
      </c>
      <c r="E3794" s="15" t="n">
        <f aca="false">B3794/Summary!$B$5-1</f>
        <v>0.043115971002319</v>
      </c>
    </row>
    <row r="3795" customFormat="false" ht="15" hidden="false" customHeight="false" outlineLevel="0" collapsed="false">
      <c r="A3795" s="0" t="n">
        <v>3794</v>
      </c>
      <c r="B3795" s="14" t="n">
        <v>105926.444055798</v>
      </c>
      <c r="C3795" s="15" t="n">
        <v>0.0968309607051561</v>
      </c>
      <c r="D3795" s="14" t="n">
        <f aca="false">Summary!$B$5-B3795</f>
        <v>-5926.44405579771</v>
      </c>
      <c r="E3795" s="15" t="n">
        <f aca="false">B3795/Summary!$B$5-1</f>
        <v>0.059264440557977</v>
      </c>
    </row>
    <row r="3796" customFormat="false" ht="15" hidden="false" customHeight="false" outlineLevel="0" collapsed="false">
      <c r="A3796" s="0" t="n">
        <v>3795</v>
      </c>
      <c r="B3796" s="14" t="n">
        <v>128099.905545987</v>
      </c>
      <c r="C3796" s="15" t="n">
        <v>0.0652002231043405</v>
      </c>
      <c r="D3796" s="14" t="n">
        <f aca="false">Summary!$B$5-B3796</f>
        <v>-28099.9055459872</v>
      </c>
      <c r="E3796" s="15" t="n">
        <f aca="false">B3796/Summary!$B$5-1</f>
        <v>0.280999055459872</v>
      </c>
    </row>
    <row r="3797" customFormat="false" ht="15" hidden="false" customHeight="false" outlineLevel="0" collapsed="false">
      <c r="A3797" s="0" t="n">
        <v>3796</v>
      </c>
      <c r="B3797" s="14" t="n">
        <v>110784.978327339</v>
      </c>
      <c r="C3797" s="15" t="n">
        <v>0.0872904753511661</v>
      </c>
      <c r="D3797" s="14" t="n">
        <f aca="false">Summary!$B$5-B3797</f>
        <v>-10784.978327339</v>
      </c>
      <c r="E3797" s="15" t="n">
        <f aca="false">B3797/Summary!$B$5-1</f>
        <v>0.10784978327339</v>
      </c>
    </row>
    <row r="3798" customFormat="false" ht="15" hidden="false" customHeight="false" outlineLevel="0" collapsed="false">
      <c r="A3798" s="0" t="n">
        <v>3797</v>
      </c>
      <c r="B3798" s="14" t="n">
        <v>131468.691453168</v>
      </c>
      <c r="C3798" s="15" t="n">
        <v>0.0774269290297587</v>
      </c>
      <c r="D3798" s="14" t="n">
        <f aca="false">Summary!$B$5-B3798</f>
        <v>-31468.6914531683</v>
      </c>
      <c r="E3798" s="15" t="n">
        <f aca="false">B3798/Summary!$B$5-1</f>
        <v>0.314686914531683</v>
      </c>
    </row>
    <row r="3799" customFormat="false" ht="15" hidden="false" customHeight="false" outlineLevel="0" collapsed="false">
      <c r="A3799" s="0" t="n">
        <v>3798</v>
      </c>
      <c r="B3799" s="14" t="n">
        <v>123867.17253057</v>
      </c>
      <c r="C3799" s="15" t="n">
        <v>0.0771757392459426</v>
      </c>
      <c r="D3799" s="14" t="n">
        <f aca="false">Summary!$B$5-B3799</f>
        <v>-23867.1725305703</v>
      </c>
      <c r="E3799" s="15" t="n">
        <f aca="false">B3799/Summary!$B$5-1</f>
        <v>0.238671725305703</v>
      </c>
    </row>
    <row r="3800" customFormat="false" ht="15" hidden="false" customHeight="false" outlineLevel="0" collapsed="false">
      <c r="A3800" s="0" t="n">
        <v>3799</v>
      </c>
      <c r="B3800" s="14" t="n">
        <v>133571.933690095</v>
      </c>
      <c r="C3800" s="15" t="n">
        <v>0.040282409094921</v>
      </c>
      <c r="D3800" s="14" t="n">
        <f aca="false">Summary!$B$5-B3800</f>
        <v>-33571.9336900951</v>
      </c>
      <c r="E3800" s="15" t="n">
        <f aca="false">B3800/Summary!$B$5-1</f>
        <v>0.335719336900951</v>
      </c>
    </row>
    <row r="3801" customFormat="false" ht="15" hidden="false" customHeight="false" outlineLevel="0" collapsed="false">
      <c r="A3801" s="0" t="n">
        <v>3800</v>
      </c>
      <c r="B3801" s="14" t="n">
        <v>100687.171148361</v>
      </c>
      <c r="C3801" s="15" t="n">
        <v>0.0799559284382589</v>
      </c>
      <c r="D3801" s="14" t="n">
        <f aca="false">Summary!$B$5-B3801</f>
        <v>-687.171148360794</v>
      </c>
      <c r="E3801" s="15" t="n">
        <f aca="false">B3801/Summary!$B$5-1</f>
        <v>0.00687171148360788</v>
      </c>
    </row>
    <row r="3802" customFormat="false" ht="15" hidden="false" customHeight="false" outlineLevel="0" collapsed="false">
      <c r="A3802" s="0" t="n">
        <v>3801</v>
      </c>
      <c r="B3802" s="14" t="n">
        <v>103186.436567049</v>
      </c>
      <c r="C3802" s="15" t="n">
        <v>0.0733911896269259</v>
      </c>
      <c r="D3802" s="14" t="n">
        <f aca="false">Summary!$B$5-B3802</f>
        <v>-3186.4365670486</v>
      </c>
      <c r="E3802" s="15" t="n">
        <f aca="false">B3802/Summary!$B$5-1</f>
        <v>0.031864365670486</v>
      </c>
    </row>
    <row r="3803" customFormat="false" ht="15" hidden="false" customHeight="false" outlineLevel="0" collapsed="false">
      <c r="A3803" s="0" t="n">
        <v>3802</v>
      </c>
      <c r="B3803" s="14" t="n">
        <v>109129.260527953</v>
      </c>
      <c r="C3803" s="15" t="n">
        <v>0.119224193166673</v>
      </c>
      <c r="D3803" s="14" t="n">
        <f aca="false">Summary!$B$5-B3803</f>
        <v>-9129.2605279526</v>
      </c>
      <c r="E3803" s="15" t="n">
        <f aca="false">B3803/Summary!$B$5-1</f>
        <v>0.091292605279526</v>
      </c>
    </row>
    <row r="3804" customFormat="false" ht="15" hidden="false" customHeight="false" outlineLevel="0" collapsed="false">
      <c r="A3804" s="0" t="n">
        <v>3803</v>
      </c>
      <c r="B3804" s="14" t="n">
        <v>104424.488192704</v>
      </c>
      <c r="C3804" s="15" t="n">
        <v>0.0729266472188417</v>
      </c>
      <c r="D3804" s="14" t="n">
        <f aca="false">Summary!$B$5-B3804</f>
        <v>-4424.4881927039</v>
      </c>
      <c r="E3804" s="15" t="n">
        <f aca="false">B3804/Summary!$B$5-1</f>
        <v>0.0442448819270389</v>
      </c>
    </row>
    <row r="3805" customFormat="false" ht="15" hidden="false" customHeight="false" outlineLevel="0" collapsed="false">
      <c r="A3805" s="0" t="n">
        <v>3804</v>
      </c>
      <c r="B3805" s="14" t="n">
        <v>118065.954783452</v>
      </c>
      <c r="C3805" s="15" t="n">
        <v>0.0793185854858041</v>
      </c>
      <c r="D3805" s="14" t="n">
        <f aca="false">Summary!$B$5-B3805</f>
        <v>-18065.954783452</v>
      </c>
      <c r="E3805" s="15" t="n">
        <f aca="false">B3805/Summary!$B$5-1</f>
        <v>0.18065954783452</v>
      </c>
    </row>
    <row r="3806" customFormat="false" ht="15" hidden="false" customHeight="false" outlineLevel="0" collapsed="false">
      <c r="A3806" s="0" t="n">
        <v>3805</v>
      </c>
      <c r="B3806" s="14" t="n">
        <v>92863.80960096</v>
      </c>
      <c r="C3806" s="15" t="n">
        <v>0.161412333696624</v>
      </c>
      <c r="D3806" s="14" t="n">
        <f aca="false">Summary!$B$5-B3806</f>
        <v>7136.19039904005</v>
      </c>
      <c r="E3806" s="15" t="n">
        <f aca="false">B3806/Summary!$B$5-1</f>
        <v>-0.0713619039904004</v>
      </c>
    </row>
    <row r="3807" customFormat="false" ht="15" hidden="false" customHeight="false" outlineLevel="0" collapsed="false">
      <c r="A3807" s="0" t="n">
        <v>3806</v>
      </c>
      <c r="B3807" s="14" t="n">
        <v>126235.871552452</v>
      </c>
      <c r="C3807" s="15" t="n">
        <v>0.0568249287561459</v>
      </c>
      <c r="D3807" s="14" t="n">
        <f aca="false">Summary!$B$5-B3807</f>
        <v>-26235.8715524521</v>
      </c>
      <c r="E3807" s="15" t="n">
        <f aca="false">B3807/Summary!$B$5-1</f>
        <v>0.262358715524521</v>
      </c>
    </row>
    <row r="3808" customFormat="false" ht="15" hidden="false" customHeight="false" outlineLevel="0" collapsed="false">
      <c r="A3808" s="0" t="n">
        <v>3807</v>
      </c>
      <c r="B3808" s="14" t="n">
        <v>96943.1453531271</v>
      </c>
      <c r="C3808" s="15" t="n">
        <v>0.0888371664024773</v>
      </c>
      <c r="D3808" s="14" t="n">
        <f aca="false">Summary!$B$5-B3808</f>
        <v>3056.85464687293</v>
      </c>
      <c r="E3808" s="15" t="n">
        <f aca="false">B3808/Summary!$B$5-1</f>
        <v>-0.0305685464687293</v>
      </c>
    </row>
    <row r="3809" customFormat="false" ht="15" hidden="false" customHeight="false" outlineLevel="0" collapsed="false">
      <c r="A3809" s="0" t="n">
        <v>3808</v>
      </c>
      <c r="B3809" s="14" t="n">
        <v>93184.9084926354</v>
      </c>
      <c r="C3809" s="15" t="n">
        <v>0.131540253178916</v>
      </c>
      <c r="D3809" s="14" t="n">
        <f aca="false">Summary!$B$5-B3809</f>
        <v>6815.09150736465</v>
      </c>
      <c r="E3809" s="15" t="n">
        <f aca="false">B3809/Summary!$B$5-1</f>
        <v>-0.0681509150736465</v>
      </c>
    </row>
    <row r="3810" customFormat="false" ht="15" hidden="false" customHeight="false" outlineLevel="0" collapsed="false">
      <c r="A3810" s="0" t="n">
        <v>3809</v>
      </c>
      <c r="B3810" s="14" t="n">
        <v>109041.293305124</v>
      </c>
      <c r="C3810" s="15" t="n">
        <v>0.0994959520606433</v>
      </c>
      <c r="D3810" s="14" t="n">
        <f aca="false">Summary!$B$5-B3810</f>
        <v>-9041.293305124</v>
      </c>
      <c r="E3810" s="15" t="n">
        <f aca="false">B3810/Summary!$B$5-1</f>
        <v>0.09041293305124</v>
      </c>
    </row>
    <row r="3811" customFormat="false" ht="15" hidden="false" customHeight="false" outlineLevel="0" collapsed="false">
      <c r="A3811" s="0" t="n">
        <v>3810</v>
      </c>
      <c r="B3811" s="14" t="n">
        <v>111976.760195761</v>
      </c>
      <c r="C3811" s="15" t="n">
        <v>0.13259950597701</v>
      </c>
      <c r="D3811" s="14" t="n">
        <f aca="false">Summary!$B$5-B3811</f>
        <v>-11976.7601957612</v>
      </c>
      <c r="E3811" s="15" t="n">
        <f aca="false">B3811/Summary!$B$5-1</f>
        <v>0.119767601957612</v>
      </c>
    </row>
    <row r="3812" customFormat="false" ht="15" hidden="false" customHeight="false" outlineLevel="0" collapsed="false">
      <c r="A3812" s="0" t="n">
        <v>3811</v>
      </c>
      <c r="B3812" s="14" t="n">
        <v>92632.1126274684</v>
      </c>
      <c r="C3812" s="15" t="n">
        <v>0.14579720541982</v>
      </c>
      <c r="D3812" s="14" t="n">
        <f aca="false">Summary!$B$5-B3812</f>
        <v>7367.88737253164</v>
      </c>
      <c r="E3812" s="15" t="n">
        <f aca="false">B3812/Summary!$B$5-1</f>
        <v>-0.0736788737253163</v>
      </c>
    </row>
    <row r="3813" customFormat="false" ht="15" hidden="false" customHeight="false" outlineLevel="0" collapsed="false">
      <c r="A3813" s="0" t="n">
        <v>3812</v>
      </c>
      <c r="B3813" s="14" t="n">
        <v>102658.474556681</v>
      </c>
      <c r="C3813" s="15" t="n">
        <v>0.098279532800878</v>
      </c>
      <c r="D3813" s="14" t="n">
        <f aca="false">Summary!$B$5-B3813</f>
        <v>-2658.47455668051</v>
      </c>
      <c r="E3813" s="15" t="n">
        <f aca="false">B3813/Summary!$B$5-1</f>
        <v>0.0265847455668051</v>
      </c>
    </row>
    <row r="3814" customFormat="false" ht="15" hidden="false" customHeight="false" outlineLevel="0" collapsed="false">
      <c r="A3814" s="0" t="n">
        <v>3813</v>
      </c>
      <c r="B3814" s="14" t="n">
        <v>106695.622244795</v>
      </c>
      <c r="C3814" s="15" t="n">
        <v>0.0738982188502498</v>
      </c>
      <c r="D3814" s="14" t="n">
        <f aca="false">Summary!$B$5-B3814</f>
        <v>-6695.62224479469</v>
      </c>
      <c r="E3814" s="15" t="n">
        <f aca="false">B3814/Summary!$B$5-1</f>
        <v>0.066956222447947</v>
      </c>
    </row>
    <row r="3815" customFormat="false" ht="15" hidden="false" customHeight="false" outlineLevel="0" collapsed="false">
      <c r="A3815" s="0" t="n">
        <v>3814</v>
      </c>
      <c r="B3815" s="14" t="n">
        <v>102473.429958121</v>
      </c>
      <c r="C3815" s="15" t="n">
        <v>0.105526419790958</v>
      </c>
      <c r="D3815" s="14" t="n">
        <f aca="false">Summary!$B$5-B3815</f>
        <v>-2473.4299581207</v>
      </c>
      <c r="E3815" s="15" t="n">
        <f aca="false">B3815/Summary!$B$5-1</f>
        <v>0.024734299581207</v>
      </c>
    </row>
    <row r="3816" customFormat="false" ht="15" hidden="false" customHeight="false" outlineLevel="0" collapsed="false">
      <c r="A3816" s="0" t="n">
        <v>3815</v>
      </c>
      <c r="B3816" s="14" t="n">
        <v>106946.886385126</v>
      </c>
      <c r="C3816" s="15" t="n">
        <v>0.0767087511791512</v>
      </c>
      <c r="D3816" s="14" t="n">
        <f aca="false">Summary!$B$5-B3816</f>
        <v>-6946.8863851264</v>
      </c>
      <c r="E3816" s="15" t="n">
        <f aca="false">B3816/Summary!$B$5-1</f>
        <v>0.0694688638512639</v>
      </c>
    </row>
    <row r="3817" customFormat="false" ht="15" hidden="false" customHeight="false" outlineLevel="0" collapsed="false">
      <c r="A3817" s="0" t="n">
        <v>3816</v>
      </c>
      <c r="B3817" s="14" t="n">
        <v>124160.849644721</v>
      </c>
      <c r="C3817" s="15" t="n">
        <v>0.0730012235907248</v>
      </c>
      <c r="D3817" s="14" t="n">
        <f aca="false">Summary!$B$5-B3817</f>
        <v>-24160.849644721</v>
      </c>
      <c r="E3817" s="15" t="n">
        <f aca="false">B3817/Summary!$B$5-1</f>
        <v>0.24160849644721</v>
      </c>
    </row>
    <row r="3818" customFormat="false" ht="15" hidden="false" customHeight="false" outlineLevel="0" collapsed="false">
      <c r="A3818" s="0" t="n">
        <v>3817</v>
      </c>
      <c r="B3818" s="14" t="n">
        <v>95481.7473905682</v>
      </c>
      <c r="C3818" s="15" t="n">
        <v>0.114974464419934</v>
      </c>
      <c r="D3818" s="14" t="n">
        <f aca="false">Summary!$B$5-B3818</f>
        <v>4518.25260943183</v>
      </c>
      <c r="E3818" s="15" t="n">
        <f aca="false">B3818/Summary!$B$5-1</f>
        <v>-0.0451825260943183</v>
      </c>
    </row>
    <row r="3819" customFormat="false" ht="15" hidden="false" customHeight="false" outlineLevel="0" collapsed="false">
      <c r="A3819" s="0" t="n">
        <v>3818</v>
      </c>
      <c r="B3819" s="14" t="n">
        <v>102037.213105042</v>
      </c>
      <c r="C3819" s="15" t="n">
        <v>0.109215312313478</v>
      </c>
      <c r="D3819" s="14" t="n">
        <f aca="false">Summary!$B$5-B3819</f>
        <v>-2037.213105042</v>
      </c>
      <c r="E3819" s="15" t="n">
        <f aca="false">B3819/Summary!$B$5-1</f>
        <v>0.0203721310504199</v>
      </c>
    </row>
    <row r="3820" customFormat="false" ht="15" hidden="false" customHeight="false" outlineLevel="0" collapsed="false">
      <c r="A3820" s="0" t="n">
        <v>3819</v>
      </c>
      <c r="B3820" s="14" t="n">
        <v>157170.798578099</v>
      </c>
      <c r="C3820" s="15" t="n">
        <v>0.0614782920356678</v>
      </c>
      <c r="D3820" s="14" t="n">
        <f aca="false">Summary!$B$5-B3820</f>
        <v>-57170.798578099</v>
      </c>
      <c r="E3820" s="15" t="n">
        <f aca="false">B3820/Summary!$B$5-1</f>
        <v>0.57170798578099</v>
      </c>
    </row>
    <row r="3821" customFormat="false" ht="15" hidden="false" customHeight="false" outlineLevel="0" collapsed="false">
      <c r="A3821" s="0" t="n">
        <v>3820</v>
      </c>
      <c r="B3821" s="14" t="n">
        <v>107003.746532183</v>
      </c>
      <c r="C3821" s="15" t="n">
        <v>0.121089164550905</v>
      </c>
      <c r="D3821" s="14" t="n">
        <f aca="false">Summary!$B$5-B3821</f>
        <v>-7003.7465321825</v>
      </c>
      <c r="E3821" s="15" t="n">
        <f aca="false">B3821/Summary!$B$5-1</f>
        <v>0.070037465321825</v>
      </c>
    </row>
    <row r="3822" customFormat="false" ht="15" hidden="false" customHeight="false" outlineLevel="0" collapsed="false">
      <c r="A3822" s="0" t="n">
        <v>3821</v>
      </c>
      <c r="B3822" s="14" t="n">
        <v>106277.210736208</v>
      </c>
      <c r="C3822" s="15" t="n">
        <v>0.0829706246167645</v>
      </c>
      <c r="D3822" s="14" t="n">
        <f aca="false">Summary!$B$5-B3822</f>
        <v>-6277.2107362075</v>
      </c>
      <c r="E3822" s="15" t="n">
        <f aca="false">B3822/Summary!$B$5-1</f>
        <v>0.0627721073620751</v>
      </c>
    </row>
    <row r="3823" customFormat="false" ht="15" hidden="false" customHeight="false" outlineLevel="0" collapsed="false">
      <c r="A3823" s="0" t="n">
        <v>3822</v>
      </c>
      <c r="B3823" s="14" t="n">
        <v>91018.8423889979</v>
      </c>
      <c r="C3823" s="15" t="n">
        <v>0.191556502167694</v>
      </c>
      <c r="D3823" s="14" t="n">
        <f aca="false">Summary!$B$5-B3823</f>
        <v>8981.1576110021</v>
      </c>
      <c r="E3823" s="15" t="n">
        <f aca="false">B3823/Summary!$B$5-1</f>
        <v>-0.089811576110021</v>
      </c>
    </row>
    <row r="3824" customFormat="false" ht="15" hidden="false" customHeight="false" outlineLevel="0" collapsed="false">
      <c r="A3824" s="0" t="n">
        <v>3823</v>
      </c>
      <c r="B3824" s="14" t="n">
        <v>94425.5396819165</v>
      </c>
      <c r="C3824" s="15" t="n">
        <v>0.153013506664516</v>
      </c>
      <c r="D3824" s="14" t="n">
        <f aca="false">Summary!$B$5-B3824</f>
        <v>5574.46031808356</v>
      </c>
      <c r="E3824" s="15" t="n">
        <f aca="false">B3824/Summary!$B$5-1</f>
        <v>-0.0557446031808355</v>
      </c>
    </row>
    <row r="3825" customFormat="false" ht="15" hidden="false" customHeight="false" outlineLevel="0" collapsed="false">
      <c r="A3825" s="0" t="n">
        <v>3824</v>
      </c>
      <c r="B3825" s="14" t="n">
        <v>122798.463237002</v>
      </c>
      <c r="C3825" s="15" t="n">
        <v>0.0652445883060175</v>
      </c>
      <c r="D3825" s="14" t="n">
        <f aca="false">Summary!$B$5-B3825</f>
        <v>-22798.4632370018</v>
      </c>
      <c r="E3825" s="15" t="n">
        <f aca="false">B3825/Summary!$B$5-1</f>
        <v>0.227984632370018</v>
      </c>
    </row>
    <row r="3826" customFormat="false" ht="15" hidden="false" customHeight="false" outlineLevel="0" collapsed="false">
      <c r="A3826" s="0" t="n">
        <v>3825</v>
      </c>
      <c r="B3826" s="14" t="n">
        <v>101183.62880498</v>
      </c>
      <c r="C3826" s="15" t="n">
        <v>0.0635406193115898</v>
      </c>
      <c r="D3826" s="14" t="n">
        <f aca="false">Summary!$B$5-B3826</f>
        <v>-1183.6288049802</v>
      </c>
      <c r="E3826" s="15" t="n">
        <f aca="false">B3826/Summary!$B$5-1</f>
        <v>0.011836288049802</v>
      </c>
    </row>
    <row r="3827" customFormat="false" ht="15" hidden="false" customHeight="false" outlineLevel="0" collapsed="false">
      <c r="A3827" s="0" t="n">
        <v>3826</v>
      </c>
      <c r="B3827" s="14" t="n">
        <v>111489.954529145</v>
      </c>
      <c r="C3827" s="15" t="n">
        <v>0.0498041465448277</v>
      </c>
      <c r="D3827" s="14" t="n">
        <f aca="false">Summary!$B$5-B3827</f>
        <v>-11489.9545291451</v>
      </c>
      <c r="E3827" s="15" t="n">
        <f aca="false">B3827/Summary!$B$5-1</f>
        <v>0.114899545291451</v>
      </c>
    </row>
    <row r="3828" customFormat="false" ht="15" hidden="false" customHeight="false" outlineLevel="0" collapsed="false">
      <c r="A3828" s="0" t="n">
        <v>3827</v>
      </c>
      <c r="B3828" s="14" t="n">
        <v>106605.518483206</v>
      </c>
      <c r="C3828" s="15" t="n">
        <v>0.0722204757094276</v>
      </c>
      <c r="D3828" s="14" t="n">
        <f aca="false">Summary!$B$5-B3828</f>
        <v>-6605.5184832055</v>
      </c>
      <c r="E3828" s="15" t="n">
        <f aca="false">B3828/Summary!$B$5-1</f>
        <v>0.066055184832055</v>
      </c>
    </row>
    <row r="3829" customFormat="false" ht="15" hidden="false" customHeight="false" outlineLevel="0" collapsed="false">
      <c r="A3829" s="0" t="n">
        <v>3828</v>
      </c>
      <c r="B3829" s="14" t="n">
        <v>114333.205995588</v>
      </c>
      <c r="C3829" s="15" t="n">
        <v>0.0838462926337432</v>
      </c>
      <c r="D3829" s="14" t="n">
        <f aca="false">Summary!$B$5-B3829</f>
        <v>-14333.2059955876</v>
      </c>
      <c r="E3829" s="15" t="n">
        <f aca="false">B3829/Summary!$B$5-1</f>
        <v>0.143332059955876</v>
      </c>
    </row>
    <row r="3830" customFormat="false" ht="15" hidden="false" customHeight="false" outlineLevel="0" collapsed="false">
      <c r="A3830" s="0" t="n">
        <v>3829</v>
      </c>
      <c r="B3830" s="14" t="n">
        <v>119450.369491623</v>
      </c>
      <c r="C3830" s="15" t="n">
        <v>0.066582576742954</v>
      </c>
      <c r="D3830" s="14" t="n">
        <f aca="false">Summary!$B$5-B3830</f>
        <v>-19450.3694916232</v>
      </c>
      <c r="E3830" s="15" t="n">
        <f aca="false">B3830/Summary!$B$5-1</f>
        <v>0.194503694916232</v>
      </c>
    </row>
    <row r="3831" customFormat="false" ht="15" hidden="false" customHeight="false" outlineLevel="0" collapsed="false">
      <c r="A3831" s="0" t="n">
        <v>3830</v>
      </c>
      <c r="B3831" s="14" t="n">
        <v>89334.1975088122</v>
      </c>
      <c r="C3831" s="15" t="n">
        <v>0.144438543454416</v>
      </c>
      <c r="D3831" s="14" t="n">
        <f aca="false">Summary!$B$5-B3831</f>
        <v>10665.8024911878</v>
      </c>
      <c r="E3831" s="15" t="n">
        <f aca="false">B3831/Summary!$B$5-1</f>
        <v>-0.106658024911878</v>
      </c>
    </row>
    <row r="3832" customFormat="false" ht="15" hidden="false" customHeight="false" outlineLevel="0" collapsed="false">
      <c r="A3832" s="0" t="n">
        <v>3831</v>
      </c>
      <c r="B3832" s="14" t="n">
        <v>119271.021699018</v>
      </c>
      <c r="C3832" s="15" t="n">
        <v>0.0663693022937584</v>
      </c>
      <c r="D3832" s="14" t="n">
        <f aca="false">Summary!$B$5-B3832</f>
        <v>-19271.0216990181</v>
      </c>
      <c r="E3832" s="15" t="n">
        <f aca="false">B3832/Summary!$B$5-1</f>
        <v>0.192710216990181</v>
      </c>
    </row>
    <row r="3833" customFormat="false" ht="15" hidden="false" customHeight="false" outlineLevel="0" collapsed="false">
      <c r="A3833" s="0" t="n">
        <v>3832</v>
      </c>
      <c r="B3833" s="14" t="n">
        <v>117901.039667625</v>
      </c>
      <c r="C3833" s="15" t="n">
        <v>0.0872535091780416</v>
      </c>
      <c r="D3833" s="14" t="n">
        <f aca="false">Summary!$B$5-B3833</f>
        <v>-17901.039667625</v>
      </c>
      <c r="E3833" s="15" t="n">
        <f aca="false">B3833/Summary!$B$5-1</f>
        <v>0.17901039667625</v>
      </c>
    </row>
    <row r="3834" customFormat="false" ht="15" hidden="false" customHeight="false" outlineLevel="0" collapsed="false">
      <c r="A3834" s="0" t="n">
        <v>3833</v>
      </c>
      <c r="B3834" s="14" t="n">
        <v>107408.142023695</v>
      </c>
      <c r="C3834" s="15" t="n">
        <v>0.0835294544166412</v>
      </c>
      <c r="D3834" s="14" t="n">
        <f aca="false">Summary!$B$5-B3834</f>
        <v>-7408.1420236946</v>
      </c>
      <c r="E3834" s="15" t="n">
        <f aca="false">B3834/Summary!$B$5-1</f>
        <v>0.074081420236946</v>
      </c>
    </row>
    <row r="3835" customFormat="false" ht="15" hidden="false" customHeight="false" outlineLevel="0" collapsed="false">
      <c r="A3835" s="0" t="n">
        <v>3834</v>
      </c>
      <c r="B3835" s="14" t="n">
        <v>106166.204107128</v>
      </c>
      <c r="C3835" s="15" t="n">
        <v>0.0921592690116004</v>
      </c>
      <c r="D3835" s="14" t="n">
        <f aca="false">Summary!$B$5-B3835</f>
        <v>-6166.2041071275</v>
      </c>
      <c r="E3835" s="15" t="n">
        <f aca="false">B3835/Summary!$B$5-1</f>
        <v>0.0616620410712749</v>
      </c>
    </row>
    <row r="3836" customFormat="false" ht="15" hidden="false" customHeight="false" outlineLevel="0" collapsed="false">
      <c r="A3836" s="0" t="n">
        <v>3835</v>
      </c>
      <c r="B3836" s="14" t="n">
        <v>99966.7761121609</v>
      </c>
      <c r="C3836" s="15" t="n">
        <v>0.127910907183567</v>
      </c>
      <c r="D3836" s="14" t="n">
        <f aca="false">Summary!$B$5-B3836</f>
        <v>33.2238878391217</v>
      </c>
      <c r="E3836" s="15" t="n">
        <f aca="false">B3836/Summary!$B$5-1</f>
        <v>-0.000332238878391178</v>
      </c>
    </row>
    <row r="3837" customFormat="false" ht="15" hidden="false" customHeight="false" outlineLevel="0" collapsed="false">
      <c r="A3837" s="0" t="n">
        <v>3836</v>
      </c>
      <c r="B3837" s="14" t="n">
        <v>101560.134558932</v>
      </c>
      <c r="C3837" s="15" t="n">
        <v>0.125270277968709</v>
      </c>
      <c r="D3837" s="14" t="n">
        <f aca="false">Summary!$B$5-B3837</f>
        <v>-1560.1345589322</v>
      </c>
      <c r="E3837" s="15" t="n">
        <f aca="false">B3837/Summary!$B$5-1</f>
        <v>0.015601345589322</v>
      </c>
    </row>
    <row r="3838" customFormat="false" ht="15" hidden="false" customHeight="false" outlineLevel="0" collapsed="false">
      <c r="A3838" s="0" t="n">
        <v>3837</v>
      </c>
      <c r="B3838" s="14" t="n">
        <v>121190.191254384</v>
      </c>
      <c r="C3838" s="15" t="n">
        <v>0.0664131060664633</v>
      </c>
      <c r="D3838" s="14" t="n">
        <f aca="false">Summary!$B$5-B3838</f>
        <v>-21190.1912543843</v>
      </c>
      <c r="E3838" s="15" t="n">
        <f aca="false">B3838/Summary!$B$5-1</f>
        <v>0.211901912543843</v>
      </c>
    </row>
    <row r="3839" customFormat="false" ht="15" hidden="false" customHeight="false" outlineLevel="0" collapsed="false">
      <c r="A3839" s="0" t="n">
        <v>3838</v>
      </c>
      <c r="B3839" s="14" t="n">
        <v>107552.02202111</v>
      </c>
      <c r="C3839" s="15" t="n">
        <v>0.146108794088688</v>
      </c>
      <c r="D3839" s="14" t="n">
        <f aca="false">Summary!$B$5-B3839</f>
        <v>-7552.0220211095</v>
      </c>
      <c r="E3839" s="15" t="n">
        <f aca="false">B3839/Summary!$B$5-1</f>
        <v>0.075520220211095</v>
      </c>
    </row>
    <row r="3840" customFormat="false" ht="15" hidden="false" customHeight="false" outlineLevel="0" collapsed="false">
      <c r="A3840" s="0" t="n">
        <v>3839</v>
      </c>
      <c r="B3840" s="14" t="n">
        <v>110542.035434384</v>
      </c>
      <c r="C3840" s="15" t="n">
        <v>0.0916386109981426</v>
      </c>
      <c r="D3840" s="14" t="n">
        <f aca="false">Summary!$B$5-B3840</f>
        <v>-10542.0354343838</v>
      </c>
      <c r="E3840" s="15" t="n">
        <f aca="false">B3840/Summary!$B$5-1</f>
        <v>0.105420354343838</v>
      </c>
    </row>
    <row r="3841" customFormat="false" ht="15" hidden="false" customHeight="false" outlineLevel="0" collapsed="false">
      <c r="A3841" s="0" t="n">
        <v>3840</v>
      </c>
      <c r="B3841" s="14" t="n">
        <v>115999.683573684</v>
      </c>
      <c r="C3841" s="15" t="n">
        <v>0.080621535547354</v>
      </c>
      <c r="D3841" s="14" t="n">
        <f aca="false">Summary!$B$5-B3841</f>
        <v>-15999.6835736836</v>
      </c>
      <c r="E3841" s="15" t="n">
        <f aca="false">B3841/Summary!$B$5-1</f>
        <v>0.159996835736836</v>
      </c>
    </row>
    <row r="3842" customFormat="false" ht="15" hidden="false" customHeight="false" outlineLevel="0" collapsed="false">
      <c r="A3842" s="0" t="n">
        <v>3841</v>
      </c>
      <c r="B3842" s="14" t="n">
        <v>118093.770399032</v>
      </c>
      <c r="C3842" s="15" t="n">
        <v>0.102768478665957</v>
      </c>
      <c r="D3842" s="14" t="n">
        <f aca="false">Summary!$B$5-B3842</f>
        <v>-18093.7703990322</v>
      </c>
      <c r="E3842" s="15" t="n">
        <f aca="false">B3842/Summary!$B$5-1</f>
        <v>0.180937703990322</v>
      </c>
    </row>
    <row r="3843" customFormat="false" ht="15" hidden="false" customHeight="false" outlineLevel="0" collapsed="false">
      <c r="A3843" s="0" t="n">
        <v>3842</v>
      </c>
      <c r="B3843" s="14" t="n">
        <v>125873.455673715</v>
      </c>
      <c r="C3843" s="15" t="n">
        <v>0.0579501296659575</v>
      </c>
      <c r="D3843" s="14" t="n">
        <f aca="false">Summary!$B$5-B3843</f>
        <v>-25873.4556737149</v>
      </c>
      <c r="E3843" s="15" t="n">
        <f aca="false">B3843/Summary!$B$5-1</f>
        <v>0.258734556737149</v>
      </c>
    </row>
    <row r="3844" customFormat="false" ht="15" hidden="false" customHeight="false" outlineLevel="0" collapsed="false">
      <c r="A3844" s="0" t="n">
        <v>3843</v>
      </c>
      <c r="B3844" s="14" t="n">
        <v>106841.021420985</v>
      </c>
      <c r="C3844" s="15" t="n">
        <v>0.114084515964016</v>
      </c>
      <c r="D3844" s="14" t="n">
        <f aca="false">Summary!$B$5-B3844</f>
        <v>-6841.0214209845</v>
      </c>
      <c r="E3844" s="15" t="n">
        <f aca="false">B3844/Summary!$B$5-1</f>
        <v>0.0684102142098451</v>
      </c>
    </row>
    <row r="3845" customFormat="false" ht="15" hidden="false" customHeight="false" outlineLevel="0" collapsed="false">
      <c r="A3845" s="0" t="n">
        <v>3844</v>
      </c>
      <c r="B3845" s="14" t="n">
        <v>87918.1457682591</v>
      </c>
      <c r="C3845" s="15" t="n">
        <v>0.161892741596942</v>
      </c>
      <c r="D3845" s="14" t="n">
        <f aca="false">Summary!$B$5-B3845</f>
        <v>12081.8542317409</v>
      </c>
      <c r="E3845" s="15" t="n">
        <f aca="false">B3845/Summary!$B$5-1</f>
        <v>-0.120818542317409</v>
      </c>
    </row>
    <row r="3846" customFormat="false" ht="15" hidden="false" customHeight="false" outlineLevel="0" collapsed="false">
      <c r="A3846" s="0" t="n">
        <v>3845</v>
      </c>
      <c r="B3846" s="14" t="n">
        <v>111527.042370628</v>
      </c>
      <c r="C3846" s="15" t="n">
        <v>0.0672358169288292</v>
      </c>
      <c r="D3846" s="14" t="n">
        <f aca="false">Summary!$B$5-B3846</f>
        <v>-11527.0423706281</v>
      </c>
      <c r="E3846" s="15" t="n">
        <f aca="false">B3846/Summary!$B$5-1</f>
        <v>0.115270423706281</v>
      </c>
    </row>
    <row r="3847" customFormat="false" ht="15" hidden="false" customHeight="false" outlineLevel="0" collapsed="false">
      <c r="A3847" s="0" t="n">
        <v>3846</v>
      </c>
      <c r="B3847" s="14" t="n">
        <v>101506.706113368</v>
      </c>
      <c r="C3847" s="15" t="n">
        <v>0.0896447351018667</v>
      </c>
      <c r="D3847" s="14" t="n">
        <f aca="false">Summary!$B$5-B3847</f>
        <v>-1506.7061133684</v>
      </c>
      <c r="E3847" s="15" t="n">
        <f aca="false">B3847/Summary!$B$5-1</f>
        <v>0.0150670611336841</v>
      </c>
    </row>
    <row r="3848" customFormat="false" ht="15" hidden="false" customHeight="false" outlineLevel="0" collapsed="false">
      <c r="A3848" s="0" t="n">
        <v>3847</v>
      </c>
      <c r="B3848" s="14" t="n">
        <v>111832.24946822</v>
      </c>
      <c r="C3848" s="15" t="n">
        <v>0.0564857050838611</v>
      </c>
      <c r="D3848" s="14" t="n">
        <f aca="false">Summary!$B$5-B3848</f>
        <v>-11832.2494682198</v>
      </c>
      <c r="E3848" s="15" t="n">
        <f aca="false">B3848/Summary!$B$5-1</f>
        <v>0.118322494682198</v>
      </c>
    </row>
    <row r="3849" customFormat="false" ht="15" hidden="false" customHeight="false" outlineLevel="0" collapsed="false">
      <c r="A3849" s="0" t="n">
        <v>3848</v>
      </c>
      <c r="B3849" s="14" t="n">
        <v>102512.148526533</v>
      </c>
      <c r="C3849" s="15" t="n">
        <v>0.126120999233622</v>
      </c>
      <c r="D3849" s="14" t="n">
        <f aca="false">Summary!$B$5-B3849</f>
        <v>-2512.1485265326</v>
      </c>
      <c r="E3849" s="15" t="n">
        <f aca="false">B3849/Summary!$B$5-1</f>
        <v>0.0251214852653261</v>
      </c>
    </row>
    <row r="3850" customFormat="false" ht="15" hidden="false" customHeight="false" outlineLevel="0" collapsed="false">
      <c r="A3850" s="0" t="n">
        <v>3849</v>
      </c>
      <c r="B3850" s="14" t="n">
        <v>117823.272532304</v>
      </c>
      <c r="C3850" s="15" t="n">
        <v>0.0623995456402763</v>
      </c>
      <c r="D3850" s="14" t="n">
        <f aca="false">Summary!$B$5-B3850</f>
        <v>-17823.2725323041</v>
      </c>
      <c r="E3850" s="15" t="n">
        <f aca="false">B3850/Summary!$B$5-1</f>
        <v>0.178232725323041</v>
      </c>
    </row>
    <row r="3851" customFormat="false" ht="15" hidden="false" customHeight="false" outlineLevel="0" collapsed="false">
      <c r="A3851" s="0" t="n">
        <v>3850</v>
      </c>
      <c r="B3851" s="14" t="n">
        <v>110662.639083324</v>
      </c>
      <c r="C3851" s="15" t="n">
        <v>0.068273010733909</v>
      </c>
      <c r="D3851" s="14" t="n">
        <f aca="false">Summary!$B$5-B3851</f>
        <v>-10662.6390833235</v>
      </c>
      <c r="E3851" s="15" t="n">
        <f aca="false">B3851/Summary!$B$5-1</f>
        <v>0.106626390833235</v>
      </c>
    </row>
    <row r="3852" customFormat="false" ht="15" hidden="false" customHeight="false" outlineLevel="0" collapsed="false">
      <c r="A3852" s="0" t="n">
        <v>3851</v>
      </c>
      <c r="B3852" s="14" t="n">
        <v>99576.7100652463</v>
      </c>
      <c r="C3852" s="15" t="n">
        <v>0.0813341346136733</v>
      </c>
      <c r="D3852" s="14" t="n">
        <f aca="false">Summary!$B$5-B3852</f>
        <v>423.289934753717</v>
      </c>
      <c r="E3852" s="15" t="n">
        <f aca="false">B3852/Summary!$B$5-1</f>
        <v>-0.00423289934753712</v>
      </c>
    </row>
    <row r="3853" customFormat="false" ht="15" hidden="false" customHeight="false" outlineLevel="0" collapsed="false">
      <c r="A3853" s="0" t="n">
        <v>3852</v>
      </c>
      <c r="B3853" s="14" t="n">
        <v>138172.731851124</v>
      </c>
      <c r="C3853" s="15" t="n">
        <v>0.043324085090495</v>
      </c>
      <c r="D3853" s="14" t="n">
        <f aca="false">Summary!$B$5-B3853</f>
        <v>-38172.7318511237</v>
      </c>
      <c r="E3853" s="15" t="n">
        <f aca="false">B3853/Summary!$B$5-1</f>
        <v>0.381727318511237</v>
      </c>
    </row>
    <row r="3854" customFormat="false" ht="15" hidden="false" customHeight="false" outlineLevel="0" collapsed="false">
      <c r="A3854" s="0" t="n">
        <v>3853</v>
      </c>
      <c r="B3854" s="14" t="n">
        <v>89304.2772896276</v>
      </c>
      <c r="C3854" s="15" t="n">
        <v>0.195300415072313</v>
      </c>
      <c r="D3854" s="14" t="n">
        <f aca="false">Summary!$B$5-B3854</f>
        <v>10695.7227103724</v>
      </c>
      <c r="E3854" s="15" t="n">
        <f aca="false">B3854/Summary!$B$5-1</f>
        <v>-0.106957227103724</v>
      </c>
    </row>
    <row r="3855" customFormat="false" ht="15" hidden="false" customHeight="false" outlineLevel="0" collapsed="false">
      <c r="A3855" s="0" t="n">
        <v>3854</v>
      </c>
      <c r="B3855" s="14" t="n">
        <v>82535.4417328805</v>
      </c>
      <c r="C3855" s="15" t="n">
        <v>0.251876277676924</v>
      </c>
      <c r="D3855" s="14" t="n">
        <f aca="false">Summary!$B$5-B3855</f>
        <v>17464.5582671195</v>
      </c>
      <c r="E3855" s="15" t="n">
        <f aca="false">B3855/Summary!$B$5-1</f>
        <v>-0.174645582671195</v>
      </c>
    </row>
    <row r="3856" customFormat="false" ht="15" hidden="false" customHeight="false" outlineLevel="0" collapsed="false">
      <c r="A3856" s="0" t="n">
        <v>3855</v>
      </c>
      <c r="B3856" s="14" t="n">
        <v>129789.96815942</v>
      </c>
      <c r="C3856" s="15" t="n">
        <v>0.0853562639690318</v>
      </c>
      <c r="D3856" s="14" t="n">
        <f aca="false">Summary!$B$5-B3856</f>
        <v>-29789.9681594199</v>
      </c>
      <c r="E3856" s="15" t="n">
        <f aca="false">B3856/Summary!$B$5-1</f>
        <v>0.297899681594199</v>
      </c>
    </row>
    <row r="3857" customFormat="false" ht="15" hidden="false" customHeight="false" outlineLevel="0" collapsed="false">
      <c r="A3857" s="0" t="n">
        <v>3856</v>
      </c>
      <c r="B3857" s="14" t="n">
        <v>94989.6592054415</v>
      </c>
      <c r="C3857" s="15" t="n">
        <v>0.107421417865727</v>
      </c>
      <c r="D3857" s="14" t="n">
        <f aca="false">Summary!$B$5-B3857</f>
        <v>5010.34079455852</v>
      </c>
      <c r="E3857" s="15" t="n">
        <f aca="false">B3857/Summary!$B$5-1</f>
        <v>-0.0501034079455852</v>
      </c>
    </row>
    <row r="3858" customFormat="false" ht="15" hidden="false" customHeight="false" outlineLevel="0" collapsed="false">
      <c r="A3858" s="0" t="n">
        <v>3857</v>
      </c>
      <c r="B3858" s="14" t="n">
        <v>125959.134870407</v>
      </c>
      <c r="C3858" s="15" t="n">
        <v>0.0600818398356996</v>
      </c>
      <c r="D3858" s="14" t="n">
        <f aca="false">Summary!$B$5-B3858</f>
        <v>-25959.1348704065</v>
      </c>
      <c r="E3858" s="15" t="n">
        <f aca="false">B3858/Summary!$B$5-1</f>
        <v>0.259591348704065</v>
      </c>
    </row>
    <row r="3859" customFormat="false" ht="15" hidden="false" customHeight="false" outlineLevel="0" collapsed="false">
      <c r="A3859" s="0" t="n">
        <v>3858</v>
      </c>
      <c r="B3859" s="14" t="n">
        <v>107618.051031262</v>
      </c>
      <c r="C3859" s="15" t="n">
        <v>0.064255877890404</v>
      </c>
      <c r="D3859" s="14" t="n">
        <f aca="false">Summary!$B$5-B3859</f>
        <v>-7618.0510312621</v>
      </c>
      <c r="E3859" s="15" t="n">
        <f aca="false">B3859/Summary!$B$5-1</f>
        <v>0.076180510312621</v>
      </c>
    </row>
    <row r="3860" customFormat="false" ht="15" hidden="false" customHeight="false" outlineLevel="0" collapsed="false">
      <c r="A3860" s="0" t="n">
        <v>3859</v>
      </c>
      <c r="B3860" s="14" t="n">
        <v>117416.960955621</v>
      </c>
      <c r="C3860" s="15" t="n">
        <v>0.064933613676589</v>
      </c>
      <c r="D3860" s="14" t="n">
        <f aca="false">Summary!$B$5-B3860</f>
        <v>-17416.9609556214</v>
      </c>
      <c r="E3860" s="15" t="n">
        <f aca="false">B3860/Summary!$B$5-1</f>
        <v>0.174169609556214</v>
      </c>
    </row>
    <row r="3861" customFormat="false" ht="15" hidden="false" customHeight="false" outlineLevel="0" collapsed="false">
      <c r="A3861" s="0" t="n">
        <v>3860</v>
      </c>
      <c r="B3861" s="14" t="n">
        <v>94112.6729952276</v>
      </c>
      <c r="C3861" s="15" t="n">
        <v>0.116104515614417</v>
      </c>
      <c r="D3861" s="14" t="n">
        <f aca="false">Summary!$B$5-B3861</f>
        <v>5887.32700477239</v>
      </c>
      <c r="E3861" s="15" t="n">
        <f aca="false">B3861/Summary!$B$5-1</f>
        <v>-0.0588732700477239</v>
      </c>
    </row>
    <row r="3862" customFormat="false" ht="15" hidden="false" customHeight="false" outlineLevel="0" collapsed="false">
      <c r="A3862" s="0" t="n">
        <v>3861</v>
      </c>
      <c r="B3862" s="14" t="n">
        <v>86314.6852125371</v>
      </c>
      <c r="C3862" s="15" t="n">
        <v>0.214359078228421</v>
      </c>
      <c r="D3862" s="14" t="n">
        <f aca="false">Summary!$B$5-B3862</f>
        <v>13685.3147874629</v>
      </c>
      <c r="E3862" s="15" t="n">
        <f aca="false">B3862/Summary!$B$5-1</f>
        <v>-0.136853147874629</v>
      </c>
    </row>
    <row r="3863" customFormat="false" ht="15" hidden="false" customHeight="false" outlineLevel="0" collapsed="false">
      <c r="A3863" s="0" t="n">
        <v>3862</v>
      </c>
      <c r="B3863" s="14" t="n">
        <v>119588.118668745</v>
      </c>
      <c r="C3863" s="15" t="n">
        <v>0.0873101428909108</v>
      </c>
      <c r="D3863" s="14" t="n">
        <f aca="false">Summary!$B$5-B3863</f>
        <v>-19588.1186687452</v>
      </c>
      <c r="E3863" s="15" t="n">
        <f aca="false">B3863/Summary!$B$5-1</f>
        <v>0.195881186687452</v>
      </c>
    </row>
    <row r="3864" customFormat="false" ht="15" hidden="false" customHeight="false" outlineLevel="0" collapsed="false">
      <c r="A3864" s="0" t="n">
        <v>3863</v>
      </c>
      <c r="B3864" s="14" t="n">
        <v>94319.0532937279</v>
      </c>
      <c r="C3864" s="15" t="n">
        <v>0.121895372767067</v>
      </c>
      <c r="D3864" s="14" t="n">
        <f aca="false">Summary!$B$5-B3864</f>
        <v>5680.94670627214</v>
      </c>
      <c r="E3864" s="15" t="n">
        <f aca="false">B3864/Summary!$B$5-1</f>
        <v>-0.0568094670627214</v>
      </c>
    </row>
    <row r="3865" customFormat="false" ht="15" hidden="false" customHeight="false" outlineLevel="0" collapsed="false">
      <c r="A3865" s="0" t="n">
        <v>3864</v>
      </c>
      <c r="B3865" s="14" t="n">
        <v>89552.0689402067</v>
      </c>
      <c r="C3865" s="15" t="n">
        <v>0.142824146008625</v>
      </c>
      <c r="D3865" s="14" t="n">
        <f aca="false">Summary!$B$5-B3865</f>
        <v>10447.9310597934</v>
      </c>
      <c r="E3865" s="15" t="n">
        <f aca="false">B3865/Summary!$B$5-1</f>
        <v>-0.104479310597933</v>
      </c>
    </row>
    <row r="3866" customFormat="false" ht="15" hidden="false" customHeight="false" outlineLevel="0" collapsed="false">
      <c r="A3866" s="0" t="n">
        <v>3865</v>
      </c>
      <c r="B3866" s="14" t="n">
        <v>112034.732791348</v>
      </c>
      <c r="C3866" s="15" t="n">
        <v>0.0650547894386377</v>
      </c>
      <c r="D3866" s="14" t="n">
        <f aca="false">Summary!$B$5-B3866</f>
        <v>-12034.7327913481</v>
      </c>
      <c r="E3866" s="15" t="n">
        <f aca="false">B3866/Summary!$B$5-1</f>
        <v>0.120347327913481</v>
      </c>
    </row>
    <row r="3867" customFormat="false" ht="15" hidden="false" customHeight="false" outlineLevel="0" collapsed="false">
      <c r="A3867" s="0" t="n">
        <v>3866</v>
      </c>
      <c r="B3867" s="14" t="n">
        <v>124493.674710197</v>
      </c>
      <c r="C3867" s="15" t="n">
        <v>0.101812908447861</v>
      </c>
      <c r="D3867" s="14" t="n">
        <f aca="false">Summary!$B$5-B3867</f>
        <v>-24493.6747101968</v>
      </c>
      <c r="E3867" s="15" t="n">
        <f aca="false">B3867/Summary!$B$5-1</f>
        <v>0.244936747101968</v>
      </c>
    </row>
    <row r="3868" customFormat="false" ht="15" hidden="false" customHeight="false" outlineLevel="0" collapsed="false">
      <c r="A3868" s="0" t="n">
        <v>3867</v>
      </c>
      <c r="B3868" s="14" t="n">
        <v>107019.03700998</v>
      </c>
      <c r="C3868" s="15" t="n">
        <v>0.0891411295022627</v>
      </c>
      <c r="D3868" s="14" t="n">
        <f aca="false">Summary!$B$5-B3868</f>
        <v>-7019.0370099802</v>
      </c>
      <c r="E3868" s="15" t="n">
        <f aca="false">B3868/Summary!$B$5-1</f>
        <v>0.0701903700998019</v>
      </c>
    </row>
    <row r="3869" customFormat="false" ht="15" hidden="false" customHeight="false" outlineLevel="0" collapsed="false">
      <c r="A3869" s="0" t="n">
        <v>3868</v>
      </c>
      <c r="B3869" s="14" t="n">
        <v>135110.345333062</v>
      </c>
      <c r="C3869" s="15" t="n">
        <v>0.0735247320620929</v>
      </c>
      <c r="D3869" s="14" t="n">
        <f aca="false">Summary!$B$5-B3869</f>
        <v>-35110.345333062</v>
      </c>
      <c r="E3869" s="15" t="n">
        <f aca="false">B3869/Summary!$B$5-1</f>
        <v>0.35110345333062</v>
      </c>
    </row>
    <row r="3870" customFormat="false" ht="15" hidden="false" customHeight="false" outlineLevel="0" collapsed="false">
      <c r="A3870" s="0" t="n">
        <v>3869</v>
      </c>
      <c r="B3870" s="14" t="n">
        <v>124687.671824221</v>
      </c>
      <c r="C3870" s="15" t="n">
        <v>0.061439963351583</v>
      </c>
      <c r="D3870" s="14" t="n">
        <f aca="false">Summary!$B$5-B3870</f>
        <v>-24687.6718242211</v>
      </c>
      <c r="E3870" s="15" t="n">
        <f aca="false">B3870/Summary!$B$5-1</f>
        <v>0.246876718242211</v>
      </c>
    </row>
    <row r="3871" customFormat="false" ht="15" hidden="false" customHeight="false" outlineLevel="0" collapsed="false">
      <c r="A3871" s="0" t="n">
        <v>3870</v>
      </c>
      <c r="B3871" s="14" t="n">
        <v>94712.3482623128</v>
      </c>
      <c r="C3871" s="15" t="n">
        <v>0.128461199905193</v>
      </c>
      <c r="D3871" s="14" t="n">
        <f aca="false">Summary!$B$5-B3871</f>
        <v>5287.65173768718</v>
      </c>
      <c r="E3871" s="15" t="n">
        <f aca="false">B3871/Summary!$B$5-1</f>
        <v>-0.0528765173768718</v>
      </c>
    </row>
    <row r="3872" customFormat="false" ht="15" hidden="false" customHeight="false" outlineLevel="0" collapsed="false">
      <c r="A3872" s="0" t="n">
        <v>3871</v>
      </c>
      <c r="B3872" s="14" t="n">
        <v>114520.165010801</v>
      </c>
      <c r="C3872" s="15" t="n">
        <v>0.0787611844721938</v>
      </c>
      <c r="D3872" s="14" t="n">
        <f aca="false">Summary!$B$5-B3872</f>
        <v>-14520.165010801</v>
      </c>
      <c r="E3872" s="15" t="n">
        <f aca="false">B3872/Summary!$B$5-1</f>
        <v>0.14520165010801</v>
      </c>
    </row>
    <row r="3873" customFormat="false" ht="15" hidden="false" customHeight="false" outlineLevel="0" collapsed="false">
      <c r="A3873" s="0" t="n">
        <v>3872</v>
      </c>
      <c r="B3873" s="14" t="n">
        <v>126139.902909617</v>
      </c>
      <c r="C3873" s="15" t="n">
        <v>0.035565227786266</v>
      </c>
      <c r="D3873" s="14" t="n">
        <f aca="false">Summary!$B$5-B3873</f>
        <v>-26139.9029096168</v>
      </c>
      <c r="E3873" s="15" t="n">
        <f aca="false">B3873/Summary!$B$5-1</f>
        <v>0.261399029096168</v>
      </c>
    </row>
    <row r="3874" customFormat="false" ht="15" hidden="false" customHeight="false" outlineLevel="0" collapsed="false">
      <c r="A3874" s="0" t="n">
        <v>3873</v>
      </c>
      <c r="B3874" s="14" t="n">
        <v>94149.4211261264</v>
      </c>
      <c r="C3874" s="15" t="n">
        <v>0.104132748042103</v>
      </c>
      <c r="D3874" s="14" t="n">
        <f aca="false">Summary!$B$5-B3874</f>
        <v>5850.57887387357</v>
      </c>
      <c r="E3874" s="15" t="n">
        <f aca="false">B3874/Summary!$B$5-1</f>
        <v>-0.0585057887387357</v>
      </c>
    </row>
    <row r="3875" customFormat="false" ht="15" hidden="false" customHeight="false" outlineLevel="0" collapsed="false">
      <c r="A3875" s="0" t="n">
        <v>3874</v>
      </c>
      <c r="B3875" s="14" t="n">
        <v>101758.645187235</v>
      </c>
      <c r="C3875" s="15" t="n">
        <v>0.0873768344339445</v>
      </c>
      <c r="D3875" s="14" t="n">
        <f aca="false">Summary!$B$5-B3875</f>
        <v>-1758.64518723531</v>
      </c>
      <c r="E3875" s="15" t="n">
        <f aca="false">B3875/Summary!$B$5-1</f>
        <v>0.017586451872353</v>
      </c>
    </row>
    <row r="3876" customFormat="false" ht="15" hidden="false" customHeight="false" outlineLevel="0" collapsed="false">
      <c r="A3876" s="0" t="n">
        <v>3875</v>
      </c>
      <c r="B3876" s="14" t="n">
        <v>94869.6241390897</v>
      </c>
      <c r="C3876" s="15" t="n">
        <v>0.14690713226917</v>
      </c>
      <c r="D3876" s="14" t="n">
        <f aca="false">Summary!$B$5-B3876</f>
        <v>5130.37586091031</v>
      </c>
      <c r="E3876" s="15" t="n">
        <f aca="false">B3876/Summary!$B$5-1</f>
        <v>-0.0513037586091031</v>
      </c>
    </row>
    <row r="3877" customFormat="false" ht="15" hidden="false" customHeight="false" outlineLevel="0" collapsed="false">
      <c r="A3877" s="0" t="n">
        <v>3876</v>
      </c>
      <c r="B3877" s="14" t="n">
        <v>98364.8174179407</v>
      </c>
      <c r="C3877" s="15" t="n">
        <v>0.13832758436226</v>
      </c>
      <c r="D3877" s="14" t="n">
        <f aca="false">Summary!$B$5-B3877</f>
        <v>1635.18258205932</v>
      </c>
      <c r="E3877" s="15" t="n">
        <f aca="false">B3877/Summary!$B$5-1</f>
        <v>-0.0163518258205932</v>
      </c>
    </row>
    <row r="3878" customFormat="false" ht="15" hidden="false" customHeight="false" outlineLevel="0" collapsed="false">
      <c r="A3878" s="0" t="n">
        <v>3877</v>
      </c>
      <c r="B3878" s="14" t="n">
        <v>107073.482425665</v>
      </c>
      <c r="C3878" s="15" t="n">
        <v>0.0991290420048708</v>
      </c>
      <c r="D3878" s="14" t="n">
        <f aca="false">Summary!$B$5-B3878</f>
        <v>-7073.48242566529</v>
      </c>
      <c r="E3878" s="15" t="n">
        <f aca="false">B3878/Summary!$B$5-1</f>
        <v>0.070734824256653</v>
      </c>
    </row>
    <row r="3879" customFormat="false" ht="15" hidden="false" customHeight="false" outlineLevel="0" collapsed="false">
      <c r="A3879" s="0" t="n">
        <v>3878</v>
      </c>
      <c r="B3879" s="14" t="n">
        <v>120430.421914671</v>
      </c>
      <c r="C3879" s="15" t="n">
        <v>0.0830199637566286</v>
      </c>
      <c r="D3879" s="14" t="n">
        <f aca="false">Summary!$B$5-B3879</f>
        <v>-20430.4219146706</v>
      </c>
      <c r="E3879" s="15" t="n">
        <f aca="false">B3879/Summary!$B$5-1</f>
        <v>0.204304219146706</v>
      </c>
    </row>
    <row r="3880" customFormat="false" ht="15" hidden="false" customHeight="false" outlineLevel="0" collapsed="false">
      <c r="A3880" s="0" t="n">
        <v>3879</v>
      </c>
      <c r="B3880" s="14" t="n">
        <v>90938.71805838</v>
      </c>
      <c r="C3880" s="15" t="n">
        <v>0.133571947312562</v>
      </c>
      <c r="D3880" s="14" t="n">
        <f aca="false">Summary!$B$5-B3880</f>
        <v>9061.28194161998</v>
      </c>
      <c r="E3880" s="15" t="n">
        <f aca="false">B3880/Summary!$B$5-1</f>
        <v>-0.0906128194161998</v>
      </c>
    </row>
    <row r="3881" customFormat="false" ht="15" hidden="false" customHeight="false" outlineLevel="0" collapsed="false">
      <c r="A3881" s="0" t="n">
        <v>3880</v>
      </c>
      <c r="B3881" s="14" t="n">
        <v>112455.589978631</v>
      </c>
      <c r="C3881" s="15" t="n">
        <v>0.0805159745582759</v>
      </c>
      <c r="D3881" s="14" t="n">
        <f aca="false">Summary!$B$5-B3881</f>
        <v>-12455.5899786307</v>
      </c>
      <c r="E3881" s="15" t="n">
        <f aca="false">B3881/Summary!$B$5-1</f>
        <v>0.124555899786307</v>
      </c>
    </row>
    <row r="3882" customFormat="false" ht="15" hidden="false" customHeight="false" outlineLevel="0" collapsed="false">
      <c r="A3882" s="0" t="n">
        <v>3881</v>
      </c>
      <c r="B3882" s="14" t="n">
        <v>118131.255194722</v>
      </c>
      <c r="C3882" s="15" t="n">
        <v>0.0597970165280071</v>
      </c>
      <c r="D3882" s="14" t="n">
        <f aca="false">Summary!$B$5-B3882</f>
        <v>-18131.2551947217</v>
      </c>
      <c r="E3882" s="15" t="n">
        <f aca="false">B3882/Summary!$B$5-1</f>
        <v>0.181312551947217</v>
      </c>
    </row>
    <row r="3883" customFormat="false" ht="15" hidden="false" customHeight="false" outlineLevel="0" collapsed="false">
      <c r="A3883" s="0" t="n">
        <v>3882</v>
      </c>
      <c r="B3883" s="14" t="n">
        <v>100229.675902094</v>
      </c>
      <c r="C3883" s="15" t="n">
        <v>0.143254100992086</v>
      </c>
      <c r="D3883" s="14" t="n">
        <f aca="false">Summary!$B$5-B3883</f>
        <v>-229.675902094401</v>
      </c>
      <c r="E3883" s="15" t="n">
        <f aca="false">B3883/Summary!$B$5-1</f>
        <v>0.00229675902094395</v>
      </c>
    </row>
    <row r="3884" customFormat="false" ht="15" hidden="false" customHeight="false" outlineLevel="0" collapsed="false">
      <c r="A3884" s="0" t="n">
        <v>3883</v>
      </c>
      <c r="B3884" s="14" t="n">
        <v>105085.121425427</v>
      </c>
      <c r="C3884" s="15" t="n">
        <v>0.0942738726243719</v>
      </c>
      <c r="D3884" s="14" t="n">
        <f aca="false">Summary!$B$5-B3884</f>
        <v>-5085.1214254267</v>
      </c>
      <c r="E3884" s="15" t="n">
        <f aca="false">B3884/Summary!$B$5-1</f>
        <v>0.050851214254267</v>
      </c>
    </row>
    <row r="3885" customFormat="false" ht="15" hidden="false" customHeight="false" outlineLevel="0" collapsed="false">
      <c r="A3885" s="0" t="n">
        <v>3884</v>
      </c>
      <c r="B3885" s="14" t="n">
        <v>104328.091626657</v>
      </c>
      <c r="C3885" s="15" t="n">
        <v>0.106731911441208</v>
      </c>
      <c r="D3885" s="14" t="n">
        <f aca="false">Summary!$B$5-B3885</f>
        <v>-4328.0916266569</v>
      </c>
      <c r="E3885" s="15" t="n">
        <f aca="false">B3885/Summary!$B$5-1</f>
        <v>0.0432809162665691</v>
      </c>
    </row>
    <row r="3886" customFormat="false" ht="15" hidden="false" customHeight="false" outlineLevel="0" collapsed="false">
      <c r="A3886" s="0" t="n">
        <v>3885</v>
      </c>
      <c r="B3886" s="14" t="n">
        <v>113899.688951778</v>
      </c>
      <c r="C3886" s="15" t="n">
        <v>0.0645342222164195</v>
      </c>
      <c r="D3886" s="14" t="n">
        <f aca="false">Summary!$B$5-B3886</f>
        <v>-13899.6889517781</v>
      </c>
      <c r="E3886" s="15" t="n">
        <f aca="false">B3886/Summary!$B$5-1</f>
        <v>0.138996889517781</v>
      </c>
    </row>
    <row r="3887" customFormat="false" ht="15" hidden="false" customHeight="false" outlineLevel="0" collapsed="false">
      <c r="A3887" s="0" t="n">
        <v>3886</v>
      </c>
      <c r="B3887" s="14" t="n">
        <v>144005.875807668</v>
      </c>
      <c r="C3887" s="15" t="n">
        <v>0.0442301405215105</v>
      </c>
      <c r="D3887" s="14" t="n">
        <f aca="false">Summary!$B$5-B3887</f>
        <v>-44005.8758076683</v>
      </c>
      <c r="E3887" s="15" t="n">
        <f aca="false">B3887/Summary!$B$5-1</f>
        <v>0.440058758076683</v>
      </c>
    </row>
    <row r="3888" customFormat="false" ht="15" hidden="false" customHeight="false" outlineLevel="0" collapsed="false">
      <c r="A3888" s="0" t="n">
        <v>3887</v>
      </c>
      <c r="B3888" s="14" t="n">
        <v>85899.1028204057</v>
      </c>
      <c r="C3888" s="15" t="n">
        <v>0.159749206160231</v>
      </c>
      <c r="D3888" s="14" t="n">
        <f aca="false">Summary!$B$5-B3888</f>
        <v>14100.8971795943</v>
      </c>
      <c r="E3888" s="15" t="n">
        <f aca="false">B3888/Summary!$B$5-1</f>
        <v>-0.141008971795943</v>
      </c>
    </row>
    <row r="3889" customFormat="false" ht="15" hidden="false" customHeight="false" outlineLevel="0" collapsed="false">
      <c r="A3889" s="0" t="n">
        <v>3888</v>
      </c>
      <c r="B3889" s="14" t="n">
        <v>96863.5670330966</v>
      </c>
      <c r="C3889" s="15" t="n">
        <v>0.0844945910706831</v>
      </c>
      <c r="D3889" s="14" t="n">
        <f aca="false">Summary!$B$5-B3889</f>
        <v>3136.43296690338</v>
      </c>
      <c r="E3889" s="15" t="n">
        <f aca="false">B3889/Summary!$B$5-1</f>
        <v>-0.0313643296690338</v>
      </c>
    </row>
    <row r="3890" customFormat="false" ht="15" hidden="false" customHeight="false" outlineLevel="0" collapsed="false">
      <c r="A3890" s="0" t="n">
        <v>3889</v>
      </c>
      <c r="B3890" s="14" t="n">
        <v>124133.460093408</v>
      </c>
      <c r="C3890" s="15" t="n">
        <v>0.0698106616807285</v>
      </c>
      <c r="D3890" s="14" t="n">
        <f aca="false">Summary!$B$5-B3890</f>
        <v>-24133.4600934079</v>
      </c>
      <c r="E3890" s="15" t="n">
        <f aca="false">B3890/Summary!$B$5-1</f>
        <v>0.241334600934079</v>
      </c>
    </row>
    <row r="3891" customFormat="false" ht="15" hidden="false" customHeight="false" outlineLevel="0" collapsed="false">
      <c r="A3891" s="0" t="n">
        <v>3890</v>
      </c>
      <c r="B3891" s="14" t="n">
        <v>127029.736153223</v>
      </c>
      <c r="C3891" s="15" t="n">
        <v>0.0655876904894391</v>
      </c>
      <c r="D3891" s="14" t="n">
        <f aca="false">Summary!$B$5-B3891</f>
        <v>-27029.7361532232</v>
      </c>
      <c r="E3891" s="15" t="n">
        <f aca="false">B3891/Summary!$B$5-1</f>
        <v>0.270297361532232</v>
      </c>
    </row>
    <row r="3892" customFormat="false" ht="15" hidden="false" customHeight="false" outlineLevel="0" collapsed="false">
      <c r="A3892" s="0" t="n">
        <v>3891</v>
      </c>
      <c r="B3892" s="14" t="n">
        <v>108737.950857196</v>
      </c>
      <c r="C3892" s="15" t="n">
        <v>0.104146583876</v>
      </c>
      <c r="D3892" s="14" t="n">
        <f aca="false">Summary!$B$5-B3892</f>
        <v>-8737.95085719549</v>
      </c>
      <c r="E3892" s="15" t="n">
        <f aca="false">B3892/Summary!$B$5-1</f>
        <v>0.0873795085719549</v>
      </c>
    </row>
    <row r="3893" customFormat="false" ht="15" hidden="false" customHeight="false" outlineLevel="0" collapsed="false">
      <c r="A3893" s="0" t="n">
        <v>3892</v>
      </c>
      <c r="B3893" s="14" t="n">
        <v>87909.6389247508</v>
      </c>
      <c r="C3893" s="15" t="n">
        <v>0.129528508331102</v>
      </c>
      <c r="D3893" s="14" t="n">
        <f aca="false">Summary!$B$5-B3893</f>
        <v>12090.3610752492</v>
      </c>
      <c r="E3893" s="15" t="n">
        <f aca="false">B3893/Summary!$B$5-1</f>
        <v>-0.120903610752492</v>
      </c>
    </row>
    <row r="3894" customFormat="false" ht="15" hidden="false" customHeight="false" outlineLevel="0" collapsed="false">
      <c r="A3894" s="0" t="n">
        <v>3893</v>
      </c>
      <c r="B3894" s="14" t="n">
        <v>87570.3394805014</v>
      </c>
      <c r="C3894" s="15" t="n">
        <v>0.130635737039668</v>
      </c>
      <c r="D3894" s="14" t="n">
        <f aca="false">Summary!$B$5-B3894</f>
        <v>12429.6605194986</v>
      </c>
      <c r="E3894" s="15" t="n">
        <f aca="false">B3894/Summary!$B$5-1</f>
        <v>-0.124296605194986</v>
      </c>
    </row>
    <row r="3895" customFormat="false" ht="15" hidden="false" customHeight="false" outlineLevel="0" collapsed="false">
      <c r="A3895" s="0" t="n">
        <v>3894</v>
      </c>
      <c r="B3895" s="14" t="n">
        <v>101811.507438471</v>
      </c>
      <c r="C3895" s="15" t="n">
        <v>0.15517560275118</v>
      </c>
      <c r="D3895" s="14" t="n">
        <f aca="false">Summary!$B$5-B3895</f>
        <v>-1811.5074384706</v>
      </c>
      <c r="E3895" s="15" t="n">
        <f aca="false">B3895/Summary!$B$5-1</f>
        <v>0.0181150743847061</v>
      </c>
    </row>
    <row r="3896" customFormat="false" ht="15" hidden="false" customHeight="false" outlineLevel="0" collapsed="false">
      <c r="A3896" s="0" t="n">
        <v>3895</v>
      </c>
      <c r="B3896" s="14" t="n">
        <v>100762.02443776</v>
      </c>
      <c r="C3896" s="15" t="n">
        <v>0.0918502223105353</v>
      </c>
      <c r="D3896" s="14" t="n">
        <f aca="false">Summary!$B$5-B3896</f>
        <v>-762.024437759494</v>
      </c>
      <c r="E3896" s="15" t="n">
        <f aca="false">B3896/Summary!$B$5-1</f>
        <v>0.00762024437759501</v>
      </c>
    </row>
    <row r="3897" customFormat="false" ht="15" hidden="false" customHeight="false" outlineLevel="0" collapsed="false">
      <c r="A3897" s="0" t="n">
        <v>3896</v>
      </c>
      <c r="B3897" s="14" t="n">
        <v>95737.1057904229</v>
      </c>
      <c r="C3897" s="15" t="n">
        <v>0.104230856465099</v>
      </c>
      <c r="D3897" s="14" t="n">
        <f aca="false">Summary!$B$5-B3897</f>
        <v>4262.89420957708</v>
      </c>
      <c r="E3897" s="15" t="n">
        <f aca="false">B3897/Summary!$B$5-1</f>
        <v>-0.0426289420957707</v>
      </c>
    </row>
    <row r="3898" customFormat="false" ht="15" hidden="false" customHeight="false" outlineLevel="0" collapsed="false">
      <c r="A3898" s="0" t="n">
        <v>3897</v>
      </c>
      <c r="B3898" s="14" t="n">
        <v>143045.845051121</v>
      </c>
      <c r="C3898" s="15" t="n">
        <v>0.0436605677327215</v>
      </c>
      <c r="D3898" s="14" t="n">
        <f aca="false">Summary!$B$5-B3898</f>
        <v>-43045.8450511214</v>
      </c>
      <c r="E3898" s="15" t="n">
        <f aca="false">B3898/Summary!$B$5-1</f>
        <v>0.430458450511214</v>
      </c>
    </row>
    <row r="3899" customFormat="false" ht="15" hidden="false" customHeight="false" outlineLevel="0" collapsed="false">
      <c r="A3899" s="0" t="n">
        <v>3898</v>
      </c>
      <c r="B3899" s="14" t="n">
        <v>140823.4143151</v>
      </c>
      <c r="C3899" s="15" t="n">
        <v>0.0517603331590593</v>
      </c>
      <c r="D3899" s="14" t="n">
        <f aca="false">Summary!$B$5-B3899</f>
        <v>-40823.4143151001</v>
      </c>
      <c r="E3899" s="15" t="n">
        <f aca="false">B3899/Summary!$B$5-1</f>
        <v>0.408234143151001</v>
      </c>
    </row>
    <row r="3900" customFormat="false" ht="15" hidden="false" customHeight="false" outlineLevel="0" collapsed="false">
      <c r="A3900" s="0" t="n">
        <v>3899</v>
      </c>
      <c r="B3900" s="14" t="n">
        <v>92995.2497144834</v>
      </c>
      <c r="C3900" s="15" t="n">
        <v>0.146254064386062</v>
      </c>
      <c r="D3900" s="14" t="n">
        <f aca="false">Summary!$B$5-B3900</f>
        <v>7004.75028551661</v>
      </c>
      <c r="E3900" s="15" t="n">
        <f aca="false">B3900/Summary!$B$5-1</f>
        <v>-0.0700475028551661</v>
      </c>
    </row>
    <row r="3901" customFormat="false" ht="15" hidden="false" customHeight="false" outlineLevel="0" collapsed="false">
      <c r="A3901" s="0" t="n">
        <v>3900</v>
      </c>
      <c r="B3901" s="14" t="n">
        <v>133216.028239359</v>
      </c>
      <c r="C3901" s="15" t="n">
        <v>0.0510313699791587</v>
      </c>
      <c r="D3901" s="14" t="n">
        <f aca="false">Summary!$B$5-B3901</f>
        <v>-33216.0282393591</v>
      </c>
      <c r="E3901" s="15" t="n">
        <f aca="false">B3901/Summary!$B$5-1</f>
        <v>0.332160282393591</v>
      </c>
    </row>
    <row r="3902" customFormat="false" ht="15" hidden="false" customHeight="false" outlineLevel="0" collapsed="false">
      <c r="A3902" s="0" t="n">
        <v>3901</v>
      </c>
      <c r="B3902" s="14" t="n">
        <v>86057.1351487614</v>
      </c>
      <c r="C3902" s="15" t="n">
        <v>0.224166414722566</v>
      </c>
      <c r="D3902" s="14" t="n">
        <f aca="false">Summary!$B$5-B3902</f>
        <v>13942.8648512386</v>
      </c>
      <c r="E3902" s="15" t="n">
        <f aca="false">B3902/Summary!$B$5-1</f>
        <v>-0.139428648512386</v>
      </c>
    </row>
    <row r="3903" customFormat="false" ht="15" hidden="false" customHeight="false" outlineLevel="0" collapsed="false">
      <c r="A3903" s="0" t="n">
        <v>3902</v>
      </c>
      <c r="B3903" s="14" t="n">
        <v>109084.237867654</v>
      </c>
      <c r="C3903" s="15" t="n">
        <v>0.0997758269515213</v>
      </c>
      <c r="D3903" s="14" t="n">
        <f aca="false">Summary!$B$5-B3903</f>
        <v>-9084.2378676544</v>
      </c>
      <c r="E3903" s="15" t="n">
        <f aca="false">B3903/Summary!$B$5-1</f>
        <v>0.090842378676544</v>
      </c>
    </row>
    <row r="3904" customFormat="false" ht="15" hidden="false" customHeight="false" outlineLevel="0" collapsed="false">
      <c r="A3904" s="0" t="n">
        <v>3903</v>
      </c>
      <c r="B3904" s="14" t="n">
        <v>115485.538233696</v>
      </c>
      <c r="C3904" s="15" t="n">
        <v>0.0919300995944409</v>
      </c>
      <c r="D3904" s="14" t="n">
        <f aca="false">Summary!$B$5-B3904</f>
        <v>-15485.5382336964</v>
      </c>
      <c r="E3904" s="15" t="n">
        <f aca="false">B3904/Summary!$B$5-1</f>
        <v>0.154855382336964</v>
      </c>
    </row>
    <row r="3905" customFormat="false" ht="15" hidden="false" customHeight="false" outlineLevel="0" collapsed="false">
      <c r="A3905" s="0" t="n">
        <v>3904</v>
      </c>
      <c r="B3905" s="14" t="n">
        <v>104322.004716361</v>
      </c>
      <c r="C3905" s="15" t="n">
        <v>0.0965222949932532</v>
      </c>
      <c r="D3905" s="14" t="n">
        <f aca="false">Summary!$B$5-B3905</f>
        <v>-4322.0047163609</v>
      </c>
      <c r="E3905" s="15" t="n">
        <f aca="false">B3905/Summary!$B$5-1</f>
        <v>0.0432200471636091</v>
      </c>
    </row>
    <row r="3906" customFormat="false" ht="15" hidden="false" customHeight="false" outlineLevel="0" collapsed="false">
      <c r="A3906" s="0" t="n">
        <v>3905</v>
      </c>
      <c r="B3906" s="14" t="n">
        <v>126671.314205056</v>
      </c>
      <c r="C3906" s="15" t="n">
        <v>0.0676326410065959</v>
      </c>
      <c r="D3906" s="14" t="n">
        <f aca="false">Summary!$B$5-B3906</f>
        <v>-26671.3142050563</v>
      </c>
      <c r="E3906" s="15" t="n">
        <f aca="false">B3906/Summary!$B$5-1</f>
        <v>0.266713142050563</v>
      </c>
    </row>
    <row r="3907" customFormat="false" ht="15" hidden="false" customHeight="false" outlineLevel="0" collapsed="false">
      <c r="A3907" s="0" t="n">
        <v>3906</v>
      </c>
      <c r="B3907" s="14" t="n">
        <v>107591.915083065</v>
      </c>
      <c r="C3907" s="15" t="n">
        <v>0.088915882949371</v>
      </c>
      <c r="D3907" s="14" t="n">
        <f aca="false">Summary!$B$5-B3907</f>
        <v>-7591.91508306521</v>
      </c>
      <c r="E3907" s="15" t="n">
        <f aca="false">B3907/Summary!$B$5-1</f>
        <v>0.075919150830652</v>
      </c>
    </row>
    <row r="3908" customFormat="false" ht="15" hidden="false" customHeight="false" outlineLevel="0" collapsed="false">
      <c r="A3908" s="0" t="n">
        <v>3907</v>
      </c>
      <c r="B3908" s="14" t="n">
        <v>122825.972187609</v>
      </c>
      <c r="C3908" s="15" t="n">
        <v>0.0933699701057243</v>
      </c>
      <c r="D3908" s="14" t="n">
        <f aca="false">Summary!$B$5-B3908</f>
        <v>-22825.9721876085</v>
      </c>
      <c r="E3908" s="15" t="n">
        <f aca="false">B3908/Summary!$B$5-1</f>
        <v>0.228259721876085</v>
      </c>
    </row>
    <row r="3909" customFormat="false" ht="15" hidden="false" customHeight="false" outlineLevel="0" collapsed="false">
      <c r="A3909" s="0" t="n">
        <v>3908</v>
      </c>
      <c r="B3909" s="14" t="n">
        <v>113098.757602345</v>
      </c>
      <c r="C3909" s="15" t="n">
        <v>0.0862494013813108</v>
      </c>
      <c r="D3909" s="14" t="n">
        <f aca="false">Summary!$B$5-B3909</f>
        <v>-13098.7576023451</v>
      </c>
      <c r="E3909" s="15" t="n">
        <f aca="false">B3909/Summary!$B$5-1</f>
        <v>0.130987576023451</v>
      </c>
    </row>
    <row r="3910" customFormat="false" ht="15" hidden="false" customHeight="false" outlineLevel="0" collapsed="false">
      <c r="A3910" s="0" t="n">
        <v>3909</v>
      </c>
      <c r="B3910" s="14" t="n">
        <v>86943.4580990899</v>
      </c>
      <c r="C3910" s="15" t="n">
        <v>0.134498802903634</v>
      </c>
      <c r="D3910" s="14" t="n">
        <f aca="false">Summary!$B$5-B3910</f>
        <v>13056.5419009101</v>
      </c>
      <c r="E3910" s="15" t="n">
        <f aca="false">B3910/Summary!$B$5-1</f>
        <v>-0.130565419009101</v>
      </c>
    </row>
    <row r="3911" customFormat="false" ht="15" hidden="false" customHeight="false" outlineLevel="0" collapsed="false">
      <c r="A3911" s="0" t="n">
        <v>3910</v>
      </c>
      <c r="B3911" s="14" t="n">
        <v>154545.433070929</v>
      </c>
      <c r="C3911" s="15" t="n">
        <v>0.0537013439992661</v>
      </c>
      <c r="D3911" s="14" t="n">
        <f aca="false">Summary!$B$5-B3911</f>
        <v>-54545.4330709294</v>
      </c>
      <c r="E3911" s="15" t="n">
        <f aca="false">B3911/Summary!$B$5-1</f>
        <v>0.545454330709294</v>
      </c>
    </row>
    <row r="3912" customFormat="false" ht="15" hidden="false" customHeight="false" outlineLevel="0" collapsed="false">
      <c r="A3912" s="0" t="n">
        <v>3911</v>
      </c>
      <c r="B3912" s="14" t="n">
        <v>101877.176100863</v>
      </c>
      <c r="C3912" s="15" t="n">
        <v>0.152921270577192</v>
      </c>
      <c r="D3912" s="14" t="n">
        <f aca="false">Summary!$B$5-B3912</f>
        <v>-1877.1761008632</v>
      </c>
      <c r="E3912" s="15" t="n">
        <f aca="false">B3912/Summary!$B$5-1</f>
        <v>0.018771761008632</v>
      </c>
    </row>
    <row r="3913" customFormat="false" ht="15" hidden="false" customHeight="false" outlineLevel="0" collapsed="false">
      <c r="A3913" s="0" t="n">
        <v>3912</v>
      </c>
      <c r="B3913" s="14" t="n">
        <v>98772.2029917922</v>
      </c>
      <c r="C3913" s="15" t="n">
        <v>0.127429347679918</v>
      </c>
      <c r="D3913" s="14" t="n">
        <f aca="false">Summary!$B$5-B3913</f>
        <v>1227.79700820777</v>
      </c>
      <c r="E3913" s="15" t="n">
        <f aca="false">B3913/Summary!$B$5-1</f>
        <v>-0.0122779700820777</v>
      </c>
    </row>
    <row r="3914" customFormat="false" ht="15" hidden="false" customHeight="false" outlineLevel="0" collapsed="false">
      <c r="A3914" s="0" t="n">
        <v>3913</v>
      </c>
      <c r="B3914" s="14" t="n">
        <v>106513.485269841</v>
      </c>
      <c r="C3914" s="15" t="n">
        <v>0.105695671414855</v>
      </c>
      <c r="D3914" s="14" t="n">
        <f aca="false">Summary!$B$5-B3914</f>
        <v>-6513.48526984071</v>
      </c>
      <c r="E3914" s="15" t="n">
        <f aca="false">B3914/Summary!$B$5-1</f>
        <v>0.065134852698407</v>
      </c>
    </row>
    <row r="3915" customFormat="false" ht="15" hidden="false" customHeight="false" outlineLevel="0" collapsed="false">
      <c r="A3915" s="0" t="n">
        <v>3914</v>
      </c>
      <c r="B3915" s="14" t="n">
        <v>100948.737201399</v>
      </c>
      <c r="C3915" s="15" t="n">
        <v>0.0847774200280413</v>
      </c>
      <c r="D3915" s="14" t="n">
        <f aca="false">Summary!$B$5-B3915</f>
        <v>-948.737201399097</v>
      </c>
      <c r="E3915" s="15" t="n">
        <f aca="false">B3915/Summary!$B$5-1</f>
        <v>0.00948737201399097</v>
      </c>
    </row>
    <row r="3916" customFormat="false" ht="15" hidden="false" customHeight="false" outlineLevel="0" collapsed="false">
      <c r="A3916" s="0" t="n">
        <v>3915</v>
      </c>
      <c r="B3916" s="14" t="n">
        <v>99036.3687713873</v>
      </c>
      <c r="C3916" s="15" t="n">
        <v>0.150741573063569</v>
      </c>
      <c r="D3916" s="14" t="n">
        <f aca="false">Summary!$B$5-B3916</f>
        <v>963.631228612736</v>
      </c>
      <c r="E3916" s="15" t="n">
        <f aca="false">B3916/Summary!$B$5-1</f>
        <v>-0.00963631228612738</v>
      </c>
    </row>
    <row r="3917" customFormat="false" ht="15" hidden="false" customHeight="false" outlineLevel="0" collapsed="false">
      <c r="A3917" s="0" t="n">
        <v>3916</v>
      </c>
      <c r="B3917" s="14" t="n">
        <v>117693.963123441</v>
      </c>
      <c r="C3917" s="15" t="n">
        <v>0.068794705840989</v>
      </c>
      <c r="D3917" s="14" t="n">
        <f aca="false">Summary!$B$5-B3917</f>
        <v>-17693.9631234411</v>
      </c>
      <c r="E3917" s="15" t="n">
        <f aca="false">B3917/Summary!$B$5-1</f>
        <v>0.176939631234411</v>
      </c>
    </row>
    <row r="3918" customFormat="false" ht="15" hidden="false" customHeight="false" outlineLevel="0" collapsed="false">
      <c r="A3918" s="0" t="n">
        <v>3917</v>
      </c>
      <c r="B3918" s="14" t="n">
        <v>95688.5326623682</v>
      </c>
      <c r="C3918" s="15" t="n">
        <v>0.109183115899937</v>
      </c>
      <c r="D3918" s="14" t="n">
        <f aca="false">Summary!$B$5-B3918</f>
        <v>4311.4673376318</v>
      </c>
      <c r="E3918" s="15" t="n">
        <f aca="false">B3918/Summary!$B$5-1</f>
        <v>-0.0431146733763179</v>
      </c>
    </row>
    <row r="3919" customFormat="false" ht="15" hidden="false" customHeight="false" outlineLevel="0" collapsed="false">
      <c r="A3919" s="0" t="n">
        <v>3918</v>
      </c>
      <c r="B3919" s="14" t="n">
        <v>133303.874987852</v>
      </c>
      <c r="C3919" s="15" t="n">
        <v>0.0563275931913509</v>
      </c>
      <c r="D3919" s="14" t="n">
        <f aca="false">Summary!$B$5-B3919</f>
        <v>-33303.8749878518</v>
      </c>
      <c r="E3919" s="15" t="n">
        <f aca="false">B3919/Summary!$B$5-1</f>
        <v>0.333038749878518</v>
      </c>
    </row>
    <row r="3920" customFormat="false" ht="15" hidden="false" customHeight="false" outlineLevel="0" collapsed="false">
      <c r="A3920" s="0" t="n">
        <v>3919</v>
      </c>
      <c r="B3920" s="14" t="n">
        <v>111729.616189561</v>
      </c>
      <c r="C3920" s="15" t="n">
        <v>0.0593297302061144</v>
      </c>
      <c r="D3920" s="14" t="n">
        <f aca="false">Summary!$B$5-B3920</f>
        <v>-11729.6161895609</v>
      </c>
      <c r="E3920" s="15" t="n">
        <f aca="false">B3920/Summary!$B$5-1</f>
        <v>0.117296161895609</v>
      </c>
    </row>
    <row r="3921" customFormat="false" ht="15" hidden="false" customHeight="false" outlineLevel="0" collapsed="false">
      <c r="A3921" s="0" t="n">
        <v>3920</v>
      </c>
      <c r="B3921" s="14" t="n">
        <v>116193.959734167</v>
      </c>
      <c r="C3921" s="15" t="n">
        <v>0.105924734337105</v>
      </c>
      <c r="D3921" s="14" t="n">
        <f aca="false">Summary!$B$5-B3921</f>
        <v>-16193.9597341669</v>
      </c>
      <c r="E3921" s="15" t="n">
        <f aca="false">B3921/Summary!$B$5-1</f>
        <v>0.161939597341669</v>
      </c>
    </row>
    <row r="3922" customFormat="false" ht="15" hidden="false" customHeight="false" outlineLevel="0" collapsed="false">
      <c r="A3922" s="0" t="n">
        <v>3921</v>
      </c>
      <c r="B3922" s="14" t="n">
        <v>94162.6964174163</v>
      </c>
      <c r="C3922" s="15" t="n">
        <v>0.12765649968597</v>
      </c>
      <c r="D3922" s="14" t="n">
        <f aca="false">Summary!$B$5-B3922</f>
        <v>5837.30358258367</v>
      </c>
      <c r="E3922" s="15" t="n">
        <f aca="false">B3922/Summary!$B$5-1</f>
        <v>-0.0583730358258368</v>
      </c>
    </row>
    <row r="3923" customFormat="false" ht="15" hidden="false" customHeight="false" outlineLevel="0" collapsed="false">
      <c r="A3923" s="0" t="n">
        <v>3922</v>
      </c>
      <c r="B3923" s="14" t="n">
        <v>116137.414706369</v>
      </c>
      <c r="C3923" s="15" t="n">
        <v>0.0683032293712085</v>
      </c>
      <c r="D3923" s="14" t="n">
        <f aca="false">Summary!$B$5-B3923</f>
        <v>-16137.4147063689</v>
      </c>
      <c r="E3923" s="15" t="n">
        <f aca="false">B3923/Summary!$B$5-1</f>
        <v>0.161374147063689</v>
      </c>
    </row>
    <row r="3924" customFormat="false" ht="15" hidden="false" customHeight="false" outlineLevel="0" collapsed="false">
      <c r="A3924" s="0" t="n">
        <v>3923</v>
      </c>
      <c r="B3924" s="14" t="n">
        <v>125064.591744044</v>
      </c>
      <c r="C3924" s="15" t="n">
        <v>0.137489015555568</v>
      </c>
      <c r="D3924" s="14" t="n">
        <f aca="false">Summary!$B$5-B3924</f>
        <v>-25064.5917440444</v>
      </c>
      <c r="E3924" s="15" t="n">
        <f aca="false">B3924/Summary!$B$5-1</f>
        <v>0.250645917440444</v>
      </c>
    </row>
    <row r="3925" customFormat="false" ht="15" hidden="false" customHeight="false" outlineLevel="0" collapsed="false">
      <c r="A3925" s="0" t="n">
        <v>3924</v>
      </c>
      <c r="B3925" s="14" t="n">
        <v>107099.896110734</v>
      </c>
      <c r="C3925" s="15" t="n">
        <v>0.0909253482636649</v>
      </c>
      <c r="D3925" s="14" t="n">
        <f aca="false">Summary!$B$5-B3925</f>
        <v>-7099.896110734</v>
      </c>
      <c r="E3925" s="15" t="n">
        <f aca="false">B3925/Summary!$B$5-1</f>
        <v>0.0709989611073401</v>
      </c>
    </row>
    <row r="3926" customFormat="false" ht="15" hidden="false" customHeight="false" outlineLevel="0" collapsed="false">
      <c r="A3926" s="0" t="n">
        <v>3925</v>
      </c>
      <c r="B3926" s="14" t="n">
        <v>105321.767129864</v>
      </c>
      <c r="C3926" s="15" t="n">
        <v>0.110544340504175</v>
      </c>
      <c r="D3926" s="14" t="n">
        <f aca="false">Summary!$B$5-B3926</f>
        <v>-5321.7671298636</v>
      </c>
      <c r="E3926" s="15" t="n">
        <f aca="false">B3926/Summary!$B$5-1</f>
        <v>0.0532176712986361</v>
      </c>
    </row>
    <row r="3927" customFormat="false" ht="15" hidden="false" customHeight="false" outlineLevel="0" collapsed="false">
      <c r="A3927" s="0" t="n">
        <v>3926</v>
      </c>
      <c r="B3927" s="14" t="n">
        <v>87518.0022175581</v>
      </c>
      <c r="C3927" s="15" t="n">
        <v>0.173238322620804</v>
      </c>
      <c r="D3927" s="14" t="n">
        <f aca="false">Summary!$B$5-B3927</f>
        <v>12481.9977824419</v>
      </c>
      <c r="E3927" s="15" t="n">
        <f aca="false">B3927/Summary!$B$5-1</f>
        <v>-0.124819977824419</v>
      </c>
    </row>
    <row r="3928" customFormat="false" ht="15" hidden="false" customHeight="false" outlineLevel="0" collapsed="false">
      <c r="A3928" s="0" t="n">
        <v>3927</v>
      </c>
      <c r="B3928" s="14" t="n">
        <v>94656.4641831257</v>
      </c>
      <c r="C3928" s="15" t="n">
        <v>0.137713178150256</v>
      </c>
      <c r="D3928" s="14" t="n">
        <f aca="false">Summary!$B$5-B3928</f>
        <v>5343.53581687433</v>
      </c>
      <c r="E3928" s="15" t="n">
        <f aca="false">B3928/Summary!$B$5-1</f>
        <v>-0.0534353581687432</v>
      </c>
    </row>
    <row r="3929" customFormat="false" ht="15" hidden="false" customHeight="false" outlineLevel="0" collapsed="false">
      <c r="A3929" s="0" t="n">
        <v>3928</v>
      </c>
      <c r="B3929" s="14" t="n">
        <v>100673.318582661</v>
      </c>
      <c r="C3929" s="15" t="n">
        <v>0.122081926298021</v>
      </c>
      <c r="D3929" s="14" t="n">
        <f aca="false">Summary!$B$5-B3929</f>
        <v>-673.318582660999</v>
      </c>
      <c r="E3929" s="15" t="n">
        <f aca="false">B3929/Summary!$B$5-1</f>
        <v>0.00673318582660998</v>
      </c>
    </row>
    <row r="3930" customFormat="false" ht="15" hidden="false" customHeight="false" outlineLevel="0" collapsed="false">
      <c r="A3930" s="0" t="n">
        <v>3929</v>
      </c>
      <c r="B3930" s="14" t="n">
        <v>121764.843268234</v>
      </c>
      <c r="C3930" s="15" t="n">
        <v>0.105303603346657</v>
      </c>
      <c r="D3930" s="14" t="n">
        <f aca="false">Summary!$B$5-B3930</f>
        <v>-21764.8432682344</v>
      </c>
      <c r="E3930" s="15" t="n">
        <f aca="false">B3930/Summary!$B$5-1</f>
        <v>0.217648432682344</v>
      </c>
    </row>
    <row r="3931" customFormat="false" ht="15" hidden="false" customHeight="false" outlineLevel="0" collapsed="false">
      <c r="A3931" s="0" t="n">
        <v>3930</v>
      </c>
      <c r="B3931" s="14" t="n">
        <v>93379.43158207</v>
      </c>
      <c r="C3931" s="15" t="n">
        <v>0.115152236478219</v>
      </c>
      <c r="D3931" s="14" t="n">
        <f aca="false">Summary!$B$5-B3931</f>
        <v>6620.56841793002</v>
      </c>
      <c r="E3931" s="15" t="n">
        <f aca="false">B3931/Summary!$B$5-1</f>
        <v>-0.0662056841793002</v>
      </c>
    </row>
    <row r="3932" customFormat="false" ht="15" hidden="false" customHeight="false" outlineLevel="0" collapsed="false">
      <c r="A3932" s="0" t="n">
        <v>3931</v>
      </c>
      <c r="B3932" s="14" t="n">
        <v>113681.108896313</v>
      </c>
      <c r="C3932" s="15" t="n">
        <v>0.0733459928970849</v>
      </c>
      <c r="D3932" s="14" t="n">
        <f aca="false">Summary!$B$5-B3932</f>
        <v>-13681.1088963125</v>
      </c>
      <c r="E3932" s="15" t="n">
        <f aca="false">B3932/Summary!$B$5-1</f>
        <v>0.136811088963125</v>
      </c>
    </row>
    <row r="3933" customFormat="false" ht="15" hidden="false" customHeight="false" outlineLevel="0" collapsed="false">
      <c r="A3933" s="0" t="n">
        <v>3932</v>
      </c>
      <c r="B3933" s="14" t="n">
        <v>107777.952960904</v>
      </c>
      <c r="C3933" s="15" t="n">
        <v>0.0966661494236022</v>
      </c>
      <c r="D3933" s="14" t="n">
        <f aca="false">Summary!$B$5-B3933</f>
        <v>-7777.9529609036</v>
      </c>
      <c r="E3933" s="15" t="n">
        <f aca="false">B3933/Summary!$B$5-1</f>
        <v>0.077779529609036</v>
      </c>
    </row>
    <row r="3934" customFormat="false" ht="15" hidden="false" customHeight="false" outlineLevel="0" collapsed="false">
      <c r="A3934" s="0" t="n">
        <v>3933</v>
      </c>
      <c r="B3934" s="14" t="n">
        <v>117092.428571198</v>
      </c>
      <c r="C3934" s="15" t="n">
        <v>0.0497198853450883</v>
      </c>
      <c r="D3934" s="14" t="n">
        <f aca="false">Summary!$B$5-B3934</f>
        <v>-17092.4285711983</v>
      </c>
      <c r="E3934" s="15" t="n">
        <f aca="false">B3934/Summary!$B$5-1</f>
        <v>0.170924285711983</v>
      </c>
    </row>
    <row r="3935" customFormat="false" ht="15" hidden="false" customHeight="false" outlineLevel="0" collapsed="false">
      <c r="A3935" s="0" t="n">
        <v>3934</v>
      </c>
      <c r="B3935" s="14" t="n">
        <v>135700.856758017</v>
      </c>
      <c r="C3935" s="15" t="n">
        <v>0.0519541408529854</v>
      </c>
      <c r="D3935" s="14" t="n">
        <f aca="false">Summary!$B$5-B3935</f>
        <v>-35700.8567580169</v>
      </c>
      <c r="E3935" s="15" t="n">
        <f aca="false">B3935/Summary!$B$5-1</f>
        <v>0.357008567580169</v>
      </c>
    </row>
    <row r="3936" customFormat="false" ht="15" hidden="false" customHeight="false" outlineLevel="0" collapsed="false">
      <c r="A3936" s="0" t="n">
        <v>3935</v>
      </c>
      <c r="B3936" s="14" t="n">
        <v>111524.70760185</v>
      </c>
      <c r="C3936" s="15" t="n">
        <v>0.0702195859386803</v>
      </c>
      <c r="D3936" s="14" t="n">
        <f aca="false">Summary!$B$5-B3936</f>
        <v>-11524.7076018495</v>
      </c>
      <c r="E3936" s="15" t="n">
        <f aca="false">B3936/Summary!$B$5-1</f>
        <v>0.115247076018495</v>
      </c>
    </row>
    <row r="3937" customFormat="false" ht="15" hidden="false" customHeight="false" outlineLevel="0" collapsed="false">
      <c r="A3937" s="0" t="n">
        <v>3936</v>
      </c>
      <c r="B3937" s="14" t="n">
        <v>113856.774030466</v>
      </c>
      <c r="C3937" s="15" t="n">
        <v>0.0669152234380103</v>
      </c>
      <c r="D3937" s="14" t="n">
        <f aca="false">Summary!$B$5-B3937</f>
        <v>-13856.7740304661</v>
      </c>
      <c r="E3937" s="15" t="n">
        <f aca="false">B3937/Summary!$B$5-1</f>
        <v>0.138567740304661</v>
      </c>
    </row>
    <row r="3938" customFormat="false" ht="15" hidden="false" customHeight="false" outlineLevel="0" collapsed="false">
      <c r="A3938" s="0" t="n">
        <v>3937</v>
      </c>
      <c r="B3938" s="14" t="n">
        <v>98098.3411170098</v>
      </c>
      <c r="C3938" s="15" t="n">
        <v>0.159741508420716</v>
      </c>
      <c r="D3938" s="14" t="n">
        <f aca="false">Summary!$B$5-B3938</f>
        <v>1901.65888299025</v>
      </c>
      <c r="E3938" s="15" t="n">
        <f aca="false">B3938/Summary!$B$5-1</f>
        <v>-0.0190165888299024</v>
      </c>
    </row>
    <row r="3939" customFormat="false" ht="15" hidden="false" customHeight="false" outlineLevel="0" collapsed="false">
      <c r="A3939" s="0" t="n">
        <v>3938</v>
      </c>
      <c r="B3939" s="14" t="n">
        <v>100287.795842892</v>
      </c>
      <c r="C3939" s="15" t="n">
        <v>0.0885700764857772</v>
      </c>
      <c r="D3939" s="14" t="n">
        <f aca="false">Summary!$B$5-B3939</f>
        <v>-287.795842892097</v>
      </c>
      <c r="E3939" s="15" t="n">
        <f aca="false">B3939/Summary!$B$5-1</f>
        <v>0.00287795842892091</v>
      </c>
    </row>
    <row r="3940" customFormat="false" ht="15" hidden="false" customHeight="false" outlineLevel="0" collapsed="false">
      <c r="A3940" s="0" t="n">
        <v>3939</v>
      </c>
      <c r="B3940" s="14" t="n">
        <v>100449.253571918</v>
      </c>
      <c r="C3940" s="15" t="n">
        <v>0.080573779978928</v>
      </c>
      <c r="D3940" s="14" t="n">
        <f aca="false">Summary!$B$5-B3940</f>
        <v>-449.253571917594</v>
      </c>
      <c r="E3940" s="15" t="n">
        <f aca="false">B3940/Summary!$B$5-1</f>
        <v>0.00449253571917585</v>
      </c>
    </row>
    <row r="3941" customFormat="false" ht="15" hidden="false" customHeight="false" outlineLevel="0" collapsed="false">
      <c r="A3941" s="0" t="n">
        <v>3940</v>
      </c>
      <c r="B3941" s="14" t="n">
        <v>104056.894768993</v>
      </c>
      <c r="C3941" s="15" t="n">
        <v>0.140643741371418</v>
      </c>
      <c r="D3941" s="14" t="n">
        <f aca="false">Summary!$B$5-B3941</f>
        <v>-4056.8947689928</v>
      </c>
      <c r="E3941" s="15" t="n">
        <f aca="false">B3941/Summary!$B$5-1</f>
        <v>0.040568947689928</v>
      </c>
    </row>
    <row r="3942" customFormat="false" ht="15" hidden="false" customHeight="false" outlineLevel="0" collapsed="false">
      <c r="A3942" s="0" t="n">
        <v>3941</v>
      </c>
      <c r="B3942" s="14" t="n">
        <v>99104.9587241262</v>
      </c>
      <c r="C3942" s="15" t="n">
        <v>0.123073828850002</v>
      </c>
      <c r="D3942" s="14" t="n">
        <f aca="false">Summary!$B$5-B3942</f>
        <v>895.041275873766</v>
      </c>
      <c r="E3942" s="15" t="n">
        <f aca="false">B3942/Summary!$B$5-1</f>
        <v>-0.00895041275873765</v>
      </c>
    </row>
    <row r="3943" customFormat="false" ht="15" hidden="false" customHeight="false" outlineLevel="0" collapsed="false">
      <c r="A3943" s="0" t="n">
        <v>3942</v>
      </c>
      <c r="B3943" s="14" t="n">
        <v>112972.527328546</v>
      </c>
      <c r="C3943" s="15" t="n">
        <v>0.07064413814756</v>
      </c>
      <c r="D3943" s="14" t="n">
        <f aca="false">Summary!$B$5-B3943</f>
        <v>-12972.5273285458</v>
      </c>
      <c r="E3943" s="15" t="n">
        <f aca="false">B3943/Summary!$B$5-1</f>
        <v>0.129725273285458</v>
      </c>
    </row>
    <row r="3944" customFormat="false" ht="15" hidden="false" customHeight="false" outlineLevel="0" collapsed="false">
      <c r="A3944" s="0" t="n">
        <v>3943</v>
      </c>
      <c r="B3944" s="14" t="n">
        <v>103036.337711478</v>
      </c>
      <c r="C3944" s="15" t="n">
        <v>0.0774986491944942</v>
      </c>
      <c r="D3944" s="14" t="n">
        <f aca="false">Summary!$B$5-B3944</f>
        <v>-3036.33771147839</v>
      </c>
      <c r="E3944" s="15" t="n">
        <f aca="false">B3944/Summary!$B$5-1</f>
        <v>0.030363377114784</v>
      </c>
    </row>
    <row r="3945" customFormat="false" ht="15" hidden="false" customHeight="false" outlineLevel="0" collapsed="false">
      <c r="A3945" s="0" t="n">
        <v>3944</v>
      </c>
      <c r="B3945" s="14" t="n">
        <v>108017.663471903</v>
      </c>
      <c r="C3945" s="15" t="n">
        <v>0.0889854347402472</v>
      </c>
      <c r="D3945" s="14" t="n">
        <f aca="false">Summary!$B$5-B3945</f>
        <v>-8017.6634719026</v>
      </c>
      <c r="E3945" s="15" t="n">
        <f aca="false">B3945/Summary!$B$5-1</f>
        <v>0.080176634719026</v>
      </c>
    </row>
    <row r="3946" customFormat="false" ht="15" hidden="false" customHeight="false" outlineLevel="0" collapsed="false">
      <c r="A3946" s="0" t="n">
        <v>3945</v>
      </c>
      <c r="B3946" s="14" t="n">
        <v>121896.426178633</v>
      </c>
      <c r="C3946" s="15" t="n">
        <v>0.049734478738348</v>
      </c>
      <c r="D3946" s="14" t="n">
        <f aca="false">Summary!$B$5-B3946</f>
        <v>-21896.426178633</v>
      </c>
      <c r="E3946" s="15" t="n">
        <f aca="false">B3946/Summary!$B$5-1</f>
        <v>0.21896426178633</v>
      </c>
    </row>
    <row r="3947" customFormat="false" ht="15" hidden="false" customHeight="false" outlineLevel="0" collapsed="false">
      <c r="A3947" s="0" t="n">
        <v>3946</v>
      </c>
      <c r="B3947" s="14" t="n">
        <v>113602.032384022</v>
      </c>
      <c r="C3947" s="15" t="n">
        <v>0.0975906497403632</v>
      </c>
      <c r="D3947" s="14" t="n">
        <f aca="false">Summary!$B$5-B3947</f>
        <v>-13602.0323840223</v>
      </c>
      <c r="E3947" s="15" t="n">
        <f aca="false">B3947/Summary!$B$5-1</f>
        <v>0.136020323840223</v>
      </c>
    </row>
    <row r="3948" customFormat="false" ht="15" hidden="false" customHeight="false" outlineLevel="0" collapsed="false">
      <c r="A3948" s="0" t="n">
        <v>3947</v>
      </c>
      <c r="B3948" s="14" t="n">
        <v>110166.143265384</v>
      </c>
      <c r="C3948" s="15" t="n">
        <v>0.0989378511630038</v>
      </c>
      <c r="D3948" s="14" t="n">
        <f aca="false">Summary!$B$5-B3948</f>
        <v>-10166.1432653836</v>
      </c>
      <c r="E3948" s="15" t="n">
        <f aca="false">B3948/Summary!$B$5-1</f>
        <v>0.101661432653836</v>
      </c>
    </row>
    <row r="3949" customFormat="false" ht="15" hidden="false" customHeight="false" outlineLevel="0" collapsed="false">
      <c r="A3949" s="0" t="n">
        <v>3948</v>
      </c>
      <c r="B3949" s="14" t="n">
        <v>108276.956828242</v>
      </c>
      <c r="C3949" s="15" t="n">
        <v>0.0764025096518696</v>
      </c>
      <c r="D3949" s="14" t="n">
        <f aca="false">Summary!$B$5-B3949</f>
        <v>-8276.9568282424</v>
      </c>
      <c r="E3949" s="15" t="n">
        <f aca="false">B3949/Summary!$B$5-1</f>
        <v>0.0827695682824241</v>
      </c>
    </row>
    <row r="3950" customFormat="false" ht="15" hidden="false" customHeight="false" outlineLevel="0" collapsed="false">
      <c r="A3950" s="0" t="n">
        <v>3949</v>
      </c>
      <c r="B3950" s="14" t="n">
        <v>92654.3751636218</v>
      </c>
      <c r="C3950" s="15" t="n">
        <v>0.172077618629413</v>
      </c>
      <c r="D3950" s="14" t="n">
        <f aca="false">Summary!$B$5-B3950</f>
        <v>7345.62483637824</v>
      </c>
      <c r="E3950" s="15" t="n">
        <f aca="false">B3950/Summary!$B$5-1</f>
        <v>-0.0734562483637824</v>
      </c>
    </row>
    <row r="3951" customFormat="false" ht="15" hidden="false" customHeight="false" outlineLevel="0" collapsed="false">
      <c r="A3951" s="0" t="n">
        <v>3950</v>
      </c>
      <c r="B3951" s="14" t="n">
        <v>124166.700278145</v>
      </c>
      <c r="C3951" s="15" t="n">
        <v>0.0607349538047834</v>
      </c>
      <c r="D3951" s="14" t="n">
        <f aca="false">Summary!$B$5-B3951</f>
        <v>-24166.7002781449</v>
      </c>
      <c r="E3951" s="15" t="n">
        <f aca="false">B3951/Summary!$B$5-1</f>
        <v>0.241667002781449</v>
      </c>
    </row>
    <row r="3952" customFormat="false" ht="15" hidden="false" customHeight="false" outlineLevel="0" collapsed="false">
      <c r="A3952" s="0" t="n">
        <v>3951</v>
      </c>
      <c r="B3952" s="14" t="n">
        <v>101580.604085159</v>
      </c>
      <c r="C3952" s="15" t="n">
        <v>0.169362475375044</v>
      </c>
      <c r="D3952" s="14" t="n">
        <f aca="false">Summary!$B$5-B3952</f>
        <v>-1580.60408515899</v>
      </c>
      <c r="E3952" s="15" t="n">
        <f aca="false">B3952/Summary!$B$5-1</f>
        <v>0.0158060408515899</v>
      </c>
    </row>
    <row r="3953" customFormat="false" ht="15" hidden="false" customHeight="false" outlineLevel="0" collapsed="false">
      <c r="A3953" s="0" t="n">
        <v>3952</v>
      </c>
      <c r="B3953" s="14" t="n">
        <v>98902.4059219952</v>
      </c>
      <c r="C3953" s="15" t="n">
        <v>0.151406653850508</v>
      </c>
      <c r="D3953" s="14" t="n">
        <f aca="false">Summary!$B$5-B3953</f>
        <v>1097.59407800486</v>
      </c>
      <c r="E3953" s="15" t="n">
        <f aca="false">B3953/Summary!$B$5-1</f>
        <v>-0.0109759407800486</v>
      </c>
    </row>
    <row r="3954" customFormat="false" ht="15" hidden="false" customHeight="false" outlineLevel="0" collapsed="false">
      <c r="A3954" s="0" t="n">
        <v>3953</v>
      </c>
      <c r="B3954" s="14" t="n">
        <v>114552.968093883</v>
      </c>
      <c r="C3954" s="15" t="n">
        <v>0.129933451328218</v>
      </c>
      <c r="D3954" s="14" t="n">
        <f aca="false">Summary!$B$5-B3954</f>
        <v>-14552.9680938827</v>
      </c>
      <c r="E3954" s="15" t="n">
        <f aca="false">B3954/Summary!$B$5-1</f>
        <v>0.145529680938827</v>
      </c>
    </row>
    <row r="3955" customFormat="false" ht="15" hidden="false" customHeight="false" outlineLevel="0" collapsed="false">
      <c r="A3955" s="0" t="n">
        <v>3954</v>
      </c>
      <c r="B3955" s="14" t="n">
        <v>104800.330345888</v>
      </c>
      <c r="C3955" s="15" t="n">
        <v>0.094815173310084</v>
      </c>
      <c r="D3955" s="14" t="n">
        <f aca="false">Summary!$B$5-B3955</f>
        <v>-4800.33034588789</v>
      </c>
      <c r="E3955" s="15" t="n">
        <f aca="false">B3955/Summary!$B$5-1</f>
        <v>0.0480033034588789</v>
      </c>
    </row>
    <row r="3956" customFormat="false" ht="15" hidden="false" customHeight="false" outlineLevel="0" collapsed="false">
      <c r="A3956" s="0" t="n">
        <v>3955</v>
      </c>
      <c r="B3956" s="14" t="n">
        <v>108101.621282075</v>
      </c>
      <c r="C3956" s="15" t="n">
        <v>0.102914937876524</v>
      </c>
      <c r="D3956" s="14" t="n">
        <f aca="false">Summary!$B$5-B3956</f>
        <v>-8101.6212820747</v>
      </c>
      <c r="E3956" s="15" t="n">
        <f aca="false">B3956/Summary!$B$5-1</f>
        <v>0.081016212820747</v>
      </c>
    </row>
    <row r="3957" customFormat="false" ht="15" hidden="false" customHeight="false" outlineLevel="0" collapsed="false">
      <c r="A3957" s="0" t="n">
        <v>3956</v>
      </c>
      <c r="B3957" s="14" t="n">
        <v>109645.659958764</v>
      </c>
      <c r="C3957" s="15" t="n">
        <v>0.0934147694478145</v>
      </c>
      <c r="D3957" s="14" t="n">
        <f aca="false">Summary!$B$5-B3957</f>
        <v>-9645.65995876381</v>
      </c>
      <c r="E3957" s="15" t="n">
        <f aca="false">B3957/Summary!$B$5-1</f>
        <v>0.0964565995876381</v>
      </c>
    </row>
    <row r="3958" customFormat="false" ht="15" hidden="false" customHeight="false" outlineLevel="0" collapsed="false">
      <c r="A3958" s="0" t="n">
        <v>3957</v>
      </c>
      <c r="B3958" s="14" t="n">
        <v>103054.010481824</v>
      </c>
      <c r="C3958" s="15" t="n">
        <v>0.0931090645770468</v>
      </c>
      <c r="D3958" s="14" t="n">
        <f aca="false">Summary!$B$5-B3958</f>
        <v>-3054.0104818244</v>
      </c>
      <c r="E3958" s="15" t="n">
        <f aca="false">B3958/Summary!$B$5-1</f>
        <v>0.0305401048182441</v>
      </c>
    </row>
    <row r="3959" customFormat="false" ht="15" hidden="false" customHeight="false" outlineLevel="0" collapsed="false">
      <c r="A3959" s="0" t="n">
        <v>3958</v>
      </c>
      <c r="B3959" s="14" t="n">
        <v>97476.7080778252</v>
      </c>
      <c r="C3959" s="15" t="n">
        <v>0.118003015035392</v>
      </c>
      <c r="D3959" s="14" t="n">
        <f aca="false">Summary!$B$5-B3959</f>
        <v>2523.29192217483</v>
      </c>
      <c r="E3959" s="15" t="n">
        <f aca="false">B3959/Summary!$B$5-1</f>
        <v>-0.0252329192217483</v>
      </c>
    </row>
    <row r="3960" customFormat="false" ht="15" hidden="false" customHeight="false" outlineLevel="0" collapsed="false">
      <c r="A3960" s="0" t="n">
        <v>3959</v>
      </c>
      <c r="B3960" s="14" t="n">
        <v>104886.783448767</v>
      </c>
      <c r="C3960" s="15" t="n">
        <v>0.0802097962332474</v>
      </c>
      <c r="D3960" s="14" t="n">
        <f aca="false">Summary!$B$5-B3960</f>
        <v>-4886.7834487666</v>
      </c>
      <c r="E3960" s="15" t="n">
        <f aca="false">B3960/Summary!$B$5-1</f>
        <v>0.0488678344876661</v>
      </c>
    </row>
    <row r="3961" customFormat="false" ht="15" hidden="false" customHeight="false" outlineLevel="0" collapsed="false">
      <c r="A3961" s="0" t="n">
        <v>3960</v>
      </c>
      <c r="B3961" s="14" t="n">
        <v>133015.089263857</v>
      </c>
      <c r="C3961" s="15" t="n">
        <v>0.0553336333730821</v>
      </c>
      <c r="D3961" s="14" t="n">
        <f aca="false">Summary!$B$5-B3961</f>
        <v>-33015.0892638568</v>
      </c>
      <c r="E3961" s="15" t="n">
        <f aca="false">B3961/Summary!$B$5-1</f>
        <v>0.330150892638568</v>
      </c>
    </row>
    <row r="3962" customFormat="false" ht="15" hidden="false" customHeight="false" outlineLevel="0" collapsed="false">
      <c r="A3962" s="0" t="n">
        <v>3961</v>
      </c>
      <c r="B3962" s="14" t="n">
        <v>109504.777513305</v>
      </c>
      <c r="C3962" s="15" t="n">
        <v>0.0817518482031048</v>
      </c>
      <c r="D3962" s="14" t="n">
        <f aca="false">Summary!$B$5-B3962</f>
        <v>-9504.777513305</v>
      </c>
      <c r="E3962" s="15" t="n">
        <f aca="false">B3962/Summary!$B$5-1</f>
        <v>0.0950477751330501</v>
      </c>
    </row>
    <row r="3963" customFormat="false" ht="15" hidden="false" customHeight="false" outlineLevel="0" collapsed="false">
      <c r="A3963" s="0" t="n">
        <v>3962</v>
      </c>
      <c r="B3963" s="14" t="n">
        <v>91027.5068277831</v>
      </c>
      <c r="C3963" s="15" t="n">
        <v>0.177586878823872</v>
      </c>
      <c r="D3963" s="14" t="n">
        <f aca="false">Summary!$B$5-B3963</f>
        <v>8972.4931722169</v>
      </c>
      <c r="E3963" s="15" t="n">
        <f aca="false">B3963/Summary!$B$5-1</f>
        <v>-0.089724931722169</v>
      </c>
    </row>
    <row r="3964" customFormat="false" ht="15" hidden="false" customHeight="false" outlineLevel="0" collapsed="false">
      <c r="A3964" s="0" t="n">
        <v>3963</v>
      </c>
      <c r="B3964" s="14" t="n">
        <v>141927.035488021</v>
      </c>
      <c r="C3964" s="15" t="n">
        <v>0.0626537309968731</v>
      </c>
      <c r="D3964" s="14" t="n">
        <f aca="false">Summary!$B$5-B3964</f>
        <v>-41927.0354880209</v>
      </c>
      <c r="E3964" s="15" t="n">
        <f aca="false">B3964/Summary!$B$5-1</f>
        <v>0.419270354880209</v>
      </c>
    </row>
    <row r="3965" customFormat="false" ht="15" hidden="false" customHeight="false" outlineLevel="0" collapsed="false">
      <c r="A3965" s="0" t="n">
        <v>3964</v>
      </c>
      <c r="B3965" s="14" t="n">
        <v>116374.821679218</v>
      </c>
      <c r="C3965" s="15" t="n">
        <v>0.06630676694524</v>
      </c>
      <c r="D3965" s="14" t="n">
        <f aca="false">Summary!$B$5-B3965</f>
        <v>-16374.8216792182</v>
      </c>
      <c r="E3965" s="15" t="n">
        <f aca="false">B3965/Summary!$B$5-1</f>
        <v>0.163748216792182</v>
      </c>
    </row>
    <row r="3966" customFormat="false" ht="15" hidden="false" customHeight="false" outlineLevel="0" collapsed="false">
      <c r="A3966" s="0" t="n">
        <v>3965</v>
      </c>
      <c r="B3966" s="14" t="n">
        <v>99263.7343883777</v>
      </c>
      <c r="C3966" s="15" t="n">
        <v>0.200591712529835</v>
      </c>
      <c r="D3966" s="14" t="n">
        <f aca="false">Summary!$B$5-B3966</f>
        <v>736.265611622323</v>
      </c>
      <c r="E3966" s="15" t="n">
        <f aca="false">B3966/Summary!$B$5-1</f>
        <v>-0.00736265611622322</v>
      </c>
    </row>
    <row r="3967" customFormat="false" ht="15" hidden="false" customHeight="false" outlineLevel="0" collapsed="false">
      <c r="A3967" s="0" t="n">
        <v>3966</v>
      </c>
      <c r="B3967" s="14" t="n">
        <v>107566.839498986</v>
      </c>
      <c r="C3967" s="15" t="n">
        <v>0.0860522901349197</v>
      </c>
      <c r="D3967" s="14" t="n">
        <f aca="false">Summary!$B$5-B3967</f>
        <v>-7566.839498986</v>
      </c>
      <c r="E3967" s="15" t="n">
        <f aca="false">B3967/Summary!$B$5-1</f>
        <v>0.07566839498986</v>
      </c>
    </row>
    <row r="3968" customFormat="false" ht="15" hidden="false" customHeight="false" outlineLevel="0" collapsed="false">
      <c r="A3968" s="0" t="n">
        <v>3967</v>
      </c>
      <c r="B3968" s="14" t="n">
        <v>88257.8294658901</v>
      </c>
      <c r="C3968" s="15" t="n">
        <v>0.201872178953339</v>
      </c>
      <c r="D3968" s="14" t="n">
        <f aca="false">Summary!$B$5-B3968</f>
        <v>11742.1705341099</v>
      </c>
      <c r="E3968" s="15" t="n">
        <f aca="false">B3968/Summary!$B$5-1</f>
        <v>-0.117421705341099</v>
      </c>
    </row>
    <row r="3969" customFormat="false" ht="15" hidden="false" customHeight="false" outlineLevel="0" collapsed="false">
      <c r="A3969" s="0" t="n">
        <v>3968</v>
      </c>
      <c r="B3969" s="14" t="n">
        <v>113117.549336461</v>
      </c>
      <c r="C3969" s="15" t="n">
        <v>0.0647615711042058</v>
      </c>
      <c r="D3969" s="14" t="n">
        <f aca="false">Summary!$B$5-B3969</f>
        <v>-13117.5493364612</v>
      </c>
      <c r="E3969" s="15" t="n">
        <f aca="false">B3969/Summary!$B$5-1</f>
        <v>0.131175493364612</v>
      </c>
    </row>
    <row r="3970" customFormat="false" ht="15" hidden="false" customHeight="false" outlineLevel="0" collapsed="false">
      <c r="A3970" s="0" t="n">
        <v>3969</v>
      </c>
      <c r="B3970" s="14" t="n">
        <v>106322.20284679</v>
      </c>
      <c r="C3970" s="15" t="n">
        <v>0.0776812603844663</v>
      </c>
      <c r="D3970" s="14" t="n">
        <f aca="false">Summary!$B$5-B3970</f>
        <v>-6322.2028467895</v>
      </c>
      <c r="E3970" s="15" t="n">
        <f aca="false">B3970/Summary!$B$5-1</f>
        <v>0.063222028467895</v>
      </c>
    </row>
    <row r="3971" customFormat="false" ht="15" hidden="false" customHeight="false" outlineLevel="0" collapsed="false">
      <c r="A3971" s="0" t="n">
        <v>3970</v>
      </c>
      <c r="B3971" s="14" t="n">
        <v>108871.832334984</v>
      </c>
      <c r="C3971" s="15" t="n">
        <v>0.112407499970658</v>
      </c>
      <c r="D3971" s="14" t="n">
        <f aca="false">Summary!$B$5-B3971</f>
        <v>-8871.8323349843</v>
      </c>
      <c r="E3971" s="15" t="n">
        <f aca="false">B3971/Summary!$B$5-1</f>
        <v>0.088718323349843</v>
      </c>
    </row>
    <row r="3972" customFormat="false" ht="15" hidden="false" customHeight="false" outlineLevel="0" collapsed="false">
      <c r="A3972" s="0" t="n">
        <v>3971</v>
      </c>
      <c r="B3972" s="14" t="n">
        <v>96394.7961737857</v>
      </c>
      <c r="C3972" s="15" t="n">
        <v>0.116135722331501</v>
      </c>
      <c r="D3972" s="14" t="n">
        <f aca="false">Summary!$B$5-B3972</f>
        <v>3605.20382621427</v>
      </c>
      <c r="E3972" s="15" t="n">
        <f aca="false">B3972/Summary!$B$5-1</f>
        <v>-0.0360520382621428</v>
      </c>
    </row>
    <row r="3973" customFormat="false" ht="15" hidden="false" customHeight="false" outlineLevel="0" collapsed="false">
      <c r="A3973" s="0" t="n">
        <v>3972</v>
      </c>
      <c r="B3973" s="14" t="n">
        <v>92450.947727844</v>
      </c>
      <c r="C3973" s="15" t="n">
        <v>0.124819215376976</v>
      </c>
      <c r="D3973" s="14" t="n">
        <f aca="false">Summary!$B$5-B3973</f>
        <v>7549.052272156</v>
      </c>
      <c r="E3973" s="15" t="n">
        <f aca="false">B3973/Summary!$B$5-1</f>
        <v>-0.07549052272156</v>
      </c>
    </row>
    <row r="3974" customFormat="false" ht="15" hidden="false" customHeight="false" outlineLevel="0" collapsed="false">
      <c r="A3974" s="0" t="n">
        <v>3973</v>
      </c>
      <c r="B3974" s="14" t="n">
        <v>88179.7031923789</v>
      </c>
      <c r="C3974" s="15" t="n">
        <v>0.175005661479079</v>
      </c>
      <c r="D3974" s="14" t="n">
        <f aca="false">Summary!$B$5-B3974</f>
        <v>11820.2968076212</v>
      </c>
      <c r="E3974" s="15" t="n">
        <f aca="false">B3974/Summary!$B$5-1</f>
        <v>-0.118202968076212</v>
      </c>
    </row>
    <row r="3975" customFormat="false" ht="15" hidden="false" customHeight="false" outlineLevel="0" collapsed="false">
      <c r="A3975" s="0" t="n">
        <v>3974</v>
      </c>
      <c r="B3975" s="14" t="n">
        <v>95868.8780518251</v>
      </c>
      <c r="C3975" s="15" t="n">
        <v>0.153705747366576</v>
      </c>
      <c r="D3975" s="14" t="n">
        <f aca="false">Summary!$B$5-B3975</f>
        <v>4131.1219481749</v>
      </c>
      <c r="E3975" s="15" t="n">
        <f aca="false">B3975/Summary!$B$5-1</f>
        <v>-0.041311219481749</v>
      </c>
    </row>
    <row r="3976" customFormat="false" ht="15" hidden="false" customHeight="false" outlineLevel="0" collapsed="false">
      <c r="A3976" s="0" t="n">
        <v>3975</v>
      </c>
      <c r="B3976" s="14" t="n">
        <v>116627.356338999</v>
      </c>
      <c r="C3976" s="15" t="n">
        <v>0.0540733986198537</v>
      </c>
      <c r="D3976" s="14" t="n">
        <f aca="false">Summary!$B$5-B3976</f>
        <v>-16627.3563389991</v>
      </c>
      <c r="E3976" s="15" t="n">
        <f aca="false">B3976/Summary!$B$5-1</f>
        <v>0.166273563389991</v>
      </c>
    </row>
    <row r="3977" customFormat="false" ht="15" hidden="false" customHeight="false" outlineLevel="0" collapsed="false">
      <c r="A3977" s="0" t="n">
        <v>3976</v>
      </c>
      <c r="B3977" s="14" t="n">
        <v>104085.530289787</v>
      </c>
      <c r="C3977" s="15" t="n">
        <v>0.118171442777483</v>
      </c>
      <c r="D3977" s="14" t="n">
        <f aca="false">Summary!$B$5-B3977</f>
        <v>-4085.5302897868</v>
      </c>
      <c r="E3977" s="15" t="n">
        <f aca="false">B3977/Summary!$B$5-1</f>
        <v>0.040855302897868</v>
      </c>
    </row>
    <row r="3978" customFormat="false" ht="15" hidden="false" customHeight="false" outlineLevel="0" collapsed="false">
      <c r="A3978" s="0" t="n">
        <v>3977</v>
      </c>
      <c r="B3978" s="14" t="n">
        <v>121567.18382969</v>
      </c>
      <c r="C3978" s="15" t="n">
        <v>0.0622220473359408</v>
      </c>
      <c r="D3978" s="14" t="n">
        <f aca="false">Summary!$B$5-B3978</f>
        <v>-21567.1838296897</v>
      </c>
      <c r="E3978" s="15" t="n">
        <f aca="false">B3978/Summary!$B$5-1</f>
        <v>0.215671838296897</v>
      </c>
    </row>
    <row r="3979" customFormat="false" ht="15" hidden="false" customHeight="false" outlineLevel="0" collapsed="false">
      <c r="A3979" s="0" t="n">
        <v>3978</v>
      </c>
      <c r="B3979" s="14" t="n">
        <v>102746.870995728</v>
      </c>
      <c r="C3979" s="15" t="n">
        <v>0.105086419274132</v>
      </c>
      <c r="D3979" s="14" t="n">
        <f aca="false">Summary!$B$5-B3979</f>
        <v>-2746.8709957282</v>
      </c>
      <c r="E3979" s="15" t="n">
        <f aca="false">B3979/Summary!$B$5-1</f>
        <v>0.0274687099572819</v>
      </c>
    </row>
    <row r="3980" customFormat="false" ht="15" hidden="false" customHeight="false" outlineLevel="0" collapsed="false">
      <c r="A3980" s="0" t="n">
        <v>3979</v>
      </c>
      <c r="B3980" s="14" t="n">
        <v>127203.997543734</v>
      </c>
      <c r="C3980" s="15" t="n">
        <v>0.0467509830122803</v>
      </c>
      <c r="D3980" s="14" t="n">
        <f aca="false">Summary!$B$5-B3980</f>
        <v>-27203.997543734</v>
      </c>
      <c r="E3980" s="15" t="n">
        <f aca="false">B3980/Summary!$B$5-1</f>
        <v>0.27203997543734</v>
      </c>
    </row>
    <row r="3981" customFormat="false" ht="15" hidden="false" customHeight="false" outlineLevel="0" collapsed="false">
      <c r="A3981" s="0" t="n">
        <v>3980</v>
      </c>
      <c r="B3981" s="14" t="n">
        <v>103174.091479812</v>
      </c>
      <c r="C3981" s="15" t="n">
        <v>0.107718842250827</v>
      </c>
      <c r="D3981" s="14" t="n">
        <f aca="false">Summary!$B$5-B3981</f>
        <v>-3174.09147981209</v>
      </c>
      <c r="E3981" s="15" t="n">
        <f aca="false">B3981/Summary!$B$5-1</f>
        <v>0.0317409147981209</v>
      </c>
    </row>
    <row r="3982" customFormat="false" ht="15" hidden="false" customHeight="false" outlineLevel="0" collapsed="false">
      <c r="A3982" s="0" t="n">
        <v>3981</v>
      </c>
      <c r="B3982" s="14" t="n">
        <v>96506.9671832511</v>
      </c>
      <c r="C3982" s="15" t="n">
        <v>0.130373533312193</v>
      </c>
      <c r="D3982" s="14" t="n">
        <f aca="false">Summary!$B$5-B3982</f>
        <v>3493.03281674892</v>
      </c>
      <c r="E3982" s="15" t="n">
        <f aca="false">B3982/Summary!$B$5-1</f>
        <v>-0.0349303281674892</v>
      </c>
    </row>
    <row r="3983" customFormat="false" ht="15" hidden="false" customHeight="false" outlineLevel="0" collapsed="false">
      <c r="A3983" s="0" t="n">
        <v>3982</v>
      </c>
      <c r="B3983" s="14" t="n">
        <v>127276.977647046</v>
      </c>
      <c r="C3983" s="15" t="n">
        <v>0.0986895257865557</v>
      </c>
      <c r="D3983" s="14" t="n">
        <f aca="false">Summary!$B$5-B3983</f>
        <v>-27276.9776470458</v>
      </c>
      <c r="E3983" s="15" t="n">
        <f aca="false">B3983/Summary!$B$5-1</f>
        <v>0.272769776470458</v>
      </c>
    </row>
    <row r="3984" customFormat="false" ht="15" hidden="false" customHeight="false" outlineLevel="0" collapsed="false">
      <c r="A3984" s="0" t="n">
        <v>3983</v>
      </c>
      <c r="B3984" s="14" t="n">
        <v>98529.6671685537</v>
      </c>
      <c r="C3984" s="15" t="n">
        <v>0.0875938976640679</v>
      </c>
      <c r="D3984" s="14" t="n">
        <f aca="false">Summary!$B$5-B3984</f>
        <v>1470.33283144626</v>
      </c>
      <c r="E3984" s="15" t="n">
        <f aca="false">B3984/Summary!$B$5-1</f>
        <v>-0.0147033283144625</v>
      </c>
    </row>
    <row r="3985" customFormat="false" ht="15" hidden="false" customHeight="false" outlineLevel="0" collapsed="false">
      <c r="A3985" s="0" t="n">
        <v>3984</v>
      </c>
      <c r="B3985" s="14" t="n">
        <v>113974.033272943</v>
      </c>
      <c r="C3985" s="15" t="n">
        <v>0.0694853104747855</v>
      </c>
      <c r="D3985" s="14" t="n">
        <f aca="false">Summary!$B$5-B3985</f>
        <v>-13974.0332729431</v>
      </c>
      <c r="E3985" s="15" t="n">
        <f aca="false">B3985/Summary!$B$5-1</f>
        <v>0.139740332729431</v>
      </c>
    </row>
    <row r="3986" customFormat="false" ht="15" hidden="false" customHeight="false" outlineLevel="0" collapsed="false">
      <c r="A3986" s="0" t="n">
        <v>3985</v>
      </c>
      <c r="B3986" s="14" t="n">
        <v>104992.261778613</v>
      </c>
      <c r="C3986" s="15" t="n">
        <v>0.0880064181660887</v>
      </c>
      <c r="D3986" s="14" t="n">
        <f aca="false">Summary!$B$5-B3986</f>
        <v>-4992.26177861269</v>
      </c>
      <c r="E3986" s="15" t="n">
        <f aca="false">B3986/Summary!$B$5-1</f>
        <v>0.0499226177861269</v>
      </c>
    </row>
    <row r="3987" customFormat="false" ht="15" hidden="false" customHeight="false" outlineLevel="0" collapsed="false">
      <c r="A3987" s="0" t="n">
        <v>3986</v>
      </c>
      <c r="B3987" s="14" t="n">
        <v>105961.318307832</v>
      </c>
      <c r="C3987" s="15" t="n">
        <v>0.0953012081576372</v>
      </c>
      <c r="D3987" s="14" t="n">
        <f aca="false">Summary!$B$5-B3987</f>
        <v>-5961.31830783161</v>
      </c>
      <c r="E3987" s="15" t="n">
        <f aca="false">B3987/Summary!$B$5-1</f>
        <v>0.059613183078316</v>
      </c>
    </row>
    <row r="3988" customFormat="false" ht="15" hidden="false" customHeight="false" outlineLevel="0" collapsed="false">
      <c r="A3988" s="0" t="n">
        <v>3987</v>
      </c>
      <c r="B3988" s="14" t="n">
        <v>108649.493412513</v>
      </c>
      <c r="C3988" s="15" t="n">
        <v>0.0840820229721024</v>
      </c>
      <c r="D3988" s="14" t="n">
        <f aca="false">Summary!$B$5-B3988</f>
        <v>-8649.4934125131</v>
      </c>
      <c r="E3988" s="15" t="n">
        <f aca="false">B3988/Summary!$B$5-1</f>
        <v>0.0864949341251309</v>
      </c>
    </row>
    <row r="3989" customFormat="false" ht="15" hidden="false" customHeight="false" outlineLevel="0" collapsed="false">
      <c r="A3989" s="0" t="n">
        <v>3988</v>
      </c>
      <c r="B3989" s="14" t="n">
        <v>96116.9543774141</v>
      </c>
      <c r="C3989" s="15" t="n">
        <v>0.166575571680939</v>
      </c>
      <c r="D3989" s="14" t="n">
        <f aca="false">Summary!$B$5-B3989</f>
        <v>3883.04562258595</v>
      </c>
      <c r="E3989" s="15" t="n">
        <f aca="false">B3989/Summary!$B$5-1</f>
        <v>-0.0388304562258596</v>
      </c>
    </row>
    <row r="3990" customFormat="false" ht="15" hidden="false" customHeight="false" outlineLevel="0" collapsed="false">
      <c r="A3990" s="0" t="n">
        <v>3989</v>
      </c>
      <c r="B3990" s="14" t="n">
        <v>105571.139597357</v>
      </c>
      <c r="C3990" s="15" t="n">
        <v>0.100666719718874</v>
      </c>
      <c r="D3990" s="14" t="n">
        <f aca="false">Summary!$B$5-B3990</f>
        <v>-5571.13959735711</v>
      </c>
      <c r="E3990" s="15" t="n">
        <f aca="false">B3990/Summary!$B$5-1</f>
        <v>0.0557113959735711</v>
      </c>
    </row>
    <row r="3991" customFormat="false" ht="15" hidden="false" customHeight="false" outlineLevel="0" collapsed="false">
      <c r="A3991" s="0" t="n">
        <v>3990</v>
      </c>
      <c r="B3991" s="14" t="n">
        <v>108938.62473421</v>
      </c>
      <c r="C3991" s="15" t="n">
        <v>0.0890169292692326</v>
      </c>
      <c r="D3991" s="14" t="n">
        <f aca="false">Summary!$B$5-B3991</f>
        <v>-8938.6247342103</v>
      </c>
      <c r="E3991" s="15" t="n">
        <f aca="false">B3991/Summary!$B$5-1</f>
        <v>0.089386247342103</v>
      </c>
    </row>
    <row r="3992" customFormat="false" ht="15" hidden="false" customHeight="false" outlineLevel="0" collapsed="false">
      <c r="A3992" s="0" t="n">
        <v>3991</v>
      </c>
      <c r="B3992" s="14" t="n">
        <v>105080.622254412</v>
      </c>
      <c r="C3992" s="15" t="n">
        <v>0.073166102353626</v>
      </c>
      <c r="D3992" s="14" t="n">
        <f aca="false">Summary!$B$5-B3992</f>
        <v>-5080.6222544123</v>
      </c>
      <c r="E3992" s="15" t="n">
        <f aca="false">B3992/Summary!$B$5-1</f>
        <v>0.050806222544123</v>
      </c>
    </row>
    <row r="3993" customFormat="false" ht="15" hidden="false" customHeight="false" outlineLevel="0" collapsed="false">
      <c r="A3993" s="0" t="n">
        <v>3992</v>
      </c>
      <c r="B3993" s="14" t="n">
        <v>89420.0473407311</v>
      </c>
      <c r="C3993" s="15" t="n">
        <v>0.141200693173377</v>
      </c>
      <c r="D3993" s="14" t="n">
        <f aca="false">Summary!$B$5-B3993</f>
        <v>10579.952659269</v>
      </c>
      <c r="E3993" s="15" t="n">
        <f aca="false">B3993/Summary!$B$5-1</f>
        <v>-0.10579952659269</v>
      </c>
    </row>
    <row r="3994" customFormat="false" ht="15" hidden="false" customHeight="false" outlineLevel="0" collapsed="false">
      <c r="A3994" s="0" t="n">
        <v>3993</v>
      </c>
      <c r="B3994" s="14" t="n">
        <v>105551.010866258</v>
      </c>
      <c r="C3994" s="15" t="n">
        <v>0.0872010571395955</v>
      </c>
      <c r="D3994" s="14" t="n">
        <f aca="false">Summary!$B$5-B3994</f>
        <v>-5551.0108662579</v>
      </c>
      <c r="E3994" s="15" t="n">
        <f aca="false">B3994/Summary!$B$5-1</f>
        <v>0.0555101086625791</v>
      </c>
    </row>
    <row r="3995" customFormat="false" ht="15" hidden="false" customHeight="false" outlineLevel="0" collapsed="false">
      <c r="A3995" s="0" t="n">
        <v>3994</v>
      </c>
      <c r="B3995" s="14" t="n">
        <v>101476.454455985</v>
      </c>
      <c r="C3995" s="15" t="n">
        <v>0.0960230829261045</v>
      </c>
      <c r="D3995" s="14" t="n">
        <f aca="false">Summary!$B$5-B3995</f>
        <v>-1476.45445598529</v>
      </c>
      <c r="E3995" s="15" t="n">
        <f aca="false">B3995/Summary!$B$5-1</f>
        <v>0.014764544559853</v>
      </c>
    </row>
    <row r="3996" customFormat="false" ht="15" hidden="false" customHeight="false" outlineLevel="0" collapsed="false">
      <c r="A3996" s="0" t="n">
        <v>3995</v>
      </c>
      <c r="B3996" s="14" t="n">
        <v>83646.852865307</v>
      </c>
      <c r="C3996" s="15" t="n">
        <v>0.225572235123351</v>
      </c>
      <c r="D3996" s="14" t="n">
        <f aca="false">Summary!$B$5-B3996</f>
        <v>16353.147134693</v>
      </c>
      <c r="E3996" s="15" t="n">
        <f aca="false">B3996/Summary!$B$5-1</f>
        <v>-0.16353147134693</v>
      </c>
    </row>
    <row r="3997" customFormat="false" ht="15" hidden="false" customHeight="false" outlineLevel="0" collapsed="false">
      <c r="A3997" s="0" t="n">
        <v>3996</v>
      </c>
      <c r="B3997" s="14" t="n">
        <v>96631.3046828653</v>
      </c>
      <c r="C3997" s="15" t="n">
        <v>0.112598807107412</v>
      </c>
      <c r="D3997" s="14" t="n">
        <f aca="false">Summary!$B$5-B3997</f>
        <v>3368.69531713468</v>
      </c>
      <c r="E3997" s="15" t="n">
        <f aca="false">B3997/Summary!$B$5-1</f>
        <v>-0.0336869531713468</v>
      </c>
    </row>
    <row r="3998" customFormat="false" ht="15" hidden="false" customHeight="false" outlineLevel="0" collapsed="false">
      <c r="A3998" s="0" t="n">
        <v>3997</v>
      </c>
      <c r="B3998" s="14" t="n">
        <v>118027.871935806</v>
      </c>
      <c r="C3998" s="15" t="n">
        <v>0.0521408297698986</v>
      </c>
      <c r="D3998" s="14" t="n">
        <f aca="false">Summary!$B$5-B3998</f>
        <v>-18027.8719358063</v>
      </c>
      <c r="E3998" s="15" t="n">
        <f aca="false">B3998/Summary!$B$5-1</f>
        <v>0.180278719358063</v>
      </c>
    </row>
    <row r="3999" customFormat="false" ht="15" hidden="false" customHeight="false" outlineLevel="0" collapsed="false">
      <c r="A3999" s="0" t="n">
        <v>3998</v>
      </c>
      <c r="B3999" s="14" t="n">
        <v>103275.09766846</v>
      </c>
      <c r="C3999" s="15" t="n">
        <v>0.133691882307067</v>
      </c>
      <c r="D3999" s="14" t="n">
        <f aca="false">Summary!$B$5-B3999</f>
        <v>-3275.09766845949</v>
      </c>
      <c r="E3999" s="15" t="n">
        <f aca="false">B3999/Summary!$B$5-1</f>
        <v>0.032750976684595</v>
      </c>
    </row>
    <row r="4000" customFormat="false" ht="15" hidden="false" customHeight="false" outlineLevel="0" collapsed="false">
      <c r="A4000" s="0" t="n">
        <v>3999</v>
      </c>
      <c r="B4000" s="14" t="n">
        <v>105332.433869993</v>
      </c>
      <c r="C4000" s="15" t="n">
        <v>0.0893859826905238</v>
      </c>
      <c r="D4000" s="14" t="n">
        <f aca="false">Summary!$B$5-B4000</f>
        <v>-5332.4338699933</v>
      </c>
      <c r="E4000" s="15" t="n">
        <f aca="false">B4000/Summary!$B$5-1</f>
        <v>0.0533243386999329</v>
      </c>
    </row>
    <row r="4001" customFormat="false" ht="15" hidden="false" customHeight="false" outlineLevel="0" collapsed="false">
      <c r="A4001" s="0" t="n">
        <v>4000</v>
      </c>
      <c r="B4001" s="14" t="n">
        <v>101054.081479223</v>
      </c>
      <c r="C4001" s="15" t="n">
        <v>0.0675605715840278</v>
      </c>
      <c r="D4001" s="14" t="n">
        <f aca="false">Summary!$B$5-B4001</f>
        <v>-1054.0814792227</v>
      </c>
      <c r="E4001" s="15" t="n">
        <f aca="false">B4001/Summary!$B$5-1</f>
        <v>0.010540814792227</v>
      </c>
    </row>
    <row r="4002" customFormat="false" ht="15" hidden="false" customHeight="false" outlineLevel="0" collapsed="false">
      <c r="A4002" s="0" t="n">
        <v>4001</v>
      </c>
      <c r="B4002" s="14" t="n">
        <v>102152.347509429</v>
      </c>
      <c r="C4002" s="15" t="n">
        <v>0.0792754878276628</v>
      </c>
      <c r="D4002" s="14" t="n">
        <f aca="false">Summary!$B$5-B4002</f>
        <v>-2152.3475094294</v>
      </c>
      <c r="E4002" s="15" t="n">
        <f aca="false">B4002/Summary!$B$5-1</f>
        <v>0.0215234750942939</v>
      </c>
    </row>
    <row r="4003" customFormat="false" ht="15" hidden="false" customHeight="false" outlineLevel="0" collapsed="false">
      <c r="A4003" s="0" t="n">
        <v>4002</v>
      </c>
      <c r="B4003" s="14" t="n">
        <v>98895.3171666504</v>
      </c>
      <c r="C4003" s="15" t="n">
        <v>0.149252032336571</v>
      </c>
      <c r="D4003" s="14" t="n">
        <f aca="false">Summary!$B$5-B4003</f>
        <v>1104.68283334965</v>
      </c>
      <c r="E4003" s="15" t="n">
        <f aca="false">B4003/Summary!$B$5-1</f>
        <v>-0.0110468283334966</v>
      </c>
    </row>
    <row r="4004" customFormat="false" ht="15" hidden="false" customHeight="false" outlineLevel="0" collapsed="false">
      <c r="A4004" s="0" t="n">
        <v>4003</v>
      </c>
      <c r="B4004" s="14" t="n">
        <v>89174.333159067</v>
      </c>
      <c r="C4004" s="15" t="n">
        <v>0.134959753640625</v>
      </c>
      <c r="D4004" s="14" t="n">
        <f aca="false">Summary!$B$5-B4004</f>
        <v>10825.666840933</v>
      </c>
      <c r="E4004" s="15" t="n">
        <f aca="false">B4004/Summary!$B$5-1</f>
        <v>-0.10825666840933</v>
      </c>
    </row>
    <row r="4005" customFormat="false" ht="15" hidden="false" customHeight="false" outlineLevel="0" collapsed="false">
      <c r="A4005" s="0" t="n">
        <v>4004</v>
      </c>
      <c r="B4005" s="14" t="n">
        <v>111649.945961266</v>
      </c>
      <c r="C4005" s="15" t="n">
        <v>0.0614524020384404</v>
      </c>
      <c r="D4005" s="14" t="n">
        <f aca="false">Summary!$B$5-B4005</f>
        <v>-11649.9459612661</v>
      </c>
      <c r="E4005" s="15" t="n">
        <f aca="false">B4005/Summary!$B$5-1</f>
        <v>0.116499459612661</v>
      </c>
    </row>
    <row r="4006" customFormat="false" ht="15" hidden="false" customHeight="false" outlineLevel="0" collapsed="false">
      <c r="A4006" s="0" t="n">
        <v>4005</v>
      </c>
      <c r="B4006" s="14" t="n">
        <v>102049.537786137</v>
      </c>
      <c r="C4006" s="15" t="n">
        <v>0.117812560214476</v>
      </c>
      <c r="D4006" s="14" t="n">
        <f aca="false">Summary!$B$5-B4006</f>
        <v>-2049.53778613691</v>
      </c>
      <c r="E4006" s="15" t="n">
        <f aca="false">B4006/Summary!$B$5-1</f>
        <v>0.020495377861369</v>
      </c>
    </row>
    <row r="4007" customFormat="false" ht="15" hidden="false" customHeight="false" outlineLevel="0" collapsed="false">
      <c r="A4007" s="0" t="n">
        <v>4006</v>
      </c>
      <c r="B4007" s="14" t="n">
        <v>121450.031383967</v>
      </c>
      <c r="C4007" s="15" t="n">
        <v>0.0527135074105445</v>
      </c>
      <c r="D4007" s="14" t="n">
        <f aca="false">Summary!$B$5-B4007</f>
        <v>-21450.031383967</v>
      </c>
      <c r="E4007" s="15" t="n">
        <f aca="false">B4007/Summary!$B$5-1</f>
        <v>0.21450031383967</v>
      </c>
    </row>
    <row r="4008" customFormat="false" ht="15" hidden="false" customHeight="false" outlineLevel="0" collapsed="false">
      <c r="A4008" s="0" t="n">
        <v>4007</v>
      </c>
      <c r="B4008" s="14" t="n">
        <v>90061.6733896043</v>
      </c>
      <c r="C4008" s="15" t="n">
        <v>0.12833826257996</v>
      </c>
      <c r="D4008" s="14" t="n">
        <f aca="false">Summary!$B$5-B4008</f>
        <v>9938.32661039566</v>
      </c>
      <c r="E4008" s="15" t="n">
        <f aca="false">B4008/Summary!$B$5-1</f>
        <v>-0.0993832661039565</v>
      </c>
    </row>
    <row r="4009" customFormat="false" ht="15" hidden="false" customHeight="false" outlineLevel="0" collapsed="false">
      <c r="A4009" s="0" t="n">
        <v>4008</v>
      </c>
      <c r="B4009" s="14" t="n">
        <v>94269.7146624051</v>
      </c>
      <c r="C4009" s="15" t="n">
        <v>0.120518807555674</v>
      </c>
      <c r="D4009" s="14" t="n">
        <f aca="false">Summary!$B$5-B4009</f>
        <v>5730.28533759489</v>
      </c>
      <c r="E4009" s="15" t="n">
        <f aca="false">B4009/Summary!$B$5-1</f>
        <v>-0.0573028533759489</v>
      </c>
    </row>
    <row r="4010" customFormat="false" ht="15" hidden="false" customHeight="false" outlineLevel="0" collapsed="false">
      <c r="A4010" s="0" t="n">
        <v>4009</v>
      </c>
      <c r="B4010" s="14" t="n">
        <v>111675.938977821</v>
      </c>
      <c r="C4010" s="15" t="n">
        <v>0.0685177933429341</v>
      </c>
      <c r="D4010" s="14" t="n">
        <f aca="false">Summary!$B$5-B4010</f>
        <v>-11675.9389778208</v>
      </c>
      <c r="E4010" s="15" t="n">
        <f aca="false">B4010/Summary!$B$5-1</f>
        <v>0.116759389778208</v>
      </c>
    </row>
    <row r="4011" customFormat="false" ht="15" hidden="false" customHeight="false" outlineLevel="0" collapsed="false">
      <c r="A4011" s="0" t="n">
        <v>4010</v>
      </c>
      <c r="B4011" s="14" t="n">
        <v>101815.878451865</v>
      </c>
      <c r="C4011" s="15" t="n">
        <v>0.0991423884564603</v>
      </c>
      <c r="D4011" s="14" t="n">
        <f aca="false">Summary!$B$5-B4011</f>
        <v>-1815.8784518654</v>
      </c>
      <c r="E4011" s="15" t="n">
        <f aca="false">B4011/Summary!$B$5-1</f>
        <v>0.0181587845186539</v>
      </c>
    </row>
    <row r="4012" customFormat="false" ht="15" hidden="false" customHeight="false" outlineLevel="0" collapsed="false">
      <c r="A4012" s="0" t="n">
        <v>4011</v>
      </c>
      <c r="B4012" s="14" t="n">
        <v>96564.8738382372</v>
      </c>
      <c r="C4012" s="15" t="n">
        <v>0.0874093443622467</v>
      </c>
      <c r="D4012" s="14" t="n">
        <f aca="false">Summary!$B$5-B4012</f>
        <v>3435.12616176285</v>
      </c>
      <c r="E4012" s="15" t="n">
        <f aca="false">B4012/Summary!$B$5-1</f>
        <v>-0.0343512616176285</v>
      </c>
    </row>
    <row r="4013" customFormat="false" ht="15" hidden="false" customHeight="false" outlineLevel="0" collapsed="false">
      <c r="A4013" s="0" t="n">
        <v>4012</v>
      </c>
      <c r="B4013" s="14" t="n">
        <v>108786.850378087</v>
      </c>
      <c r="C4013" s="15" t="n">
        <v>0.0989835511932747</v>
      </c>
      <c r="D4013" s="14" t="n">
        <f aca="false">Summary!$B$5-B4013</f>
        <v>-8786.8503780873</v>
      </c>
      <c r="E4013" s="15" t="n">
        <f aca="false">B4013/Summary!$B$5-1</f>
        <v>0.0878685037808731</v>
      </c>
    </row>
    <row r="4014" customFormat="false" ht="15" hidden="false" customHeight="false" outlineLevel="0" collapsed="false">
      <c r="A4014" s="0" t="n">
        <v>4013</v>
      </c>
      <c r="B4014" s="14" t="n">
        <v>120696.716702875</v>
      </c>
      <c r="C4014" s="15" t="n">
        <v>0.0780555295168253</v>
      </c>
      <c r="D4014" s="14" t="n">
        <f aca="false">Summary!$B$5-B4014</f>
        <v>-20696.7167028746</v>
      </c>
      <c r="E4014" s="15" t="n">
        <f aca="false">B4014/Summary!$B$5-1</f>
        <v>0.206967167028746</v>
      </c>
    </row>
    <row r="4015" customFormat="false" ht="15" hidden="false" customHeight="false" outlineLevel="0" collapsed="false">
      <c r="A4015" s="0" t="n">
        <v>4014</v>
      </c>
      <c r="B4015" s="14" t="n">
        <v>124764.483526966</v>
      </c>
      <c r="C4015" s="15" t="n">
        <v>0.067596222657939</v>
      </c>
      <c r="D4015" s="14" t="n">
        <f aca="false">Summary!$B$5-B4015</f>
        <v>-24764.4835269658</v>
      </c>
      <c r="E4015" s="15" t="n">
        <f aca="false">B4015/Summary!$B$5-1</f>
        <v>0.247644835269658</v>
      </c>
    </row>
    <row r="4016" customFormat="false" ht="15" hidden="false" customHeight="false" outlineLevel="0" collapsed="false">
      <c r="A4016" s="0" t="n">
        <v>4015</v>
      </c>
      <c r="B4016" s="14" t="n">
        <v>113454.478373092</v>
      </c>
      <c r="C4016" s="15" t="n">
        <v>0.0702594347318745</v>
      </c>
      <c r="D4016" s="14" t="n">
        <f aca="false">Summary!$B$5-B4016</f>
        <v>-13454.4783730917</v>
      </c>
      <c r="E4016" s="15" t="n">
        <f aca="false">B4016/Summary!$B$5-1</f>
        <v>0.134544783730917</v>
      </c>
    </row>
    <row r="4017" customFormat="false" ht="15" hidden="false" customHeight="false" outlineLevel="0" collapsed="false">
      <c r="A4017" s="0" t="n">
        <v>4016</v>
      </c>
      <c r="B4017" s="14" t="n">
        <v>100077.227402217</v>
      </c>
      <c r="C4017" s="15" t="n">
        <v>0.118434390584009</v>
      </c>
      <c r="D4017" s="14" t="n">
        <f aca="false">Summary!$B$5-B4017</f>
        <v>-77.2274022169004</v>
      </c>
      <c r="E4017" s="15" t="n">
        <f aca="false">B4017/Summary!$B$5-1</f>
        <v>0.000772274022168951</v>
      </c>
    </row>
    <row r="4018" customFormat="false" ht="15" hidden="false" customHeight="false" outlineLevel="0" collapsed="false">
      <c r="A4018" s="0" t="n">
        <v>4017</v>
      </c>
      <c r="B4018" s="14" t="n">
        <v>116682.84762159</v>
      </c>
      <c r="C4018" s="15" t="n">
        <v>0.0613149169791694</v>
      </c>
      <c r="D4018" s="14" t="n">
        <f aca="false">Summary!$B$5-B4018</f>
        <v>-16682.8476215896</v>
      </c>
      <c r="E4018" s="15" t="n">
        <f aca="false">B4018/Summary!$B$5-1</f>
        <v>0.166828476215896</v>
      </c>
    </row>
    <row r="4019" customFormat="false" ht="15" hidden="false" customHeight="false" outlineLevel="0" collapsed="false">
      <c r="A4019" s="0" t="n">
        <v>4018</v>
      </c>
      <c r="B4019" s="14" t="n">
        <v>109856.304268183</v>
      </c>
      <c r="C4019" s="15" t="n">
        <v>0.0751441094701669</v>
      </c>
      <c r="D4019" s="14" t="n">
        <f aca="false">Summary!$B$5-B4019</f>
        <v>-9856.304268183</v>
      </c>
      <c r="E4019" s="15" t="n">
        <f aca="false">B4019/Summary!$B$5-1</f>
        <v>0.09856304268183</v>
      </c>
    </row>
    <row r="4020" customFormat="false" ht="15" hidden="false" customHeight="false" outlineLevel="0" collapsed="false">
      <c r="A4020" s="0" t="n">
        <v>4019</v>
      </c>
      <c r="B4020" s="14" t="n">
        <v>111515.746845689</v>
      </c>
      <c r="C4020" s="15" t="n">
        <v>0.0869866832026169</v>
      </c>
      <c r="D4020" s="14" t="n">
        <f aca="false">Summary!$B$5-B4020</f>
        <v>-11515.7468456888</v>
      </c>
      <c r="E4020" s="15" t="n">
        <f aca="false">B4020/Summary!$B$5-1</f>
        <v>0.115157468456888</v>
      </c>
    </row>
    <row r="4021" customFormat="false" ht="15" hidden="false" customHeight="false" outlineLevel="0" collapsed="false">
      <c r="A4021" s="0" t="n">
        <v>4020</v>
      </c>
      <c r="B4021" s="14" t="n">
        <v>119193.227443413</v>
      </c>
      <c r="C4021" s="15" t="n">
        <v>0.0695210086206978</v>
      </c>
      <c r="D4021" s="14" t="n">
        <f aca="false">Summary!$B$5-B4021</f>
        <v>-19193.2274434132</v>
      </c>
      <c r="E4021" s="15" t="n">
        <f aca="false">B4021/Summary!$B$5-1</f>
        <v>0.191932274434132</v>
      </c>
    </row>
    <row r="4022" customFormat="false" ht="15" hidden="false" customHeight="false" outlineLevel="0" collapsed="false">
      <c r="A4022" s="0" t="n">
        <v>4021</v>
      </c>
      <c r="B4022" s="14" t="n">
        <v>100163.510627998</v>
      </c>
      <c r="C4022" s="15" t="n">
        <v>0.0580126666481741</v>
      </c>
      <c r="D4022" s="14" t="n">
        <f aca="false">Summary!$B$5-B4022</f>
        <v>-163.510627998097</v>
      </c>
      <c r="E4022" s="15" t="n">
        <f aca="false">B4022/Summary!$B$5-1</f>
        <v>0.00163510627998087</v>
      </c>
    </row>
    <row r="4023" customFormat="false" ht="15" hidden="false" customHeight="false" outlineLevel="0" collapsed="false">
      <c r="A4023" s="0" t="n">
        <v>4022</v>
      </c>
      <c r="B4023" s="14" t="n">
        <v>96705.6151039475</v>
      </c>
      <c r="C4023" s="15" t="n">
        <v>0.109286501627184</v>
      </c>
      <c r="D4023" s="14" t="n">
        <f aca="false">Summary!$B$5-B4023</f>
        <v>3294.38489605255</v>
      </c>
      <c r="E4023" s="15" t="n">
        <f aca="false">B4023/Summary!$B$5-1</f>
        <v>-0.0329438489605255</v>
      </c>
    </row>
    <row r="4024" customFormat="false" ht="15" hidden="false" customHeight="false" outlineLevel="0" collapsed="false">
      <c r="A4024" s="0" t="n">
        <v>4023</v>
      </c>
      <c r="B4024" s="14" t="n">
        <v>93601.918652673</v>
      </c>
      <c r="C4024" s="15" t="n">
        <v>0.183917981213251</v>
      </c>
      <c r="D4024" s="14" t="n">
        <f aca="false">Summary!$B$5-B4024</f>
        <v>6398.08134732701</v>
      </c>
      <c r="E4024" s="15" t="n">
        <f aca="false">B4024/Summary!$B$5-1</f>
        <v>-0.0639808134732701</v>
      </c>
    </row>
    <row r="4025" customFormat="false" ht="15" hidden="false" customHeight="false" outlineLevel="0" collapsed="false">
      <c r="A4025" s="0" t="n">
        <v>4024</v>
      </c>
      <c r="B4025" s="14" t="n">
        <v>102519.205477485</v>
      </c>
      <c r="C4025" s="15" t="n">
        <v>0.0833776854979603</v>
      </c>
      <c r="D4025" s="14" t="n">
        <f aca="false">Summary!$B$5-B4025</f>
        <v>-2519.2054774849</v>
      </c>
      <c r="E4025" s="15" t="n">
        <f aca="false">B4025/Summary!$B$5-1</f>
        <v>0.025192054774849</v>
      </c>
    </row>
    <row r="4026" customFormat="false" ht="15" hidden="false" customHeight="false" outlineLevel="0" collapsed="false">
      <c r="A4026" s="0" t="n">
        <v>4025</v>
      </c>
      <c r="B4026" s="14" t="n">
        <v>109865.653717532</v>
      </c>
      <c r="C4026" s="15" t="n">
        <v>0.0879786568908278</v>
      </c>
      <c r="D4026" s="14" t="n">
        <f aca="false">Summary!$B$5-B4026</f>
        <v>-9865.6537175316</v>
      </c>
      <c r="E4026" s="15" t="n">
        <f aca="false">B4026/Summary!$B$5-1</f>
        <v>0.0986565371753161</v>
      </c>
    </row>
    <row r="4027" customFormat="false" ht="15" hidden="false" customHeight="false" outlineLevel="0" collapsed="false">
      <c r="A4027" s="0" t="n">
        <v>4026</v>
      </c>
      <c r="B4027" s="14" t="n">
        <v>113934.773817585</v>
      </c>
      <c r="C4027" s="15" t="n">
        <v>0.073922402472305</v>
      </c>
      <c r="D4027" s="14" t="n">
        <f aca="false">Summary!$B$5-B4027</f>
        <v>-13934.773817585</v>
      </c>
      <c r="E4027" s="15" t="n">
        <f aca="false">B4027/Summary!$B$5-1</f>
        <v>0.13934773817585</v>
      </c>
    </row>
    <row r="4028" customFormat="false" ht="15" hidden="false" customHeight="false" outlineLevel="0" collapsed="false">
      <c r="A4028" s="0" t="n">
        <v>4027</v>
      </c>
      <c r="B4028" s="14" t="n">
        <v>118777.731840663</v>
      </c>
      <c r="C4028" s="15" t="n">
        <v>0.0519917678039835</v>
      </c>
      <c r="D4028" s="14" t="n">
        <f aca="false">Summary!$B$5-B4028</f>
        <v>-18777.7318406633</v>
      </c>
      <c r="E4028" s="15" t="n">
        <f aca="false">B4028/Summary!$B$5-1</f>
        <v>0.187777318406633</v>
      </c>
    </row>
    <row r="4029" customFormat="false" ht="15" hidden="false" customHeight="false" outlineLevel="0" collapsed="false">
      <c r="A4029" s="0" t="n">
        <v>4028</v>
      </c>
      <c r="B4029" s="14" t="n">
        <v>111121.041436776</v>
      </c>
      <c r="C4029" s="15" t="n">
        <v>0.0722807633099946</v>
      </c>
      <c r="D4029" s="14" t="n">
        <f aca="false">Summary!$B$5-B4029</f>
        <v>-11121.0414367758</v>
      </c>
      <c r="E4029" s="15" t="n">
        <f aca="false">B4029/Summary!$B$5-1</f>
        <v>0.111210414367758</v>
      </c>
    </row>
    <row r="4030" customFormat="false" ht="15" hidden="false" customHeight="false" outlineLevel="0" collapsed="false">
      <c r="A4030" s="0" t="n">
        <v>4029</v>
      </c>
      <c r="B4030" s="14" t="n">
        <v>119593.55713037</v>
      </c>
      <c r="C4030" s="15" t="n">
        <v>0.100052199780228</v>
      </c>
      <c r="D4030" s="14" t="n">
        <f aca="false">Summary!$B$5-B4030</f>
        <v>-19593.55713037</v>
      </c>
      <c r="E4030" s="15" t="n">
        <f aca="false">B4030/Summary!$B$5-1</f>
        <v>0.1959355713037</v>
      </c>
    </row>
    <row r="4031" customFormat="false" ht="15" hidden="false" customHeight="false" outlineLevel="0" collapsed="false">
      <c r="A4031" s="0" t="n">
        <v>4030</v>
      </c>
      <c r="B4031" s="14" t="n">
        <v>105743.245398693</v>
      </c>
      <c r="C4031" s="15" t="n">
        <v>0.0641546660503811</v>
      </c>
      <c r="D4031" s="14" t="n">
        <f aca="false">Summary!$B$5-B4031</f>
        <v>-5743.2453986927</v>
      </c>
      <c r="E4031" s="15" t="n">
        <f aca="false">B4031/Summary!$B$5-1</f>
        <v>0.0574324539869271</v>
      </c>
    </row>
    <row r="4032" customFormat="false" ht="15" hidden="false" customHeight="false" outlineLevel="0" collapsed="false">
      <c r="A4032" s="0" t="n">
        <v>4031</v>
      </c>
      <c r="B4032" s="14" t="n">
        <v>111538.568031526</v>
      </c>
      <c r="C4032" s="15" t="n">
        <v>0.0841083434119065</v>
      </c>
      <c r="D4032" s="14" t="n">
        <f aca="false">Summary!$B$5-B4032</f>
        <v>-11538.5680315261</v>
      </c>
      <c r="E4032" s="15" t="n">
        <f aca="false">B4032/Summary!$B$5-1</f>
        <v>0.115385680315261</v>
      </c>
    </row>
    <row r="4033" customFormat="false" ht="15" hidden="false" customHeight="false" outlineLevel="0" collapsed="false">
      <c r="A4033" s="0" t="n">
        <v>4032</v>
      </c>
      <c r="B4033" s="14" t="n">
        <v>102957.341155783</v>
      </c>
      <c r="C4033" s="15" t="n">
        <v>0.10464731140856</v>
      </c>
      <c r="D4033" s="14" t="n">
        <f aca="false">Summary!$B$5-B4033</f>
        <v>-2957.3411557834</v>
      </c>
      <c r="E4033" s="15" t="n">
        <f aca="false">B4033/Summary!$B$5-1</f>
        <v>0.0295734115578341</v>
      </c>
    </row>
    <row r="4034" customFormat="false" ht="15" hidden="false" customHeight="false" outlineLevel="0" collapsed="false">
      <c r="A4034" s="0" t="n">
        <v>4033</v>
      </c>
      <c r="B4034" s="14" t="n">
        <v>118009.305237541</v>
      </c>
      <c r="C4034" s="15" t="n">
        <v>0.0771490011420882</v>
      </c>
      <c r="D4034" s="14" t="n">
        <f aca="false">Summary!$B$5-B4034</f>
        <v>-18009.3052375406</v>
      </c>
      <c r="E4034" s="15" t="n">
        <f aca="false">B4034/Summary!$B$5-1</f>
        <v>0.180093052375406</v>
      </c>
    </row>
    <row r="4035" customFormat="false" ht="15" hidden="false" customHeight="false" outlineLevel="0" collapsed="false">
      <c r="A4035" s="0" t="n">
        <v>4034</v>
      </c>
      <c r="B4035" s="14" t="n">
        <v>110822.273334743</v>
      </c>
      <c r="C4035" s="15" t="n">
        <v>0.0731961310923491</v>
      </c>
      <c r="D4035" s="14" t="n">
        <f aca="false">Summary!$B$5-B4035</f>
        <v>-10822.2733347432</v>
      </c>
      <c r="E4035" s="15" t="n">
        <f aca="false">B4035/Summary!$B$5-1</f>
        <v>0.108222733347432</v>
      </c>
    </row>
    <row r="4036" customFormat="false" ht="15" hidden="false" customHeight="false" outlineLevel="0" collapsed="false">
      <c r="A4036" s="0" t="n">
        <v>4035</v>
      </c>
      <c r="B4036" s="14" t="n">
        <v>108375.711516291</v>
      </c>
      <c r="C4036" s="15" t="n">
        <v>0.0776423745393133</v>
      </c>
      <c r="D4036" s="14" t="n">
        <f aca="false">Summary!$B$5-B4036</f>
        <v>-8375.7115162914</v>
      </c>
      <c r="E4036" s="15" t="n">
        <f aca="false">B4036/Summary!$B$5-1</f>
        <v>0.083757115162914</v>
      </c>
    </row>
    <row r="4037" customFormat="false" ht="15" hidden="false" customHeight="false" outlineLevel="0" collapsed="false">
      <c r="A4037" s="0" t="n">
        <v>4036</v>
      </c>
      <c r="B4037" s="14" t="n">
        <v>121037.031616305</v>
      </c>
      <c r="C4037" s="15" t="n">
        <v>0.0848690185221761</v>
      </c>
      <c r="D4037" s="14" t="n">
        <f aca="false">Summary!$B$5-B4037</f>
        <v>-21037.0316163046</v>
      </c>
      <c r="E4037" s="15" t="n">
        <f aca="false">B4037/Summary!$B$5-1</f>
        <v>0.210370316163046</v>
      </c>
    </row>
    <row r="4038" customFormat="false" ht="15" hidden="false" customHeight="false" outlineLevel="0" collapsed="false">
      <c r="A4038" s="0" t="n">
        <v>4037</v>
      </c>
      <c r="B4038" s="14" t="n">
        <v>93822.6769786328</v>
      </c>
      <c r="C4038" s="15" t="n">
        <v>0.142862605530826</v>
      </c>
      <c r="D4038" s="14" t="n">
        <f aca="false">Summary!$B$5-B4038</f>
        <v>6177.32302136722</v>
      </c>
      <c r="E4038" s="15" t="n">
        <f aca="false">B4038/Summary!$B$5-1</f>
        <v>-0.0617732302136722</v>
      </c>
    </row>
    <row r="4039" customFormat="false" ht="15" hidden="false" customHeight="false" outlineLevel="0" collapsed="false">
      <c r="A4039" s="0" t="n">
        <v>4038</v>
      </c>
      <c r="B4039" s="14" t="n">
        <v>105374.537285516</v>
      </c>
      <c r="C4039" s="15" t="n">
        <v>0.109430048202524</v>
      </c>
      <c r="D4039" s="14" t="n">
        <f aca="false">Summary!$B$5-B4039</f>
        <v>-5374.5372855156</v>
      </c>
      <c r="E4039" s="15" t="n">
        <f aca="false">B4039/Summary!$B$5-1</f>
        <v>0.053745372855156</v>
      </c>
    </row>
    <row r="4040" customFormat="false" ht="15" hidden="false" customHeight="false" outlineLevel="0" collapsed="false">
      <c r="A4040" s="0" t="n">
        <v>4039</v>
      </c>
      <c r="B4040" s="14" t="n">
        <v>88176.4216837606</v>
      </c>
      <c r="C4040" s="15" t="n">
        <v>0.202901288586756</v>
      </c>
      <c r="D4040" s="14" t="n">
        <f aca="false">Summary!$B$5-B4040</f>
        <v>11823.5783162394</v>
      </c>
      <c r="E4040" s="15" t="n">
        <f aca="false">B4040/Summary!$B$5-1</f>
        <v>-0.118235783162394</v>
      </c>
    </row>
    <row r="4041" customFormat="false" ht="15" hidden="false" customHeight="false" outlineLevel="0" collapsed="false">
      <c r="A4041" s="0" t="n">
        <v>4040</v>
      </c>
      <c r="B4041" s="14" t="n">
        <v>94755.9655567648</v>
      </c>
      <c r="C4041" s="15" t="n">
        <v>0.111220539651977</v>
      </c>
      <c r="D4041" s="14" t="n">
        <f aca="false">Summary!$B$5-B4041</f>
        <v>5244.0344432352</v>
      </c>
      <c r="E4041" s="15" t="n">
        <f aca="false">B4041/Summary!$B$5-1</f>
        <v>-0.052440344432352</v>
      </c>
    </row>
    <row r="4042" customFormat="false" ht="15" hidden="false" customHeight="false" outlineLevel="0" collapsed="false">
      <c r="A4042" s="0" t="n">
        <v>4041</v>
      </c>
      <c r="B4042" s="14" t="n">
        <v>85070.8153541226</v>
      </c>
      <c r="C4042" s="15" t="n">
        <v>0.167130765566569</v>
      </c>
      <c r="D4042" s="14" t="n">
        <f aca="false">Summary!$B$5-B4042</f>
        <v>14929.1846458774</v>
      </c>
      <c r="E4042" s="15" t="n">
        <f aca="false">B4042/Summary!$B$5-1</f>
        <v>-0.149291846458774</v>
      </c>
    </row>
    <row r="4043" customFormat="false" ht="15" hidden="false" customHeight="false" outlineLevel="0" collapsed="false">
      <c r="A4043" s="0" t="n">
        <v>4042</v>
      </c>
      <c r="B4043" s="14" t="n">
        <v>92573.6269276932</v>
      </c>
      <c r="C4043" s="15" t="n">
        <v>0.152546499674952</v>
      </c>
      <c r="D4043" s="14" t="n">
        <f aca="false">Summary!$B$5-B4043</f>
        <v>7426.37307230677</v>
      </c>
      <c r="E4043" s="15" t="n">
        <f aca="false">B4043/Summary!$B$5-1</f>
        <v>-0.0742637307230677</v>
      </c>
    </row>
    <row r="4044" customFormat="false" ht="15" hidden="false" customHeight="false" outlineLevel="0" collapsed="false">
      <c r="A4044" s="0" t="n">
        <v>4043</v>
      </c>
      <c r="B4044" s="14" t="n">
        <v>101667.3708411</v>
      </c>
      <c r="C4044" s="15" t="n">
        <v>0.131886275652922</v>
      </c>
      <c r="D4044" s="14" t="n">
        <f aca="false">Summary!$B$5-B4044</f>
        <v>-1667.37084109971</v>
      </c>
      <c r="E4044" s="15" t="n">
        <f aca="false">B4044/Summary!$B$5-1</f>
        <v>0.0166737084109971</v>
      </c>
    </row>
    <row r="4045" customFormat="false" ht="15" hidden="false" customHeight="false" outlineLevel="0" collapsed="false">
      <c r="A4045" s="0" t="n">
        <v>4044</v>
      </c>
      <c r="B4045" s="14" t="n">
        <v>95625.1167867752</v>
      </c>
      <c r="C4045" s="15" t="n">
        <v>0.173530094767547</v>
      </c>
      <c r="D4045" s="14" t="n">
        <f aca="false">Summary!$B$5-B4045</f>
        <v>4374.88321322482</v>
      </c>
      <c r="E4045" s="15" t="n">
        <f aca="false">B4045/Summary!$B$5-1</f>
        <v>-0.0437488321322482</v>
      </c>
    </row>
    <row r="4046" customFormat="false" ht="15" hidden="false" customHeight="false" outlineLevel="0" collapsed="false">
      <c r="A4046" s="0" t="n">
        <v>4045</v>
      </c>
      <c r="B4046" s="14" t="n">
        <v>116419.672731561</v>
      </c>
      <c r="C4046" s="15" t="n">
        <v>0.094765830410235</v>
      </c>
      <c r="D4046" s="14" t="n">
        <f aca="false">Summary!$B$5-B4046</f>
        <v>-16419.6727315611</v>
      </c>
      <c r="E4046" s="15" t="n">
        <f aca="false">B4046/Summary!$B$5-1</f>
        <v>0.164196727315611</v>
      </c>
    </row>
    <row r="4047" customFormat="false" ht="15" hidden="false" customHeight="false" outlineLevel="0" collapsed="false">
      <c r="A4047" s="0" t="n">
        <v>4046</v>
      </c>
      <c r="B4047" s="14" t="n">
        <v>119746.560243858</v>
      </c>
      <c r="C4047" s="15" t="n">
        <v>0.0794277321713451</v>
      </c>
      <c r="D4047" s="14" t="n">
        <f aca="false">Summary!$B$5-B4047</f>
        <v>-19746.5602438582</v>
      </c>
      <c r="E4047" s="15" t="n">
        <f aca="false">B4047/Summary!$B$5-1</f>
        <v>0.197465602438582</v>
      </c>
    </row>
    <row r="4048" customFormat="false" ht="15" hidden="false" customHeight="false" outlineLevel="0" collapsed="false">
      <c r="A4048" s="0" t="n">
        <v>4047</v>
      </c>
      <c r="B4048" s="14" t="n">
        <v>109344.748691478</v>
      </c>
      <c r="C4048" s="15" t="n">
        <v>0.0746461732948269</v>
      </c>
      <c r="D4048" s="14" t="n">
        <f aca="false">Summary!$B$5-B4048</f>
        <v>-9344.748691478</v>
      </c>
      <c r="E4048" s="15" t="n">
        <f aca="false">B4048/Summary!$B$5-1</f>
        <v>0.0934474869147801</v>
      </c>
    </row>
    <row r="4049" customFormat="false" ht="15" hidden="false" customHeight="false" outlineLevel="0" collapsed="false">
      <c r="A4049" s="0" t="n">
        <v>4048</v>
      </c>
      <c r="B4049" s="14" t="n">
        <v>117245.491842685</v>
      </c>
      <c r="C4049" s="15" t="n">
        <v>0.0575538172097286</v>
      </c>
      <c r="D4049" s="14" t="n">
        <f aca="false">Summary!$B$5-B4049</f>
        <v>-17245.4918426854</v>
      </c>
      <c r="E4049" s="15" t="n">
        <f aca="false">B4049/Summary!$B$5-1</f>
        <v>0.172454918426854</v>
      </c>
    </row>
    <row r="4050" customFormat="false" ht="15" hidden="false" customHeight="false" outlineLevel="0" collapsed="false">
      <c r="A4050" s="0" t="n">
        <v>4049</v>
      </c>
      <c r="B4050" s="14" t="n">
        <v>106565.813341834</v>
      </c>
      <c r="C4050" s="15" t="n">
        <v>0.0857226591836688</v>
      </c>
      <c r="D4050" s="14" t="n">
        <f aca="false">Summary!$B$5-B4050</f>
        <v>-6565.81334183359</v>
      </c>
      <c r="E4050" s="15" t="n">
        <f aca="false">B4050/Summary!$B$5-1</f>
        <v>0.0656581334183359</v>
      </c>
    </row>
    <row r="4051" customFormat="false" ht="15" hidden="false" customHeight="false" outlineLevel="0" collapsed="false">
      <c r="A4051" s="0" t="n">
        <v>4050</v>
      </c>
      <c r="B4051" s="14" t="n">
        <v>131583.225278079</v>
      </c>
      <c r="C4051" s="15" t="n">
        <v>0.0677429748072368</v>
      </c>
      <c r="D4051" s="14" t="n">
        <f aca="false">Summary!$B$5-B4051</f>
        <v>-31583.2252780789</v>
      </c>
      <c r="E4051" s="15" t="n">
        <f aca="false">B4051/Summary!$B$5-1</f>
        <v>0.315832252780789</v>
      </c>
    </row>
    <row r="4052" customFormat="false" ht="15" hidden="false" customHeight="false" outlineLevel="0" collapsed="false">
      <c r="A4052" s="0" t="n">
        <v>4051</v>
      </c>
      <c r="B4052" s="14" t="n">
        <v>101236.391672056</v>
      </c>
      <c r="C4052" s="15" t="n">
        <v>0.112873060222933</v>
      </c>
      <c r="D4052" s="14" t="n">
        <f aca="false">Summary!$B$5-B4052</f>
        <v>-1236.3916720556</v>
      </c>
      <c r="E4052" s="15" t="n">
        <f aca="false">B4052/Summary!$B$5-1</f>
        <v>0.012363916720556</v>
      </c>
    </row>
    <row r="4053" customFormat="false" ht="15" hidden="false" customHeight="false" outlineLevel="0" collapsed="false">
      <c r="A4053" s="0" t="n">
        <v>4052</v>
      </c>
      <c r="B4053" s="14" t="n">
        <v>82243.3312559499</v>
      </c>
      <c r="C4053" s="15" t="n">
        <v>0.196460256331435</v>
      </c>
      <c r="D4053" s="14" t="n">
        <f aca="false">Summary!$B$5-B4053</f>
        <v>17756.6687440501</v>
      </c>
      <c r="E4053" s="15" t="n">
        <f aca="false">B4053/Summary!$B$5-1</f>
        <v>-0.177566687440501</v>
      </c>
    </row>
    <row r="4054" customFormat="false" ht="15" hidden="false" customHeight="false" outlineLevel="0" collapsed="false">
      <c r="A4054" s="0" t="n">
        <v>4053</v>
      </c>
      <c r="B4054" s="14" t="n">
        <v>99276.9722106929</v>
      </c>
      <c r="C4054" s="15" t="n">
        <v>0.130637025586831</v>
      </c>
      <c r="D4054" s="14" t="n">
        <f aca="false">Summary!$B$5-B4054</f>
        <v>723.02778930706</v>
      </c>
      <c r="E4054" s="15" t="n">
        <f aca="false">B4054/Summary!$B$5-1</f>
        <v>-0.00723027789307063</v>
      </c>
    </row>
    <row r="4055" customFormat="false" ht="15" hidden="false" customHeight="false" outlineLevel="0" collapsed="false">
      <c r="A4055" s="0" t="n">
        <v>4054</v>
      </c>
      <c r="B4055" s="14" t="n">
        <v>106970.013450361</v>
      </c>
      <c r="C4055" s="15" t="n">
        <v>0.117034302239509</v>
      </c>
      <c r="D4055" s="14" t="n">
        <f aca="false">Summary!$B$5-B4055</f>
        <v>-6970.0134503609</v>
      </c>
      <c r="E4055" s="15" t="n">
        <f aca="false">B4055/Summary!$B$5-1</f>
        <v>0.069700134503609</v>
      </c>
    </row>
    <row r="4056" customFormat="false" ht="15" hidden="false" customHeight="false" outlineLevel="0" collapsed="false">
      <c r="A4056" s="0" t="n">
        <v>4055</v>
      </c>
      <c r="B4056" s="14" t="n">
        <v>97631.7261329195</v>
      </c>
      <c r="C4056" s="15" t="n">
        <v>0.0813864917177704</v>
      </c>
      <c r="D4056" s="14" t="n">
        <f aca="false">Summary!$B$5-B4056</f>
        <v>2368.27386708048</v>
      </c>
      <c r="E4056" s="15" t="n">
        <f aca="false">B4056/Summary!$B$5-1</f>
        <v>-0.0236827386708048</v>
      </c>
    </row>
    <row r="4057" customFormat="false" ht="15" hidden="false" customHeight="false" outlineLevel="0" collapsed="false">
      <c r="A4057" s="0" t="n">
        <v>4056</v>
      </c>
      <c r="B4057" s="14" t="n">
        <v>127372.866825447</v>
      </c>
      <c r="C4057" s="15" t="n">
        <v>0.0839069003218095</v>
      </c>
      <c r="D4057" s="14" t="n">
        <f aca="false">Summary!$B$5-B4057</f>
        <v>-27372.8668254467</v>
      </c>
      <c r="E4057" s="15" t="n">
        <f aca="false">B4057/Summary!$B$5-1</f>
        <v>0.273728668254467</v>
      </c>
    </row>
    <row r="4058" customFormat="false" ht="15" hidden="false" customHeight="false" outlineLevel="0" collapsed="false">
      <c r="A4058" s="0" t="n">
        <v>4057</v>
      </c>
      <c r="B4058" s="14" t="n">
        <v>120883.997392505</v>
      </c>
      <c r="C4058" s="15" t="n">
        <v>0.110982718659976</v>
      </c>
      <c r="D4058" s="14" t="n">
        <f aca="false">Summary!$B$5-B4058</f>
        <v>-20883.9973925052</v>
      </c>
      <c r="E4058" s="15" t="n">
        <f aca="false">B4058/Summary!$B$5-1</f>
        <v>0.208839973925052</v>
      </c>
    </row>
    <row r="4059" customFormat="false" ht="15" hidden="false" customHeight="false" outlineLevel="0" collapsed="false">
      <c r="A4059" s="0" t="n">
        <v>4058</v>
      </c>
      <c r="B4059" s="14" t="n">
        <v>82066.8885588428</v>
      </c>
      <c r="C4059" s="15" t="n">
        <v>0.199637313179641</v>
      </c>
      <c r="D4059" s="14" t="n">
        <f aca="false">Summary!$B$5-B4059</f>
        <v>17933.1114411572</v>
      </c>
      <c r="E4059" s="15" t="n">
        <f aca="false">B4059/Summary!$B$5-1</f>
        <v>-0.179331114411572</v>
      </c>
    </row>
    <row r="4060" customFormat="false" ht="15" hidden="false" customHeight="false" outlineLevel="0" collapsed="false">
      <c r="A4060" s="0" t="n">
        <v>4059</v>
      </c>
      <c r="B4060" s="14" t="n">
        <v>85662.9507562237</v>
      </c>
      <c r="C4060" s="15" t="n">
        <v>0.162509142668017</v>
      </c>
      <c r="D4060" s="14" t="n">
        <f aca="false">Summary!$B$5-B4060</f>
        <v>14337.0492437763</v>
      </c>
      <c r="E4060" s="15" t="n">
        <f aca="false">B4060/Summary!$B$5-1</f>
        <v>-0.143370492437763</v>
      </c>
    </row>
    <row r="4061" customFormat="false" ht="15" hidden="false" customHeight="false" outlineLevel="0" collapsed="false">
      <c r="A4061" s="0" t="n">
        <v>4060</v>
      </c>
      <c r="B4061" s="14" t="n">
        <v>123602.93053526</v>
      </c>
      <c r="C4061" s="15" t="n">
        <v>0.0733371026734737</v>
      </c>
      <c r="D4061" s="14" t="n">
        <f aca="false">Summary!$B$5-B4061</f>
        <v>-23602.9305352603</v>
      </c>
      <c r="E4061" s="15" t="n">
        <f aca="false">B4061/Summary!$B$5-1</f>
        <v>0.236029305352603</v>
      </c>
    </row>
    <row r="4062" customFormat="false" ht="15" hidden="false" customHeight="false" outlineLevel="0" collapsed="false">
      <c r="A4062" s="0" t="n">
        <v>4061</v>
      </c>
      <c r="B4062" s="14" t="n">
        <v>93280.600441895</v>
      </c>
      <c r="C4062" s="15" t="n">
        <v>0.123209393850754</v>
      </c>
      <c r="D4062" s="14" t="n">
        <f aca="false">Summary!$B$5-B4062</f>
        <v>6719.39955810503</v>
      </c>
      <c r="E4062" s="15" t="n">
        <f aca="false">B4062/Summary!$B$5-1</f>
        <v>-0.0671939955810502</v>
      </c>
    </row>
    <row r="4063" customFormat="false" ht="15" hidden="false" customHeight="false" outlineLevel="0" collapsed="false">
      <c r="A4063" s="0" t="n">
        <v>4062</v>
      </c>
      <c r="B4063" s="14" t="n">
        <v>110280.521423494</v>
      </c>
      <c r="C4063" s="15" t="n">
        <v>0.0670670001654383</v>
      </c>
      <c r="D4063" s="14" t="n">
        <f aca="false">Summary!$B$5-B4063</f>
        <v>-10280.521423494</v>
      </c>
      <c r="E4063" s="15" t="n">
        <f aca="false">B4063/Summary!$B$5-1</f>
        <v>0.10280521423494</v>
      </c>
    </row>
    <row r="4064" customFormat="false" ht="15" hidden="false" customHeight="false" outlineLevel="0" collapsed="false">
      <c r="A4064" s="0" t="n">
        <v>4063</v>
      </c>
      <c r="B4064" s="14" t="n">
        <v>128306.351957109</v>
      </c>
      <c r="C4064" s="15" t="n">
        <v>0.0628459147095269</v>
      </c>
      <c r="D4064" s="14" t="n">
        <f aca="false">Summary!$B$5-B4064</f>
        <v>-28306.3519571086</v>
      </c>
      <c r="E4064" s="15" t="n">
        <f aca="false">B4064/Summary!$B$5-1</f>
        <v>0.283063519571086</v>
      </c>
    </row>
    <row r="4065" customFormat="false" ht="15" hidden="false" customHeight="false" outlineLevel="0" collapsed="false">
      <c r="A4065" s="0" t="n">
        <v>4064</v>
      </c>
      <c r="B4065" s="14" t="n">
        <v>112339.72452218</v>
      </c>
      <c r="C4065" s="15" t="n">
        <v>0.0823048622676192</v>
      </c>
      <c r="D4065" s="14" t="n">
        <f aca="false">Summary!$B$5-B4065</f>
        <v>-12339.7245221801</v>
      </c>
      <c r="E4065" s="15" t="n">
        <f aca="false">B4065/Summary!$B$5-1</f>
        <v>0.123397245221801</v>
      </c>
    </row>
    <row r="4066" customFormat="false" ht="15" hidden="false" customHeight="false" outlineLevel="0" collapsed="false">
      <c r="A4066" s="0" t="n">
        <v>4065</v>
      </c>
      <c r="B4066" s="14" t="n">
        <v>96876.0414145308</v>
      </c>
      <c r="C4066" s="15" t="n">
        <v>0.128792359262854</v>
      </c>
      <c r="D4066" s="14" t="n">
        <f aca="false">Summary!$B$5-B4066</f>
        <v>3123.95858546923</v>
      </c>
      <c r="E4066" s="15" t="n">
        <f aca="false">B4066/Summary!$B$5-1</f>
        <v>-0.0312395858546922</v>
      </c>
    </row>
    <row r="4067" customFormat="false" ht="15" hidden="false" customHeight="false" outlineLevel="0" collapsed="false">
      <c r="A4067" s="0" t="n">
        <v>4066</v>
      </c>
      <c r="B4067" s="14" t="n">
        <v>86194.1966870722</v>
      </c>
      <c r="C4067" s="15" t="n">
        <v>0.180711192923106</v>
      </c>
      <c r="D4067" s="14" t="n">
        <f aca="false">Summary!$B$5-B4067</f>
        <v>13805.8033129278</v>
      </c>
      <c r="E4067" s="15" t="n">
        <f aca="false">B4067/Summary!$B$5-1</f>
        <v>-0.138058033129278</v>
      </c>
    </row>
    <row r="4068" customFormat="false" ht="15" hidden="false" customHeight="false" outlineLevel="0" collapsed="false">
      <c r="A4068" s="0" t="n">
        <v>4067</v>
      </c>
      <c r="B4068" s="14" t="n">
        <v>103147.510875502</v>
      </c>
      <c r="C4068" s="15" t="n">
        <v>0.0705048032206417</v>
      </c>
      <c r="D4068" s="14" t="n">
        <f aca="false">Summary!$B$5-B4068</f>
        <v>-3147.5108755016</v>
      </c>
      <c r="E4068" s="15" t="n">
        <f aca="false">B4068/Summary!$B$5-1</f>
        <v>0.031475108755016</v>
      </c>
    </row>
    <row r="4069" customFormat="false" ht="15" hidden="false" customHeight="false" outlineLevel="0" collapsed="false">
      <c r="A4069" s="0" t="n">
        <v>4068</v>
      </c>
      <c r="B4069" s="14" t="n">
        <v>85206.9370192895</v>
      </c>
      <c r="C4069" s="15" t="n">
        <v>0.168480010312597</v>
      </c>
      <c r="D4069" s="14" t="n">
        <f aca="false">Summary!$B$5-B4069</f>
        <v>14793.0629807105</v>
      </c>
      <c r="E4069" s="15" t="n">
        <f aca="false">B4069/Summary!$B$5-1</f>
        <v>-0.147930629807105</v>
      </c>
    </row>
    <row r="4070" customFormat="false" ht="15" hidden="false" customHeight="false" outlineLevel="0" collapsed="false">
      <c r="A4070" s="0" t="n">
        <v>4069</v>
      </c>
      <c r="B4070" s="14" t="n">
        <v>128102.529381011</v>
      </c>
      <c r="C4070" s="15" t="n">
        <v>0.0816575494679879</v>
      </c>
      <c r="D4070" s="14" t="n">
        <f aca="false">Summary!$B$5-B4070</f>
        <v>-28102.529381011</v>
      </c>
      <c r="E4070" s="15" t="n">
        <f aca="false">B4070/Summary!$B$5-1</f>
        <v>0.28102529381011</v>
      </c>
    </row>
    <row r="4071" customFormat="false" ht="15" hidden="false" customHeight="false" outlineLevel="0" collapsed="false">
      <c r="A4071" s="0" t="n">
        <v>4070</v>
      </c>
      <c r="B4071" s="14" t="n">
        <v>110304.50643445</v>
      </c>
      <c r="C4071" s="15" t="n">
        <v>0.0686847664096199</v>
      </c>
      <c r="D4071" s="14" t="n">
        <f aca="false">Summary!$B$5-B4071</f>
        <v>-10304.5064344503</v>
      </c>
      <c r="E4071" s="15" t="n">
        <f aca="false">B4071/Summary!$B$5-1</f>
        <v>0.103045064344503</v>
      </c>
    </row>
    <row r="4072" customFormat="false" ht="15" hidden="false" customHeight="false" outlineLevel="0" collapsed="false">
      <c r="A4072" s="0" t="n">
        <v>4071</v>
      </c>
      <c r="B4072" s="14" t="n">
        <v>110917.190340391</v>
      </c>
      <c r="C4072" s="15" t="n">
        <v>0.0980418081202116</v>
      </c>
      <c r="D4072" s="14" t="n">
        <f aca="false">Summary!$B$5-B4072</f>
        <v>-10917.1903403905</v>
      </c>
      <c r="E4072" s="15" t="n">
        <f aca="false">B4072/Summary!$B$5-1</f>
        <v>0.109171903403905</v>
      </c>
    </row>
    <row r="4073" customFormat="false" ht="15" hidden="false" customHeight="false" outlineLevel="0" collapsed="false">
      <c r="A4073" s="0" t="n">
        <v>4072</v>
      </c>
      <c r="B4073" s="14" t="n">
        <v>115607.245492332</v>
      </c>
      <c r="C4073" s="15" t="n">
        <v>0.101767183523455</v>
      </c>
      <c r="D4073" s="14" t="n">
        <f aca="false">Summary!$B$5-B4073</f>
        <v>-15607.2454923318</v>
      </c>
      <c r="E4073" s="15" t="n">
        <f aca="false">B4073/Summary!$B$5-1</f>
        <v>0.156072454923318</v>
      </c>
    </row>
    <row r="4074" customFormat="false" ht="15" hidden="false" customHeight="false" outlineLevel="0" collapsed="false">
      <c r="A4074" s="0" t="n">
        <v>4073</v>
      </c>
      <c r="B4074" s="14" t="n">
        <v>145050.578087983</v>
      </c>
      <c r="C4074" s="15" t="n">
        <v>0.0492385926664342</v>
      </c>
      <c r="D4074" s="14" t="n">
        <f aca="false">Summary!$B$5-B4074</f>
        <v>-45050.5780879831</v>
      </c>
      <c r="E4074" s="15" t="n">
        <f aca="false">B4074/Summary!$B$5-1</f>
        <v>0.450505780879831</v>
      </c>
    </row>
    <row r="4075" customFormat="false" ht="15" hidden="false" customHeight="false" outlineLevel="0" collapsed="false">
      <c r="A4075" s="0" t="n">
        <v>4074</v>
      </c>
      <c r="B4075" s="14" t="n">
        <v>98633.6714805677</v>
      </c>
      <c r="C4075" s="15" t="n">
        <v>0.0804441814565681</v>
      </c>
      <c r="D4075" s="14" t="n">
        <f aca="false">Summary!$B$5-B4075</f>
        <v>1366.32851943228</v>
      </c>
      <c r="E4075" s="15" t="n">
        <f aca="false">B4075/Summary!$B$5-1</f>
        <v>-0.0136632851943228</v>
      </c>
    </row>
    <row r="4076" customFormat="false" ht="15" hidden="false" customHeight="false" outlineLevel="0" collapsed="false">
      <c r="A4076" s="0" t="n">
        <v>4075</v>
      </c>
      <c r="B4076" s="14" t="n">
        <v>96138.0525624176</v>
      </c>
      <c r="C4076" s="15" t="n">
        <v>0.110713033328734</v>
      </c>
      <c r="D4076" s="14" t="n">
        <f aca="false">Summary!$B$5-B4076</f>
        <v>3861.94743758244</v>
      </c>
      <c r="E4076" s="15" t="n">
        <f aca="false">B4076/Summary!$B$5-1</f>
        <v>-0.0386194743758244</v>
      </c>
    </row>
    <row r="4077" customFormat="false" ht="15" hidden="false" customHeight="false" outlineLevel="0" collapsed="false">
      <c r="A4077" s="0" t="n">
        <v>4076</v>
      </c>
      <c r="B4077" s="14" t="n">
        <v>98265.7053001859</v>
      </c>
      <c r="C4077" s="15" t="n">
        <v>0.108949071111312</v>
      </c>
      <c r="D4077" s="14" t="n">
        <f aca="false">Summary!$B$5-B4077</f>
        <v>1734.2946998141</v>
      </c>
      <c r="E4077" s="15" t="n">
        <f aca="false">B4077/Summary!$B$5-1</f>
        <v>-0.017342946998141</v>
      </c>
    </row>
    <row r="4078" customFormat="false" ht="15" hidden="false" customHeight="false" outlineLevel="0" collapsed="false">
      <c r="A4078" s="0" t="n">
        <v>4077</v>
      </c>
      <c r="B4078" s="14" t="n">
        <v>94898.7840365748</v>
      </c>
      <c r="C4078" s="15" t="n">
        <v>0.0718531475808156</v>
      </c>
      <c r="D4078" s="14" t="n">
        <f aca="false">Summary!$B$5-B4078</f>
        <v>5101.21596342523</v>
      </c>
      <c r="E4078" s="15" t="n">
        <f aca="false">B4078/Summary!$B$5-1</f>
        <v>-0.0510121596342523</v>
      </c>
    </row>
    <row r="4079" customFormat="false" ht="15" hidden="false" customHeight="false" outlineLevel="0" collapsed="false">
      <c r="A4079" s="0" t="n">
        <v>4078</v>
      </c>
      <c r="B4079" s="14" t="n">
        <v>112735.25309698</v>
      </c>
      <c r="C4079" s="15" t="n">
        <v>0.151850388552115</v>
      </c>
      <c r="D4079" s="14" t="n">
        <f aca="false">Summary!$B$5-B4079</f>
        <v>-12735.2530969803</v>
      </c>
      <c r="E4079" s="15" t="n">
        <f aca="false">B4079/Summary!$B$5-1</f>
        <v>0.127352530969803</v>
      </c>
    </row>
    <row r="4080" customFormat="false" ht="15" hidden="false" customHeight="false" outlineLevel="0" collapsed="false">
      <c r="A4080" s="0" t="n">
        <v>4079</v>
      </c>
      <c r="B4080" s="14" t="n">
        <v>129235.628315865</v>
      </c>
      <c r="C4080" s="15" t="n">
        <v>0.0632791457934774</v>
      </c>
      <c r="D4080" s="14" t="n">
        <f aca="false">Summary!$B$5-B4080</f>
        <v>-29235.6283158647</v>
      </c>
      <c r="E4080" s="15" t="n">
        <f aca="false">B4080/Summary!$B$5-1</f>
        <v>0.292356283158647</v>
      </c>
    </row>
    <row r="4081" customFormat="false" ht="15" hidden="false" customHeight="false" outlineLevel="0" collapsed="false">
      <c r="A4081" s="0" t="n">
        <v>4080</v>
      </c>
      <c r="B4081" s="14" t="n">
        <v>141944.772640385</v>
      </c>
      <c r="C4081" s="15" t="n">
        <v>0.0338724709174265</v>
      </c>
      <c r="D4081" s="14" t="n">
        <f aca="false">Summary!$B$5-B4081</f>
        <v>-41944.7726403853</v>
      </c>
      <c r="E4081" s="15" t="n">
        <f aca="false">B4081/Summary!$B$5-1</f>
        <v>0.419447726403853</v>
      </c>
    </row>
    <row r="4082" customFormat="false" ht="15" hidden="false" customHeight="false" outlineLevel="0" collapsed="false">
      <c r="A4082" s="0" t="n">
        <v>4081</v>
      </c>
      <c r="B4082" s="14" t="n">
        <v>135953.650622679</v>
      </c>
      <c r="C4082" s="15" t="n">
        <v>0.0402534900214375</v>
      </c>
      <c r="D4082" s="14" t="n">
        <f aca="false">Summary!$B$5-B4082</f>
        <v>-35953.650622679</v>
      </c>
      <c r="E4082" s="15" t="n">
        <f aca="false">B4082/Summary!$B$5-1</f>
        <v>0.35953650622679</v>
      </c>
    </row>
    <row r="4083" customFormat="false" ht="15" hidden="false" customHeight="false" outlineLevel="0" collapsed="false">
      <c r="A4083" s="0" t="n">
        <v>4082</v>
      </c>
      <c r="B4083" s="14" t="n">
        <v>97793.9423094305</v>
      </c>
      <c r="C4083" s="15" t="n">
        <v>0.162080042657739</v>
      </c>
      <c r="D4083" s="14" t="n">
        <f aca="false">Summary!$B$5-B4083</f>
        <v>2206.05769056949</v>
      </c>
      <c r="E4083" s="15" t="n">
        <f aca="false">B4083/Summary!$B$5-1</f>
        <v>-0.022060576905695</v>
      </c>
    </row>
    <row r="4084" customFormat="false" ht="15" hidden="false" customHeight="false" outlineLevel="0" collapsed="false">
      <c r="A4084" s="0" t="n">
        <v>4083</v>
      </c>
      <c r="B4084" s="14" t="n">
        <v>129970.571780604</v>
      </c>
      <c r="C4084" s="15" t="n">
        <v>0.0827964373120368</v>
      </c>
      <c r="D4084" s="14" t="n">
        <f aca="false">Summary!$B$5-B4084</f>
        <v>-29970.5717806041</v>
      </c>
      <c r="E4084" s="15" t="n">
        <f aca="false">B4084/Summary!$B$5-1</f>
        <v>0.299705717806041</v>
      </c>
    </row>
    <row r="4085" customFormat="false" ht="15" hidden="false" customHeight="false" outlineLevel="0" collapsed="false">
      <c r="A4085" s="0" t="n">
        <v>4084</v>
      </c>
      <c r="B4085" s="14" t="n">
        <v>111721.221375564</v>
      </c>
      <c r="C4085" s="15" t="n">
        <v>0.118447108820914</v>
      </c>
      <c r="D4085" s="14" t="n">
        <f aca="false">Summary!$B$5-B4085</f>
        <v>-11721.2213755636</v>
      </c>
      <c r="E4085" s="15" t="n">
        <f aca="false">B4085/Summary!$B$5-1</f>
        <v>0.117212213755636</v>
      </c>
    </row>
    <row r="4086" customFormat="false" ht="15" hidden="false" customHeight="false" outlineLevel="0" collapsed="false">
      <c r="A4086" s="0" t="n">
        <v>4085</v>
      </c>
      <c r="B4086" s="14" t="n">
        <v>115357.548758932</v>
      </c>
      <c r="C4086" s="15" t="n">
        <v>0.0989216029118331</v>
      </c>
      <c r="D4086" s="14" t="n">
        <f aca="false">Summary!$B$5-B4086</f>
        <v>-15357.5487589318</v>
      </c>
      <c r="E4086" s="15" t="n">
        <f aca="false">B4086/Summary!$B$5-1</f>
        <v>0.153575487589318</v>
      </c>
    </row>
    <row r="4087" customFormat="false" ht="15" hidden="false" customHeight="false" outlineLevel="0" collapsed="false">
      <c r="A4087" s="0" t="n">
        <v>4086</v>
      </c>
      <c r="B4087" s="14" t="n">
        <v>84583.0730493824</v>
      </c>
      <c r="C4087" s="15" t="n">
        <v>0.179472695221984</v>
      </c>
      <c r="D4087" s="14" t="n">
        <f aca="false">Summary!$B$5-B4087</f>
        <v>15416.9269506176</v>
      </c>
      <c r="E4087" s="15" t="n">
        <f aca="false">B4087/Summary!$B$5-1</f>
        <v>-0.154169269506176</v>
      </c>
    </row>
    <row r="4088" customFormat="false" ht="15" hidden="false" customHeight="false" outlineLevel="0" collapsed="false">
      <c r="A4088" s="0" t="n">
        <v>4087</v>
      </c>
      <c r="B4088" s="14" t="n">
        <v>95693.4169912581</v>
      </c>
      <c r="C4088" s="15" t="n">
        <v>0.158489299905095</v>
      </c>
      <c r="D4088" s="14" t="n">
        <f aca="false">Summary!$B$5-B4088</f>
        <v>4306.5830087419</v>
      </c>
      <c r="E4088" s="15" t="n">
        <f aca="false">B4088/Summary!$B$5-1</f>
        <v>-0.043065830087419</v>
      </c>
    </row>
    <row r="4089" customFormat="false" ht="15" hidden="false" customHeight="false" outlineLevel="0" collapsed="false">
      <c r="A4089" s="0" t="n">
        <v>4088</v>
      </c>
      <c r="B4089" s="14" t="n">
        <v>100760.250716667</v>
      </c>
      <c r="C4089" s="15" t="n">
        <v>0.077834563431043</v>
      </c>
      <c r="D4089" s="14" t="n">
        <f aca="false">Summary!$B$5-B4089</f>
        <v>-760.2507166672</v>
      </c>
      <c r="E4089" s="15" t="n">
        <f aca="false">B4089/Summary!$B$5-1</f>
        <v>0.0076025071666721</v>
      </c>
    </row>
    <row r="4090" customFormat="false" ht="15" hidden="false" customHeight="false" outlineLevel="0" collapsed="false">
      <c r="A4090" s="0" t="n">
        <v>4089</v>
      </c>
      <c r="B4090" s="14" t="n">
        <v>105013.062233819</v>
      </c>
      <c r="C4090" s="15" t="n">
        <v>0.0606672196334248</v>
      </c>
      <c r="D4090" s="14" t="n">
        <f aca="false">Summary!$B$5-B4090</f>
        <v>-5013.062233819</v>
      </c>
      <c r="E4090" s="15" t="n">
        <f aca="false">B4090/Summary!$B$5-1</f>
        <v>0.0501306223381901</v>
      </c>
    </row>
    <row r="4091" customFormat="false" ht="15" hidden="false" customHeight="false" outlineLevel="0" collapsed="false">
      <c r="A4091" s="0" t="n">
        <v>4090</v>
      </c>
      <c r="B4091" s="14" t="n">
        <v>121128.464450518</v>
      </c>
      <c r="C4091" s="15" t="n">
        <v>0.0753312127196046</v>
      </c>
      <c r="D4091" s="14" t="n">
        <f aca="false">Summary!$B$5-B4091</f>
        <v>-21128.4644505177</v>
      </c>
      <c r="E4091" s="15" t="n">
        <f aca="false">B4091/Summary!$B$5-1</f>
        <v>0.211284644505177</v>
      </c>
    </row>
    <row r="4092" customFormat="false" ht="15" hidden="false" customHeight="false" outlineLevel="0" collapsed="false">
      <c r="A4092" s="0" t="n">
        <v>4091</v>
      </c>
      <c r="B4092" s="14" t="n">
        <v>119396.572277821</v>
      </c>
      <c r="C4092" s="15" t="n">
        <v>0.0729825791452146</v>
      </c>
      <c r="D4092" s="14" t="n">
        <f aca="false">Summary!$B$5-B4092</f>
        <v>-19396.5722778214</v>
      </c>
      <c r="E4092" s="15" t="n">
        <f aca="false">B4092/Summary!$B$5-1</f>
        <v>0.193965722778214</v>
      </c>
    </row>
    <row r="4093" customFormat="false" ht="15" hidden="false" customHeight="false" outlineLevel="0" collapsed="false">
      <c r="A4093" s="0" t="n">
        <v>4092</v>
      </c>
      <c r="B4093" s="14" t="n">
        <v>99564.1955330024</v>
      </c>
      <c r="C4093" s="15" t="n">
        <v>0.139861495706553</v>
      </c>
      <c r="D4093" s="14" t="n">
        <f aca="false">Summary!$B$5-B4093</f>
        <v>435.804466997652</v>
      </c>
      <c r="E4093" s="15" t="n">
        <f aca="false">B4093/Summary!$B$5-1</f>
        <v>-0.00435804466997647</v>
      </c>
    </row>
    <row r="4094" customFormat="false" ht="15" hidden="false" customHeight="false" outlineLevel="0" collapsed="false">
      <c r="A4094" s="0" t="n">
        <v>4093</v>
      </c>
      <c r="B4094" s="14" t="n">
        <v>108592.06767112</v>
      </c>
      <c r="C4094" s="15" t="n">
        <v>0.0628729221498516</v>
      </c>
      <c r="D4094" s="14" t="n">
        <f aca="false">Summary!$B$5-B4094</f>
        <v>-8592.06767111991</v>
      </c>
      <c r="E4094" s="15" t="n">
        <f aca="false">B4094/Summary!$B$5-1</f>
        <v>0.0859206767111991</v>
      </c>
    </row>
    <row r="4095" customFormat="false" ht="15" hidden="false" customHeight="false" outlineLevel="0" collapsed="false">
      <c r="A4095" s="0" t="n">
        <v>4094</v>
      </c>
      <c r="B4095" s="14" t="n">
        <v>108073.908765621</v>
      </c>
      <c r="C4095" s="15" t="n">
        <v>0.11391926903134</v>
      </c>
      <c r="D4095" s="14" t="n">
        <f aca="false">Summary!$B$5-B4095</f>
        <v>-8073.90876562129</v>
      </c>
      <c r="E4095" s="15" t="n">
        <f aca="false">B4095/Summary!$B$5-1</f>
        <v>0.0807390876562129</v>
      </c>
    </row>
    <row r="4096" customFormat="false" ht="15" hidden="false" customHeight="false" outlineLevel="0" collapsed="false">
      <c r="A4096" s="0" t="n">
        <v>4095</v>
      </c>
      <c r="B4096" s="14" t="n">
        <v>125611.310190753</v>
      </c>
      <c r="C4096" s="15" t="n">
        <v>0.0805918002310719</v>
      </c>
      <c r="D4096" s="14" t="n">
        <f aca="false">Summary!$B$5-B4096</f>
        <v>-25611.3101907533</v>
      </c>
      <c r="E4096" s="15" t="n">
        <f aca="false">B4096/Summary!$B$5-1</f>
        <v>0.256113101907533</v>
      </c>
    </row>
    <row r="4097" customFormat="false" ht="15" hidden="false" customHeight="false" outlineLevel="0" collapsed="false">
      <c r="A4097" s="0" t="n">
        <v>4096</v>
      </c>
      <c r="B4097" s="14" t="n">
        <v>120875.950499661</v>
      </c>
      <c r="C4097" s="15" t="n">
        <v>0.0693494646728929</v>
      </c>
      <c r="D4097" s="14" t="n">
        <f aca="false">Summary!$B$5-B4097</f>
        <v>-20875.9504996609</v>
      </c>
      <c r="E4097" s="15" t="n">
        <f aca="false">B4097/Summary!$B$5-1</f>
        <v>0.208759504996609</v>
      </c>
    </row>
    <row r="4098" customFormat="false" ht="15" hidden="false" customHeight="false" outlineLevel="0" collapsed="false">
      <c r="A4098" s="0" t="n">
        <v>4097</v>
      </c>
      <c r="B4098" s="14" t="n">
        <v>93669.9657044845</v>
      </c>
      <c r="C4098" s="15" t="n">
        <v>0.123503737189739</v>
      </c>
      <c r="D4098" s="14" t="n">
        <f aca="false">Summary!$B$5-B4098</f>
        <v>6330.03429551554</v>
      </c>
      <c r="E4098" s="15" t="n">
        <f aca="false">B4098/Summary!$B$5-1</f>
        <v>-0.0633003429551554</v>
      </c>
    </row>
    <row r="4099" customFormat="false" ht="15" hidden="false" customHeight="false" outlineLevel="0" collapsed="false">
      <c r="A4099" s="0" t="n">
        <v>4098</v>
      </c>
      <c r="B4099" s="14" t="n">
        <v>94991.3833755264</v>
      </c>
      <c r="C4099" s="15" t="n">
        <v>0.0963182194089647</v>
      </c>
      <c r="D4099" s="14" t="n">
        <f aca="false">Summary!$B$5-B4099</f>
        <v>5008.61662447365</v>
      </c>
      <c r="E4099" s="15" t="n">
        <f aca="false">B4099/Summary!$B$5-1</f>
        <v>-0.0500861662447365</v>
      </c>
    </row>
    <row r="4100" customFormat="false" ht="15" hidden="false" customHeight="false" outlineLevel="0" collapsed="false">
      <c r="A4100" s="0" t="n">
        <v>4099</v>
      </c>
      <c r="B4100" s="14" t="n">
        <v>110348.064263151</v>
      </c>
      <c r="C4100" s="15" t="n">
        <v>0.0821123664901473</v>
      </c>
      <c r="D4100" s="14" t="n">
        <f aca="false">Summary!$B$5-B4100</f>
        <v>-10348.0642631512</v>
      </c>
      <c r="E4100" s="15" t="n">
        <f aca="false">B4100/Summary!$B$5-1</f>
        <v>0.103480642631512</v>
      </c>
    </row>
    <row r="4101" customFormat="false" ht="15" hidden="false" customHeight="false" outlineLevel="0" collapsed="false">
      <c r="A4101" s="0" t="n">
        <v>4100</v>
      </c>
      <c r="B4101" s="14" t="n">
        <v>102162.116199766</v>
      </c>
      <c r="C4101" s="15" t="n">
        <v>0.113174087820976</v>
      </c>
      <c r="D4101" s="14" t="n">
        <f aca="false">Summary!$B$5-B4101</f>
        <v>-2162.1161997656</v>
      </c>
      <c r="E4101" s="15" t="n">
        <f aca="false">B4101/Summary!$B$5-1</f>
        <v>0.0216211619976561</v>
      </c>
    </row>
    <row r="4102" customFormat="false" ht="15" hidden="false" customHeight="false" outlineLevel="0" collapsed="false">
      <c r="A4102" s="0" t="n">
        <v>4101</v>
      </c>
      <c r="B4102" s="14" t="n">
        <v>136009.818018675</v>
      </c>
      <c r="C4102" s="15" t="n">
        <v>0.0606728803929731</v>
      </c>
      <c r="D4102" s="14" t="n">
        <f aca="false">Summary!$B$5-B4102</f>
        <v>-36009.8180186746</v>
      </c>
      <c r="E4102" s="15" t="n">
        <f aca="false">B4102/Summary!$B$5-1</f>
        <v>0.360098180186746</v>
      </c>
    </row>
    <row r="4103" customFormat="false" ht="15" hidden="false" customHeight="false" outlineLevel="0" collapsed="false">
      <c r="A4103" s="0" t="n">
        <v>4102</v>
      </c>
      <c r="B4103" s="14" t="n">
        <v>112059.608004513</v>
      </c>
      <c r="C4103" s="15" t="n">
        <v>0.113388261569753</v>
      </c>
      <c r="D4103" s="14" t="n">
        <f aca="false">Summary!$B$5-B4103</f>
        <v>-12059.608004513</v>
      </c>
      <c r="E4103" s="15" t="n">
        <f aca="false">B4103/Summary!$B$5-1</f>
        <v>0.12059608004513</v>
      </c>
    </row>
    <row r="4104" customFormat="false" ht="15" hidden="false" customHeight="false" outlineLevel="0" collapsed="false">
      <c r="A4104" s="0" t="n">
        <v>4103</v>
      </c>
      <c r="B4104" s="14" t="n">
        <v>116440.405662696</v>
      </c>
      <c r="C4104" s="15" t="n">
        <v>0.100133149705046</v>
      </c>
      <c r="D4104" s="14" t="n">
        <f aca="false">Summary!$B$5-B4104</f>
        <v>-16440.4056626961</v>
      </c>
      <c r="E4104" s="15" t="n">
        <f aca="false">B4104/Summary!$B$5-1</f>
        <v>0.164404056626961</v>
      </c>
    </row>
    <row r="4105" customFormat="false" ht="15" hidden="false" customHeight="false" outlineLevel="0" collapsed="false">
      <c r="A4105" s="0" t="n">
        <v>4104</v>
      </c>
      <c r="B4105" s="14" t="n">
        <v>139308.14748442</v>
      </c>
      <c r="C4105" s="15" t="n">
        <v>0.069030817202605</v>
      </c>
      <c r="D4105" s="14" t="n">
        <f aca="false">Summary!$B$5-B4105</f>
        <v>-39308.1474844202</v>
      </c>
      <c r="E4105" s="15" t="n">
        <f aca="false">B4105/Summary!$B$5-1</f>
        <v>0.393081474844202</v>
      </c>
    </row>
    <row r="4106" customFormat="false" ht="15" hidden="false" customHeight="false" outlineLevel="0" collapsed="false">
      <c r="A4106" s="0" t="n">
        <v>4105</v>
      </c>
      <c r="B4106" s="14" t="n">
        <v>96404.4814398086</v>
      </c>
      <c r="C4106" s="15" t="n">
        <v>0.128188496935241</v>
      </c>
      <c r="D4106" s="14" t="n">
        <f aca="false">Summary!$B$5-B4106</f>
        <v>3595.51856019141</v>
      </c>
      <c r="E4106" s="15" t="n">
        <f aca="false">B4106/Summary!$B$5-1</f>
        <v>-0.0359551856019141</v>
      </c>
    </row>
    <row r="4107" customFormat="false" ht="15" hidden="false" customHeight="false" outlineLevel="0" collapsed="false">
      <c r="A4107" s="0" t="n">
        <v>4106</v>
      </c>
      <c r="B4107" s="14" t="n">
        <v>114062.007577871</v>
      </c>
      <c r="C4107" s="15" t="n">
        <v>0.0521483131685372</v>
      </c>
      <c r="D4107" s="14" t="n">
        <f aca="false">Summary!$B$5-B4107</f>
        <v>-14062.0075778713</v>
      </c>
      <c r="E4107" s="15" t="n">
        <f aca="false">B4107/Summary!$B$5-1</f>
        <v>0.140620075778713</v>
      </c>
    </row>
    <row r="4108" customFormat="false" ht="15" hidden="false" customHeight="false" outlineLevel="0" collapsed="false">
      <c r="A4108" s="0" t="n">
        <v>4107</v>
      </c>
      <c r="B4108" s="14" t="n">
        <v>109825.18908424</v>
      </c>
      <c r="C4108" s="15" t="n">
        <v>0.0987384891247793</v>
      </c>
      <c r="D4108" s="14" t="n">
        <f aca="false">Summary!$B$5-B4108</f>
        <v>-9825.1890842396</v>
      </c>
      <c r="E4108" s="15" t="n">
        <f aca="false">B4108/Summary!$B$5-1</f>
        <v>0.0982518908423959</v>
      </c>
    </row>
    <row r="4109" customFormat="false" ht="15" hidden="false" customHeight="false" outlineLevel="0" collapsed="false">
      <c r="A4109" s="0" t="n">
        <v>4108</v>
      </c>
      <c r="B4109" s="14" t="n">
        <v>98686.4902660591</v>
      </c>
      <c r="C4109" s="15" t="n">
        <v>0.102288282611609</v>
      </c>
      <c r="D4109" s="14" t="n">
        <f aca="false">Summary!$B$5-B4109</f>
        <v>1313.50973394091</v>
      </c>
      <c r="E4109" s="15" t="n">
        <f aca="false">B4109/Summary!$B$5-1</f>
        <v>-0.0131350973394091</v>
      </c>
    </row>
    <row r="4110" customFormat="false" ht="15" hidden="false" customHeight="false" outlineLevel="0" collapsed="false">
      <c r="A4110" s="0" t="n">
        <v>4109</v>
      </c>
      <c r="B4110" s="14" t="n">
        <v>110987.706157771</v>
      </c>
      <c r="C4110" s="15" t="n">
        <v>0.0829918456833523</v>
      </c>
      <c r="D4110" s="14" t="n">
        <f aca="false">Summary!$B$5-B4110</f>
        <v>-10987.7061577713</v>
      </c>
      <c r="E4110" s="15" t="n">
        <f aca="false">B4110/Summary!$B$5-1</f>
        <v>0.109877061577713</v>
      </c>
    </row>
    <row r="4111" customFormat="false" ht="15" hidden="false" customHeight="false" outlineLevel="0" collapsed="false">
      <c r="A4111" s="0" t="n">
        <v>4110</v>
      </c>
      <c r="B4111" s="14" t="n">
        <v>109903.286608135</v>
      </c>
      <c r="C4111" s="15" t="n">
        <v>0.0858959400493704</v>
      </c>
      <c r="D4111" s="14" t="n">
        <f aca="false">Summary!$B$5-B4111</f>
        <v>-9903.2866081346</v>
      </c>
      <c r="E4111" s="15" t="n">
        <f aca="false">B4111/Summary!$B$5-1</f>
        <v>0.099032866081346</v>
      </c>
    </row>
    <row r="4112" customFormat="false" ht="15" hidden="false" customHeight="false" outlineLevel="0" collapsed="false">
      <c r="A4112" s="0" t="n">
        <v>4111</v>
      </c>
      <c r="B4112" s="14" t="n">
        <v>123333.278155345</v>
      </c>
      <c r="C4112" s="15" t="n">
        <v>0.0691580296571501</v>
      </c>
      <c r="D4112" s="14" t="n">
        <f aca="false">Summary!$B$5-B4112</f>
        <v>-23333.2781553454</v>
      </c>
      <c r="E4112" s="15" t="n">
        <f aca="false">B4112/Summary!$B$5-1</f>
        <v>0.233332781553454</v>
      </c>
    </row>
    <row r="4113" customFormat="false" ht="15" hidden="false" customHeight="false" outlineLevel="0" collapsed="false">
      <c r="A4113" s="0" t="n">
        <v>4112</v>
      </c>
      <c r="B4113" s="14" t="n">
        <v>102544.954211567</v>
      </c>
      <c r="C4113" s="15" t="n">
        <v>0.0791398457066725</v>
      </c>
      <c r="D4113" s="14" t="n">
        <f aca="false">Summary!$B$5-B4113</f>
        <v>-2544.9542115674</v>
      </c>
      <c r="E4113" s="15" t="n">
        <f aca="false">B4113/Summary!$B$5-1</f>
        <v>0.025449542115674</v>
      </c>
    </row>
    <row r="4114" customFormat="false" ht="15" hidden="false" customHeight="false" outlineLevel="0" collapsed="false">
      <c r="A4114" s="0" t="n">
        <v>4113</v>
      </c>
      <c r="B4114" s="14" t="n">
        <v>113558.346964117</v>
      </c>
      <c r="C4114" s="15" t="n">
        <v>0.0577550101548706</v>
      </c>
      <c r="D4114" s="14" t="n">
        <f aca="false">Summary!$B$5-B4114</f>
        <v>-13558.3469641168</v>
      </c>
      <c r="E4114" s="15" t="n">
        <f aca="false">B4114/Summary!$B$5-1</f>
        <v>0.135583469641168</v>
      </c>
    </row>
    <row r="4115" customFormat="false" ht="15" hidden="false" customHeight="false" outlineLevel="0" collapsed="false">
      <c r="A4115" s="0" t="n">
        <v>4114</v>
      </c>
      <c r="B4115" s="14" t="n">
        <v>115777.976199141</v>
      </c>
      <c r="C4115" s="15" t="n">
        <v>0.0785588351638104</v>
      </c>
      <c r="D4115" s="14" t="n">
        <f aca="false">Summary!$B$5-B4115</f>
        <v>-15777.9761991407</v>
      </c>
      <c r="E4115" s="15" t="n">
        <f aca="false">B4115/Summary!$B$5-1</f>
        <v>0.157779761991407</v>
      </c>
    </row>
    <row r="4116" customFormat="false" ht="15" hidden="false" customHeight="false" outlineLevel="0" collapsed="false">
      <c r="A4116" s="0" t="n">
        <v>4115</v>
      </c>
      <c r="B4116" s="14" t="n">
        <v>95569.5402340818</v>
      </c>
      <c r="C4116" s="15" t="n">
        <v>0.0853080375627563</v>
      </c>
      <c r="D4116" s="14" t="n">
        <f aca="false">Summary!$B$5-B4116</f>
        <v>4430.4597659182</v>
      </c>
      <c r="E4116" s="15" t="n">
        <f aca="false">B4116/Summary!$B$5-1</f>
        <v>-0.044304597659182</v>
      </c>
    </row>
    <row r="4117" customFormat="false" ht="15" hidden="false" customHeight="false" outlineLevel="0" collapsed="false">
      <c r="A4117" s="0" t="n">
        <v>4116</v>
      </c>
      <c r="B4117" s="14" t="n">
        <v>104990.629347212</v>
      </c>
      <c r="C4117" s="15" t="n">
        <v>0.138591743921742</v>
      </c>
      <c r="D4117" s="14" t="n">
        <f aca="false">Summary!$B$5-B4117</f>
        <v>-4990.62934721151</v>
      </c>
      <c r="E4117" s="15" t="n">
        <f aca="false">B4117/Summary!$B$5-1</f>
        <v>0.0499062934721151</v>
      </c>
    </row>
    <row r="4118" customFormat="false" ht="15" hidden="false" customHeight="false" outlineLevel="0" collapsed="false">
      <c r="A4118" s="0" t="n">
        <v>4117</v>
      </c>
      <c r="B4118" s="14" t="n">
        <v>114235.704372199</v>
      </c>
      <c r="C4118" s="15" t="n">
        <v>0.0954029235348003</v>
      </c>
      <c r="D4118" s="14" t="n">
        <f aca="false">Summary!$B$5-B4118</f>
        <v>-14235.7043721993</v>
      </c>
      <c r="E4118" s="15" t="n">
        <f aca="false">B4118/Summary!$B$5-1</f>
        <v>0.142357043721993</v>
      </c>
    </row>
    <row r="4119" customFormat="false" ht="15" hidden="false" customHeight="false" outlineLevel="0" collapsed="false">
      <c r="A4119" s="0" t="n">
        <v>4118</v>
      </c>
      <c r="B4119" s="14" t="n">
        <v>116361.222126056</v>
      </c>
      <c r="C4119" s="15" t="n">
        <v>0.0682777546926789</v>
      </c>
      <c r="D4119" s="14" t="n">
        <f aca="false">Summary!$B$5-B4119</f>
        <v>-16361.2221260559</v>
      </c>
      <c r="E4119" s="15" t="n">
        <f aca="false">B4119/Summary!$B$5-1</f>
        <v>0.163612221260559</v>
      </c>
    </row>
    <row r="4120" customFormat="false" ht="15" hidden="false" customHeight="false" outlineLevel="0" collapsed="false">
      <c r="A4120" s="0" t="n">
        <v>4119</v>
      </c>
      <c r="B4120" s="14" t="n">
        <v>136125.036971958</v>
      </c>
      <c r="C4120" s="15" t="n">
        <v>0.10319000592145</v>
      </c>
      <c r="D4120" s="14" t="n">
        <f aca="false">Summary!$B$5-B4120</f>
        <v>-36125.0369719575</v>
      </c>
      <c r="E4120" s="15" t="n">
        <f aca="false">B4120/Summary!$B$5-1</f>
        <v>0.361250369719575</v>
      </c>
    </row>
    <row r="4121" customFormat="false" ht="15" hidden="false" customHeight="false" outlineLevel="0" collapsed="false">
      <c r="A4121" s="0" t="n">
        <v>4120</v>
      </c>
      <c r="B4121" s="14" t="n">
        <v>113988.171836624</v>
      </c>
      <c r="C4121" s="15" t="n">
        <v>0.0733993834980843</v>
      </c>
      <c r="D4121" s="14" t="n">
        <f aca="false">Summary!$B$5-B4121</f>
        <v>-13988.1718366235</v>
      </c>
      <c r="E4121" s="15" t="n">
        <f aca="false">B4121/Summary!$B$5-1</f>
        <v>0.139881718366235</v>
      </c>
    </row>
    <row r="4122" customFormat="false" ht="15" hidden="false" customHeight="false" outlineLevel="0" collapsed="false">
      <c r="A4122" s="0" t="n">
        <v>4121</v>
      </c>
      <c r="B4122" s="14" t="n">
        <v>84503.9879010258</v>
      </c>
      <c r="C4122" s="15" t="n">
        <v>0.239205313882794</v>
      </c>
      <c r="D4122" s="14" t="n">
        <f aca="false">Summary!$B$5-B4122</f>
        <v>15496.0120989742</v>
      </c>
      <c r="E4122" s="15" t="n">
        <f aca="false">B4122/Summary!$B$5-1</f>
        <v>-0.154960120989742</v>
      </c>
    </row>
    <row r="4123" customFormat="false" ht="15" hidden="false" customHeight="false" outlineLevel="0" collapsed="false">
      <c r="A4123" s="0" t="n">
        <v>4122</v>
      </c>
      <c r="B4123" s="14" t="n">
        <v>116278.873512545</v>
      </c>
      <c r="C4123" s="15" t="n">
        <v>0.0584067857232676</v>
      </c>
      <c r="D4123" s="14" t="n">
        <f aca="false">Summary!$B$5-B4123</f>
        <v>-16278.8735125448</v>
      </c>
      <c r="E4123" s="15" t="n">
        <f aca="false">B4123/Summary!$B$5-1</f>
        <v>0.162788735125448</v>
      </c>
    </row>
    <row r="4124" customFormat="false" ht="15" hidden="false" customHeight="false" outlineLevel="0" collapsed="false">
      <c r="A4124" s="0" t="n">
        <v>4123</v>
      </c>
      <c r="B4124" s="14" t="n">
        <v>118281.278445359</v>
      </c>
      <c r="C4124" s="15" t="n">
        <v>0.0960222432377538</v>
      </c>
      <c r="D4124" s="14" t="n">
        <f aca="false">Summary!$B$5-B4124</f>
        <v>-18281.278445359</v>
      </c>
      <c r="E4124" s="15" t="n">
        <f aca="false">B4124/Summary!$B$5-1</f>
        <v>0.18281278445359</v>
      </c>
    </row>
    <row r="4125" customFormat="false" ht="15" hidden="false" customHeight="false" outlineLevel="0" collapsed="false">
      <c r="A4125" s="0" t="n">
        <v>4124</v>
      </c>
      <c r="B4125" s="14" t="n">
        <v>105094.214143439</v>
      </c>
      <c r="C4125" s="15" t="n">
        <v>0.0632073323824365</v>
      </c>
      <c r="D4125" s="14" t="n">
        <f aca="false">Summary!$B$5-B4125</f>
        <v>-5094.2141434388</v>
      </c>
      <c r="E4125" s="15" t="n">
        <f aca="false">B4125/Summary!$B$5-1</f>
        <v>0.050942141434388</v>
      </c>
    </row>
    <row r="4126" customFormat="false" ht="15" hidden="false" customHeight="false" outlineLevel="0" collapsed="false">
      <c r="A4126" s="0" t="n">
        <v>4125</v>
      </c>
      <c r="B4126" s="14" t="n">
        <v>112938.260610034</v>
      </c>
      <c r="C4126" s="15" t="n">
        <v>0.059367972022869</v>
      </c>
      <c r="D4126" s="14" t="n">
        <f aca="false">Summary!$B$5-B4126</f>
        <v>-12938.2606100343</v>
      </c>
      <c r="E4126" s="15" t="n">
        <f aca="false">B4126/Summary!$B$5-1</f>
        <v>0.129382606100343</v>
      </c>
    </row>
    <row r="4127" customFormat="false" ht="15" hidden="false" customHeight="false" outlineLevel="0" collapsed="false">
      <c r="A4127" s="0" t="n">
        <v>4126</v>
      </c>
      <c r="B4127" s="14" t="n">
        <v>116632.901938728</v>
      </c>
      <c r="C4127" s="15" t="n">
        <v>0.0774756026937095</v>
      </c>
      <c r="D4127" s="14" t="n">
        <f aca="false">Summary!$B$5-B4127</f>
        <v>-16632.9019387277</v>
      </c>
      <c r="E4127" s="15" t="n">
        <f aca="false">B4127/Summary!$B$5-1</f>
        <v>0.166329019387277</v>
      </c>
    </row>
    <row r="4128" customFormat="false" ht="15" hidden="false" customHeight="false" outlineLevel="0" collapsed="false">
      <c r="A4128" s="0" t="n">
        <v>4127</v>
      </c>
      <c r="B4128" s="14" t="n">
        <v>116156.777163127</v>
      </c>
      <c r="C4128" s="15" t="n">
        <v>0.0515783931614703</v>
      </c>
      <c r="D4128" s="14" t="n">
        <f aca="false">Summary!$B$5-B4128</f>
        <v>-16156.777163127</v>
      </c>
      <c r="E4128" s="15" t="n">
        <f aca="false">B4128/Summary!$B$5-1</f>
        <v>0.16156777163127</v>
      </c>
    </row>
    <row r="4129" customFormat="false" ht="15" hidden="false" customHeight="false" outlineLevel="0" collapsed="false">
      <c r="A4129" s="0" t="n">
        <v>4128</v>
      </c>
      <c r="B4129" s="14" t="n">
        <v>117245.035290474</v>
      </c>
      <c r="C4129" s="15" t="n">
        <v>0.0596655588472107</v>
      </c>
      <c r="D4129" s="14" t="n">
        <f aca="false">Summary!$B$5-B4129</f>
        <v>-17245.0352904735</v>
      </c>
      <c r="E4129" s="15" t="n">
        <f aca="false">B4129/Summary!$B$5-1</f>
        <v>0.172450352904735</v>
      </c>
    </row>
    <row r="4130" customFormat="false" ht="15" hidden="false" customHeight="false" outlineLevel="0" collapsed="false">
      <c r="A4130" s="0" t="n">
        <v>4129</v>
      </c>
      <c r="B4130" s="14" t="n">
        <v>94988.75274866</v>
      </c>
      <c r="C4130" s="15" t="n">
        <v>0.138567596309313</v>
      </c>
      <c r="D4130" s="14" t="n">
        <f aca="false">Summary!$B$5-B4130</f>
        <v>5011.24725134004</v>
      </c>
      <c r="E4130" s="15" t="n">
        <f aca="false">B4130/Summary!$B$5-1</f>
        <v>-0.0501124725134005</v>
      </c>
    </row>
    <row r="4131" customFormat="false" ht="15" hidden="false" customHeight="false" outlineLevel="0" collapsed="false">
      <c r="A4131" s="0" t="n">
        <v>4130</v>
      </c>
      <c r="B4131" s="14" t="n">
        <v>107569.132313198</v>
      </c>
      <c r="C4131" s="15" t="n">
        <v>0.0970026405325032</v>
      </c>
      <c r="D4131" s="14" t="n">
        <f aca="false">Summary!$B$5-B4131</f>
        <v>-7569.1323131979</v>
      </c>
      <c r="E4131" s="15" t="n">
        <f aca="false">B4131/Summary!$B$5-1</f>
        <v>0.0756913231319789</v>
      </c>
    </row>
    <row r="4132" customFormat="false" ht="15" hidden="false" customHeight="false" outlineLevel="0" collapsed="false">
      <c r="A4132" s="0" t="n">
        <v>4131</v>
      </c>
      <c r="B4132" s="14" t="n">
        <v>104488.311878795</v>
      </c>
      <c r="C4132" s="15" t="n">
        <v>0.174949883024791</v>
      </c>
      <c r="D4132" s="14" t="n">
        <f aca="false">Summary!$B$5-B4132</f>
        <v>-4488.3118787945</v>
      </c>
      <c r="E4132" s="15" t="n">
        <f aca="false">B4132/Summary!$B$5-1</f>
        <v>0.044883118787945</v>
      </c>
    </row>
    <row r="4133" customFormat="false" ht="15" hidden="false" customHeight="false" outlineLevel="0" collapsed="false">
      <c r="A4133" s="0" t="n">
        <v>4132</v>
      </c>
      <c r="B4133" s="14" t="n">
        <v>94453.3397362896</v>
      </c>
      <c r="C4133" s="15" t="n">
        <v>0.14348720305883</v>
      </c>
      <c r="D4133" s="14" t="n">
        <f aca="false">Summary!$B$5-B4133</f>
        <v>5546.66026371042</v>
      </c>
      <c r="E4133" s="15" t="n">
        <f aca="false">B4133/Summary!$B$5-1</f>
        <v>-0.0554666026371042</v>
      </c>
    </row>
    <row r="4134" customFormat="false" ht="15" hidden="false" customHeight="false" outlineLevel="0" collapsed="false">
      <c r="A4134" s="0" t="n">
        <v>4133</v>
      </c>
      <c r="B4134" s="14" t="n">
        <v>97303.999882561</v>
      </c>
      <c r="C4134" s="15" t="n">
        <v>0.11802504936541</v>
      </c>
      <c r="D4134" s="14" t="n">
        <f aca="false">Summary!$B$5-B4134</f>
        <v>2696.00011743905</v>
      </c>
      <c r="E4134" s="15" t="n">
        <f aca="false">B4134/Summary!$B$5-1</f>
        <v>-0.0269600011743905</v>
      </c>
    </row>
    <row r="4135" customFormat="false" ht="15" hidden="false" customHeight="false" outlineLevel="0" collapsed="false">
      <c r="A4135" s="0" t="n">
        <v>4134</v>
      </c>
      <c r="B4135" s="14" t="n">
        <v>105185.796593025</v>
      </c>
      <c r="C4135" s="15" t="n">
        <v>0.0819052929378018</v>
      </c>
      <c r="D4135" s="14" t="n">
        <f aca="false">Summary!$B$5-B4135</f>
        <v>-5185.79659302509</v>
      </c>
      <c r="E4135" s="15" t="n">
        <f aca="false">B4135/Summary!$B$5-1</f>
        <v>0.0518579659302509</v>
      </c>
    </row>
    <row r="4136" customFormat="false" ht="15" hidden="false" customHeight="false" outlineLevel="0" collapsed="false">
      <c r="A4136" s="0" t="n">
        <v>4135</v>
      </c>
      <c r="B4136" s="14" t="n">
        <v>103779.794073913</v>
      </c>
      <c r="C4136" s="15" t="n">
        <v>0.0900003718979371</v>
      </c>
      <c r="D4136" s="14" t="n">
        <f aca="false">Summary!$B$5-B4136</f>
        <v>-3779.794073913</v>
      </c>
      <c r="E4136" s="15" t="n">
        <f aca="false">B4136/Summary!$B$5-1</f>
        <v>0.03779794073913</v>
      </c>
    </row>
    <row r="4137" customFormat="false" ht="15" hidden="false" customHeight="false" outlineLevel="0" collapsed="false">
      <c r="A4137" s="0" t="n">
        <v>4136</v>
      </c>
      <c r="B4137" s="14" t="n">
        <v>110611.961352761</v>
      </c>
      <c r="C4137" s="15" t="n">
        <v>0.0948028000903408</v>
      </c>
      <c r="D4137" s="14" t="n">
        <f aca="false">Summary!$B$5-B4137</f>
        <v>-10611.961352761</v>
      </c>
      <c r="E4137" s="15" t="n">
        <f aca="false">B4137/Summary!$B$5-1</f>
        <v>0.10611961352761</v>
      </c>
    </row>
    <row r="4138" customFormat="false" ht="15" hidden="false" customHeight="false" outlineLevel="0" collapsed="false">
      <c r="A4138" s="0" t="n">
        <v>4137</v>
      </c>
      <c r="B4138" s="14" t="n">
        <v>112543.470784548</v>
      </c>
      <c r="C4138" s="15" t="n">
        <v>0.0720930425986416</v>
      </c>
      <c r="D4138" s="14" t="n">
        <f aca="false">Summary!$B$5-B4138</f>
        <v>-12543.4707845482</v>
      </c>
      <c r="E4138" s="15" t="n">
        <f aca="false">B4138/Summary!$B$5-1</f>
        <v>0.125434707845482</v>
      </c>
    </row>
    <row r="4139" customFormat="false" ht="15" hidden="false" customHeight="false" outlineLevel="0" collapsed="false">
      <c r="A4139" s="0" t="n">
        <v>4138</v>
      </c>
      <c r="B4139" s="14" t="n">
        <v>106409.427403804</v>
      </c>
      <c r="C4139" s="15" t="n">
        <v>0.085946190927202</v>
      </c>
      <c r="D4139" s="14" t="n">
        <f aca="false">Summary!$B$5-B4139</f>
        <v>-6409.4274038044</v>
      </c>
      <c r="E4139" s="15" t="n">
        <f aca="false">B4139/Summary!$B$5-1</f>
        <v>0.0640942740380439</v>
      </c>
    </row>
    <row r="4140" customFormat="false" ht="15" hidden="false" customHeight="false" outlineLevel="0" collapsed="false">
      <c r="A4140" s="0" t="n">
        <v>4139</v>
      </c>
      <c r="B4140" s="14" t="n">
        <v>109859.340585278</v>
      </c>
      <c r="C4140" s="15" t="n">
        <v>0.107925868360564</v>
      </c>
      <c r="D4140" s="14" t="n">
        <f aca="false">Summary!$B$5-B4140</f>
        <v>-9859.3405852782</v>
      </c>
      <c r="E4140" s="15" t="n">
        <f aca="false">B4140/Summary!$B$5-1</f>
        <v>0.098593405852782</v>
      </c>
    </row>
    <row r="4141" customFormat="false" ht="15" hidden="false" customHeight="false" outlineLevel="0" collapsed="false">
      <c r="A4141" s="0" t="n">
        <v>4140</v>
      </c>
      <c r="B4141" s="14" t="n">
        <v>109121.768110756</v>
      </c>
      <c r="C4141" s="15" t="n">
        <v>0.119751389079338</v>
      </c>
      <c r="D4141" s="14" t="n">
        <f aca="false">Summary!$B$5-B4141</f>
        <v>-9121.7681107555</v>
      </c>
      <c r="E4141" s="15" t="n">
        <f aca="false">B4141/Summary!$B$5-1</f>
        <v>0.0912176811075549</v>
      </c>
    </row>
    <row r="4142" customFormat="false" ht="15" hidden="false" customHeight="false" outlineLevel="0" collapsed="false">
      <c r="A4142" s="0" t="n">
        <v>4141</v>
      </c>
      <c r="B4142" s="14" t="n">
        <v>97413.059635501</v>
      </c>
      <c r="C4142" s="15" t="n">
        <v>0.0848655608919922</v>
      </c>
      <c r="D4142" s="14" t="n">
        <f aca="false">Summary!$B$5-B4142</f>
        <v>2586.94036449901</v>
      </c>
      <c r="E4142" s="15" t="n">
        <f aca="false">B4142/Summary!$B$5-1</f>
        <v>-0.0258694036449901</v>
      </c>
    </row>
    <row r="4143" customFormat="false" ht="15" hidden="false" customHeight="false" outlineLevel="0" collapsed="false">
      <c r="A4143" s="0" t="n">
        <v>4142</v>
      </c>
      <c r="B4143" s="14" t="n">
        <v>118223.052355839</v>
      </c>
      <c r="C4143" s="15" t="n">
        <v>0.075575984569861</v>
      </c>
      <c r="D4143" s="14" t="n">
        <f aca="false">Summary!$B$5-B4143</f>
        <v>-18223.0523558391</v>
      </c>
      <c r="E4143" s="15" t="n">
        <f aca="false">B4143/Summary!$B$5-1</f>
        <v>0.182230523558391</v>
      </c>
    </row>
    <row r="4144" customFormat="false" ht="15" hidden="false" customHeight="false" outlineLevel="0" collapsed="false">
      <c r="A4144" s="0" t="n">
        <v>4143</v>
      </c>
      <c r="B4144" s="14" t="n">
        <v>122205.269348572</v>
      </c>
      <c r="C4144" s="15" t="n">
        <v>0.0895547295213368</v>
      </c>
      <c r="D4144" s="14" t="n">
        <f aca="false">Summary!$B$5-B4144</f>
        <v>-22205.2693485715</v>
      </c>
      <c r="E4144" s="15" t="n">
        <f aca="false">B4144/Summary!$B$5-1</f>
        <v>0.222052693485715</v>
      </c>
    </row>
    <row r="4145" customFormat="false" ht="15" hidden="false" customHeight="false" outlineLevel="0" collapsed="false">
      <c r="A4145" s="0" t="n">
        <v>4144</v>
      </c>
      <c r="B4145" s="14" t="n">
        <v>97307.6486204031</v>
      </c>
      <c r="C4145" s="15" t="n">
        <v>0.117322690935806</v>
      </c>
      <c r="D4145" s="14" t="n">
        <f aca="false">Summary!$B$5-B4145</f>
        <v>2692.35137959689</v>
      </c>
      <c r="E4145" s="15" t="n">
        <f aca="false">B4145/Summary!$B$5-1</f>
        <v>-0.0269235137959689</v>
      </c>
    </row>
    <row r="4146" customFormat="false" ht="15" hidden="false" customHeight="false" outlineLevel="0" collapsed="false">
      <c r="A4146" s="0" t="n">
        <v>4145</v>
      </c>
      <c r="B4146" s="14" t="n">
        <v>87008.6625808613</v>
      </c>
      <c r="C4146" s="15" t="n">
        <v>0.228945806125737</v>
      </c>
      <c r="D4146" s="14" t="n">
        <f aca="false">Summary!$B$5-B4146</f>
        <v>12991.3374191387</v>
      </c>
      <c r="E4146" s="15" t="n">
        <f aca="false">B4146/Summary!$B$5-1</f>
        <v>-0.129913374191387</v>
      </c>
    </row>
    <row r="4147" customFormat="false" ht="15" hidden="false" customHeight="false" outlineLevel="0" collapsed="false">
      <c r="A4147" s="0" t="n">
        <v>4146</v>
      </c>
      <c r="B4147" s="14" t="n">
        <v>116510.3917354</v>
      </c>
      <c r="C4147" s="15" t="n">
        <v>0.0857204154626671</v>
      </c>
      <c r="D4147" s="14" t="n">
        <f aca="false">Summary!$B$5-B4147</f>
        <v>-16510.3917354</v>
      </c>
      <c r="E4147" s="15" t="n">
        <f aca="false">B4147/Summary!$B$5-1</f>
        <v>0.165103917354</v>
      </c>
    </row>
    <row r="4148" customFormat="false" ht="15" hidden="false" customHeight="false" outlineLevel="0" collapsed="false">
      <c r="A4148" s="0" t="n">
        <v>4147</v>
      </c>
      <c r="B4148" s="14" t="n">
        <v>105146.452033098</v>
      </c>
      <c r="C4148" s="15" t="n">
        <v>0.084458071748459</v>
      </c>
      <c r="D4148" s="14" t="n">
        <f aca="false">Summary!$B$5-B4148</f>
        <v>-5146.4520330978</v>
      </c>
      <c r="E4148" s="15" t="n">
        <f aca="false">B4148/Summary!$B$5-1</f>
        <v>0.051464520330978</v>
      </c>
    </row>
    <row r="4149" customFormat="false" ht="15" hidden="false" customHeight="false" outlineLevel="0" collapsed="false">
      <c r="A4149" s="0" t="n">
        <v>4148</v>
      </c>
      <c r="B4149" s="14" t="n">
        <v>99103.9255149885</v>
      </c>
      <c r="C4149" s="15" t="n">
        <v>0.072471431568649</v>
      </c>
      <c r="D4149" s="14" t="n">
        <f aca="false">Summary!$B$5-B4149</f>
        <v>896.074485011457</v>
      </c>
      <c r="E4149" s="15" t="n">
        <f aca="false">B4149/Summary!$B$5-1</f>
        <v>-0.00896074485011456</v>
      </c>
    </row>
    <row r="4150" customFormat="false" ht="15" hidden="false" customHeight="false" outlineLevel="0" collapsed="false">
      <c r="A4150" s="0" t="n">
        <v>4149</v>
      </c>
      <c r="B4150" s="14" t="n">
        <v>105331.606268485</v>
      </c>
      <c r="C4150" s="15" t="n">
        <v>0.0930472365292615</v>
      </c>
      <c r="D4150" s="14" t="n">
        <f aca="false">Summary!$B$5-B4150</f>
        <v>-5331.6062684847</v>
      </c>
      <c r="E4150" s="15" t="n">
        <f aca="false">B4150/Summary!$B$5-1</f>
        <v>0.053316062684847</v>
      </c>
    </row>
    <row r="4151" customFormat="false" ht="15" hidden="false" customHeight="false" outlineLevel="0" collapsed="false">
      <c r="A4151" s="0" t="n">
        <v>4150</v>
      </c>
      <c r="B4151" s="14" t="n">
        <v>87265.7162097119</v>
      </c>
      <c r="C4151" s="15" t="n">
        <v>0.155494626430145</v>
      </c>
      <c r="D4151" s="14" t="n">
        <f aca="false">Summary!$B$5-B4151</f>
        <v>12734.2837902881</v>
      </c>
      <c r="E4151" s="15" t="n">
        <f aca="false">B4151/Summary!$B$5-1</f>
        <v>-0.127342837902881</v>
      </c>
    </row>
    <row r="4152" customFormat="false" ht="15" hidden="false" customHeight="false" outlineLevel="0" collapsed="false">
      <c r="A4152" s="0" t="n">
        <v>4151</v>
      </c>
      <c r="B4152" s="14" t="n">
        <v>98069.5430286143</v>
      </c>
      <c r="C4152" s="15" t="n">
        <v>0.137292300962142</v>
      </c>
      <c r="D4152" s="14" t="n">
        <f aca="false">Summary!$B$5-B4152</f>
        <v>1930.45697138572</v>
      </c>
      <c r="E4152" s="15" t="n">
        <f aca="false">B4152/Summary!$B$5-1</f>
        <v>-0.0193045697138572</v>
      </c>
    </row>
    <row r="4153" customFormat="false" ht="15" hidden="false" customHeight="false" outlineLevel="0" collapsed="false">
      <c r="A4153" s="0" t="n">
        <v>4152</v>
      </c>
      <c r="B4153" s="14" t="n">
        <v>123047.300125757</v>
      </c>
      <c r="C4153" s="15" t="n">
        <v>0.0553305115673782</v>
      </c>
      <c r="D4153" s="14" t="n">
        <f aca="false">Summary!$B$5-B4153</f>
        <v>-23047.3001257566</v>
      </c>
      <c r="E4153" s="15" t="n">
        <f aca="false">B4153/Summary!$B$5-1</f>
        <v>0.230473001257566</v>
      </c>
    </row>
    <row r="4154" customFormat="false" ht="15" hidden="false" customHeight="false" outlineLevel="0" collapsed="false">
      <c r="A4154" s="0" t="n">
        <v>4153</v>
      </c>
      <c r="B4154" s="14" t="n">
        <v>121687.409817849</v>
      </c>
      <c r="C4154" s="15" t="n">
        <v>0.0672805921846864</v>
      </c>
      <c r="D4154" s="14" t="n">
        <f aca="false">Summary!$B$5-B4154</f>
        <v>-21687.4098178485</v>
      </c>
      <c r="E4154" s="15" t="n">
        <f aca="false">B4154/Summary!$B$5-1</f>
        <v>0.216874098178485</v>
      </c>
    </row>
    <row r="4155" customFormat="false" ht="15" hidden="false" customHeight="false" outlineLevel="0" collapsed="false">
      <c r="A4155" s="0" t="n">
        <v>4154</v>
      </c>
      <c r="B4155" s="14" t="n">
        <v>98567.9924562809</v>
      </c>
      <c r="C4155" s="15" t="n">
        <v>0.182879812055091</v>
      </c>
      <c r="D4155" s="14" t="n">
        <f aca="false">Summary!$B$5-B4155</f>
        <v>1432.00754371908</v>
      </c>
      <c r="E4155" s="15" t="n">
        <f aca="false">B4155/Summary!$B$5-1</f>
        <v>-0.0143200754371908</v>
      </c>
    </row>
    <row r="4156" customFormat="false" ht="15" hidden="false" customHeight="false" outlineLevel="0" collapsed="false">
      <c r="A4156" s="0" t="n">
        <v>4155</v>
      </c>
      <c r="B4156" s="14" t="n">
        <v>93909.2345493774</v>
      </c>
      <c r="C4156" s="15" t="n">
        <v>0.0901924415221934</v>
      </c>
      <c r="D4156" s="14" t="n">
        <f aca="false">Summary!$B$5-B4156</f>
        <v>6090.76545062265</v>
      </c>
      <c r="E4156" s="15" t="n">
        <f aca="false">B4156/Summary!$B$5-1</f>
        <v>-0.0609076545062265</v>
      </c>
    </row>
    <row r="4157" customFormat="false" ht="15" hidden="false" customHeight="false" outlineLevel="0" collapsed="false">
      <c r="A4157" s="0" t="n">
        <v>4156</v>
      </c>
      <c r="B4157" s="14" t="n">
        <v>102702.927518331</v>
      </c>
      <c r="C4157" s="15" t="n">
        <v>0.0891841116989666</v>
      </c>
      <c r="D4157" s="14" t="n">
        <f aca="false">Summary!$B$5-B4157</f>
        <v>-2702.92751833099</v>
      </c>
      <c r="E4157" s="15" t="n">
        <f aca="false">B4157/Summary!$B$5-1</f>
        <v>0.0270292751833099</v>
      </c>
    </row>
    <row r="4158" customFormat="false" ht="15" hidden="false" customHeight="false" outlineLevel="0" collapsed="false">
      <c r="A4158" s="0" t="n">
        <v>4157</v>
      </c>
      <c r="B4158" s="14" t="n">
        <v>110204.604466352</v>
      </c>
      <c r="C4158" s="15" t="n">
        <v>0.0885132788688401</v>
      </c>
      <c r="D4158" s="14" t="n">
        <f aca="false">Summary!$B$5-B4158</f>
        <v>-10204.6044663515</v>
      </c>
      <c r="E4158" s="15" t="n">
        <f aca="false">B4158/Summary!$B$5-1</f>
        <v>0.102046044663515</v>
      </c>
    </row>
    <row r="4159" customFormat="false" ht="15" hidden="false" customHeight="false" outlineLevel="0" collapsed="false">
      <c r="A4159" s="0" t="n">
        <v>4158</v>
      </c>
      <c r="B4159" s="14" t="n">
        <v>97694.0165344029</v>
      </c>
      <c r="C4159" s="15" t="n">
        <v>0.104370760538595</v>
      </c>
      <c r="D4159" s="14" t="n">
        <f aca="false">Summary!$B$5-B4159</f>
        <v>2305.98346559709</v>
      </c>
      <c r="E4159" s="15" t="n">
        <f aca="false">B4159/Summary!$B$5-1</f>
        <v>-0.0230598346559709</v>
      </c>
    </row>
    <row r="4160" customFormat="false" ht="15" hidden="false" customHeight="false" outlineLevel="0" collapsed="false">
      <c r="A4160" s="0" t="n">
        <v>4159</v>
      </c>
      <c r="B4160" s="14" t="n">
        <v>128379.120600045</v>
      </c>
      <c r="C4160" s="15" t="n">
        <v>0.0717643331352753</v>
      </c>
      <c r="D4160" s="14" t="n">
        <f aca="false">Summary!$B$5-B4160</f>
        <v>-28379.1206000448</v>
      </c>
      <c r="E4160" s="15" t="n">
        <f aca="false">B4160/Summary!$B$5-1</f>
        <v>0.283791206000448</v>
      </c>
    </row>
    <row r="4161" customFormat="false" ht="15" hidden="false" customHeight="false" outlineLevel="0" collapsed="false">
      <c r="A4161" s="0" t="n">
        <v>4160</v>
      </c>
      <c r="B4161" s="14" t="n">
        <v>110991.021652809</v>
      </c>
      <c r="C4161" s="15" t="n">
        <v>0.126054133138147</v>
      </c>
      <c r="D4161" s="14" t="n">
        <f aca="false">Summary!$B$5-B4161</f>
        <v>-10991.0216528094</v>
      </c>
      <c r="E4161" s="15" t="n">
        <f aca="false">B4161/Summary!$B$5-1</f>
        <v>0.109910216528094</v>
      </c>
    </row>
    <row r="4162" customFormat="false" ht="15" hidden="false" customHeight="false" outlineLevel="0" collapsed="false">
      <c r="A4162" s="0" t="n">
        <v>4161</v>
      </c>
      <c r="B4162" s="14" t="n">
        <v>95548.7210869787</v>
      </c>
      <c r="C4162" s="15" t="n">
        <v>0.14023902880078</v>
      </c>
      <c r="D4162" s="14" t="n">
        <f aca="false">Summary!$B$5-B4162</f>
        <v>4451.27891302131</v>
      </c>
      <c r="E4162" s="15" t="n">
        <f aca="false">B4162/Summary!$B$5-1</f>
        <v>-0.0445127891302131</v>
      </c>
    </row>
    <row r="4163" customFormat="false" ht="15" hidden="false" customHeight="false" outlineLevel="0" collapsed="false">
      <c r="A4163" s="0" t="n">
        <v>4162</v>
      </c>
      <c r="B4163" s="14" t="n">
        <v>90919.8017310245</v>
      </c>
      <c r="C4163" s="15" t="n">
        <v>0.131592839350039</v>
      </c>
      <c r="D4163" s="14" t="n">
        <f aca="false">Summary!$B$5-B4163</f>
        <v>9080.19826897552</v>
      </c>
      <c r="E4163" s="15" t="n">
        <f aca="false">B4163/Summary!$B$5-1</f>
        <v>-0.0908019826897553</v>
      </c>
    </row>
    <row r="4164" customFormat="false" ht="15" hidden="false" customHeight="false" outlineLevel="0" collapsed="false">
      <c r="A4164" s="0" t="n">
        <v>4163</v>
      </c>
      <c r="B4164" s="14" t="n">
        <v>145841.58096276</v>
      </c>
      <c r="C4164" s="15" t="n">
        <v>0.0397542410618856</v>
      </c>
      <c r="D4164" s="14" t="n">
        <f aca="false">Summary!$B$5-B4164</f>
        <v>-45841.5809627598</v>
      </c>
      <c r="E4164" s="15" t="n">
        <f aca="false">B4164/Summary!$B$5-1</f>
        <v>0.458415809627598</v>
      </c>
    </row>
    <row r="4165" customFormat="false" ht="15" hidden="false" customHeight="false" outlineLevel="0" collapsed="false">
      <c r="A4165" s="0" t="n">
        <v>4164</v>
      </c>
      <c r="B4165" s="14" t="n">
        <v>119790.456227929</v>
      </c>
      <c r="C4165" s="15" t="n">
        <v>0.0841141143543313</v>
      </c>
      <c r="D4165" s="14" t="n">
        <f aca="false">Summary!$B$5-B4165</f>
        <v>-19790.4562279294</v>
      </c>
      <c r="E4165" s="15" t="n">
        <f aca="false">B4165/Summary!$B$5-1</f>
        <v>0.197904562279294</v>
      </c>
    </row>
    <row r="4166" customFormat="false" ht="15" hidden="false" customHeight="false" outlineLevel="0" collapsed="false">
      <c r="A4166" s="0" t="n">
        <v>4165</v>
      </c>
      <c r="B4166" s="14" t="n">
        <v>107242.650787273</v>
      </c>
      <c r="C4166" s="15" t="n">
        <v>0.0701043720895481</v>
      </c>
      <c r="D4166" s="14" t="n">
        <f aca="false">Summary!$B$5-B4166</f>
        <v>-7242.65078727331</v>
      </c>
      <c r="E4166" s="15" t="n">
        <f aca="false">B4166/Summary!$B$5-1</f>
        <v>0.0724265078727331</v>
      </c>
    </row>
    <row r="4167" customFormat="false" ht="15" hidden="false" customHeight="false" outlineLevel="0" collapsed="false">
      <c r="A4167" s="0" t="n">
        <v>4166</v>
      </c>
      <c r="B4167" s="14" t="n">
        <v>101109.061849607</v>
      </c>
      <c r="C4167" s="15" t="n">
        <v>0.146770836464032</v>
      </c>
      <c r="D4167" s="14" t="n">
        <f aca="false">Summary!$B$5-B4167</f>
        <v>-1109.0618496066</v>
      </c>
      <c r="E4167" s="15" t="n">
        <f aca="false">B4167/Summary!$B$5-1</f>
        <v>0.011090618496066</v>
      </c>
    </row>
    <row r="4168" customFormat="false" ht="15" hidden="false" customHeight="false" outlineLevel="0" collapsed="false">
      <c r="A4168" s="0" t="n">
        <v>4167</v>
      </c>
      <c r="B4168" s="14" t="n">
        <v>95286.7764942366</v>
      </c>
      <c r="C4168" s="15" t="n">
        <v>0.129940693025383</v>
      </c>
      <c r="D4168" s="14" t="n">
        <f aca="false">Summary!$B$5-B4168</f>
        <v>4713.22350576337</v>
      </c>
      <c r="E4168" s="15" t="n">
        <f aca="false">B4168/Summary!$B$5-1</f>
        <v>-0.0471322350576336</v>
      </c>
    </row>
    <row r="4169" customFormat="false" ht="15" hidden="false" customHeight="false" outlineLevel="0" collapsed="false">
      <c r="A4169" s="0" t="n">
        <v>4168</v>
      </c>
      <c r="B4169" s="14" t="n">
        <v>89182.5232327318</v>
      </c>
      <c r="C4169" s="15" t="n">
        <v>0.154665698097472</v>
      </c>
      <c r="D4169" s="14" t="n">
        <f aca="false">Summary!$B$5-B4169</f>
        <v>10817.4767672682</v>
      </c>
      <c r="E4169" s="15" t="n">
        <f aca="false">B4169/Summary!$B$5-1</f>
        <v>-0.108174767672682</v>
      </c>
    </row>
    <row r="4170" customFormat="false" ht="15" hidden="false" customHeight="false" outlineLevel="0" collapsed="false">
      <c r="A4170" s="0" t="n">
        <v>4169</v>
      </c>
      <c r="B4170" s="14" t="n">
        <v>114397.419136049</v>
      </c>
      <c r="C4170" s="15" t="n">
        <v>0.072374615142057</v>
      </c>
      <c r="D4170" s="14" t="n">
        <f aca="false">Summary!$B$5-B4170</f>
        <v>-14397.419136049</v>
      </c>
      <c r="E4170" s="15" t="n">
        <f aca="false">B4170/Summary!$B$5-1</f>
        <v>0.14397419136049</v>
      </c>
    </row>
    <row r="4171" customFormat="false" ht="15" hidden="false" customHeight="false" outlineLevel="0" collapsed="false">
      <c r="A4171" s="0" t="n">
        <v>4170</v>
      </c>
      <c r="B4171" s="14" t="n">
        <v>118408.666872899</v>
      </c>
      <c r="C4171" s="15" t="n">
        <v>0.0822197032332506</v>
      </c>
      <c r="D4171" s="14" t="n">
        <f aca="false">Summary!$B$5-B4171</f>
        <v>-18408.6668728986</v>
      </c>
      <c r="E4171" s="15" t="n">
        <f aca="false">B4171/Summary!$B$5-1</f>
        <v>0.184086668728986</v>
      </c>
    </row>
    <row r="4172" customFormat="false" ht="15" hidden="false" customHeight="false" outlineLevel="0" collapsed="false">
      <c r="A4172" s="0" t="n">
        <v>4171</v>
      </c>
      <c r="B4172" s="14" t="n">
        <v>94511.7542771238</v>
      </c>
      <c r="C4172" s="15" t="n">
        <v>0.125898125053424</v>
      </c>
      <c r="D4172" s="14" t="n">
        <f aca="false">Summary!$B$5-B4172</f>
        <v>5488.24572287622</v>
      </c>
      <c r="E4172" s="15" t="n">
        <f aca="false">B4172/Summary!$B$5-1</f>
        <v>-0.0548824572287622</v>
      </c>
    </row>
    <row r="4173" customFormat="false" ht="15" hidden="false" customHeight="false" outlineLevel="0" collapsed="false">
      <c r="A4173" s="0" t="n">
        <v>4172</v>
      </c>
      <c r="B4173" s="14" t="n">
        <v>97982.6185842451</v>
      </c>
      <c r="C4173" s="15" t="n">
        <v>0.0863465250160301</v>
      </c>
      <c r="D4173" s="14" t="n">
        <f aca="false">Summary!$B$5-B4173</f>
        <v>2017.38141575491</v>
      </c>
      <c r="E4173" s="15" t="n">
        <f aca="false">B4173/Summary!$B$5-1</f>
        <v>-0.020173814157549</v>
      </c>
    </row>
    <row r="4174" customFormat="false" ht="15" hidden="false" customHeight="false" outlineLevel="0" collapsed="false">
      <c r="A4174" s="0" t="n">
        <v>4173</v>
      </c>
      <c r="B4174" s="14" t="n">
        <v>135515.273180285</v>
      </c>
      <c r="C4174" s="15" t="n">
        <v>0.0579414908954433</v>
      </c>
      <c r="D4174" s="14" t="n">
        <f aca="false">Summary!$B$5-B4174</f>
        <v>-35515.2731802846</v>
      </c>
      <c r="E4174" s="15" t="n">
        <f aca="false">B4174/Summary!$B$5-1</f>
        <v>0.355152731802846</v>
      </c>
    </row>
    <row r="4175" customFormat="false" ht="15" hidden="false" customHeight="false" outlineLevel="0" collapsed="false">
      <c r="A4175" s="0" t="n">
        <v>4174</v>
      </c>
      <c r="B4175" s="14" t="n">
        <v>123244.785996244</v>
      </c>
      <c r="C4175" s="15" t="n">
        <v>0.055022669655009</v>
      </c>
      <c r="D4175" s="14" t="n">
        <f aca="false">Summary!$B$5-B4175</f>
        <v>-23244.7859962443</v>
      </c>
      <c r="E4175" s="15" t="n">
        <f aca="false">B4175/Summary!$B$5-1</f>
        <v>0.232447859962443</v>
      </c>
    </row>
    <row r="4176" customFormat="false" ht="15" hidden="false" customHeight="false" outlineLevel="0" collapsed="false">
      <c r="A4176" s="0" t="n">
        <v>4175</v>
      </c>
      <c r="B4176" s="14" t="n">
        <v>102799.05361038</v>
      </c>
      <c r="C4176" s="15" t="n">
        <v>0.132697000053228</v>
      </c>
      <c r="D4176" s="14" t="n">
        <f aca="false">Summary!$B$5-B4176</f>
        <v>-2799.05361037971</v>
      </c>
      <c r="E4176" s="15" t="n">
        <f aca="false">B4176/Summary!$B$5-1</f>
        <v>0.0279905361037971</v>
      </c>
    </row>
    <row r="4177" customFormat="false" ht="15" hidden="false" customHeight="false" outlineLevel="0" collapsed="false">
      <c r="A4177" s="0" t="n">
        <v>4176</v>
      </c>
      <c r="B4177" s="14" t="n">
        <v>96757.2080377957</v>
      </c>
      <c r="C4177" s="15" t="n">
        <v>0.192524797682871</v>
      </c>
      <c r="D4177" s="14" t="n">
        <f aca="false">Summary!$B$5-B4177</f>
        <v>3242.79196220433</v>
      </c>
      <c r="E4177" s="15" t="n">
        <f aca="false">B4177/Summary!$B$5-1</f>
        <v>-0.0324279196220433</v>
      </c>
    </row>
    <row r="4178" customFormat="false" ht="15" hidden="false" customHeight="false" outlineLevel="0" collapsed="false">
      <c r="A4178" s="0" t="n">
        <v>4177</v>
      </c>
      <c r="B4178" s="14" t="n">
        <v>134293.244203622</v>
      </c>
      <c r="C4178" s="15" t="n">
        <v>0.0440515493812907</v>
      </c>
      <c r="D4178" s="14" t="n">
        <f aca="false">Summary!$B$5-B4178</f>
        <v>-34293.2442036216</v>
      </c>
      <c r="E4178" s="15" t="n">
        <f aca="false">B4178/Summary!$B$5-1</f>
        <v>0.342932442036216</v>
      </c>
    </row>
    <row r="4179" customFormat="false" ht="15" hidden="false" customHeight="false" outlineLevel="0" collapsed="false">
      <c r="A4179" s="0" t="n">
        <v>4178</v>
      </c>
      <c r="B4179" s="14" t="n">
        <v>98454.2360986516</v>
      </c>
      <c r="C4179" s="15" t="n">
        <v>0.180163784228211</v>
      </c>
      <c r="D4179" s="14" t="n">
        <f aca="false">Summary!$B$5-B4179</f>
        <v>1545.76390134837</v>
      </c>
      <c r="E4179" s="15" t="n">
        <f aca="false">B4179/Summary!$B$5-1</f>
        <v>-0.0154576390134837</v>
      </c>
    </row>
    <row r="4180" customFormat="false" ht="15" hidden="false" customHeight="false" outlineLevel="0" collapsed="false">
      <c r="A4180" s="0" t="n">
        <v>4179</v>
      </c>
      <c r="B4180" s="14" t="n">
        <v>109900.362213497</v>
      </c>
      <c r="C4180" s="15" t="n">
        <v>0.0764499985700932</v>
      </c>
      <c r="D4180" s="14" t="n">
        <f aca="false">Summary!$B$5-B4180</f>
        <v>-9900.36221349709</v>
      </c>
      <c r="E4180" s="15" t="n">
        <f aca="false">B4180/Summary!$B$5-1</f>
        <v>0.0990036221349711</v>
      </c>
    </row>
    <row r="4181" customFormat="false" ht="15" hidden="false" customHeight="false" outlineLevel="0" collapsed="false">
      <c r="A4181" s="0" t="n">
        <v>4180</v>
      </c>
      <c r="B4181" s="14" t="n">
        <v>130386.236609017</v>
      </c>
      <c r="C4181" s="15" t="n">
        <v>0.0572502020345126</v>
      </c>
      <c r="D4181" s="14" t="n">
        <f aca="false">Summary!$B$5-B4181</f>
        <v>-30386.236609017</v>
      </c>
      <c r="E4181" s="15" t="n">
        <f aca="false">B4181/Summary!$B$5-1</f>
        <v>0.30386236609017</v>
      </c>
    </row>
    <row r="4182" customFormat="false" ht="15" hidden="false" customHeight="false" outlineLevel="0" collapsed="false">
      <c r="A4182" s="0" t="n">
        <v>4181</v>
      </c>
      <c r="B4182" s="14" t="n">
        <v>155917.591777073</v>
      </c>
      <c r="C4182" s="15" t="n">
        <v>0.0499410610662106</v>
      </c>
      <c r="D4182" s="14" t="n">
        <f aca="false">Summary!$B$5-B4182</f>
        <v>-55917.5917770726</v>
      </c>
      <c r="E4182" s="15" t="n">
        <f aca="false">B4182/Summary!$B$5-1</f>
        <v>0.559175917770726</v>
      </c>
    </row>
    <row r="4183" customFormat="false" ht="15" hidden="false" customHeight="false" outlineLevel="0" collapsed="false">
      <c r="A4183" s="0" t="n">
        <v>4182</v>
      </c>
      <c r="B4183" s="14" t="n">
        <v>113264.515874728</v>
      </c>
      <c r="C4183" s="15" t="n">
        <v>0.0792130537126092</v>
      </c>
      <c r="D4183" s="14" t="n">
        <f aca="false">Summary!$B$5-B4183</f>
        <v>-13264.5158747284</v>
      </c>
      <c r="E4183" s="15" t="n">
        <f aca="false">B4183/Summary!$B$5-1</f>
        <v>0.132645158747284</v>
      </c>
    </row>
    <row r="4184" customFormat="false" ht="15" hidden="false" customHeight="false" outlineLevel="0" collapsed="false">
      <c r="A4184" s="0" t="n">
        <v>4183</v>
      </c>
      <c r="B4184" s="14" t="n">
        <v>98548.8695431083</v>
      </c>
      <c r="C4184" s="15" t="n">
        <v>0.192212726518275</v>
      </c>
      <c r="D4184" s="14" t="n">
        <f aca="false">Summary!$B$5-B4184</f>
        <v>1451.13045689171</v>
      </c>
      <c r="E4184" s="15" t="n">
        <f aca="false">B4184/Summary!$B$5-1</f>
        <v>-0.0145113045689171</v>
      </c>
    </row>
    <row r="4185" customFormat="false" ht="15" hidden="false" customHeight="false" outlineLevel="0" collapsed="false">
      <c r="A4185" s="0" t="n">
        <v>4184</v>
      </c>
      <c r="B4185" s="14" t="n">
        <v>94882.5895740674</v>
      </c>
      <c r="C4185" s="15" t="n">
        <v>0.121011435995025</v>
      </c>
      <c r="D4185" s="14" t="n">
        <f aca="false">Summary!$B$5-B4185</f>
        <v>5117.41042593261</v>
      </c>
      <c r="E4185" s="15" t="n">
        <f aca="false">B4185/Summary!$B$5-1</f>
        <v>-0.0511741042593261</v>
      </c>
    </row>
    <row r="4186" customFormat="false" ht="15" hidden="false" customHeight="false" outlineLevel="0" collapsed="false">
      <c r="A4186" s="0" t="n">
        <v>4185</v>
      </c>
      <c r="B4186" s="14" t="n">
        <v>127825.664910666</v>
      </c>
      <c r="C4186" s="15" t="n">
        <v>0.065451045218862</v>
      </c>
      <c r="D4186" s="14" t="n">
        <f aca="false">Summary!$B$5-B4186</f>
        <v>-27825.6649106663</v>
      </c>
      <c r="E4186" s="15" t="n">
        <f aca="false">B4186/Summary!$B$5-1</f>
        <v>0.278256649106663</v>
      </c>
    </row>
    <row r="4187" customFormat="false" ht="15" hidden="false" customHeight="false" outlineLevel="0" collapsed="false">
      <c r="A4187" s="0" t="n">
        <v>4186</v>
      </c>
      <c r="B4187" s="14" t="n">
        <v>113532.998125513</v>
      </c>
      <c r="C4187" s="15" t="n">
        <v>0.0534872071862738</v>
      </c>
      <c r="D4187" s="14" t="n">
        <f aca="false">Summary!$B$5-B4187</f>
        <v>-13532.9981255129</v>
      </c>
      <c r="E4187" s="15" t="n">
        <f aca="false">B4187/Summary!$B$5-1</f>
        <v>0.135329981255129</v>
      </c>
    </row>
    <row r="4188" customFormat="false" ht="15" hidden="false" customHeight="false" outlineLevel="0" collapsed="false">
      <c r="A4188" s="0" t="n">
        <v>4187</v>
      </c>
      <c r="B4188" s="14" t="n">
        <v>109730.967130401</v>
      </c>
      <c r="C4188" s="15" t="n">
        <v>0.135056534142982</v>
      </c>
      <c r="D4188" s="14" t="n">
        <f aca="false">Summary!$B$5-B4188</f>
        <v>-9730.9671304012</v>
      </c>
      <c r="E4188" s="15" t="n">
        <f aca="false">B4188/Summary!$B$5-1</f>
        <v>0.097309671304012</v>
      </c>
    </row>
    <row r="4189" customFormat="false" ht="15" hidden="false" customHeight="false" outlineLevel="0" collapsed="false">
      <c r="A4189" s="0" t="n">
        <v>4188</v>
      </c>
      <c r="B4189" s="14" t="n">
        <v>138353.134540994</v>
      </c>
      <c r="C4189" s="15" t="n">
        <v>0.064330909987795</v>
      </c>
      <c r="D4189" s="14" t="n">
        <f aca="false">Summary!$B$5-B4189</f>
        <v>-38353.1345409942</v>
      </c>
      <c r="E4189" s="15" t="n">
        <f aca="false">B4189/Summary!$B$5-1</f>
        <v>0.383531345409942</v>
      </c>
    </row>
    <row r="4190" customFormat="false" ht="15" hidden="false" customHeight="false" outlineLevel="0" collapsed="false">
      <c r="A4190" s="0" t="n">
        <v>4189</v>
      </c>
      <c r="B4190" s="14" t="n">
        <v>124859.256883827</v>
      </c>
      <c r="C4190" s="15" t="n">
        <v>0.0606344072242671</v>
      </c>
      <c r="D4190" s="14" t="n">
        <f aca="false">Summary!$B$5-B4190</f>
        <v>-24859.2568838267</v>
      </c>
      <c r="E4190" s="15" t="n">
        <f aca="false">B4190/Summary!$B$5-1</f>
        <v>0.248592568838267</v>
      </c>
    </row>
    <row r="4191" customFormat="false" ht="15" hidden="false" customHeight="false" outlineLevel="0" collapsed="false">
      <c r="A4191" s="0" t="n">
        <v>4190</v>
      </c>
      <c r="B4191" s="14" t="n">
        <v>110164.467802762</v>
      </c>
      <c r="C4191" s="15" t="n">
        <v>0.0830459969163245</v>
      </c>
      <c r="D4191" s="14" t="n">
        <f aca="false">Summary!$B$5-B4191</f>
        <v>-10164.4678027621</v>
      </c>
      <c r="E4191" s="15" t="n">
        <f aca="false">B4191/Summary!$B$5-1</f>
        <v>0.101644678027621</v>
      </c>
    </row>
    <row r="4192" customFormat="false" ht="15" hidden="false" customHeight="false" outlineLevel="0" collapsed="false">
      <c r="A4192" s="0" t="n">
        <v>4191</v>
      </c>
      <c r="B4192" s="14" t="n">
        <v>109284.017174993</v>
      </c>
      <c r="C4192" s="15" t="n">
        <v>0.0982124209059341</v>
      </c>
      <c r="D4192" s="14" t="n">
        <f aca="false">Summary!$B$5-B4192</f>
        <v>-9284.0171749928</v>
      </c>
      <c r="E4192" s="15" t="n">
        <f aca="false">B4192/Summary!$B$5-1</f>
        <v>0.0928401717499279</v>
      </c>
    </row>
    <row r="4193" customFormat="false" ht="15" hidden="false" customHeight="false" outlineLevel="0" collapsed="false">
      <c r="A4193" s="0" t="n">
        <v>4192</v>
      </c>
      <c r="B4193" s="14" t="n">
        <v>107564.460199409</v>
      </c>
      <c r="C4193" s="15" t="n">
        <v>0.0657982321061981</v>
      </c>
      <c r="D4193" s="14" t="n">
        <f aca="false">Summary!$B$5-B4193</f>
        <v>-7564.46019940919</v>
      </c>
      <c r="E4193" s="15" t="n">
        <f aca="false">B4193/Summary!$B$5-1</f>
        <v>0.075644601994092</v>
      </c>
    </row>
    <row r="4194" customFormat="false" ht="15" hidden="false" customHeight="false" outlineLevel="0" collapsed="false">
      <c r="A4194" s="0" t="n">
        <v>4193</v>
      </c>
      <c r="B4194" s="14" t="n">
        <v>119804.572124242</v>
      </c>
      <c r="C4194" s="15" t="n">
        <v>0.0543895866288729</v>
      </c>
      <c r="D4194" s="14" t="n">
        <f aca="false">Summary!$B$5-B4194</f>
        <v>-19804.5721242416</v>
      </c>
      <c r="E4194" s="15" t="n">
        <f aca="false">B4194/Summary!$B$5-1</f>
        <v>0.198045721242416</v>
      </c>
    </row>
    <row r="4195" customFormat="false" ht="15" hidden="false" customHeight="false" outlineLevel="0" collapsed="false">
      <c r="A4195" s="0" t="n">
        <v>4194</v>
      </c>
      <c r="B4195" s="14" t="n">
        <v>96476.1576730413</v>
      </c>
      <c r="C4195" s="15" t="n">
        <v>0.117059227162817</v>
      </c>
      <c r="D4195" s="14" t="n">
        <f aca="false">Summary!$B$5-B4195</f>
        <v>3523.84232695866</v>
      </c>
      <c r="E4195" s="15" t="n">
        <f aca="false">B4195/Summary!$B$5-1</f>
        <v>-0.0352384232695866</v>
      </c>
    </row>
    <row r="4196" customFormat="false" ht="15" hidden="false" customHeight="false" outlineLevel="0" collapsed="false">
      <c r="A4196" s="0" t="n">
        <v>4195</v>
      </c>
      <c r="B4196" s="14" t="n">
        <v>110331.174015442</v>
      </c>
      <c r="C4196" s="15" t="n">
        <v>0.0738552339815578</v>
      </c>
      <c r="D4196" s="14" t="n">
        <f aca="false">Summary!$B$5-B4196</f>
        <v>-10331.1740154417</v>
      </c>
      <c r="E4196" s="15" t="n">
        <f aca="false">B4196/Summary!$B$5-1</f>
        <v>0.103311740154417</v>
      </c>
    </row>
    <row r="4197" customFormat="false" ht="15" hidden="false" customHeight="false" outlineLevel="0" collapsed="false">
      <c r="A4197" s="0" t="n">
        <v>4196</v>
      </c>
      <c r="B4197" s="14" t="n">
        <v>129219.313567513</v>
      </c>
      <c r="C4197" s="15" t="n">
        <v>0.0698097201814494</v>
      </c>
      <c r="D4197" s="14" t="n">
        <f aca="false">Summary!$B$5-B4197</f>
        <v>-29219.3135675131</v>
      </c>
      <c r="E4197" s="15" t="n">
        <f aca="false">B4197/Summary!$B$5-1</f>
        <v>0.292193135675131</v>
      </c>
    </row>
    <row r="4198" customFormat="false" ht="15" hidden="false" customHeight="false" outlineLevel="0" collapsed="false">
      <c r="A4198" s="0" t="n">
        <v>4197</v>
      </c>
      <c r="B4198" s="14" t="n">
        <v>127103.004600774</v>
      </c>
      <c r="C4198" s="15" t="n">
        <v>0.0989634873441045</v>
      </c>
      <c r="D4198" s="14" t="n">
        <f aca="false">Summary!$B$5-B4198</f>
        <v>-27103.0046007742</v>
      </c>
      <c r="E4198" s="15" t="n">
        <f aca="false">B4198/Summary!$B$5-1</f>
        <v>0.271030046007742</v>
      </c>
    </row>
    <row r="4199" customFormat="false" ht="15" hidden="false" customHeight="false" outlineLevel="0" collapsed="false">
      <c r="A4199" s="0" t="n">
        <v>4198</v>
      </c>
      <c r="B4199" s="14" t="n">
        <v>82305.4278820454</v>
      </c>
      <c r="C4199" s="15" t="n">
        <v>0.218079896174996</v>
      </c>
      <c r="D4199" s="14" t="n">
        <f aca="false">Summary!$B$5-B4199</f>
        <v>17694.5721179546</v>
      </c>
      <c r="E4199" s="15" t="n">
        <f aca="false">B4199/Summary!$B$5-1</f>
        <v>-0.176945721179546</v>
      </c>
    </row>
    <row r="4200" customFormat="false" ht="15" hidden="false" customHeight="false" outlineLevel="0" collapsed="false">
      <c r="A4200" s="0" t="n">
        <v>4199</v>
      </c>
      <c r="B4200" s="14" t="n">
        <v>99550.3128422867</v>
      </c>
      <c r="C4200" s="15" t="n">
        <v>0.126897165859789</v>
      </c>
      <c r="D4200" s="14" t="n">
        <f aca="false">Summary!$B$5-B4200</f>
        <v>449.687157713284</v>
      </c>
      <c r="E4200" s="15" t="n">
        <f aca="false">B4200/Summary!$B$5-1</f>
        <v>-0.00449687157713286</v>
      </c>
    </row>
    <row r="4201" customFormat="false" ht="15" hidden="false" customHeight="false" outlineLevel="0" collapsed="false">
      <c r="A4201" s="0" t="n">
        <v>4200</v>
      </c>
      <c r="B4201" s="14" t="n">
        <v>111038.7128834</v>
      </c>
      <c r="C4201" s="15" t="n">
        <v>0.0957479887507857</v>
      </c>
      <c r="D4201" s="14" t="n">
        <f aca="false">Summary!$B$5-B4201</f>
        <v>-11038.7128833999</v>
      </c>
      <c r="E4201" s="15" t="n">
        <f aca="false">B4201/Summary!$B$5-1</f>
        <v>0.110387128833999</v>
      </c>
    </row>
    <row r="4202" customFormat="false" ht="15" hidden="false" customHeight="false" outlineLevel="0" collapsed="false">
      <c r="A4202" s="0" t="n">
        <v>4201</v>
      </c>
      <c r="B4202" s="14" t="n">
        <v>112859.707611282</v>
      </c>
      <c r="C4202" s="15" t="n">
        <v>0.0682231300049809</v>
      </c>
      <c r="D4202" s="14" t="n">
        <f aca="false">Summary!$B$5-B4202</f>
        <v>-12859.707611282</v>
      </c>
      <c r="E4202" s="15" t="n">
        <f aca="false">B4202/Summary!$B$5-1</f>
        <v>0.12859707611282</v>
      </c>
    </row>
    <row r="4203" customFormat="false" ht="15" hidden="false" customHeight="false" outlineLevel="0" collapsed="false">
      <c r="A4203" s="0" t="n">
        <v>4202</v>
      </c>
      <c r="B4203" s="14" t="n">
        <v>104283.262099566</v>
      </c>
      <c r="C4203" s="15" t="n">
        <v>0.0768512635102603</v>
      </c>
      <c r="D4203" s="14" t="n">
        <f aca="false">Summary!$B$5-B4203</f>
        <v>-4283.2620995662</v>
      </c>
      <c r="E4203" s="15" t="n">
        <f aca="false">B4203/Summary!$B$5-1</f>
        <v>0.042832620995662</v>
      </c>
    </row>
    <row r="4204" customFormat="false" ht="15" hidden="false" customHeight="false" outlineLevel="0" collapsed="false">
      <c r="A4204" s="0" t="n">
        <v>4203</v>
      </c>
      <c r="B4204" s="14" t="n">
        <v>115693.75940689</v>
      </c>
      <c r="C4204" s="15" t="n">
        <v>0.134499790900689</v>
      </c>
      <c r="D4204" s="14" t="n">
        <f aca="false">Summary!$B$5-B4204</f>
        <v>-15693.7594068901</v>
      </c>
      <c r="E4204" s="15" t="n">
        <f aca="false">B4204/Summary!$B$5-1</f>
        <v>0.156937594068901</v>
      </c>
    </row>
    <row r="4205" customFormat="false" ht="15" hidden="false" customHeight="false" outlineLevel="0" collapsed="false">
      <c r="A4205" s="0" t="n">
        <v>4204</v>
      </c>
      <c r="B4205" s="14" t="n">
        <v>100882.75918</v>
      </c>
      <c r="C4205" s="15" t="n">
        <v>0.141285971105746</v>
      </c>
      <c r="D4205" s="14" t="n">
        <f aca="false">Summary!$B$5-B4205</f>
        <v>-882.759179999499</v>
      </c>
      <c r="E4205" s="15" t="n">
        <f aca="false">B4205/Summary!$B$5-1</f>
        <v>0.00882759179999493</v>
      </c>
    </row>
    <row r="4206" customFormat="false" ht="15" hidden="false" customHeight="false" outlineLevel="0" collapsed="false">
      <c r="A4206" s="0" t="n">
        <v>4205</v>
      </c>
      <c r="B4206" s="14" t="n">
        <v>109525.213697358</v>
      </c>
      <c r="C4206" s="15" t="n">
        <v>0.0828879582255674</v>
      </c>
      <c r="D4206" s="14" t="n">
        <f aca="false">Summary!$B$5-B4206</f>
        <v>-9525.2136973582</v>
      </c>
      <c r="E4206" s="15" t="n">
        <f aca="false">B4206/Summary!$B$5-1</f>
        <v>0.0952521369735819</v>
      </c>
    </row>
    <row r="4207" customFormat="false" ht="15" hidden="false" customHeight="false" outlineLevel="0" collapsed="false">
      <c r="A4207" s="0" t="n">
        <v>4206</v>
      </c>
      <c r="B4207" s="14" t="n">
        <v>114724.374019084</v>
      </c>
      <c r="C4207" s="15" t="n">
        <v>0.108064175139723</v>
      </c>
      <c r="D4207" s="14" t="n">
        <f aca="false">Summary!$B$5-B4207</f>
        <v>-14724.3740190837</v>
      </c>
      <c r="E4207" s="15" t="n">
        <f aca="false">B4207/Summary!$B$5-1</f>
        <v>0.147243740190837</v>
      </c>
    </row>
    <row r="4208" customFormat="false" ht="15" hidden="false" customHeight="false" outlineLevel="0" collapsed="false">
      <c r="A4208" s="0" t="n">
        <v>4207</v>
      </c>
      <c r="B4208" s="14" t="n">
        <v>99787.7880308633</v>
      </c>
      <c r="C4208" s="15" t="n">
        <v>0.143687265449307</v>
      </c>
      <c r="D4208" s="14" t="n">
        <f aca="false">Summary!$B$5-B4208</f>
        <v>212.211969136741</v>
      </c>
      <c r="E4208" s="15" t="n">
        <f aca="false">B4208/Summary!$B$5-1</f>
        <v>-0.00212211969136744</v>
      </c>
    </row>
    <row r="4209" customFormat="false" ht="15" hidden="false" customHeight="false" outlineLevel="0" collapsed="false">
      <c r="A4209" s="0" t="n">
        <v>4208</v>
      </c>
      <c r="B4209" s="14" t="n">
        <v>104657.911904877</v>
      </c>
      <c r="C4209" s="15" t="n">
        <v>0.0966163073184287</v>
      </c>
      <c r="D4209" s="14" t="n">
        <f aca="false">Summary!$B$5-B4209</f>
        <v>-4657.9119048772</v>
      </c>
      <c r="E4209" s="15" t="n">
        <f aca="false">B4209/Summary!$B$5-1</f>
        <v>0.0465791190487719</v>
      </c>
    </row>
    <row r="4210" customFormat="false" ht="15" hidden="false" customHeight="false" outlineLevel="0" collapsed="false">
      <c r="A4210" s="0" t="n">
        <v>4209</v>
      </c>
      <c r="B4210" s="14" t="n">
        <v>110356.894770283</v>
      </c>
      <c r="C4210" s="15" t="n">
        <v>0.0691309410209868</v>
      </c>
      <c r="D4210" s="14" t="n">
        <f aca="false">Summary!$B$5-B4210</f>
        <v>-10356.8947702833</v>
      </c>
      <c r="E4210" s="15" t="n">
        <f aca="false">B4210/Summary!$B$5-1</f>
        <v>0.103568947702833</v>
      </c>
    </row>
    <row r="4211" customFormat="false" ht="15" hidden="false" customHeight="false" outlineLevel="0" collapsed="false">
      <c r="A4211" s="0" t="n">
        <v>4210</v>
      </c>
      <c r="B4211" s="14" t="n">
        <v>106496.770671651</v>
      </c>
      <c r="C4211" s="15" t="n">
        <v>0.1197368604973</v>
      </c>
      <c r="D4211" s="14" t="n">
        <f aca="false">Summary!$B$5-B4211</f>
        <v>-6496.7706716511</v>
      </c>
      <c r="E4211" s="15" t="n">
        <f aca="false">B4211/Summary!$B$5-1</f>
        <v>0.0649677067165111</v>
      </c>
    </row>
    <row r="4212" customFormat="false" ht="15" hidden="false" customHeight="false" outlineLevel="0" collapsed="false">
      <c r="A4212" s="0" t="n">
        <v>4211</v>
      </c>
      <c r="B4212" s="14" t="n">
        <v>114212.295669789</v>
      </c>
      <c r="C4212" s="15" t="n">
        <v>0.096738178176522</v>
      </c>
      <c r="D4212" s="14" t="n">
        <f aca="false">Summary!$B$5-B4212</f>
        <v>-14212.2956697892</v>
      </c>
      <c r="E4212" s="15" t="n">
        <f aca="false">B4212/Summary!$B$5-1</f>
        <v>0.142122956697892</v>
      </c>
    </row>
    <row r="4213" customFormat="false" ht="15" hidden="false" customHeight="false" outlineLevel="0" collapsed="false">
      <c r="A4213" s="0" t="n">
        <v>4212</v>
      </c>
      <c r="B4213" s="14" t="n">
        <v>101783.97663415</v>
      </c>
      <c r="C4213" s="15" t="n">
        <v>0.0967749865617474</v>
      </c>
      <c r="D4213" s="14" t="n">
        <f aca="false">Summary!$B$5-B4213</f>
        <v>-1783.9766341496</v>
      </c>
      <c r="E4213" s="15" t="n">
        <f aca="false">B4213/Summary!$B$5-1</f>
        <v>0.017839766341496</v>
      </c>
    </row>
    <row r="4214" customFormat="false" ht="15" hidden="false" customHeight="false" outlineLevel="0" collapsed="false">
      <c r="A4214" s="0" t="n">
        <v>4213</v>
      </c>
      <c r="B4214" s="14" t="n">
        <v>121713.705333754</v>
      </c>
      <c r="C4214" s="15" t="n">
        <v>0.0630140899889184</v>
      </c>
      <c r="D4214" s="14" t="n">
        <f aca="false">Summary!$B$5-B4214</f>
        <v>-21713.7053337535</v>
      </c>
      <c r="E4214" s="15" t="n">
        <f aca="false">B4214/Summary!$B$5-1</f>
        <v>0.217137053337535</v>
      </c>
    </row>
    <row r="4215" customFormat="false" ht="15" hidden="false" customHeight="false" outlineLevel="0" collapsed="false">
      <c r="A4215" s="0" t="n">
        <v>4214</v>
      </c>
      <c r="B4215" s="14" t="n">
        <v>110468.170727071</v>
      </c>
      <c r="C4215" s="15" t="n">
        <v>0.0626013901051195</v>
      </c>
      <c r="D4215" s="14" t="n">
        <f aca="false">Summary!$B$5-B4215</f>
        <v>-10468.1707270712</v>
      </c>
      <c r="E4215" s="15" t="n">
        <f aca="false">B4215/Summary!$B$5-1</f>
        <v>0.104681707270712</v>
      </c>
    </row>
    <row r="4216" customFormat="false" ht="15" hidden="false" customHeight="false" outlineLevel="0" collapsed="false">
      <c r="A4216" s="0" t="n">
        <v>4215</v>
      </c>
      <c r="B4216" s="14" t="n">
        <v>95077.1271959362</v>
      </c>
      <c r="C4216" s="15" t="n">
        <v>0.134920278899107</v>
      </c>
      <c r="D4216" s="14" t="n">
        <f aca="false">Summary!$B$5-B4216</f>
        <v>4922.87280406384</v>
      </c>
      <c r="E4216" s="15" t="n">
        <f aca="false">B4216/Summary!$B$5-1</f>
        <v>-0.0492287280406384</v>
      </c>
    </row>
    <row r="4217" customFormat="false" ht="15" hidden="false" customHeight="false" outlineLevel="0" collapsed="false">
      <c r="A4217" s="0" t="n">
        <v>4216</v>
      </c>
      <c r="B4217" s="14" t="n">
        <v>111995.208385028</v>
      </c>
      <c r="C4217" s="15" t="n">
        <v>0.112056103646561</v>
      </c>
      <c r="D4217" s="14" t="n">
        <f aca="false">Summary!$B$5-B4217</f>
        <v>-11995.2083850281</v>
      </c>
      <c r="E4217" s="15" t="n">
        <f aca="false">B4217/Summary!$B$5-1</f>
        <v>0.119952083850281</v>
      </c>
    </row>
    <row r="4218" customFormat="false" ht="15" hidden="false" customHeight="false" outlineLevel="0" collapsed="false">
      <c r="A4218" s="0" t="n">
        <v>4217</v>
      </c>
      <c r="B4218" s="14" t="n">
        <v>124862.511563378</v>
      </c>
      <c r="C4218" s="15" t="n">
        <v>0.081453859199553</v>
      </c>
      <c r="D4218" s="14" t="n">
        <f aca="false">Summary!$B$5-B4218</f>
        <v>-24862.5115633778</v>
      </c>
      <c r="E4218" s="15" t="n">
        <f aca="false">B4218/Summary!$B$5-1</f>
        <v>0.248625115633778</v>
      </c>
    </row>
    <row r="4219" customFormat="false" ht="15" hidden="false" customHeight="false" outlineLevel="0" collapsed="false">
      <c r="A4219" s="0" t="n">
        <v>4218</v>
      </c>
      <c r="B4219" s="14" t="n">
        <v>112459.806439198</v>
      </c>
      <c r="C4219" s="15" t="n">
        <v>0.0961820095361103</v>
      </c>
      <c r="D4219" s="14" t="n">
        <f aca="false">Summary!$B$5-B4219</f>
        <v>-12459.8064391976</v>
      </c>
      <c r="E4219" s="15" t="n">
        <f aca="false">B4219/Summary!$B$5-1</f>
        <v>0.124598064391976</v>
      </c>
    </row>
    <row r="4220" customFormat="false" ht="15" hidden="false" customHeight="false" outlineLevel="0" collapsed="false">
      <c r="A4220" s="0" t="n">
        <v>4219</v>
      </c>
      <c r="B4220" s="14" t="n">
        <v>119235.140440637</v>
      </c>
      <c r="C4220" s="15" t="n">
        <v>0.0712068000865236</v>
      </c>
      <c r="D4220" s="14" t="n">
        <f aca="false">Summary!$B$5-B4220</f>
        <v>-19235.140440637</v>
      </c>
      <c r="E4220" s="15" t="n">
        <f aca="false">B4220/Summary!$B$5-1</f>
        <v>0.19235140440637</v>
      </c>
    </row>
    <row r="4221" customFormat="false" ht="15" hidden="false" customHeight="false" outlineLevel="0" collapsed="false">
      <c r="A4221" s="0" t="n">
        <v>4220</v>
      </c>
      <c r="B4221" s="14" t="n">
        <v>128438.082659442</v>
      </c>
      <c r="C4221" s="15" t="n">
        <v>0.0553807909507905</v>
      </c>
      <c r="D4221" s="14" t="n">
        <f aca="false">Summary!$B$5-B4221</f>
        <v>-28438.0826594415</v>
      </c>
      <c r="E4221" s="15" t="n">
        <f aca="false">B4221/Summary!$B$5-1</f>
        <v>0.284380826594415</v>
      </c>
    </row>
    <row r="4222" customFormat="false" ht="15" hidden="false" customHeight="false" outlineLevel="0" collapsed="false">
      <c r="A4222" s="0" t="n">
        <v>4221</v>
      </c>
      <c r="B4222" s="14" t="n">
        <v>101101.004717727</v>
      </c>
      <c r="C4222" s="15" t="n">
        <v>0.0936509498615245</v>
      </c>
      <c r="D4222" s="14" t="n">
        <f aca="false">Summary!$B$5-B4222</f>
        <v>-1101.0047177269</v>
      </c>
      <c r="E4222" s="15" t="n">
        <f aca="false">B4222/Summary!$B$5-1</f>
        <v>0.0110100471772689</v>
      </c>
    </row>
    <row r="4223" customFormat="false" ht="15" hidden="false" customHeight="false" outlineLevel="0" collapsed="false">
      <c r="A4223" s="0" t="n">
        <v>4222</v>
      </c>
      <c r="B4223" s="14" t="n">
        <v>130394.165016431</v>
      </c>
      <c r="C4223" s="15" t="n">
        <v>0.0678298348103728</v>
      </c>
      <c r="D4223" s="14" t="n">
        <f aca="false">Summary!$B$5-B4223</f>
        <v>-30394.165016431</v>
      </c>
      <c r="E4223" s="15" t="n">
        <f aca="false">B4223/Summary!$B$5-1</f>
        <v>0.30394165016431</v>
      </c>
    </row>
    <row r="4224" customFormat="false" ht="15" hidden="false" customHeight="false" outlineLevel="0" collapsed="false">
      <c r="A4224" s="0" t="n">
        <v>4223</v>
      </c>
      <c r="B4224" s="14" t="n">
        <v>120261.36303173</v>
      </c>
      <c r="C4224" s="15" t="n">
        <v>0.077051136926094</v>
      </c>
      <c r="D4224" s="14" t="n">
        <f aca="false">Summary!$B$5-B4224</f>
        <v>-20261.3630317296</v>
      </c>
      <c r="E4224" s="15" t="n">
        <f aca="false">B4224/Summary!$B$5-1</f>
        <v>0.202613630317296</v>
      </c>
    </row>
    <row r="4225" customFormat="false" ht="15" hidden="false" customHeight="false" outlineLevel="0" collapsed="false">
      <c r="A4225" s="0" t="n">
        <v>4224</v>
      </c>
      <c r="B4225" s="14" t="n">
        <v>105112.739520579</v>
      </c>
      <c r="C4225" s="15" t="n">
        <v>0.0612523777048047</v>
      </c>
      <c r="D4225" s="14" t="n">
        <f aca="false">Summary!$B$5-B4225</f>
        <v>-5112.7395205785</v>
      </c>
      <c r="E4225" s="15" t="n">
        <f aca="false">B4225/Summary!$B$5-1</f>
        <v>0.0511273952057849</v>
      </c>
    </row>
    <row r="4226" customFormat="false" ht="15" hidden="false" customHeight="false" outlineLevel="0" collapsed="false">
      <c r="A4226" s="0" t="n">
        <v>4225</v>
      </c>
      <c r="B4226" s="14" t="n">
        <v>129484.506945145</v>
      </c>
      <c r="C4226" s="15" t="n">
        <v>0.0513513877450743</v>
      </c>
      <c r="D4226" s="14" t="n">
        <f aca="false">Summary!$B$5-B4226</f>
        <v>-29484.5069451453</v>
      </c>
      <c r="E4226" s="15" t="n">
        <f aca="false">B4226/Summary!$B$5-1</f>
        <v>0.294845069451453</v>
      </c>
    </row>
    <row r="4227" customFormat="false" ht="15" hidden="false" customHeight="false" outlineLevel="0" collapsed="false">
      <c r="A4227" s="0" t="n">
        <v>4226</v>
      </c>
      <c r="B4227" s="14" t="n">
        <v>104881.934503452</v>
      </c>
      <c r="C4227" s="15" t="n">
        <v>0.0968534173547163</v>
      </c>
      <c r="D4227" s="14" t="n">
        <f aca="false">Summary!$B$5-B4227</f>
        <v>-4881.9345034523</v>
      </c>
      <c r="E4227" s="15" t="n">
        <f aca="false">B4227/Summary!$B$5-1</f>
        <v>0.0488193450345229</v>
      </c>
    </row>
    <row r="4228" customFormat="false" ht="15" hidden="false" customHeight="false" outlineLevel="0" collapsed="false">
      <c r="A4228" s="0" t="n">
        <v>4227</v>
      </c>
      <c r="B4228" s="14" t="n">
        <v>121430.295311015</v>
      </c>
      <c r="C4228" s="15" t="n">
        <v>0.0970078986901359</v>
      </c>
      <c r="D4228" s="14" t="n">
        <f aca="false">Summary!$B$5-B4228</f>
        <v>-21430.2953110145</v>
      </c>
      <c r="E4228" s="15" t="n">
        <f aca="false">B4228/Summary!$B$5-1</f>
        <v>0.214302953110145</v>
      </c>
    </row>
    <row r="4229" customFormat="false" ht="15" hidden="false" customHeight="false" outlineLevel="0" collapsed="false">
      <c r="A4229" s="0" t="n">
        <v>4228</v>
      </c>
      <c r="B4229" s="14" t="n">
        <v>86729.4885368413</v>
      </c>
      <c r="C4229" s="15" t="n">
        <v>0.202008981762594</v>
      </c>
      <c r="D4229" s="14" t="n">
        <f aca="false">Summary!$B$5-B4229</f>
        <v>13270.5114631587</v>
      </c>
      <c r="E4229" s="15" t="n">
        <f aca="false">B4229/Summary!$B$5-1</f>
        <v>-0.132705114631587</v>
      </c>
    </row>
    <row r="4230" customFormat="false" ht="15" hidden="false" customHeight="false" outlineLevel="0" collapsed="false">
      <c r="A4230" s="0" t="n">
        <v>4229</v>
      </c>
      <c r="B4230" s="14" t="n">
        <v>115875.823972039</v>
      </c>
      <c r="C4230" s="15" t="n">
        <v>0.0879058741716751</v>
      </c>
      <c r="D4230" s="14" t="n">
        <f aca="false">Summary!$B$5-B4230</f>
        <v>-15875.8239720392</v>
      </c>
      <c r="E4230" s="15" t="n">
        <f aca="false">B4230/Summary!$B$5-1</f>
        <v>0.158758239720392</v>
      </c>
    </row>
    <row r="4231" customFormat="false" ht="15" hidden="false" customHeight="false" outlineLevel="0" collapsed="false">
      <c r="A4231" s="0" t="n">
        <v>4230</v>
      </c>
      <c r="B4231" s="14" t="n">
        <v>111191.253610163</v>
      </c>
      <c r="C4231" s="15" t="n">
        <v>0.0484798863387812</v>
      </c>
      <c r="D4231" s="14" t="n">
        <f aca="false">Summary!$B$5-B4231</f>
        <v>-11191.2536101629</v>
      </c>
      <c r="E4231" s="15" t="n">
        <f aca="false">B4231/Summary!$B$5-1</f>
        <v>0.111912536101629</v>
      </c>
    </row>
    <row r="4232" customFormat="false" ht="15" hidden="false" customHeight="false" outlineLevel="0" collapsed="false">
      <c r="A4232" s="0" t="n">
        <v>4231</v>
      </c>
      <c r="B4232" s="14" t="n">
        <v>113833.014464507</v>
      </c>
      <c r="C4232" s="15" t="n">
        <v>0.0534334834826116</v>
      </c>
      <c r="D4232" s="14" t="n">
        <f aca="false">Summary!$B$5-B4232</f>
        <v>-13833.0144645072</v>
      </c>
      <c r="E4232" s="15" t="n">
        <f aca="false">B4232/Summary!$B$5-1</f>
        <v>0.138330144645072</v>
      </c>
    </row>
    <row r="4233" customFormat="false" ht="15" hidden="false" customHeight="false" outlineLevel="0" collapsed="false">
      <c r="A4233" s="0" t="n">
        <v>4232</v>
      </c>
      <c r="B4233" s="14" t="n">
        <v>102341.467804551</v>
      </c>
      <c r="C4233" s="15" t="n">
        <v>0.0928260395259732</v>
      </c>
      <c r="D4233" s="14" t="n">
        <f aca="false">Summary!$B$5-B4233</f>
        <v>-2341.4678045505</v>
      </c>
      <c r="E4233" s="15" t="n">
        <f aca="false">B4233/Summary!$B$5-1</f>
        <v>0.0234146780455049</v>
      </c>
    </row>
    <row r="4234" customFormat="false" ht="15" hidden="false" customHeight="false" outlineLevel="0" collapsed="false">
      <c r="A4234" s="0" t="n">
        <v>4233</v>
      </c>
      <c r="B4234" s="14" t="n">
        <v>102500.44501379</v>
      </c>
      <c r="C4234" s="15" t="n">
        <v>0.120710529448027</v>
      </c>
      <c r="D4234" s="14" t="n">
        <f aca="false">Summary!$B$5-B4234</f>
        <v>-2500.4450137901</v>
      </c>
      <c r="E4234" s="15" t="n">
        <f aca="false">B4234/Summary!$B$5-1</f>
        <v>0.025004450137901</v>
      </c>
    </row>
    <row r="4235" customFormat="false" ht="15" hidden="false" customHeight="false" outlineLevel="0" collapsed="false">
      <c r="A4235" s="0" t="n">
        <v>4234</v>
      </c>
      <c r="B4235" s="14" t="n">
        <v>111495.128451723</v>
      </c>
      <c r="C4235" s="15" t="n">
        <v>0.140069605993907</v>
      </c>
      <c r="D4235" s="14" t="n">
        <f aca="false">Summary!$B$5-B4235</f>
        <v>-11495.1284517228</v>
      </c>
      <c r="E4235" s="15" t="n">
        <f aca="false">B4235/Summary!$B$5-1</f>
        <v>0.114951284517228</v>
      </c>
    </row>
    <row r="4236" customFormat="false" ht="15" hidden="false" customHeight="false" outlineLevel="0" collapsed="false">
      <c r="A4236" s="0" t="n">
        <v>4235</v>
      </c>
      <c r="B4236" s="14" t="n">
        <v>101007.252212768</v>
      </c>
      <c r="C4236" s="15" t="n">
        <v>0.131420757833285</v>
      </c>
      <c r="D4236" s="14" t="n">
        <f aca="false">Summary!$B$5-B4236</f>
        <v>-1007.2522127683</v>
      </c>
      <c r="E4236" s="15" t="n">
        <f aca="false">B4236/Summary!$B$5-1</f>
        <v>0.0100725221276829</v>
      </c>
    </row>
    <row r="4237" customFormat="false" ht="15" hidden="false" customHeight="false" outlineLevel="0" collapsed="false">
      <c r="A4237" s="0" t="n">
        <v>4236</v>
      </c>
      <c r="B4237" s="14" t="n">
        <v>111925.909911405</v>
      </c>
      <c r="C4237" s="15" t="n">
        <v>0.0875026519377412</v>
      </c>
      <c r="D4237" s="14" t="n">
        <f aca="false">Summary!$B$5-B4237</f>
        <v>-11925.9099114054</v>
      </c>
      <c r="E4237" s="15" t="n">
        <f aca="false">B4237/Summary!$B$5-1</f>
        <v>0.119259099114054</v>
      </c>
    </row>
    <row r="4238" customFormat="false" ht="15" hidden="false" customHeight="false" outlineLevel="0" collapsed="false">
      <c r="A4238" s="0" t="n">
        <v>4237</v>
      </c>
      <c r="B4238" s="14" t="n">
        <v>93727.6733413819</v>
      </c>
      <c r="C4238" s="15" t="n">
        <v>0.114541344291656</v>
      </c>
      <c r="D4238" s="14" t="n">
        <f aca="false">Summary!$B$5-B4238</f>
        <v>6272.32665861814</v>
      </c>
      <c r="E4238" s="15" t="n">
        <f aca="false">B4238/Summary!$B$5-1</f>
        <v>-0.0627232665861814</v>
      </c>
    </row>
    <row r="4239" customFormat="false" ht="15" hidden="false" customHeight="false" outlineLevel="0" collapsed="false">
      <c r="A4239" s="0" t="n">
        <v>4238</v>
      </c>
      <c r="B4239" s="14" t="n">
        <v>97301.016929233</v>
      </c>
      <c r="C4239" s="15" t="n">
        <v>0.127776182564274</v>
      </c>
      <c r="D4239" s="14" t="n">
        <f aca="false">Summary!$B$5-B4239</f>
        <v>2698.98307076705</v>
      </c>
      <c r="E4239" s="15" t="n">
        <f aca="false">B4239/Summary!$B$5-1</f>
        <v>-0.0269898307076705</v>
      </c>
    </row>
    <row r="4240" customFormat="false" ht="15" hidden="false" customHeight="false" outlineLevel="0" collapsed="false">
      <c r="A4240" s="0" t="n">
        <v>4239</v>
      </c>
      <c r="B4240" s="14" t="n">
        <v>138347.419097094</v>
      </c>
      <c r="C4240" s="15" t="n">
        <v>0.0478738506150209</v>
      </c>
      <c r="D4240" s="14" t="n">
        <f aca="false">Summary!$B$5-B4240</f>
        <v>-38347.4190970943</v>
      </c>
      <c r="E4240" s="15" t="n">
        <f aca="false">B4240/Summary!$B$5-1</f>
        <v>0.383474190970943</v>
      </c>
    </row>
    <row r="4241" customFormat="false" ht="15" hidden="false" customHeight="false" outlineLevel="0" collapsed="false">
      <c r="A4241" s="0" t="n">
        <v>4240</v>
      </c>
      <c r="B4241" s="14" t="n">
        <v>104209.173453483</v>
      </c>
      <c r="C4241" s="15" t="n">
        <v>0.157732818455972</v>
      </c>
      <c r="D4241" s="14" t="n">
        <f aca="false">Summary!$B$5-B4241</f>
        <v>-4209.1734534834</v>
      </c>
      <c r="E4241" s="15" t="n">
        <f aca="false">B4241/Summary!$B$5-1</f>
        <v>0.042091734534834</v>
      </c>
    </row>
    <row r="4242" customFormat="false" ht="15" hidden="false" customHeight="false" outlineLevel="0" collapsed="false">
      <c r="A4242" s="0" t="n">
        <v>4241</v>
      </c>
      <c r="B4242" s="14" t="n">
        <v>117647.910830694</v>
      </c>
      <c r="C4242" s="15" t="n">
        <v>0.0717515301381768</v>
      </c>
      <c r="D4242" s="14" t="n">
        <f aca="false">Summary!$B$5-B4242</f>
        <v>-17647.9108306943</v>
      </c>
      <c r="E4242" s="15" t="n">
        <f aca="false">B4242/Summary!$B$5-1</f>
        <v>0.176479108306943</v>
      </c>
    </row>
    <row r="4243" customFormat="false" ht="15" hidden="false" customHeight="false" outlineLevel="0" collapsed="false">
      <c r="A4243" s="0" t="n">
        <v>4242</v>
      </c>
      <c r="B4243" s="14" t="n">
        <v>127432.050314141</v>
      </c>
      <c r="C4243" s="15" t="n">
        <v>0.0664844290322522</v>
      </c>
      <c r="D4243" s="14" t="n">
        <f aca="false">Summary!$B$5-B4243</f>
        <v>-27432.0503141413</v>
      </c>
      <c r="E4243" s="15" t="n">
        <f aca="false">B4243/Summary!$B$5-1</f>
        <v>0.274320503141413</v>
      </c>
    </row>
    <row r="4244" customFormat="false" ht="15" hidden="false" customHeight="false" outlineLevel="0" collapsed="false">
      <c r="A4244" s="0" t="n">
        <v>4243</v>
      </c>
      <c r="B4244" s="14" t="n">
        <v>103407.814190507</v>
      </c>
      <c r="C4244" s="15" t="n">
        <v>0.1437165073695</v>
      </c>
      <c r="D4244" s="14" t="n">
        <f aca="false">Summary!$B$5-B4244</f>
        <v>-3407.81419050691</v>
      </c>
      <c r="E4244" s="15" t="n">
        <f aca="false">B4244/Summary!$B$5-1</f>
        <v>0.0340781419050691</v>
      </c>
    </row>
    <row r="4245" customFormat="false" ht="15" hidden="false" customHeight="false" outlineLevel="0" collapsed="false">
      <c r="A4245" s="0" t="n">
        <v>4244</v>
      </c>
      <c r="B4245" s="14" t="n">
        <v>112998.597645004</v>
      </c>
      <c r="C4245" s="15" t="n">
        <v>0.0532348575719744</v>
      </c>
      <c r="D4245" s="14" t="n">
        <f aca="false">Summary!$B$5-B4245</f>
        <v>-12998.5976450042</v>
      </c>
      <c r="E4245" s="15" t="n">
        <f aca="false">B4245/Summary!$B$5-1</f>
        <v>0.129985976450042</v>
      </c>
    </row>
    <row r="4246" customFormat="false" ht="15" hidden="false" customHeight="false" outlineLevel="0" collapsed="false">
      <c r="A4246" s="0" t="n">
        <v>4245</v>
      </c>
      <c r="B4246" s="14" t="n">
        <v>111521.870847116</v>
      </c>
      <c r="C4246" s="15" t="n">
        <v>0.0846306007088061</v>
      </c>
      <c r="D4246" s="14" t="n">
        <f aca="false">Summary!$B$5-B4246</f>
        <v>-11521.8708471155</v>
      </c>
      <c r="E4246" s="15" t="n">
        <f aca="false">B4246/Summary!$B$5-1</f>
        <v>0.115218708471155</v>
      </c>
    </row>
    <row r="4247" customFormat="false" ht="15" hidden="false" customHeight="false" outlineLevel="0" collapsed="false">
      <c r="A4247" s="0" t="n">
        <v>4246</v>
      </c>
      <c r="B4247" s="14" t="n">
        <v>95053.1814631809</v>
      </c>
      <c r="C4247" s="15" t="n">
        <v>0.0716583961874591</v>
      </c>
      <c r="D4247" s="14" t="n">
        <f aca="false">Summary!$B$5-B4247</f>
        <v>4946.8185368191</v>
      </c>
      <c r="E4247" s="15" t="n">
        <f aca="false">B4247/Summary!$B$5-1</f>
        <v>-0.0494681853681911</v>
      </c>
    </row>
    <row r="4248" customFormat="false" ht="15" hidden="false" customHeight="false" outlineLevel="0" collapsed="false">
      <c r="A4248" s="0" t="n">
        <v>4247</v>
      </c>
      <c r="B4248" s="14" t="n">
        <v>117428.995302161</v>
      </c>
      <c r="C4248" s="15" t="n">
        <v>0.0541358361282086</v>
      </c>
      <c r="D4248" s="14" t="n">
        <f aca="false">Summary!$B$5-B4248</f>
        <v>-17428.9953021605</v>
      </c>
      <c r="E4248" s="15" t="n">
        <f aca="false">B4248/Summary!$B$5-1</f>
        <v>0.174289953021605</v>
      </c>
    </row>
    <row r="4249" customFormat="false" ht="15" hidden="false" customHeight="false" outlineLevel="0" collapsed="false">
      <c r="A4249" s="0" t="n">
        <v>4248</v>
      </c>
      <c r="B4249" s="14" t="n">
        <v>89193.080124722</v>
      </c>
      <c r="C4249" s="15" t="n">
        <v>0.168828747086657</v>
      </c>
      <c r="D4249" s="14" t="n">
        <f aca="false">Summary!$B$5-B4249</f>
        <v>10806.919875278</v>
      </c>
      <c r="E4249" s="15" t="n">
        <f aca="false">B4249/Summary!$B$5-1</f>
        <v>-0.10806919875278</v>
      </c>
    </row>
    <row r="4250" customFormat="false" ht="15" hidden="false" customHeight="false" outlineLevel="0" collapsed="false">
      <c r="A4250" s="0" t="n">
        <v>4249</v>
      </c>
      <c r="B4250" s="14" t="n">
        <v>118721.755693817</v>
      </c>
      <c r="C4250" s="15" t="n">
        <v>0.0693565862677852</v>
      </c>
      <c r="D4250" s="14" t="n">
        <f aca="false">Summary!$B$5-B4250</f>
        <v>-18721.755693817</v>
      </c>
      <c r="E4250" s="15" t="n">
        <f aca="false">B4250/Summary!$B$5-1</f>
        <v>0.18721755693817</v>
      </c>
    </row>
    <row r="4251" customFormat="false" ht="15" hidden="false" customHeight="false" outlineLevel="0" collapsed="false">
      <c r="A4251" s="0" t="n">
        <v>4250</v>
      </c>
      <c r="B4251" s="14" t="n">
        <v>99264.4641802589</v>
      </c>
      <c r="C4251" s="15" t="n">
        <v>0.099932903548726</v>
      </c>
      <c r="D4251" s="14" t="n">
        <f aca="false">Summary!$B$5-B4251</f>
        <v>735.535819741112</v>
      </c>
      <c r="E4251" s="15" t="n">
        <f aca="false">B4251/Summary!$B$5-1</f>
        <v>-0.00735535819741107</v>
      </c>
    </row>
    <row r="4252" customFormat="false" ht="15" hidden="false" customHeight="false" outlineLevel="0" collapsed="false">
      <c r="A4252" s="0" t="n">
        <v>4251</v>
      </c>
      <c r="B4252" s="14" t="n">
        <v>90342.4021814796</v>
      </c>
      <c r="C4252" s="15" t="n">
        <v>0.142887104073324</v>
      </c>
      <c r="D4252" s="14" t="n">
        <f aca="false">Summary!$B$5-B4252</f>
        <v>9657.59781852042</v>
      </c>
      <c r="E4252" s="15" t="n">
        <f aca="false">B4252/Summary!$B$5-1</f>
        <v>-0.0965759781852041</v>
      </c>
    </row>
    <row r="4253" customFormat="false" ht="15" hidden="false" customHeight="false" outlineLevel="0" collapsed="false">
      <c r="A4253" s="0" t="n">
        <v>4252</v>
      </c>
      <c r="B4253" s="14" t="n">
        <v>108068.780006772</v>
      </c>
      <c r="C4253" s="15" t="n">
        <v>0.0756656362889163</v>
      </c>
      <c r="D4253" s="14" t="n">
        <f aca="false">Summary!$B$5-B4253</f>
        <v>-8068.7800067715</v>
      </c>
      <c r="E4253" s="15" t="n">
        <f aca="false">B4253/Summary!$B$5-1</f>
        <v>0.0806878000677149</v>
      </c>
    </row>
    <row r="4254" customFormat="false" ht="15" hidden="false" customHeight="false" outlineLevel="0" collapsed="false">
      <c r="A4254" s="0" t="n">
        <v>4253</v>
      </c>
      <c r="B4254" s="14" t="n">
        <v>108908.582312094</v>
      </c>
      <c r="C4254" s="15" t="n">
        <v>0.0959188020765937</v>
      </c>
      <c r="D4254" s="14" t="n">
        <f aca="false">Summary!$B$5-B4254</f>
        <v>-8908.5823120943</v>
      </c>
      <c r="E4254" s="15" t="n">
        <f aca="false">B4254/Summary!$B$5-1</f>
        <v>0.089085823120943</v>
      </c>
    </row>
    <row r="4255" customFormat="false" ht="15" hidden="false" customHeight="false" outlineLevel="0" collapsed="false">
      <c r="A4255" s="0" t="n">
        <v>4254</v>
      </c>
      <c r="B4255" s="14" t="n">
        <v>95247.1990568732</v>
      </c>
      <c r="C4255" s="15" t="n">
        <v>0.101191623480868</v>
      </c>
      <c r="D4255" s="14" t="n">
        <f aca="false">Summary!$B$5-B4255</f>
        <v>4752.80094312677</v>
      </c>
      <c r="E4255" s="15" t="n">
        <f aca="false">B4255/Summary!$B$5-1</f>
        <v>-0.0475280094312677</v>
      </c>
    </row>
    <row r="4256" customFormat="false" ht="15" hidden="false" customHeight="false" outlineLevel="0" collapsed="false">
      <c r="A4256" s="0" t="n">
        <v>4255</v>
      </c>
      <c r="B4256" s="14" t="n">
        <v>131360.808953868</v>
      </c>
      <c r="C4256" s="15" t="n">
        <v>0.0581899764009405</v>
      </c>
      <c r="D4256" s="14" t="n">
        <f aca="false">Summary!$B$5-B4256</f>
        <v>-31360.8089538677</v>
      </c>
      <c r="E4256" s="15" t="n">
        <f aca="false">B4256/Summary!$B$5-1</f>
        <v>0.313608089538677</v>
      </c>
    </row>
    <row r="4257" customFormat="false" ht="15" hidden="false" customHeight="false" outlineLevel="0" collapsed="false">
      <c r="A4257" s="0" t="n">
        <v>4256</v>
      </c>
      <c r="B4257" s="14" t="n">
        <v>105348.891430692</v>
      </c>
      <c r="C4257" s="15" t="n">
        <v>0.0896114704060942</v>
      </c>
      <c r="D4257" s="14" t="n">
        <f aca="false">Summary!$B$5-B4257</f>
        <v>-5348.8914306916</v>
      </c>
      <c r="E4257" s="15" t="n">
        <f aca="false">B4257/Summary!$B$5-1</f>
        <v>0.0534889143069159</v>
      </c>
    </row>
    <row r="4258" customFormat="false" ht="15" hidden="false" customHeight="false" outlineLevel="0" collapsed="false">
      <c r="A4258" s="0" t="n">
        <v>4257</v>
      </c>
      <c r="B4258" s="14" t="n">
        <v>118638.871833231</v>
      </c>
      <c r="C4258" s="15" t="n">
        <v>0.0903664803775733</v>
      </c>
      <c r="D4258" s="14" t="n">
        <f aca="false">Summary!$B$5-B4258</f>
        <v>-18638.8718332305</v>
      </c>
      <c r="E4258" s="15" t="n">
        <f aca="false">B4258/Summary!$B$5-1</f>
        <v>0.186388718332305</v>
      </c>
    </row>
    <row r="4259" customFormat="false" ht="15" hidden="false" customHeight="false" outlineLevel="0" collapsed="false">
      <c r="A4259" s="0" t="n">
        <v>4258</v>
      </c>
      <c r="B4259" s="14" t="n">
        <v>103745.36781078</v>
      </c>
      <c r="C4259" s="15" t="n">
        <v>0.101880598398722</v>
      </c>
      <c r="D4259" s="14" t="n">
        <f aca="false">Summary!$B$5-B4259</f>
        <v>-3745.3678107801</v>
      </c>
      <c r="E4259" s="15" t="n">
        <f aca="false">B4259/Summary!$B$5-1</f>
        <v>0.037453678107801</v>
      </c>
    </row>
    <row r="4260" customFormat="false" ht="15" hidden="false" customHeight="false" outlineLevel="0" collapsed="false">
      <c r="A4260" s="0" t="n">
        <v>4259</v>
      </c>
      <c r="B4260" s="14" t="n">
        <v>122016.998492984</v>
      </c>
      <c r="C4260" s="15" t="n">
        <v>0.0669735541074708</v>
      </c>
      <c r="D4260" s="14" t="n">
        <f aca="false">Summary!$B$5-B4260</f>
        <v>-22016.9984929842</v>
      </c>
      <c r="E4260" s="15" t="n">
        <f aca="false">B4260/Summary!$B$5-1</f>
        <v>0.220169984929842</v>
      </c>
    </row>
    <row r="4261" customFormat="false" ht="15" hidden="false" customHeight="false" outlineLevel="0" collapsed="false">
      <c r="A4261" s="0" t="n">
        <v>4260</v>
      </c>
      <c r="B4261" s="14" t="n">
        <v>134091.485639012</v>
      </c>
      <c r="C4261" s="15" t="n">
        <v>0.0578827220883346</v>
      </c>
      <c r="D4261" s="14" t="n">
        <f aca="false">Summary!$B$5-B4261</f>
        <v>-34091.4856390117</v>
      </c>
      <c r="E4261" s="15" t="n">
        <f aca="false">B4261/Summary!$B$5-1</f>
        <v>0.340914856390117</v>
      </c>
    </row>
    <row r="4262" customFormat="false" ht="15" hidden="false" customHeight="false" outlineLevel="0" collapsed="false">
      <c r="A4262" s="0" t="n">
        <v>4261</v>
      </c>
      <c r="B4262" s="14" t="n">
        <v>96568.5072960408</v>
      </c>
      <c r="C4262" s="15" t="n">
        <v>0.124468986489602</v>
      </c>
      <c r="D4262" s="14" t="n">
        <f aca="false">Summary!$B$5-B4262</f>
        <v>3431.49270395923</v>
      </c>
      <c r="E4262" s="15" t="n">
        <f aca="false">B4262/Summary!$B$5-1</f>
        <v>-0.0343149270395923</v>
      </c>
    </row>
    <row r="4263" customFormat="false" ht="15" hidden="false" customHeight="false" outlineLevel="0" collapsed="false">
      <c r="A4263" s="0" t="n">
        <v>4262</v>
      </c>
      <c r="B4263" s="14" t="n">
        <v>108040.260317499</v>
      </c>
      <c r="C4263" s="15" t="n">
        <v>0.0873708589004643</v>
      </c>
      <c r="D4263" s="14" t="n">
        <f aca="false">Summary!$B$5-B4263</f>
        <v>-8040.2603174992</v>
      </c>
      <c r="E4263" s="15" t="n">
        <f aca="false">B4263/Summary!$B$5-1</f>
        <v>0.080402603174992</v>
      </c>
    </row>
    <row r="4264" customFormat="false" ht="15" hidden="false" customHeight="false" outlineLevel="0" collapsed="false">
      <c r="A4264" s="0" t="n">
        <v>4263</v>
      </c>
      <c r="B4264" s="14" t="n">
        <v>105103.163213438</v>
      </c>
      <c r="C4264" s="15" t="n">
        <v>0.0758865263629035</v>
      </c>
      <c r="D4264" s="14" t="n">
        <f aca="false">Summary!$B$5-B4264</f>
        <v>-5103.1632134376</v>
      </c>
      <c r="E4264" s="15" t="n">
        <f aca="false">B4264/Summary!$B$5-1</f>
        <v>0.051031632134376</v>
      </c>
    </row>
    <row r="4265" customFormat="false" ht="15" hidden="false" customHeight="false" outlineLevel="0" collapsed="false">
      <c r="A4265" s="0" t="n">
        <v>4264</v>
      </c>
      <c r="B4265" s="14" t="n">
        <v>124777.012343989</v>
      </c>
      <c r="C4265" s="15" t="n">
        <v>0.0541212903988765</v>
      </c>
      <c r="D4265" s="14" t="n">
        <f aca="false">Summary!$B$5-B4265</f>
        <v>-24777.0123439888</v>
      </c>
      <c r="E4265" s="15" t="n">
        <f aca="false">B4265/Summary!$B$5-1</f>
        <v>0.247770123439888</v>
      </c>
    </row>
    <row r="4266" customFormat="false" ht="15" hidden="false" customHeight="false" outlineLevel="0" collapsed="false">
      <c r="A4266" s="0" t="n">
        <v>4265</v>
      </c>
      <c r="B4266" s="14" t="n">
        <v>117581.272557931</v>
      </c>
      <c r="C4266" s="15" t="n">
        <v>0.0867828817807467</v>
      </c>
      <c r="D4266" s="14" t="n">
        <f aca="false">Summary!$B$5-B4266</f>
        <v>-17581.272557931</v>
      </c>
      <c r="E4266" s="15" t="n">
        <f aca="false">B4266/Summary!$B$5-1</f>
        <v>0.17581272557931</v>
      </c>
    </row>
    <row r="4267" customFormat="false" ht="15" hidden="false" customHeight="false" outlineLevel="0" collapsed="false">
      <c r="A4267" s="0" t="n">
        <v>4266</v>
      </c>
      <c r="B4267" s="14" t="n">
        <v>113242.248356348</v>
      </c>
      <c r="C4267" s="15" t="n">
        <v>0.0758051908606188</v>
      </c>
      <c r="D4267" s="14" t="n">
        <f aca="false">Summary!$B$5-B4267</f>
        <v>-13242.2483563479</v>
      </c>
      <c r="E4267" s="15" t="n">
        <f aca="false">B4267/Summary!$B$5-1</f>
        <v>0.132422483563479</v>
      </c>
    </row>
    <row r="4268" customFormat="false" ht="15" hidden="false" customHeight="false" outlineLevel="0" collapsed="false">
      <c r="A4268" s="0" t="n">
        <v>4267</v>
      </c>
      <c r="B4268" s="14" t="n">
        <v>125566.325860699</v>
      </c>
      <c r="C4268" s="15" t="n">
        <v>0.0781306859543525</v>
      </c>
      <c r="D4268" s="14" t="n">
        <f aca="false">Summary!$B$5-B4268</f>
        <v>-25566.3258606988</v>
      </c>
      <c r="E4268" s="15" t="n">
        <f aca="false">B4268/Summary!$B$5-1</f>
        <v>0.255663258606988</v>
      </c>
    </row>
    <row r="4269" customFormat="false" ht="15" hidden="false" customHeight="false" outlineLevel="0" collapsed="false">
      <c r="A4269" s="0" t="n">
        <v>4268</v>
      </c>
      <c r="B4269" s="14" t="n">
        <v>124598.773350281</v>
      </c>
      <c r="C4269" s="15" t="n">
        <v>0.0455596890653203</v>
      </c>
      <c r="D4269" s="14" t="n">
        <f aca="false">Summary!$B$5-B4269</f>
        <v>-24598.7733502809</v>
      </c>
      <c r="E4269" s="15" t="n">
        <f aca="false">B4269/Summary!$B$5-1</f>
        <v>0.245987733502809</v>
      </c>
    </row>
    <row r="4270" customFormat="false" ht="15" hidden="false" customHeight="false" outlineLevel="0" collapsed="false">
      <c r="A4270" s="0" t="n">
        <v>4269</v>
      </c>
      <c r="B4270" s="14" t="n">
        <v>121070.478906007</v>
      </c>
      <c r="C4270" s="15" t="n">
        <v>0.0981110601023659</v>
      </c>
      <c r="D4270" s="14" t="n">
        <f aca="false">Summary!$B$5-B4270</f>
        <v>-21070.4789060067</v>
      </c>
      <c r="E4270" s="15" t="n">
        <f aca="false">B4270/Summary!$B$5-1</f>
        <v>0.210704789060067</v>
      </c>
    </row>
    <row r="4271" customFormat="false" ht="15" hidden="false" customHeight="false" outlineLevel="0" collapsed="false">
      <c r="A4271" s="0" t="n">
        <v>4270</v>
      </c>
      <c r="B4271" s="14" t="n">
        <v>113143.737986446</v>
      </c>
      <c r="C4271" s="15" t="n">
        <v>0.0702619498323499</v>
      </c>
      <c r="D4271" s="14" t="n">
        <f aca="false">Summary!$B$5-B4271</f>
        <v>-13143.737986446</v>
      </c>
      <c r="E4271" s="15" t="n">
        <f aca="false">B4271/Summary!$B$5-1</f>
        <v>0.13143737986446</v>
      </c>
    </row>
    <row r="4272" customFormat="false" ht="15" hidden="false" customHeight="false" outlineLevel="0" collapsed="false">
      <c r="A4272" s="0" t="n">
        <v>4271</v>
      </c>
      <c r="B4272" s="14" t="n">
        <v>121992.266752673</v>
      </c>
      <c r="C4272" s="15" t="n">
        <v>0.0667157931962326</v>
      </c>
      <c r="D4272" s="14" t="n">
        <f aca="false">Summary!$B$5-B4272</f>
        <v>-21992.2667526729</v>
      </c>
      <c r="E4272" s="15" t="n">
        <f aca="false">B4272/Summary!$B$5-1</f>
        <v>0.219922667526729</v>
      </c>
    </row>
    <row r="4273" customFormat="false" ht="15" hidden="false" customHeight="false" outlineLevel="0" collapsed="false">
      <c r="A4273" s="0" t="n">
        <v>4272</v>
      </c>
      <c r="B4273" s="14" t="n">
        <v>87784.5082183806</v>
      </c>
      <c r="C4273" s="15" t="n">
        <v>0.158718611490134</v>
      </c>
      <c r="D4273" s="14" t="n">
        <f aca="false">Summary!$B$5-B4273</f>
        <v>12215.4917816194</v>
      </c>
      <c r="E4273" s="15" t="n">
        <f aca="false">B4273/Summary!$B$5-1</f>
        <v>-0.122154917816194</v>
      </c>
    </row>
    <row r="4274" customFormat="false" ht="15" hidden="false" customHeight="false" outlineLevel="0" collapsed="false">
      <c r="A4274" s="0" t="n">
        <v>4273</v>
      </c>
      <c r="B4274" s="14" t="n">
        <v>115712.943772681</v>
      </c>
      <c r="C4274" s="15" t="n">
        <v>0.0933914999574219</v>
      </c>
      <c r="D4274" s="14" t="n">
        <f aca="false">Summary!$B$5-B4274</f>
        <v>-15712.9437726811</v>
      </c>
      <c r="E4274" s="15" t="n">
        <f aca="false">B4274/Summary!$B$5-1</f>
        <v>0.157129437726811</v>
      </c>
    </row>
    <row r="4275" customFormat="false" ht="15" hidden="false" customHeight="false" outlineLevel="0" collapsed="false">
      <c r="A4275" s="0" t="n">
        <v>4274</v>
      </c>
      <c r="B4275" s="14" t="n">
        <v>95645.8058720041</v>
      </c>
      <c r="C4275" s="15" t="n">
        <v>0.0972590933871521</v>
      </c>
      <c r="D4275" s="14" t="n">
        <f aca="false">Summary!$B$5-B4275</f>
        <v>4354.19412799591</v>
      </c>
      <c r="E4275" s="15" t="n">
        <f aca="false">B4275/Summary!$B$5-1</f>
        <v>-0.0435419412799591</v>
      </c>
    </row>
    <row r="4276" customFormat="false" ht="15" hidden="false" customHeight="false" outlineLevel="0" collapsed="false">
      <c r="A4276" s="0" t="n">
        <v>4275</v>
      </c>
      <c r="B4276" s="14" t="n">
        <v>100503.096106114</v>
      </c>
      <c r="C4276" s="15" t="n">
        <v>0.108614920357755</v>
      </c>
      <c r="D4276" s="14" t="n">
        <f aca="false">Summary!$B$5-B4276</f>
        <v>-503.096106114404</v>
      </c>
      <c r="E4276" s="15" t="n">
        <f aca="false">B4276/Summary!$B$5-1</f>
        <v>0.00503096106114409</v>
      </c>
    </row>
    <row r="4277" customFormat="false" ht="15" hidden="false" customHeight="false" outlineLevel="0" collapsed="false">
      <c r="A4277" s="0" t="n">
        <v>4276</v>
      </c>
      <c r="B4277" s="14" t="n">
        <v>97574.7038767631</v>
      </c>
      <c r="C4277" s="15" t="n">
        <v>0.0914891357216913</v>
      </c>
      <c r="D4277" s="14" t="n">
        <f aca="false">Summary!$B$5-B4277</f>
        <v>2425.29612323693</v>
      </c>
      <c r="E4277" s="15" t="n">
        <f aca="false">B4277/Summary!$B$5-1</f>
        <v>-0.0242529612323693</v>
      </c>
    </row>
    <row r="4278" customFormat="false" ht="15" hidden="false" customHeight="false" outlineLevel="0" collapsed="false">
      <c r="A4278" s="0" t="n">
        <v>4277</v>
      </c>
      <c r="B4278" s="14" t="n">
        <v>103983.158830836</v>
      </c>
      <c r="C4278" s="15" t="n">
        <v>0.121807416379493</v>
      </c>
      <c r="D4278" s="14" t="n">
        <f aca="false">Summary!$B$5-B4278</f>
        <v>-3983.1588308361</v>
      </c>
      <c r="E4278" s="15" t="n">
        <f aca="false">B4278/Summary!$B$5-1</f>
        <v>0.0398315883083609</v>
      </c>
    </row>
    <row r="4279" customFormat="false" ht="15" hidden="false" customHeight="false" outlineLevel="0" collapsed="false">
      <c r="A4279" s="0" t="n">
        <v>4278</v>
      </c>
      <c r="B4279" s="14" t="n">
        <v>95293.180877381</v>
      </c>
      <c r="C4279" s="15" t="n">
        <v>0.0837438305065351</v>
      </c>
      <c r="D4279" s="14" t="n">
        <f aca="false">Summary!$B$5-B4279</f>
        <v>4706.81912261903</v>
      </c>
      <c r="E4279" s="15" t="n">
        <f aca="false">B4279/Summary!$B$5-1</f>
        <v>-0.0470681912261902</v>
      </c>
    </row>
    <row r="4280" customFormat="false" ht="15" hidden="false" customHeight="false" outlineLevel="0" collapsed="false">
      <c r="A4280" s="0" t="n">
        <v>4279</v>
      </c>
      <c r="B4280" s="14" t="n">
        <v>102694.327293948</v>
      </c>
      <c r="C4280" s="15" t="n">
        <v>0.0962559365471946</v>
      </c>
      <c r="D4280" s="14" t="n">
        <f aca="false">Summary!$B$5-B4280</f>
        <v>-2694.3272939476</v>
      </c>
      <c r="E4280" s="15" t="n">
        <f aca="false">B4280/Summary!$B$5-1</f>
        <v>0.0269432729394761</v>
      </c>
    </row>
    <row r="4281" customFormat="false" ht="15" hidden="false" customHeight="false" outlineLevel="0" collapsed="false">
      <c r="A4281" s="0" t="n">
        <v>4280</v>
      </c>
      <c r="B4281" s="14" t="n">
        <v>95615.148771057</v>
      </c>
      <c r="C4281" s="15" t="n">
        <v>0.0819498633734893</v>
      </c>
      <c r="D4281" s="14" t="n">
        <f aca="false">Summary!$B$5-B4281</f>
        <v>4384.85122894298</v>
      </c>
      <c r="E4281" s="15" t="n">
        <f aca="false">B4281/Summary!$B$5-1</f>
        <v>-0.0438485122894298</v>
      </c>
    </row>
    <row r="4282" customFormat="false" ht="15" hidden="false" customHeight="false" outlineLevel="0" collapsed="false">
      <c r="A4282" s="0" t="n">
        <v>4281</v>
      </c>
      <c r="B4282" s="14" t="n">
        <v>112027.149646383</v>
      </c>
      <c r="C4282" s="15" t="n">
        <v>0.0744503246593739</v>
      </c>
      <c r="D4282" s="14" t="n">
        <f aca="false">Summary!$B$5-B4282</f>
        <v>-12027.1496463831</v>
      </c>
      <c r="E4282" s="15" t="n">
        <f aca="false">B4282/Summary!$B$5-1</f>
        <v>0.120271496463831</v>
      </c>
    </row>
    <row r="4283" customFormat="false" ht="15" hidden="false" customHeight="false" outlineLevel="0" collapsed="false">
      <c r="A4283" s="0" t="n">
        <v>4282</v>
      </c>
      <c r="B4283" s="14" t="n">
        <v>116567.293650747</v>
      </c>
      <c r="C4283" s="15" t="n">
        <v>0.060560280108465</v>
      </c>
      <c r="D4283" s="14" t="n">
        <f aca="false">Summary!$B$5-B4283</f>
        <v>-16567.2936507474</v>
      </c>
      <c r="E4283" s="15" t="n">
        <f aca="false">B4283/Summary!$B$5-1</f>
        <v>0.165672936507474</v>
      </c>
    </row>
    <row r="4284" customFormat="false" ht="15" hidden="false" customHeight="false" outlineLevel="0" collapsed="false">
      <c r="A4284" s="0" t="n">
        <v>4283</v>
      </c>
      <c r="B4284" s="14" t="n">
        <v>97029.1838628434</v>
      </c>
      <c r="C4284" s="15" t="n">
        <v>0.162523197356097</v>
      </c>
      <c r="D4284" s="14" t="n">
        <f aca="false">Summary!$B$5-B4284</f>
        <v>2970.81613715657</v>
      </c>
      <c r="E4284" s="15" t="n">
        <f aca="false">B4284/Summary!$B$5-1</f>
        <v>-0.0297081613715656</v>
      </c>
    </row>
    <row r="4285" customFormat="false" ht="15" hidden="false" customHeight="false" outlineLevel="0" collapsed="false">
      <c r="A4285" s="0" t="n">
        <v>4284</v>
      </c>
      <c r="B4285" s="14" t="n">
        <v>90838.6396616556</v>
      </c>
      <c r="C4285" s="15" t="n">
        <v>0.160030607940683</v>
      </c>
      <c r="D4285" s="14" t="n">
        <f aca="false">Summary!$B$5-B4285</f>
        <v>9161.36033834444</v>
      </c>
      <c r="E4285" s="15" t="n">
        <f aca="false">B4285/Summary!$B$5-1</f>
        <v>-0.0916136033834444</v>
      </c>
    </row>
    <row r="4286" customFormat="false" ht="15" hidden="false" customHeight="false" outlineLevel="0" collapsed="false">
      <c r="A4286" s="0" t="n">
        <v>4285</v>
      </c>
      <c r="B4286" s="14" t="n">
        <v>92825.4718502447</v>
      </c>
      <c r="C4286" s="15" t="n">
        <v>0.134914163842933</v>
      </c>
      <c r="D4286" s="14" t="n">
        <f aca="false">Summary!$B$5-B4286</f>
        <v>7174.52814975529</v>
      </c>
      <c r="E4286" s="15" t="n">
        <f aca="false">B4286/Summary!$B$5-1</f>
        <v>-0.0717452814975529</v>
      </c>
    </row>
    <row r="4287" customFormat="false" ht="15" hidden="false" customHeight="false" outlineLevel="0" collapsed="false">
      <c r="A4287" s="0" t="n">
        <v>4286</v>
      </c>
      <c r="B4287" s="14" t="n">
        <v>103308.244392897</v>
      </c>
      <c r="C4287" s="15" t="n">
        <v>0.114277185531416</v>
      </c>
      <c r="D4287" s="14" t="n">
        <f aca="false">Summary!$B$5-B4287</f>
        <v>-3308.2443928967</v>
      </c>
      <c r="E4287" s="15" t="n">
        <f aca="false">B4287/Summary!$B$5-1</f>
        <v>0.033082443928967</v>
      </c>
    </row>
    <row r="4288" customFormat="false" ht="15" hidden="false" customHeight="false" outlineLevel="0" collapsed="false">
      <c r="A4288" s="0" t="n">
        <v>4287</v>
      </c>
      <c r="B4288" s="14" t="n">
        <v>116976.721379008</v>
      </c>
      <c r="C4288" s="15" t="n">
        <v>0.0992589537033163</v>
      </c>
      <c r="D4288" s="14" t="n">
        <f aca="false">Summary!$B$5-B4288</f>
        <v>-16976.7213790078</v>
      </c>
      <c r="E4288" s="15" t="n">
        <f aca="false">B4288/Summary!$B$5-1</f>
        <v>0.169767213790078</v>
      </c>
    </row>
    <row r="4289" customFormat="false" ht="15" hidden="false" customHeight="false" outlineLevel="0" collapsed="false">
      <c r="A4289" s="0" t="n">
        <v>4288</v>
      </c>
      <c r="B4289" s="14" t="n">
        <v>98643.0480880591</v>
      </c>
      <c r="C4289" s="15" t="n">
        <v>0.0979358332525206</v>
      </c>
      <c r="D4289" s="14" t="n">
        <f aca="false">Summary!$B$5-B4289</f>
        <v>1356.95191194091</v>
      </c>
      <c r="E4289" s="15" t="n">
        <f aca="false">B4289/Summary!$B$5-1</f>
        <v>-0.0135695191194091</v>
      </c>
    </row>
    <row r="4290" customFormat="false" ht="15" hidden="false" customHeight="false" outlineLevel="0" collapsed="false">
      <c r="A4290" s="0" t="n">
        <v>4289</v>
      </c>
      <c r="B4290" s="14" t="n">
        <v>98077.4895043883</v>
      </c>
      <c r="C4290" s="15" t="n">
        <v>0.112136104136933</v>
      </c>
      <c r="D4290" s="14" t="n">
        <f aca="false">Summary!$B$5-B4290</f>
        <v>1922.5104956117</v>
      </c>
      <c r="E4290" s="15" t="n">
        <f aca="false">B4290/Summary!$B$5-1</f>
        <v>-0.019225104956117</v>
      </c>
    </row>
    <row r="4291" customFormat="false" ht="15" hidden="false" customHeight="false" outlineLevel="0" collapsed="false">
      <c r="A4291" s="0" t="n">
        <v>4290</v>
      </c>
      <c r="B4291" s="14" t="n">
        <v>88738.2352053192</v>
      </c>
      <c r="C4291" s="15" t="n">
        <v>0.148653842690172</v>
      </c>
      <c r="D4291" s="14" t="n">
        <f aca="false">Summary!$B$5-B4291</f>
        <v>11261.7647946808</v>
      </c>
      <c r="E4291" s="15" t="n">
        <f aca="false">B4291/Summary!$B$5-1</f>
        <v>-0.112617647946808</v>
      </c>
    </row>
    <row r="4292" customFormat="false" ht="15" hidden="false" customHeight="false" outlineLevel="0" collapsed="false">
      <c r="A4292" s="0" t="n">
        <v>4291</v>
      </c>
      <c r="B4292" s="14" t="n">
        <v>117278.722464948</v>
      </c>
      <c r="C4292" s="15" t="n">
        <v>0.0917048325354528</v>
      </c>
      <c r="D4292" s="14" t="n">
        <f aca="false">Summary!$B$5-B4292</f>
        <v>-17278.7224649479</v>
      </c>
      <c r="E4292" s="15" t="n">
        <f aca="false">B4292/Summary!$B$5-1</f>
        <v>0.172787224649479</v>
      </c>
    </row>
    <row r="4293" customFormat="false" ht="15" hidden="false" customHeight="false" outlineLevel="0" collapsed="false">
      <c r="A4293" s="0" t="n">
        <v>4292</v>
      </c>
      <c r="B4293" s="14" t="n">
        <v>107891.180475986</v>
      </c>
      <c r="C4293" s="15" t="n">
        <v>0.101382848336651</v>
      </c>
      <c r="D4293" s="14" t="n">
        <f aca="false">Summary!$B$5-B4293</f>
        <v>-7891.18047598589</v>
      </c>
      <c r="E4293" s="15" t="n">
        <f aca="false">B4293/Summary!$B$5-1</f>
        <v>0.0789118047598589</v>
      </c>
    </row>
    <row r="4294" customFormat="false" ht="15" hidden="false" customHeight="false" outlineLevel="0" collapsed="false">
      <c r="A4294" s="0" t="n">
        <v>4293</v>
      </c>
      <c r="B4294" s="14" t="n">
        <v>124665.142374229</v>
      </c>
      <c r="C4294" s="15" t="n">
        <v>0.0843431650750914</v>
      </c>
      <c r="D4294" s="14" t="n">
        <f aca="false">Summary!$B$5-B4294</f>
        <v>-24665.1423742286</v>
      </c>
      <c r="E4294" s="15" t="n">
        <f aca="false">B4294/Summary!$B$5-1</f>
        <v>0.246651423742286</v>
      </c>
    </row>
    <row r="4295" customFormat="false" ht="15" hidden="false" customHeight="false" outlineLevel="0" collapsed="false">
      <c r="A4295" s="0" t="n">
        <v>4294</v>
      </c>
      <c r="B4295" s="14" t="n">
        <v>108986.328064501</v>
      </c>
      <c r="C4295" s="15" t="n">
        <v>0.126465027987079</v>
      </c>
      <c r="D4295" s="14" t="n">
        <f aca="false">Summary!$B$5-B4295</f>
        <v>-8986.3280645006</v>
      </c>
      <c r="E4295" s="15" t="n">
        <f aca="false">B4295/Summary!$B$5-1</f>
        <v>0.0898632806450059</v>
      </c>
    </row>
    <row r="4296" customFormat="false" ht="15" hidden="false" customHeight="false" outlineLevel="0" collapsed="false">
      <c r="A4296" s="0" t="n">
        <v>4295</v>
      </c>
      <c r="B4296" s="14" t="n">
        <v>101132.685836872</v>
      </c>
      <c r="C4296" s="15" t="n">
        <v>0.0822600295673075</v>
      </c>
      <c r="D4296" s="14" t="n">
        <f aca="false">Summary!$B$5-B4296</f>
        <v>-1132.6858368722</v>
      </c>
      <c r="E4296" s="15" t="n">
        <f aca="false">B4296/Summary!$B$5-1</f>
        <v>0.011326858368722</v>
      </c>
    </row>
    <row r="4297" customFormat="false" ht="15" hidden="false" customHeight="false" outlineLevel="0" collapsed="false">
      <c r="A4297" s="0" t="n">
        <v>4296</v>
      </c>
      <c r="B4297" s="14" t="n">
        <v>107624.305427761</v>
      </c>
      <c r="C4297" s="15" t="n">
        <v>0.0933276970060778</v>
      </c>
      <c r="D4297" s="14" t="n">
        <f aca="false">Summary!$B$5-B4297</f>
        <v>-7624.3054277609</v>
      </c>
      <c r="E4297" s="15" t="n">
        <f aca="false">B4297/Summary!$B$5-1</f>
        <v>0.0762430542776091</v>
      </c>
    </row>
    <row r="4298" customFormat="false" ht="15" hidden="false" customHeight="false" outlineLevel="0" collapsed="false">
      <c r="A4298" s="0" t="n">
        <v>4297</v>
      </c>
      <c r="B4298" s="14" t="n">
        <v>104562.132491515</v>
      </c>
      <c r="C4298" s="15" t="n">
        <v>0.106404239157982</v>
      </c>
      <c r="D4298" s="14" t="n">
        <f aca="false">Summary!$B$5-B4298</f>
        <v>-4562.1324915148</v>
      </c>
      <c r="E4298" s="15" t="n">
        <f aca="false">B4298/Summary!$B$5-1</f>
        <v>0.045621324915148</v>
      </c>
    </row>
    <row r="4299" customFormat="false" ht="15" hidden="false" customHeight="false" outlineLevel="0" collapsed="false">
      <c r="A4299" s="0" t="n">
        <v>4298</v>
      </c>
      <c r="B4299" s="14" t="n">
        <v>96862.225731987</v>
      </c>
      <c r="C4299" s="15" t="n">
        <v>0.0940532521809501</v>
      </c>
      <c r="D4299" s="14" t="n">
        <f aca="false">Summary!$B$5-B4299</f>
        <v>3137.77426801305</v>
      </c>
      <c r="E4299" s="15" t="n">
        <f aca="false">B4299/Summary!$B$5-1</f>
        <v>-0.0313777426801305</v>
      </c>
    </row>
    <row r="4300" customFormat="false" ht="15" hidden="false" customHeight="false" outlineLevel="0" collapsed="false">
      <c r="A4300" s="0" t="n">
        <v>4299</v>
      </c>
      <c r="B4300" s="14" t="n">
        <v>125948.620541284</v>
      </c>
      <c r="C4300" s="15" t="n">
        <v>0.0860030114154803</v>
      </c>
      <c r="D4300" s="14" t="n">
        <f aca="false">Summary!$B$5-B4300</f>
        <v>-25948.6205412842</v>
      </c>
      <c r="E4300" s="15" t="n">
        <f aca="false">B4300/Summary!$B$5-1</f>
        <v>0.259486205412842</v>
      </c>
    </row>
    <row r="4301" customFormat="false" ht="15" hidden="false" customHeight="false" outlineLevel="0" collapsed="false">
      <c r="A4301" s="0" t="n">
        <v>4300</v>
      </c>
      <c r="B4301" s="14" t="n">
        <v>106003.832450754</v>
      </c>
      <c r="C4301" s="15" t="n">
        <v>0.0576105791940625</v>
      </c>
      <c r="D4301" s="14" t="n">
        <f aca="false">Summary!$B$5-B4301</f>
        <v>-6003.8324507536</v>
      </c>
      <c r="E4301" s="15" t="n">
        <f aca="false">B4301/Summary!$B$5-1</f>
        <v>0.060038324507536</v>
      </c>
    </row>
    <row r="4302" customFormat="false" ht="15" hidden="false" customHeight="false" outlineLevel="0" collapsed="false">
      <c r="A4302" s="0" t="n">
        <v>4301</v>
      </c>
      <c r="B4302" s="14" t="n">
        <v>108760.810658648</v>
      </c>
      <c r="C4302" s="15" t="n">
        <v>0.0603736943956255</v>
      </c>
      <c r="D4302" s="14" t="n">
        <f aca="false">Summary!$B$5-B4302</f>
        <v>-8760.8106586482</v>
      </c>
      <c r="E4302" s="15" t="n">
        <f aca="false">B4302/Summary!$B$5-1</f>
        <v>0.087608106586482</v>
      </c>
    </row>
    <row r="4303" customFormat="false" ht="15" hidden="false" customHeight="false" outlineLevel="0" collapsed="false">
      <c r="A4303" s="0" t="n">
        <v>4302</v>
      </c>
      <c r="B4303" s="14" t="n">
        <v>101719.158734097</v>
      </c>
      <c r="C4303" s="15" t="n">
        <v>0.0972265769978657</v>
      </c>
      <c r="D4303" s="14" t="n">
        <f aca="false">Summary!$B$5-B4303</f>
        <v>-1719.1587340968</v>
      </c>
      <c r="E4303" s="15" t="n">
        <f aca="false">B4303/Summary!$B$5-1</f>
        <v>0.017191587340968</v>
      </c>
    </row>
    <row r="4304" customFormat="false" ht="15" hidden="false" customHeight="false" outlineLevel="0" collapsed="false">
      <c r="A4304" s="0" t="n">
        <v>4303</v>
      </c>
      <c r="B4304" s="14" t="n">
        <v>80076.9942982121</v>
      </c>
      <c r="C4304" s="15" t="n">
        <v>0.204485481787706</v>
      </c>
      <c r="D4304" s="14" t="n">
        <f aca="false">Summary!$B$5-B4304</f>
        <v>19923.0057017879</v>
      </c>
      <c r="E4304" s="15" t="n">
        <f aca="false">B4304/Summary!$B$5-1</f>
        <v>-0.199230057017879</v>
      </c>
    </row>
    <row r="4305" customFormat="false" ht="15" hidden="false" customHeight="false" outlineLevel="0" collapsed="false">
      <c r="A4305" s="0" t="n">
        <v>4304</v>
      </c>
      <c r="B4305" s="14" t="n">
        <v>122123.420610608</v>
      </c>
      <c r="C4305" s="15" t="n">
        <v>0.0976543871456206</v>
      </c>
      <c r="D4305" s="14" t="n">
        <f aca="false">Summary!$B$5-B4305</f>
        <v>-22123.4206106079</v>
      </c>
      <c r="E4305" s="15" t="n">
        <f aca="false">B4305/Summary!$B$5-1</f>
        <v>0.221234206106079</v>
      </c>
    </row>
    <row r="4306" customFormat="false" ht="15" hidden="false" customHeight="false" outlineLevel="0" collapsed="false">
      <c r="A4306" s="0" t="n">
        <v>4305</v>
      </c>
      <c r="B4306" s="14" t="n">
        <v>97000.9718585766</v>
      </c>
      <c r="C4306" s="15" t="n">
        <v>0.145493724227236</v>
      </c>
      <c r="D4306" s="14" t="n">
        <f aca="false">Summary!$B$5-B4306</f>
        <v>2999.02814142342</v>
      </c>
      <c r="E4306" s="15" t="n">
        <f aca="false">B4306/Summary!$B$5-1</f>
        <v>-0.0299902814142342</v>
      </c>
    </row>
    <row r="4307" customFormat="false" ht="15" hidden="false" customHeight="false" outlineLevel="0" collapsed="false">
      <c r="A4307" s="0" t="n">
        <v>4306</v>
      </c>
      <c r="B4307" s="14" t="n">
        <v>87312.4466672288</v>
      </c>
      <c r="C4307" s="15" t="n">
        <v>0.181388049790355</v>
      </c>
      <c r="D4307" s="14" t="n">
        <f aca="false">Summary!$B$5-B4307</f>
        <v>12687.5533327712</v>
      </c>
      <c r="E4307" s="15" t="n">
        <f aca="false">B4307/Summary!$B$5-1</f>
        <v>-0.126875533327712</v>
      </c>
    </row>
    <row r="4308" customFormat="false" ht="15" hidden="false" customHeight="false" outlineLevel="0" collapsed="false">
      <c r="A4308" s="0" t="n">
        <v>4307</v>
      </c>
      <c r="B4308" s="14" t="n">
        <v>97288.1751608644</v>
      </c>
      <c r="C4308" s="15" t="n">
        <v>0.124769804336392</v>
      </c>
      <c r="D4308" s="14" t="n">
        <f aca="false">Summary!$B$5-B4308</f>
        <v>2711.82483913563</v>
      </c>
      <c r="E4308" s="15" t="n">
        <f aca="false">B4308/Summary!$B$5-1</f>
        <v>-0.0271182483913563</v>
      </c>
    </row>
    <row r="4309" customFormat="false" ht="15" hidden="false" customHeight="false" outlineLevel="0" collapsed="false">
      <c r="A4309" s="0" t="n">
        <v>4308</v>
      </c>
      <c r="B4309" s="14" t="n">
        <v>120236.868562441</v>
      </c>
      <c r="C4309" s="15" t="n">
        <v>0.0955065394985428</v>
      </c>
      <c r="D4309" s="14" t="n">
        <f aca="false">Summary!$B$5-B4309</f>
        <v>-20236.868562441</v>
      </c>
      <c r="E4309" s="15" t="n">
        <f aca="false">B4309/Summary!$B$5-1</f>
        <v>0.20236868562441</v>
      </c>
    </row>
    <row r="4310" customFormat="false" ht="15" hidden="false" customHeight="false" outlineLevel="0" collapsed="false">
      <c r="A4310" s="0" t="n">
        <v>4309</v>
      </c>
      <c r="B4310" s="14" t="n">
        <v>97343.8681748089</v>
      </c>
      <c r="C4310" s="15" t="n">
        <v>0.157628354527394</v>
      </c>
      <c r="D4310" s="14" t="n">
        <f aca="false">Summary!$B$5-B4310</f>
        <v>2656.13182519111</v>
      </c>
      <c r="E4310" s="15" t="n">
        <f aca="false">B4310/Summary!$B$5-1</f>
        <v>-0.0265613182519111</v>
      </c>
    </row>
    <row r="4311" customFormat="false" ht="15" hidden="false" customHeight="false" outlineLevel="0" collapsed="false">
      <c r="A4311" s="0" t="n">
        <v>4310</v>
      </c>
      <c r="B4311" s="14" t="n">
        <v>98338.3450917651</v>
      </c>
      <c r="C4311" s="15" t="n">
        <v>0.122507559599625</v>
      </c>
      <c r="D4311" s="14" t="n">
        <f aca="false">Summary!$B$5-B4311</f>
        <v>1661.65490823492</v>
      </c>
      <c r="E4311" s="15" t="n">
        <f aca="false">B4311/Summary!$B$5-1</f>
        <v>-0.0166165490823492</v>
      </c>
    </row>
    <row r="4312" customFormat="false" ht="15" hidden="false" customHeight="false" outlineLevel="0" collapsed="false">
      <c r="A4312" s="0" t="n">
        <v>4311</v>
      </c>
      <c r="B4312" s="14" t="n">
        <v>106026.912805431</v>
      </c>
      <c r="C4312" s="15" t="n">
        <v>0.123227803998188</v>
      </c>
      <c r="D4312" s="14" t="n">
        <f aca="false">Summary!$B$5-B4312</f>
        <v>-6026.9128054313</v>
      </c>
      <c r="E4312" s="15" t="n">
        <f aca="false">B4312/Summary!$B$5-1</f>
        <v>0.0602691280543131</v>
      </c>
    </row>
    <row r="4313" customFormat="false" ht="15" hidden="false" customHeight="false" outlineLevel="0" collapsed="false">
      <c r="A4313" s="0" t="n">
        <v>4312</v>
      </c>
      <c r="B4313" s="14" t="n">
        <v>90963.2822357263</v>
      </c>
      <c r="C4313" s="15" t="n">
        <v>0.130904397557904</v>
      </c>
      <c r="D4313" s="14" t="n">
        <f aca="false">Summary!$B$5-B4313</f>
        <v>9036.71776427375</v>
      </c>
      <c r="E4313" s="15" t="n">
        <f aca="false">B4313/Summary!$B$5-1</f>
        <v>-0.0903671776427375</v>
      </c>
    </row>
    <row r="4314" customFormat="false" ht="15" hidden="false" customHeight="false" outlineLevel="0" collapsed="false">
      <c r="A4314" s="0" t="n">
        <v>4313</v>
      </c>
      <c r="B4314" s="14" t="n">
        <v>101379.139721533</v>
      </c>
      <c r="C4314" s="15" t="n">
        <v>0.073559534637282</v>
      </c>
      <c r="D4314" s="14" t="n">
        <f aca="false">Summary!$B$5-B4314</f>
        <v>-1379.13972153309</v>
      </c>
      <c r="E4314" s="15" t="n">
        <f aca="false">B4314/Summary!$B$5-1</f>
        <v>0.013791397215331</v>
      </c>
    </row>
    <row r="4315" customFormat="false" ht="15" hidden="false" customHeight="false" outlineLevel="0" collapsed="false">
      <c r="A4315" s="0" t="n">
        <v>4314</v>
      </c>
      <c r="B4315" s="14" t="n">
        <v>112720.620912964</v>
      </c>
      <c r="C4315" s="15" t="n">
        <v>0.0707470585106612</v>
      </c>
      <c r="D4315" s="14" t="n">
        <f aca="false">Summary!$B$5-B4315</f>
        <v>-12720.6209129638</v>
      </c>
      <c r="E4315" s="15" t="n">
        <f aca="false">B4315/Summary!$B$5-1</f>
        <v>0.127206209129638</v>
      </c>
    </row>
    <row r="4316" customFormat="false" ht="15" hidden="false" customHeight="false" outlineLevel="0" collapsed="false">
      <c r="A4316" s="0" t="n">
        <v>4315</v>
      </c>
      <c r="B4316" s="14" t="n">
        <v>95136.3713614011</v>
      </c>
      <c r="C4316" s="15" t="n">
        <v>0.193080622918145</v>
      </c>
      <c r="D4316" s="14" t="n">
        <f aca="false">Summary!$B$5-B4316</f>
        <v>4863.62863859895</v>
      </c>
      <c r="E4316" s="15" t="n">
        <f aca="false">B4316/Summary!$B$5-1</f>
        <v>-0.0486362863859895</v>
      </c>
    </row>
    <row r="4317" customFormat="false" ht="15" hidden="false" customHeight="false" outlineLevel="0" collapsed="false">
      <c r="A4317" s="0" t="n">
        <v>4316</v>
      </c>
      <c r="B4317" s="14" t="n">
        <v>96040.6421901565</v>
      </c>
      <c r="C4317" s="15" t="n">
        <v>0.157577030027622</v>
      </c>
      <c r="D4317" s="14" t="n">
        <f aca="false">Summary!$B$5-B4317</f>
        <v>3959.35780984352</v>
      </c>
      <c r="E4317" s="15" t="n">
        <f aca="false">B4317/Summary!$B$5-1</f>
        <v>-0.0395935780984352</v>
      </c>
    </row>
    <row r="4318" customFormat="false" ht="15" hidden="false" customHeight="false" outlineLevel="0" collapsed="false">
      <c r="A4318" s="0" t="n">
        <v>4317</v>
      </c>
      <c r="B4318" s="14" t="n">
        <v>112764.775822393</v>
      </c>
      <c r="C4318" s="15" t="n">
        <v>0.0924502668523854</v>
      </c>
      <c r="D4318" s="14" t="n">
        <f aca="false">Summary!$B$5-B4318</f>
        <v>-12764.775822393</v>
      </c>
      <c r="E4318" s="15" t="n">
        <f aca="false">B4318/Summary!$B$5-1</f>
        <v>0.12764775822393</v>
      </c>
    </row>
    <row r="4319" customFormat="false" ht="15" hidden="false" customHeight="false" outlineLevel="0" collapsed="false">
      <c r="A4319" s="0" t="n">
        <v>4318</v>
      </c>
      <c r="B4319" s="14" t="n">
        <v>106665.169847095</v>
      </c>
      <c r="C4319" s="15" t="n">
        <v>0.071900178276519</v>
      </c>
      <c r="D4319" s="14" t="n">
        <f aca="false">Summary!$B$5-B4319</f>
        <v>-6665.1698470952</v>
      </c>
      <c r="E4319" s="15" t="n">
        <f aca="false">B4319/Summary!$B$5-1</f>
        <v>0.066651698470952</v>
      </c>
    </row>
    <row r="4320" customFormat="false" ht="15" hidden="false" customHeight="false" outlineLevel="0" collapsed="false">
      <c r="A4320" s="0" t="n">
        <v>4319</v>
      </c>
      <c r="B4320" s="14" t="n">
        <v>112704.411649545</v>
      </c>
      <c r="C4320" s="15" t="n">
        <v>0.0613753270228555</v>
      </c>
      <c r="D4320" s="14" t="n">
        <f aca="false">Summary!$B$5-B4320</f>
        <v>-12704.411649545</v>
      </c>
      <c r="E4320" s="15" t="n">
        <f aca="false">B4320/Summary!$B$5-1</f>
        <v>0.12704411649545</v>
      </c>
    </row>
    <row r="4321" customFormat="false" ht="15" hidden="false" customHeight="false" outlineLevel="0" collapsed="false">
      <c r="A4321" s="0" t="n">
        <v>4320</v>
      </c>
      <c r="B4321" s="14" t="n">
        <v>123258.583711591</v>
      </c>
      <c r="C4321" s="15" t="n">
        <v>0.0417678003601567</v>
      </c>
      <c r="D4321" s="14" t="n">
        <f aca="false">Summary!$B$5-B4321</f>
        <v>-23258.5837115913</v>
      </c>
      <c r="E4321" s="15" t="n">
        <f aca="false">B4321/Summary!$B$5-1</f>
        <v>0.232585837115913</v>
      </c>
    </row>
    <row r="4322" customFormat="false" ht="15" hidden="false" customHeight="false" outlineLevel="0" collapsed="false">
      <c r="A4322" s="0" t="n">
        <v>4321</v>
      </c>
      <c r="B4322" s="14" t="n">
        <v>112072.958935744</v>
      </c>
      <c r="C4322" s="15" t="n">
        <v>0.0562249037055974</v>
      </c>
      <c r="D4322" s="14" t="n">
        <f aca="false">Summary!$B$5-B4322</f>
        <v>-12072.958935744</v>
      </c>
      <c r="E4322" s="15" t="n">
        <f aca="false">B4322/Summary!$B$5-1</f>
        <v>0.12072958935744</v>
      </c>
    </row>
    <row r="4323" customFormat="false" ht="15" hidden="false" customHeight="false" outlineLevel="0" collapsed="false">
      <c r="A4323" s="0" t="n">
        <v>4322</v>
      </c>
      <c r="B4323" s="14" t="n">
        <v>113903.187614505</v>
      </c>
      <c r="C4323" s="15" t="n">
        <v>0.0509449605384443</v>
      </c>
      <c r="D4323" s="14" t="n">
        <f aca="false">Summary!$B$5-B4323</f>
        <v>-13903.1876145045</v>
      </c>
      <c r="E4323" s="15" t="n">
        <f aca="false">B4323/Summary!$B$5-1</f>
        <v>0.139031876145045</v>
      </c>
    </row>
    <row r="4324" customFormat="false" ht="15" hidden="false" customHeight="false" outlineLevel="0" collapsed="false">
      <c r="A4324" s="0" t="n">
        <v>4323</v>
      </c>
      <c r="B4324" s="14" t="n">
        <v>95144.6243124041</v>
      </c>
      <c r="C4324" s="15" t="n">
        <v>0.139415671354466</v>
      </c>
      <c r="D4324" s="14" t="n">
        <f aca="false">Summary!$B$5-B4324</f>
        <v>4855.37568759595</v>
      </c>
      <c r="E4324" s="15" t="n">
        <f aca="false">B4324/Summary!$B$5-1</f>
        <v>-0.0485537568759595</v>
      </c>
    </row>
    <row r="4325" customFormat="false" ht="15" hidden="false" customHeight="false" outlineLevel="0" collapsed="false">
      <c r="A4325" s="0" t="n">
        <v>4324</v>
      </c>
      <c r="B4325" s="14" t="n">
        <v>110493.318920955</v>
      </c>
      <c r="C4325" s="15" t="n">
        <v>0.0923311387881649</v>
      </c>
      <c r="D4325" s="14" t="n">
        <f aca="false">Summary!$B$5-B4325</f>
        <v>-10493.3189209551</v>
      </c>
      <c r="E4325" s="15" t="n">
        <f aca="false">B4325/Summary!$B$5-1</f>
        <v>0.104933189209551</v>
      </c>
    </row>
    <row r="4326" customFormat="false" ht="15" hidden="false" customHeight="false" outlineLevel="0" collapsed="false">
      <c r="A4326" s="0" t="n">
        <v>4325</v>
      </c>
      <c r="B4326" s="14" t="n">
        <v>112262.947647376</v>
      </c>
      <c r="C4326" s="15" t="n">
        <v>0.094025763997053</v>
      </c>
      <c r="D4326" s="14" t="n">
        <f aca="false">Summary!$B$5-B4326</f>
        <v>-12262.947647376</v>
      </c>
      <c r="E4326" s="15" t="n">
        <f aca="false">B4326/Summary!$B$5-1</f>
        <v>0.12262947647376</v>
      </c>
    </row>
    <row r="4327" customFormat="false" ht="15" hidden="false" customHeight="false" outlineLevel="0" collapsed="false">
      <c r="A4327" s="0" t="n">
        <v>4326</v>
      </c>
      <c r="B4327" s="14" t="n">
        <v>96130.7118439961</v>
      </c>
      <c r="C4327" s="15" t="n">
        <v>0.221828552493693</v>
      </c>
      <c r="D4327" s="14" t="n">
        <f aca="false">Summary!$B$5-B4327</f>
        <v>3869.2881560039</v>
      </c>
      <c r="E4327" s="15" t="n">
        <f aca="false">B4327/Summary!$B$5-1</f>
        <v>-0.0386928815600389</v>
      </c>
    </row>
    <row r="4328" customFormat="false" ht="15" hidden="false" customHeight="false" outlineLevel="0" collapsed="false">
      <c r="A4328" s="0" t="n">
        <v>4327</v>
      </c>
      <c r="B4328" s="14" t="n">
        <v>115909.111914242</v>
      </c>
      <c r="C4328" s="15" t="n">
        <v>0.134976531112644</v>
      </c>
      <c r="D4328" s="14" t="n">
        <f aca="false">Summary!$B$5-B4328</f>
        <v>-15909.1119142419</v>
      </c>
      <c r="E4328" s="15" t="n">
        <f aca="false">B4328/Summary!$B$5-1</f>
        <v>0.159091119142419</v>
      </c>
    </row>
    <row r="4329" customFormat="false" ht="15" hidden="false" customHeight="false" outlineLevel="0" collapsed="false">
      <c r="A4329" s="0" t="n">
        <v>4328</v>
      </c>
      <c r="B4329" s="14" t="n">
        <v>96513.0654760538</v>
      </c>
      <c r="C4329" s="15" t="n">
        <v>0.120415640829795</v>
      </c>
      <c r="D4329" s="14" t="n">
        <f aca="false">Summary!$B$5-B4329</f>
        <v>3486.93452394618</v>
      </c>
      <c r="E4329" s="15" t="n">
        <f aca="false">B4329/Summary!$B$5-1</f>
        <v>-0.0348693452394618</v>
      </c>
    </row>
    <row r="4330" customFormat="false" ht="15" hidden="false" customHeight="false" outlineLevel="0" collapsed="false">
      <c r="A4330" s="0" t="n">
        <v>4329</v>
      </c>
      <c r="B4330" s="14" t="n">
        <v>96292.3375197924</v>
      </c>
      <c r="C4330" s="15" t="n">
        <v>0.0895218921771734</v>
      </c>
      <c r="D4330" s="14" t="n">
        <f aca="false">Summary!$B$5-B4330</f>
        <v>3707.66248020764</v>
      </c>
      <c r="E4330" s="15" t="n">
        <f aca="false">B4330/Summary!$B$5-1</f>
        <v>-0.0370766248020764</v>
      </c>
    </row>
    <row r="4331" customFormat="false" ht="15" hidden="false" customHeight="false" outlineLevel="0" collapsed="false">
      <c r="A4331" s="0" t="n">
        <v>4330</v>
      </c>
      <c r="B4331" s="14" t="n">
        <v>109629.063022564</v>
      </c>
      <c r="C4331" s="15" t="n">
        <v>0.0810655266949243</v>
      </c>
      <c r="D4331" s="14" t="n">
        <f aca="false">Summary!$B$5-B4331</f>
        <v>-9629.0630225638</v>
      </c>
      <c r="E4331" s="15" t="n">
        <f aca="false">B4331/Summary!$B$5-1</f>
        <v>0.0962906302256381</v>
      </c>
    </row>
    <row r="4332" customFormat="false" ht="15" hidden="false" customHeight="false" outlineLevel="0" collapsed="false">
      <c r="A4332" s="0" t="n">
        <v>4331</v>
      </c>
      <c r="B4332" s="14" t="n">
        <v>120872.548196447</v>
      </c>
      <c r="C4332" s="15" t="n">
        <v>0.0579730834050058</v>
      </c>
      <c r="D4332" s="14" t="n">
        <f aca="false">Summary!$B$5-B4332</f>
        <v>-20872.5481964468</v>
      </c>
      <c r="E4332" s="15" t="n">
        <f aca="false">B4332/Summary!$B$5-1</f>
        <v>0.208725481964468</v>
      </c>
    </row>
    <row r="4333" customFormat="false" ht="15" hidden="false" customHeight="false" outlineLevel="0" collapsed="false">
      <c r="A4333" s="0" t="n">
        <v>4332</v>
      </c>
      <c r="B4333" s="14" t="n">
        <v>111515.74235099</v>
      </c>
      <c r="C4333" s="15" t="n">
        <v>0.0796583637341559</v>
      </c>
      <c r="D4333" s="14" t="n">
        <f aca="false">Summary!$B$5-B4333</f>
        <v>-11515.7423509896</v>
      </c>
      <c r="E4333" s="15" t="n">
        <f aca="false">B4333/Summary!$B$5-1</f>
        <v>0.115157423509896</v>
      </c>
    </row>
    <row r="4334" customFormat="false" ht="15" hidden="false" customHeight="false" outlineLevel="0" collapsed="false">
      <c r="A4334" s="0" t="n">
        <v>4333</v>
      </c>
      <c r="B4334" s="14" t="n">
        <v>153090.337274416</v>
      </c>
      <c r="C4334" s="15" t="n">
        <v>0.0545195771353824</v>
      </c>
      <c r="D4334" s="14" t="n">
        <f aca="false">Summary!$B$5-B4334</f>
        <v>-53090.3372744164</v>
      </c>
      <c r="E4334" s="15" t="n">
        <f aca="false">B4334/Summary!$B$5-1</f>
        <v>0.530903372744164</v>
      </c>
    </row>
    <row r="4335" customFormat="false" ht="15" hidden="false" customHeight="false" outlineLevel="0" collapsed="false">
      <c r="A4335" s="0" t="n">
        <v>4334</v>
      </c>
      <c r="B4335" s="14" t="n">
        <v>110161.329796801</v>
      </c>
      <c r="C4335" s="15" t="n">
        <v>0.0506750692591824</v>
      </c>
      <c r="D4335" s="14" t="n">
        <f aca="false">Summary!$B$5-B4335</f>
        <v>-10161.3297968011</v>
      </c>
      <c r="E4335" s="15" t="n">
        <f aca="false">B4335/Summary!$B$5-1</f>
        <v>0.101613297968011</v>
      </c>
    </row>
    <row r="4336" customFormat="false" ht="15" hidden="false" customHeight="false" outlineLevel="0" collapsed="false">
      <c r="A4336" s="0" t="n">
        <v>4335</v>
      </c>
      <c r="B4336" s="14" t="n">
        <v>92137.685204131</v>
      </c>
      <c r="C4336" s="15" t="n">
        <v>0.126996364711983</v>
      </c>
      <c r="D4336" s="14" t="n">
        <f aca="false">Summary!$B$5-B4336</f>
        <v>7862.31479586902</v>
      </c>
      <c r="E4336" s="15" t="n">
        <f aca="false">B4336/Summary!$B$5-1</f>
        <v>-0.0786231479586902</v>
      </c>
    </row>
    <row r="4337" customFormat="false" ht="15" hidden="false" customHeight="false" outlineLevel="0" collapsed="false">
      <c r="A4337" s="0" t="n">
        <v>4336</v>
      </c>
      <c r="B4337" s="14" t="n">
        <v>94184.2449553668</v>
      </c>
      <c r="C4337" s="15" t="n">
        <v>0.12507056527962</v>
      </c>
      <c r="D4337" s="14" t="n">
        <f aca="false">Summary!$B$5-B4337</f>
        <v>5815.7550446332</v>
      </c>
      <c r="E4337" s="15" t="n">
        <f aca="false">B4337/Summary!$B$5-1</f>
        <v>-0.058157550446332</v>
      </c>
    </row>
    <row r="4338" customFormat="false" ht="15" hidden="false" customHeight="false" outlineLevel="0" collapsed="false">
      <c r="A4338" s="0" t="n">
        <v>4337</v>
      </c>
      <c r="B4338" s="14" t="n">
        <v>113298.115076758</v>
      </c>
      <c r="C4338" s="15" t="n">
        <v>0.116131564995994</v>
      </c>
      <c r="D4338" s="14" t="n">
        <f aca="false">Summary!$B$5-B4338</f>
        <v>-13298.1150767583</v>
      </c>
      <c r="E4338" s="15" t="n">
        <f aca="false">B4338/Summary!$B$5-1</f>
        <v>0.132981150767583</v>
      </c>
    </row>
    <row r="4339" customFormat="false" ht="15" hidden="false" customHeight="false" outlineLevel="0" collapsed="false">
      <c r="A4339" s="0" t="n">
        <v>4338</v>
      </c>
      <c r="B4339" s="14" t="n">
        <v>111017.626164313</v>
      </c>
      <c r="C4339" s="15" t="n">
        <v>0.0770345899247006</v>
      </c>
      <c r="D4339" s="14" t="n">
        <f aca="false">Summary!$B$5-B4339</f>
        <v>-11017.6261643133</v>
      </c>
      <c r="E4339" s="15" t="n">
        <f aca="false">B4339/Summary!$B$5-1</f>
        <v>0.110176261643133</v>
      </c>
    </row>
    <row r="4340" customFormat="false" ht="15" hidden="false" customHeight="false" outlineLevel="0" collapsed="false">
      <c r="A4340" s="0" t="n">
        <v>4339</v>
      </c>
      <c r="B4340" s="14" t="n">
        <v>99963.9015984187</v>
      </c>
      <c r="C4340" s="15" t="n">
        <v>0.107241944096676</v>
      </c>
      <c r="D4340" s="14" t="n">
        <f aca="false">Summary!$B$5-B4340</f>
        <v>36.0984015813301</v>
      </c>
      <c r="E4340" s="15" t="n">
        <f aca="false">B4340/Summary!$B$5-1</f>
        <v>-0.000360984015813304</v>
      </c>
    </row>
    <row r="4341" customFormat="false" ht="15" hidden="false" customHeight="false" outlineLevel="0" collapsed="false">
      <c r="A4341" s="0" t="n">
        <v>4340</v>
      </c>
      <c r="B4341" s="14" t="n">
        <v>124828.445084795</v>
      </c>
      <c r="C4341" s="15" t="n">
        <v>0.0725865548465001</v>
      </c>
      <c r="D4341" s="14" t="n">
        <f aca="false">Summary!$B$5-B4341</f>
        <v>-24828.4450847945</v>
      </c>
      <c r="E4341" s="15" t="n">
        <f aca="false">B4341/Summary!$B$5-1</f>
        <v>0.248284450847945</v>
      </c>
    </row>
    <row r="4342" customFormat="false" ht="15" hidden="false" customHeight="false" outlineLevel="0" collapsed="false">
      <c r="A4342" s="0" t="n">
        <v>4341</v>
      </c>
      <c r="B4342" s="14" t="n">
        <v>122233.877746384</v>
      </c>
      <c r="C4342" s="15" t="n">
        <v>0.0423358555464369</v>
      </c>
      <c r="D4342" s="14" t="n">
        <f aca="false">Summary!$B$5-B4342</f>
        <v>-22233.8777463839</v>
      </c>
      <c r="E4342" s="15" t="n">
        <f aca="false">B4342/Summary!$B$5-1</f>
        <v>0.222338777463839</v>
      </c>
    </row>
    <row r="4343" customFormat="false" ht="15" hidden="false" customHeight="false" outlineLevel="0" collapsed="false">
      <c r="A4343" s="0" t="n">
        <v>4342</v>
      </c>
      <c r="B4343" s="14" t="n">
        <v>102359.880205576</v>
      </c>
      <c r="C4343" s="15" t="n">
        <v>0.155529317604626</v>
      </c>
      <c r="D4343" s="14" t="n">
        <f aca="false">Summary!$B$5-B4343</f>
        <v>-2359.880205576</v>
      </c>
      <c r="E4343" s="15" t="n">
        <f aca="false">B4343/Summary!$B$5-1</f>
        <v>0.02359880205576</v>
      </c>
    </row>
    <row r="4344" customFormat="false" ht="15" hidden="false" customHeight="false" outlineLevel="0" collapsed="false">
      <c r="A4344" s="0" t="n">
        <v>4343</v>
      </c>
      <c r="B4344" s="14" t="n">
        <v>93521.3497754367</v>
      </c>
      <c r="C4344" s="15" t="n">
        <v>0.145402375135234</v>
      </c>
      <c r="D4344" s="14" t="n">
        <f aca="false">Summary!$B$5-B4344</f>
        <v>6478.65022456326</v>
      </c>
      <c r="E4344" s="15" t="n">
        <f aca="false">B4344/Summary!$B$5-1</f>
        <v>-0.0647865022456325</v>
      </c>
    </row>
    <row r="4345" customFormat="false" ht="15" hidden="false" customHeight="false" outlineLevel="0" collapsed="false">
      <c r="A4345" s="0" t="n">
        <v>4344</v>
      </c>
      <c r="B4345" s="14" t="n">
        <v>121985.745441843</v>
      </c>
      <c r="C4345" s="15" t="n">
        <v>0.108107505362105</v>
      </c>
      <c r="D4345" s="14" t="n">
        <f aca="false">Summary!$B$5-B4345</f>
        <v>-21985.745441843</v>
      </c>
      <c r="E4345" s="15" t="n">
        <f aca="false">B4345/Summary!$B$5-1</f>
        <v>0.21985745441843</v>
      </c>
    </row>
    <row r="4346" customFormat="false" ht="15" hidden="false" customHeight="false" outlineLevel="0" collapsed="false">
      <c r="A4346" s="0" t="n">
        <v>4345</v>
      </c>
      <c r="B4346" s="14" t="n">
        <v>100488.639415884</v>
      </c>
      <c r="C4346" s="15" t="n">
        <v>0.142809600101012</v>
      </c>
      <c r="D4346" s="14" t="n">
        <f aca="false">Summary!$B$5-B4346</f>
        <v>-488.639415884201</v>
      </c>
      <c r="E4346" s="15" t="n">
        <f aca="false">B4346/Summary!$B$5-1</f>
        <v>0.00488639415884196</v>
      </c>
    </row>
    <row r="4347" customFormat="false" ht="15" hidden="false" customHeight="false" outlineLevel="0" collapsed="false">
      <c r="A4347" s="0" t="n">
        <v>4346</v>
      </c>
      <c r="B4347" s="14" t="n">
        <v>115659.964509075</v>
      </c>
      <c r="C4347" s="15" t="n">
        <v>0.0677250916337899</v>
      </c>
      <c r="D4347" s="14" t="n">
        <f aca="false">Summary!$B$5-B4347</f>
        <v>-15659.9645090746</v>
      </c>
      <c r="E4347" s="15" t="n">
        <f aca="false">B4347/Summary!$B$5-1</f>
        <v>0.156599645090746</v>
      </c>
    </row>
    <row r="4348" customFormat="false" ht="15" hidden="false" customHeight="false" outlineLevel="0" collapsed="false">
      <c r="A4348" s="0" t="n">
        <v>4347</v>
      </c>
      <c r="B4348" s="14" t="n">
        <v>107795.299905457</v>
      </c>
      <c r="C4348" s="15" t="n">
        <v>0.0692632984430243</v>
      </c>
      <c r="D4348" s="14" t="n">
        <f aca="false">Summary!$B$5-B4348</f>
        <v>-7795.2999054573</v>
      </c>
      <c r="E4348" s="15" t="n">
        <f aca="false">B4348/Summary!$B$5-1</f>
        <v>0.0779529990545731</v>
      </c>
    </row>
    <row r="4349" customFormat="false" ht="15" hidden="false" customHeight="false" outlineLevel="0" collapsed="false">
      <c r="A4349" s="0" t="n">
        <v>4348</v>
      </c>
      <c r="B4349" s="14" t="n">
        <v>121156.99050663</v>
      </c>
      <c r="C4349" s="15" t="n">
        <v>0.0573879940156442</v>
      </c>
      <c r="D4349" s="14" t="n">
        <f aca="false">Summary!$B$5-B4349</f>
        <v>-21156.99050663</v>
      </c>
      <c r="E4349" s="15" t="n">
        <f aca="false">B4349/Summary!$B$5-1</f>
        <v>0.2115699050663</v>
      </c>
    </row>
    <row r="4350" customFormat="false" ht="15" hidden="false" customHeight="false" outlineLevel="0" collapsed="false">
      <c r="A4350" s="0" t="n">
        <v>4349</v>
      </c>
      <c r="B4350" s="14" t="n">
        <v>98196.2663689368</v>
      </c>
      <c r="C4350" s="15" t="n">
        <v>0.0799279189258924</v>
      </c>
      <c r="D4350" s="14" t="n">
        <f aca="false">Summary!$B$5-B4350</f>
        <v>1803.73363106319</v>
      </c>
      <c r="E4350" s="15" t="n">
        <f aca="false">B4350/Summary!$B$5-1</f>
        <v>-0.018037336310632</v>
      </c>
    </row>
    <row r="4351" customFormat="false" ht="15" hidden="false" customHeight="false" outlineLevel="0" collapsed="false">
      <c r="A4351" s="0" t="n">
        <v>4350</v>
      </c>
      <c r="B4351" s="14" t="n">
        <v>106763.440604352</v>
      </c>
      <c r="C4351" s="15" t="n">
        <v>0.0691415036612306</v>
      </c>
      <c r="D4351" s="14" t="n">
        <f aca="false">Summary!$B$5-B4351</f>
        <v>-6763.4406043519</v>
      </c>
      <c r="E4351" s="15" t="n">
        <f aca="false">B4351/Summary!$B$5-1</f>
        <v>0.067634406043519</v>
      </c>
    </row>
    <row r="4352" customFormat="false" ht="15" hidden="false" customHeight="false" outlineLevel="0" collapsed="false">
      <c r="A4352" s="0" t="n">
        <v>4351</v>
      </c>
      <c r="B4352" s="14" t="n">
        <v>87763.3797092235</v>
      </c>
      <c r="C4352" s="15" t="n">
        <v>0.172609832414397</v>
      </c>
      <c r="D4352" s="14" t="n">
        <f aca="false">Summary!$B$5-B4352</f>
        <v>12236.6202907765</v>
      </c>
      <c r="E4352" s="15" t="n">
        <f aca="false">B4352/Summary!$B$5-1</f>
        <v>-0.122366202907765</v>
      </c>
    </row>
    <row r="4353" customFormat="false" ht="15" hidden="false" customHeight="false" outlineLevel="0" collapsed="false">
      <c r="A4353" s="0" t="n">
        <v>4352</v>
      </c>
      <c r="B4353" s="14" t="n">
        <v>116234.264940052</v>
      </c>
      <c r="C4353" s="15" t="n">
        <v>0.06622995451999</v>
      </c>
      <c r="D4353" s="14" t="n">
        <f aca="false">Summary!$B$5-B4353</f>
        <v>-16234.2649400524</v>
      </c>
      <c r="E4353" s="15" t="n">
        <f aca="false">B4353/Summary!$B$5-1</f>
        <v>0.162342649400524</v>
      </c>
    </row>
    <row r="4354" customFormat="false" ht="15" hidden="false" customHeight="false" outlineLevel="0" collapsed="false">
      <c r="A4354" s="0" t="n">
        <v>4353</v>
      </c>
      <c r="B4354" s="14" t="n">
        <v>109696.810225013</v>
      </c>
      <c r="C4354" s="15" t="n">
        <v>0.0803720696158354</v>
      </c>
      <c r="D4354" s="14" t="n">
        <f aca="false">Summary!$B$5-B4354</f>
        <v>-9696.8102250129</v>
      </c>
      <c r="E4354" s="15" t="n">
        <f aca="false">B4354/Summary!$B$5-1</f>
        <v>0.096968102250129</v>
      </c>
    </row>
    <row r="4355" customFormat="false" ht="15" hidden="false" customHeight="false" outlineLevel="0" collapsed="false">
      <c r="A4355" s="0" t="n">
        <v>4354</v>
      </c>
      <c r="B4355" s="14" t="n">
        <v>142751.313775206</v>
      </c>
      <c r="C4355" s="15" t="n">
        <v>0.0536081317346173</v>
      </c>
      <c r="D4355" s="14" t="n">
        <f aca="false">Summary!$B$5-B4355</f>
        <v>-42751.3137752062</v>
      </c>
      <c r="E4355" s="15" t="n">
        <f aca="false">B4355/Summary!$B$5-1</f>
        <v>0.427513137752062</v>
      </c>
    </row>
    <row r="4356" customFormat="false" ht="15" hidden="false" customHeight="false" outlineLevel="0" collapsed="false">
      <c r="A4356" s="0" t="n">
        <v>4355</v>
      </c>
      <c r="B4356" s="14" t="n">
        <v>114296.503985309</v>
      </c>
      <c r="C4356" s="15" t="n">
        <v>0.0817469090670278</v>
      </c>
      <c r="D4356" s="14" t="n">
        <f aca="false">Summary!$B$5-B4356</f>
        <v>-14296.5039853091</v>
      </c>
      <c r="E4356" s="15" t="n">
        <f aca="false">B4356/Summary!$B$5-1</f>
        <v>0.142965039853091</v>
      </c>
    </row>
    <row r="4357" customFormat="false" ht="15" hidden="false" customHeight="false" outlineLevel="0" collapsed="false">
      <c r="A4357" s="0" t="n">
        <v>4356</v>
      </c>
      <c r="B4357" s="14" t="n">
        <v>89384.2975888383</v>
      </c>
      <c r="C4357" s="15" t="n">
        <v>0.133787787928064</v>
      </c>
      <c r="D4357" s="14" t="n">
        <f aca="false">Summary!$B$5-B4357</f>
        <v>10615.7024111617</v>
      </c>
      <c r="E4357" s="15" t="n">
        <f aca="false">B4357/Summary!$B$5-1</f>
        <v>-0.106157024111617</v>
      </c>
    </row>
    <row r="4358" customFormat="false" ht="15" hidden="false" customHeight="false" outlineLevel="0" collapsed="false">
      <c r="A4358" s="0" t="n">
        <v>4357</v>
      </c>
      <c r="B4358" s="14" t="n">
        <v>99003.6964263847</v>
      </c>
      <c r="C4358" s="15" t="n">
        <v>0.128324334943215</v>
      </c>
      <c r="D4358" s="14" t="n">
        <f aca="false">Summary!$B$5-B4358</f>
        <v>996.303573615267</v>
      </c>
      <c r="E4358" s="15" t="n">
        <f aca="false">B4358/Summary!$B$5-1</f>
        <v>-0.00996303573615265</v>
      </c>
    </row>
    <row r="4359" customFormat="false" ht="15" hidden="false" customHeight="false" outlineLevel="0" collapsed="false">
      <c r="A4359" s="0" t="n">
        <v>4358</v>
      </c>
      <c r="B4359" s="14" t="n">
        <v>104984.92434044</v>
      </c>
      <c r="C4359" s="15" t="n">
        <v>0.120920058654262</v>
      </c>
      <c r="D4359" s="14" t="n">
        <f aca="false">Summary!$B$5-B4359</f>
        <v>-4984.9243404396</v>
      </c>
      <c r="E4359" s="15" t="n">
        <f aca="false">B4359/Summary!$B$5-1</f>
        <v>0.049849243404396</v>
      </c>
    </row>
    <row r="4360" customFormat="false" ht="15" hidden="false" customHeight="false" outlineLevel="0" collapsed="false">
      <c r="A4360" s="0" t="n">
        <v>4359</v>
      </c>
      <c r="B4360" s="14" t="n">
        <v>108362.757072436</v>
      </c>
      <c r="C4360" s="15" t="n">
        <v>0.127774352083292</v>
      </c>
      <c r="D4360" s="14" t="n">
        <f aca="false">Summary!$B$5-B4360</f>
        <v>-8362.75707243579</v>
      </c>
      <c r="E4360" s="15" t="n">
        <f aca="false">B4360/Summary!$B$5-1</f>
        <v>0.0836275707243579</v>
      </c>
    </row>
    <row r="4361" customFormat="false" ht="15" hidden="false" customHeight="false" outlineLevel="0" collapsed="false">
      <c r="A4361" s="0" t="n">
        <v>4360</v>
      </c>
      <c r="B4361" s="14" t="n">
        <v>130115.479022819</v>
      </c>
      <c r="C4361" s="15" t="n">
        <v>0.0587736979762644</v>
      </c>
      <c r="D4361" s="14" t="n">
        <f aca="false">Summary!$B$5-B4361</f>
        <v>-30115.4790228189</v>
      </c>
      <c r="E4361" s="15" t="n">
        <f aca="false">B4361/Summary!$B$5-1</f>
        <v>0.301154790228189</v>
      </c>
    </row>
    <row r="4362" customFormat="false" ht="15" hidden="false" customHeight="false" outlineLevel="0" collapsed="false">
      <c r="A4362" s="0" t="n">
        <v>4361</v>
      </c>
      <c r="B4362" s="14" t="n">
        <v>121183.362720559</v>
      </c>
      <c r="C4362" s="15" t="n">
        <v>0.0983115196602645</v>
      </c>
      <c r="D4362" s="14" t="n">
        <f aca="false">Summary!$B$5-B4362</f>
        <v>-21183.3627205589</v>
      </c>
      <c r="E4362" s="15" t="n">
        <f aca="false">B4362/Summary!$B$5-1</f>
        <v>0.211833627205589</v>
      </c>
    </row>
    <row r="4363" customFormat="false" ht="15" hidden="false" customHeight="false" outlineLevel="0" collapsed="false">
      <c r="A4363" s="0" t="n">
        <v>4362</v>
      </c>
      <c r="B4363" s="14" t="n">
        <v>114657.898027754</v>
      </c>
      <c r="C4363" s="15" t="n">
        <v>0.0788557609889026</v>
      </c>
      <c r="D4363" s="14" t="n">
        <f aca="false">Summary!$B$5-B4363</f>
        <v>-14657.8980277542</v>
      </c>
      <c r="E4363" s="15" t="n">
        <f aca="false">B4363/Summary!$B$5-1</f>
        <v>0.146578980277542</v>
      </c>
    </row>
    <row r="4364" customFormat="false" ht="15" hidden="false" customHeight="false" outlineLevel="0" collapsed="false">
      <c r="A4364" s="0" t="n">
        <v>4363</v>
      </c>
      <c r="B4364" s="14" t="n">
        <v>109917.915584092</v>
      </c>
      <c r="C4364" s="15" t="n">
        <v>0.0946437748932254</v>
      </c>
      <c r="D4364" s="14" t="n">
        <f aca="false">Summary!$B$5-B4364</f>
        <v>-9917.91558409231</v>
      </c>
      <c r="E4364" s="15" t="n">
        <f aca="false">B4364/Summary!$B$5-1</f>
        <v>0.099179155840923</v>
      </c>
    </row>
    <row r="4365" customFormat="false" ht="15" hidden="false" customHeight="false" outlineLevel="0" collapsed="false">
      <c r="A4365" s="0" t="n">
        <v>4364</v>
      </c>
      <c r="B4365" s="14" t="n">
        <v>114222.54791733</v>
      </c>
      <c r="C4365" s="15" t="n">
        <v>0.0589966885438044</v>
      </c>
      <c r="D4365" s="14" t="n">
        <f aca="false">Summary!$B$5-B4365</f>
        <v>-14222.5479173303</v>
      </c>
      <c r="E4365" s="15" t="n">
        <f aca="false">B4365/Summary!$B$5-1</f>
        <v>0.142225479173303</v>
      </c>
    </row>
    <row r="4366" customFormat="false" ht="15" hidden="false" customHeight="false" outlineLevel="0" collapsed="false">
      <c r="A4366" s="0" t="n">
        <v>4365</v>
      </c>
      <c r="B4366" s="14" t="n">
        <v>127602.112000819</v>
      </c>
      <c r="C4366" s="15" t="n">
        <v>0.0615868631918901</v>
      </c>
      <c r="D4366" s="14" t="n">
        <f aca="false">Summary!$B$5-B4366</f>
        <v>-27602.1120008187</v>
      </c>
      <c r="E4366" s="15" t="n">
        <f aca="false">B4366/Summary!$B$5-1</f>
        <v>0.276021120008187</v>
      </c>
    </row>
    <row r="4367" customFormat="false" ht="15" hidden="false" customHeight="false" outlineLevel="0" collapsed="false">
      <c r="A4367" s="0" t="n">
        <v>4366</v>
      </c>
      <c r="B4367" s="14" t="n">
        <v>99351.0696105644</v>
      </c>
      <c r="C4367" s="15" t="n">
        <v>0.163372070730817</v>
      </c>
      <c r="D4367" s="14" t="n">
        <f aca="false">Summary!$B$5-B4367</f>
        <v>648.930389435642</v>
      </c>
      <c r="E4367" s="15" t="n">
        <f aca="false">B4367/Summary!$B$5-1</f>
        <v>-0.00648930389435642</v>
      </c>
    </row>
    <row r="4368" customFormat="false" ht="15" hidden="false" customHeight="false" outlineLevel="0" collapsed="false">
      <c r="A4368" s="0" t="n">
        <v>4367</v>
      </c>
      <c r="B4368" s="14" t="n">
        <v>107566.819353997</v>
      </c>
      <c r="C4368" s="15" t="n">
        <v>0.0695109806465118</v>
      </c>
      <c r="D4368" s="14" t="n">
        <f aca="false">Summary!$B$5-B4368</f>
        <v>-7566.8193539971</v>
      </c>
      <c r="E4368" s="15" t="n">
        <f aca="false">B4368/Summary!$B$5-1</f>
        <v>0.075668193539971</v>
      </c>
    </row>
    <row r="4369" customFormat="false" ht="15" hidden="false" customHeight="false" outlineLevel="0" collapsed="false">
      <c r="A4369" s="0" t="n">
        <v>4368</v>
      </c>
      <c r="B4369" s="14" t="n">
        <v>116970.965389256</v>
      </c>
      <c r="C4369" s="15" t="n">
        <v>0.0805376844755171</v>
      </c>
      <c r="D4369" s="14" t="n">
        <f aca="false">Summary!$B$5-B4369</f>
        <v>-16970.9653892562</v>
      </c>
      <c r="E4369" s="15" t="n">
        <f aca="false">B4369/Summary!$B$5-1</f>
        <v>0.169709653892562</v>
      </c>
    </row>
    <row r="4370" customFormat="false" ht="15" hidden="false" customHeight="false" outlineLevel="0" collapsed="false">
      <c r="A4370" s="0" t="n">
        <v>4369</v>
      </c>
      <c r="B4370" s="14" t="n">
        <v>118462.200741267</v>
      </c>
      <c r="C4370" s="15" t="n">
        <v>0.0729602657607358</v>
      </c>
      <c r="D4370" s="14" t="n">
        <f aca="false">Summary!$B$5-B4370</f>
        <v>-18462.2007412669</v>
      </c>
      <c r="E4370" s="15" t="n">
        <f aca="false">B4370/Summary!$B$5-1</f>
        <v>0.184622007412669</v>
      </c>
    </row>
    <row r="4371" customFormat="false" ht="15" hidden="false" customHeight="false" outlineLevel="0" collapsed="false">
      <c r="A4371" s="0" t="n">
        <v>4370</v>
      </c>
      <c r="B4371" s="14" t="n">
        <v>132900.744381585</v>
      </c>
      <c r="C4371" s="15" t="n">
        <v>0.064764187245961</v>
      </c>
      <c r="D4371" s="14" t="n">
        <f aca="false">Summary!$B$5-B4371</f>
        <v>-32900.7443815853</v>
      </c>
      <c r="E4371" s="15" t="n">
        <f aca="false">B4371/Summary!$B$5-1</f>
        <v>0.329007443815853</v>
      </c>
    </row>
    <row r="4372" customFormat="false" ht="15" hidden="false" customHeight="false" outlineLevel="0" collapsed="false">
      <c r="A4372" s="0" t="n">
        <v>4371</v>
      </c>
      <c r="B4372" s="14" t="n">
        <v>78051.4047826488</v>
      </c>
      <c r="C4372" s="15" t="n">
        <v>0.231795611755469</v>
      </c>
      <c r="D4372" s="14" t="n">
        <f aca="false">Summary!$B$5-B4372</f>
        <v>21948.5952173513</v>
      </c>
      <c r="E4372" s="15" t="n">
        <f aca="false">B4372/Summary!$B$5-1</f>
        <v>-0.219485952173513</v>
      </c>
    </row>
    <row r="4373" customFormat="false" ht="15" hidden="false" customHeight="false" outlineLevel="0" collapsed="false">
      <c r="A4373" s="0" t="n">
        <v>4372</v>
      </c>
      <c r="B4373" s="14" t="n">
        <v>108231.806281257</v>
      </c>
      <c r="C4373" s="15" t="n">
        <v>0.116318989723778</v>
      </c>
      <c r="D4373" s="14" t="n">
        <f aca="false">Summary!$B$5-B4373</f>
        <v>-8231.8062812572</v>
      </c>
      <c r="E4373" s="15" t="n">
        <f aca="false">B4373/Summary!$B$5-1</f>
        <v>0.0823180628125719</v>
      </c>
    </row>
    <row r="4374" customFormat="false" ht="15" hidden="false" customHeight="false" outlineLevel="0" collapsed="false">
      <c r="A4374" s="0" t="n">
        <v>4373</v>
      </c>
      <c r="B4374" s="14" t="n">
        <v>102903.751737334</v>
      </c>
      <c r="C4374" s="15" t="n">
        <v>0.074686949744848</v>
      </c>
      <c r="D4374" s="14" t="n">
        <f aca="false">Summary!$B$5-B4374</f>
        <v>-2903.7517373337</v>
      </c>
      <c r="E4374" s="15" t="n">
        <f aca="false">B4374/Summary!$B$5-1</f>
        <v>0.029037517373337</v>
      </c>
    </row>
    <row r="4375" customFormat="false" ht="15" hidden="false" customHeight="false" outlineLevel="0" collapsed="false">
      <c r="A4375" s="0" t="n">
        <v>4374</v>
      </c>
      <c r="B4375" s="14" t="n">
        <v>111051.601016772</v>
      </c>
      <c r="C4375" s="15" t="n">
        <v>0.0812180800897325</v>
      </c>
      <c r="D4375" s="14" t="n">
        <f aca="false">Summary!$B$5-B4375</f>
        <v>-11051.6010167723</v>
      </c>
      <c r="E4375" s="15" t="n">
        <f aca="false">B4375/Summary!$B$5-1</f>
        <v>0.110516010167723</v>
      </c>
    </row>
    <row r="4376" customFormat="false" ht="15" hidden="false" customHeight="false" outlineLevel="0" collapsed="false">
      <c r="A4376" s="0" t="n">
        <v>4375</v>
      </c>
      <c r="B4376" s="14" t="n">
        <v>145099.220690491</v>
      </c>
      <c r="C4376" s="15" t="n">
        <v>0.0599187205190859</v>
      </c>
      <c r="D4376" s="14" t="n">
        <f aca="false">Summary!$B$5-B4376</f>
        <v>-45099.2206904912</v>
      </c>
      <c r="E4376" s="15" t="n">
        <f aca="false">B4376/Summary!$B$5-1</f>
        <v>0.450992206904912</v>
      </c>
    </row>
    <row r="4377" customFormat="false" ht="15" hidden="false" customHeight="false" outlineLevel="0" collapsed="false">
      <c r="A4377" s="0" t="n">
        <v>4376</v>
      </c>
      <c r="B4377" s="14" t="n">
        <v>95421.1690325765</v>
      </c>
      <c r="C4377" s="15" t="n">
        <v>0.121112309683084</v>
      </c>
      <c r="D4377" s="14" t="n">
        <f aca="false">Summary!$B$5-B4377</f>
        <v>4578.83096742351</v>
      </c>
      <c r="E4377" s="15" t="n">
        <f aca="false">B4377/Summary!$B$5-1</f>
        <v>-0.0457883096742351</v>
      </c>
    </row>
    <row r="4378" customFormat="false" ht="15" hidden="false" customHeight="false" outlineLevel="0" collapsed="false">
      <c r="A4378" s="0" t="n">
        <v>4377</v>
      </c>
      <c r="B4378" s="14" t="n">
        <v>96079.1604543876</v>
      </c>
      <c r="C4378" s="15" t="n">
        <v>0.171114266571557</v>
      </c>
      <c r="D4378" s="14" t="n">
        <f aca="false">Summary!$B$5-B4378</f>
        <v>3920.83954561241</v>
      </c>
      <c r="E4378" s="15" t="n">
        <f aca="false">B4378/Summary!$B$5-1</f>
        <v>-0.0392083954561241</v>
      </c>
    </row>
    <row r="4379" customFormat="false" ht="15" hidden="false" customHeight="false" outlineLevel="0" collapsed="false">
      <c r="A4379" s="0" t="n">
        <v>4378</v>
      </c>
      <c r="B4379" s="14" t="n">
        <v>97627.8460519902</v>
      </c>
      <c r="C4379" s="15" t="n">
        <v>0.118698191727839</v>
      </c>
      <c r="D4379" s="14" t="n">
        <f aca="false">Summary!$B$5-B4379</f>
        <v>2372.15394800977</v>
      </c>
      <c r="E4379" s="15" t="n">
        <f aca="false">B4379/Summary!$B$5-1</f>
        <v>-0.0237215394800977</v>
      </c>
    </row>
    <row r="4380" customFormat="false" ht="15" hidden="false" customHeight="false" outlineLevel="0" collapsed="false">
      <c r="A4380" s="0" t="n">
        <v>4379</v>
      </c>
      <c r="B4380" s="14" t="n">
        <v>134275.124773272</v>
      </c>
      <c r="C4380" s="15" t="n">
        <v>0.0422437084102949</v>
      </c>
      <c r="D4380" s="14" t="n">
        <f aca="false">Summary!$B$5-B4380</f>
        <v>-34275.1247732719</v>
      </c>
      <c r="E4380" s="15" t="n">
        <f aca="false">B4380/Summary!$B$5-1</f>
        <v>0.342751247732719</v>
      </c>
    </row>
    <row r="4381" customFormat="false" ht="15" hidden="false" customHeight="false" outlineLevel="0" collapsed="false">
      <c r="A4381" s="0" t="n">
        <v>4380</v>
      </c>
      <c r="B4381" s="14" t="n">
        <v>121286.894286139</v>
      </c>
      <c r="C4381" s="15" t="n">
        <v>0.0852343118716753</v>
      </c>
      <c r="D4381" s="14" t="n">
        <f aca="false">Summary!$B$5-B4381</f>
        <v>-21286.894286139</v>
      </c>
      <c r="E4381" s="15" t="n">
        <f aca="false">B4381/Summary!$B$5-1</f>
        <v>0.21286894286139</v>
      </c>
    </row>
    <row r="4382" customFormat="false" ht="15" hidden="false" customHeight="false" outlineLevel="0" collapsed="false">
      <c r="A4382" s="0" t="n">
        <v>4381</v>
      </c>
      <c r="B4382" s="14" t="n">
        <v>121322.200356609</v>
      </c>
      <c r="C4382" s="15" t="n">
        <v>0.0651168919964388</v>
      </c>
      <c r="D4382" s="14" t="n">
        <f aca="false">Summary!$B$5-B4382</f>
        <v>-21322.2003566094</v>
      </c>
      <c r="E4382" s="15" t="n">
        <f aca="false">B4382/Summary!$B$5-1</f>
        <v>0.213222003566094</v>
      </c>
    </row>
    <row r="4383" customFormat="false" ht="15" hidden="false" customHeight="false" outlineLevel="0" collapsed="false">
      <c r="A4383" s="0" t="n">
        <v>4382</v>
      </c>
      <c r="B4383" s="14" t="n">
        <v>97194.3058070004</v>
      </c>
      <c r="C4383" s="15" t="n">
        <v>0.15459915735296</v>
      </c>
      <c r="D4383" s="14" t="n">
        <f aca="false">Summary!$B$5-B4383</f>
        <v>2805.69419299965</v>
      </c>
      <c r="E4383" s="15" t="n">
        <f aca="false">B4383/Summary!$B$5-1</f>
        <v>-0.0280569419299965</v>
      </c>
    </row>
    <row r="4384" customFormat="false" ht="15" hidden="false" customHeight="false" outlineLevel="0" collapsed="false">
      <c r="A4384" s="0" t="n">
        <v>4383</v>
      </c>
      <c r="B4384" s="14" t="n">
        <v>117105.749732907</v>
      </c>
      <c r="C4384" s="15" t="n">
        <v>0.0694343202954811</v>
      </c>
      <c r="D4384" s="14" t="n">
        <f aca="false">Summary!$B$5-B4384</f>
        <v>-17105.7497329067</v>
      </c>
      <c r="E4384" s="15" t="n">
        <f aca="false">B4384/Summary!$B$5-1</f>
        <v>0.171057497329067</v>
      </c>
    </row>
    <row r="4385" customFormat="false" ht="15" hidden="false" customHeight="false" outlineLevel="0" collapsed="false">
      <c r="A4385" s="0" t="n">
        <v>4384</v>
      </c>
      <c r="B4385" s="14" t="n">
        <v>113168.871279267</v>
      </c>
      <c r="C4385" s="15" t="n">
        <v>0.082091782927349</v>
      </c>
      <c r="D4385" s="14" t="n">
        <f aca="false">Summary!$B$5-B4385</f>
        <v>-13168.8712792666</v>
      </c>
      <c r="E4385" s="15" t="n">
        <f aca="false">B4385/Summary!$B$5-1</f>
        <v>0.131688712792666</v>
      </c>
    </row>
    <row r="4386" customFormat="false" ht="15" hidden="false" customHeight="false" outlineLevel="0" collapsed="false">
      <c r="A4386" s="0" t="n">
        <v>4385</v>
      </c>
      <c r="B4386" s="14" t="n">
        <v>127410.743309504</v>
      </c>
      <c r="C4386" s="15" t="n">
        <v>0.0700437443247145</v>
      </c>
      <c r="D4386" s="14" t="n">
        <f aca="false">Summary!$B$5-B4386</f>
        <v>-27410.7433095036</v>
      </c>
      <c r="E4386" s="15" t="n">
        <f aca="false">B4386/Summary!$B$5-1</f>
        <v>0.274107433095036</v>
      </c>
    </row>
    <row r="4387" customFormat="false" ht="15" hidden="false" customHeight="false" outlineLevel="0" collapsed="false">
      <c r="A4387" s="0" t="n">
        <v>4386</v>
      </c>
      <c r="B4387" s="14" t="n">
        <v>93332.2690159784</v>
      </c>
      <c r="C4387" s="15" t="n">
        <v>0.154221025538587</v>
      </c>
      <c r="D4387" s="14" t="n">
        <f aca="false">Summary!$B$5-B4387</f>
        <v>6667.73098402156</v>
      </c>
      <c r="E4387" s="15" t="n">
        <f aca="false">B4387/Summary!$B$5-1</f>
        <v>-0.0666773098402156</v>
      </c>
    </row>
    <row r="4388" customFormat="false" ht="15" hidden="false" customHeight="false" outlineLevel="0" collapsed="false">
      <c r="A4388" s="0" t="n">
        <v>4387</v>
      </c>
      <c r="B4388" s="14" t="n">
        <v>104685.080200428</v>
      </c>
      <c r="C4388" s="15" t="n">
        <v>0.0927133033239859</v>
      </c>
      <c r="D4388" s="14" t="n">
        <f aca="false">Summary!$B$5-B4388</f>
        <v>-4685.08020042761</v>
      </c>
      <c r="E4388" s="15" t="n">
        <f aca="false">B4388/Summary!$B$5-1</f>
        <v>0.0468508020042759</v>
      </c>
    </row>
    <row r="4389" customFormat="false" ht="15" hidden="false" customHeight="false" outlineLevel="0" collapsed="false">
      <c r="A4389" s="0" t="n">
        <v>4388</v>
      </c>
      <c r="B4389" s="14" t="n">
        <v>101569.359626355</v>
      </c>
      <c r="C4389" s="15" t="n">
        <v>0.0817728981171932</v>
      </c>
      <c r="D4389" s="14" t="n">
        <f aca="false">Summary!$B$5-B4389</f>
        <v>-1569.3596263549</v>
      </c>
      <c r="E4389" s="15" t="n">
        <f aca="false">B4389/Summary!$B$5-1</f>
        <v>0.0156935962635489</v>
      </c>
    </row>
    <row r="4390" customFormat="false" ht="15" hidden="false" customHeight="false" outlineLevel="0" collapsed="false">
      <c r="A4390" s="0" t="n">
        <v>4389</v>
      </c>
      <c r="B4390" s="14" t="n">
        <v>121557.95041707</v>
      </c>
      <c r="C4390" s="15" t="n">
        <v>0.0962252028317401</v>
      </c>
      <c r="D4390" s="14" t="n">
        <f aca="false">Summary!$B$5-B4390</f>
        <v>-21557.9504170695</v>
      </c>
      <c r="E4390" s="15" t="n">
        <f aca="false">B4390/Summary!$B$5-1</f>
        <v>0.215579504170695</v>
      </c>
    </row>
    <row r="4391" customFormat="false" ht="15" hidden="false" customHeight="false" outlineLevel="0" collapsed="false">
      <c r="A4391" s="0" t="n">
        <v>4390</v>
      </c>
      <c r="B4391" s="14" t="n">
        <v>109001.864253934</v>
      </c>
      <c r="C4391" s="15" t="n">
        <v>0.0998061879826011</v>
      </c>
      <c r="D4391" s="14" t="n">
        <f aca="false">Summary!$B$5-B4391</f>
        <v>-9001.8642539336</v>
      </c>
      <c r="E4391" s="15" t="n">
        <f aca="false">B4391/Summary!$B$5-1</f>
        <v>0.0900186425393359</v>
      </c>
    </row>
    <row r="4392" customFormat="false" ht="15" hidden="false" customHeight="false" outlineLevel="0" collapsed="false">
      <c r="A4392" s="0" t="n">
        <v>4391</v>
      </c>
      <c r="B4392" s="14" t="n">
        <v>93584.808465814</v>
      </c>
      <c r="C4392" s="15" t="n">
        <v>0.119599589336926</v>
      </c>
      <c r="D4392" s="14" t="n">
        <f aca="false">Summary!$B$5-B4392</f>
        <v>6415.19153418596</v>
      </c>
      <c r="E4392" s="15" t="n">
        <f aca="false">B4392/Summary!$B$5-1</f>
        <v>-0.0641519153418596</v>
      </c>
    </row>
    <row r="4393" customFormat="false" ht="15" hidden="false" customHeight="false" outlineLevel="0" collapsed="false">
      <c r="A4393" s="0" t="n">
        <v>4392</v>
      </c>
      <c r="B4393" s="14" t="n">
        <v>106187.782904126</v>
      </c>
      <c r="C4393" s="15" t="n">
        <v>0.110965570096087</v>
      </c>
      <c r="D4393" s="14" t="n">
        <f aca="false">Summary!$B$5-B4393</f>
        <v>-6187.78290412641</v>
      </c>
      <c r="E4393" s="15" t="n">
        <f aca="false">B4393/Summary!$B$5-1</f>
        <v>0.061877829041264</v>
      </c>
    </row>
    <row r="4394" customFormat="false" ht="15" hidden="false" customHeight="false" outlineLevel="0" collapsed="false">
      <c r="A4394" s="0" t="n">
        <v>4393</v>
      </c>
      <c r="B4394" s="14" t="n">
        <v>83740.2014312244</v>
      </c>
      <c r="C4394" s="15" t="n">
        <v>0.17248605586798</v>
      </c>
      <c r="D4394" s="14" t="n">
        <f aca="false">Summary!$B$5-B4394</f>
        <v>16259.7985687756</v>
      </c>
      <c r="E4394" s="15" t="n">
        <f aca="false">B4394/Summary!$B$5-1</f>
        <v>-0.162597985687756</v>
      </c>
    </row>
    <row r="4395" customFormat="false" ht="15" hidden="false" customHeight="false" outlineLevel="0" collapsed="false">
      <c r="A4395" s="0" t="n">
        <v>4394</v>
      </c>
      <c r="B4395" s="14" t="n">
        <v>108589.952722696</v>
      </c>
      <c r="C4395" s="15" t="n">
        <v>0.067430532242711</v>
      </c>
      <c r="D4395" s="14" t="n">
        <f aca="false">Summary!$B$5-B4395</f>
        <v>-8589.95272269611</v>
      </c>
      <c r="E4395" s="15" t="n">
        <f aca="false">B4395/Summary!$B$5-1</f>
        <v>0.0858995272269612</v>
      </c>
    </row>
    <row r="4396" customFormat="false" ht="15" hidden="false" customHeight="false" outlineLevel="0" collapsed="false">
      <c r="A4396" s="0" t="n">
        <v>4395</v>
      </c>
      <c r="B4396" s="14" t="n">
        <v>95735.3880280747</v>
      </c>
      <c r="C4396" s="15" t="n">
        <v>0.118181705377513</v>
      </c>
      <c r="D4396" s="14" t="n">
        <f aca="false">Summary!$B$5-B4396</f>
        <v>4264.61197192533</v>
      </c>
      <c r="E4396" s="15" t="n">
        <f aca="false">B4396/Summary!$B$5-1</f>
        <v>-0.0426461197192534</v>
      </c>
    </row>
    <row r="4397" customFormat="false" ht="15" hidden="false" customHeight="false" outlineLevel="0" collapsed="false">
      <c r="A4397" s="0" t="n">
        <v>4396</v>
      </c>
      <c r="B4397" s="14" t="n">
        <v>103552.949172697</v>
      </c>
      <c r="C4397" s="15" t="n">
        <v>0.12927627993733</v>
      </c>
      <c r="D4397" s="14" t="n">
        <f aca="false">Summary!$B$5-B4397</f>
        <v>-3552.9491726969</v>
      </c>
      <c r="E4397" s="15" t="n">
        <f aca="false">B4397/Summary!$B$5-1</f>
        <v>0.0355294917269691</v>
      </c>
    </row>
    <row r="4398" customFormat="false" ht="15" hidden="false" customHeight="false" outlineLevel="0" collapsed="false">
      <c r="A4398" s="0" t="n">
        <v>4397</v>
      </c>
      <c r="B4398" s="14" t="n">
        <v>112778.931334277</v>
      </c>
      <c r="C4398" s="15" t="n">
        <v>0.0913786553549542</v>
      </c>
      <c r="D4398" s="14" t="n">
        <f aca="false">Summary!$B$5-B4398</f>
        <v>-12778.9313342767</v>
      </c>
      <c r="E4398" s="15" t="n">
        <f aca="false">B4398/Summary!$B$5-1</f>
        <v>0.127789313342767</v>
      </c>
    </row>
    <row r="4399" customFormat="false" ht="15" hidden="false" customHeight="false" outlineLevel="0" collapsed="false">
      <c r="A4399" s="0" t="n">
        <v>4398</v>
      </c>
      <c r="B4399" s="14" t="n">
        <v>114358.229094376</v>
      </c>
      <c r="C4399" s="15" t="n">
        <v>0.0639850223201977</v>
      </c>
      <c r="D4399" s="14" t="n">
        <f aca="false">Summary!$B$5-B4399</f>
        <v>-14358.2290943764</v>
      </c>
      <c r="E4399" s="15" t="n">
        <f aca="false">B4399/Summary!$B$5-1</f>
        <v>0.143582290943764</v>
      </c>
    </row>
    <row r="4400" customFormat="false" ht="15" hidden="false" customHeight="false" outlineLevel="0" collapsed="false">
      <c r="A4400" s="0" t="n">
        <v>4399</v>
      </c>
      <c r="B4400" s="14" t="n">
        <v>99105.62715438</v>
      </c>
      <c r="C4400" s="15" t="n">
        <v>0.175248053772078</v>
      </c>
      <c r="D4400" s="14" t="n">
        <f aca="false">Summary!$B$5-B4400</f>
        <v>894.372845620004</v>
      </c>
      <c r="E4400" s="15" t="n">
        <f aca="false">B4400/Summary!$B$5-1</f>
        <v>-0.00894372845620006</v>
      </c>
    </row>
    <row r="4401" customFormat="false" ht="15" hidden="false" customHeight="false" outlineLevel="0" collapsed="false">
      <c r="A4401" s="0" t="n">
        <v>4400</v>
      </c>
      <c r="B4401" s="14" t="n">
        <v>107890.185556464</v>
      </c>
      <c r="C4401" s="15" t="n">
        <v>0.059296999591101</v>
      </c>
      <c r="D4401" s="14" t="n">
        <f aca="false">Summary!$B$5-B4401</f>
        <v>-7890.18555646441</v>
      </c>
      <c r="E4401" s="15" t="n">
        <f aca="false">B4401/Summary!$B$5-1</f>
        <v>0.0789018555646441</v>
      </c>
    </row>
    <row r="4402" customFormat="false" ht="15" hidden="false" customHeight="false" outlineLevel="0" collapsed="false">
      <c r="A4402" s="0" t="n">
        <v>4401</v>
      </c>
      <c r="B4402" s="14" t="n">
        <v>128335.93404689</v>
      </c>
      <c r="C4402" s="15" t="n">
        <v>0.112226280548331</v>
      </c>
      <c r="D4402" s="14" t="n">
        <f aca="false">Summary!$B$5-B4402</f>
        <v>-28335.9340468901</v>
      </c>
      <c r="E4402" s="15" t="n">
        <f aca="false">B4402/Summary!$B$5-1</f>
        <v>0.283359340468901</v>
      </c>
    </row>
    <row r="4403" customFormat="false" ht="15" hidden="false" customHeight="false" outlineLevel="0" collapsed="false">
      <c r="A4403" s="0" t="n">
        <v>4402</v>
      </c>
      <c r="B4403" s="14" t="n">
        <v>103910.514054512</v>
      </c>
      <c r="C4403" s="15" t="n">
        <v>0.085323849423555</v>
      </c>
      <c r="D4403" s="14" t="n">
        <f aca="false">Summary!$B$5-B4403</f>
        <v>-3910.5140545116</v>
      </c>
      <c r="E4403" s="15" t="n">
        <f aca="false">B4403/Summary!$B$5-1</f>
        <v>0.0391051405451159</v>
      </c>
    </row>
    <row r="4404" customFormat="false" ht="15" hidden="false" customHeight="false" outlineLevel="0" collapsed="false">
      <c r="A4404" s="0" t="n">
        <v>4403</v>
      </c>
      <c r="B4404" s="14" t="n">
        <v>103324.369614737</v>
      </c>
      <c r="C4404" s="15" t="n">
        <v>0.093284819235694</v>
      </c>
      <c r="D4404" s="14" t="n">
        <f aca="false">Summary!$B$5-B4404</f>
        <v>-3324.3696147372</v>
      </c>
      <c r="E4404" s="15" t="n">
        <f aca="false">B4404/Summary!$B$5-1</f>
        <v>0.0332436961473719</v>
      </c>
    </row>
    <row r="4405" customFormat="false" ht="15" hidden="false" customHeight="false" outlineLevel="0" collapsed="false">
      <c r="A4405" s="0" t="n">
        <v>4404</v>
      </c>
      <c r="B4405" s="14" t="n">
        <v>91084.0282055627</v>
      </c>
      <c r="C4405" s="15" t="n">
        <v>0.13698174605449</v>
      </c>
      <c r="D4405" s="14" t="n">
        <f aca="false">Summary!$B$5-B4405</f>
        <v>8915.97179443733</v>
      </c>
      <c r="E4405" s="15" t="n">
        <f aca="false">B4405/Summary!$B$5-1</f>
        <v>-0.0891597179443733</v>
      </c>
    </row>
    <row r="4406" customFormat="false" ht="15" hidden="false" customHeight="false" outlineLevel="0" collapsed="false">
      <c r="A4406" s="0" t="n">
        <v>4405</v>
      </c>
      <c r="B4406" s="14" t="n">
        <v>118761.201696007</v>
      </c>
      <c r="C4406" s="15" t="n">
        <v>0.0617834783895711</v>
      </c>
      <c r="D4406" s="14" t="n">
        <f aca="false">Summary!$B$5-B4406</f>
        <v>-18761.201696007</v>
      </c>
      <c r="E4406" s="15" t="n">
        <f aca="false">B4406/Summary!$B$5-1</f>
        <v>0.18761201696007</v>
      </c>
    </row>
    <row r="4407" customFormat="false" ht="15" hidden="false" customHeight="false" outlineLevel="0" collapsed="false">
      <c r="A4407" s="0" t="n">
        <v>4406</v>
      </c>
      <c r="B4407" s="14" t="n">
        <v>103362.320977085</v>
      </c>
      <c r="C4407" s="15" t="n">
        <v>0.0708821001074911</v>
      </c>
      <c r="D4407" s="14" t="n">
        <f aca="false">Summary!$B$5-B4407</f>
        <v>-3362.3209770847</v>
      </c>
      <c r="E4407" s="15" t="n">
        <f aca="false">B4407/Summary!$B$5-1</f>
        <v>0.0336232097708471</v>
      </c>
    </row>
    <row r="4408" customFormat="false" ht="15" hidden="false" customHeight="false" outlineLevel="0" collapsed="false">
      <c r="A4408" s="0" t="n">
        <v>4407</v>
      </c>
      <c r="B4408" s="14" t="n">
        <v>128238.92719959</v>
      </c>
      <c r="C4408" s="15" t="n">
        <v>0.0725728379690952</v>
      </c>
      <c r="D4408" s="14" t="n">
        <f aca="false">Summary!$B$5-B4408</f>
        <v>-28238.9271995901</v>
      </c>
      <c r="E4408" s="15" t="n">
        <f aca="false">B4408/Summary!$B$5-1</f>
        <v>0.282389271995901</v>
      </c>
    </row>
    <row r="4409" customFormat="false" ht="15" hidden="false" customHeight="false" outlineLevel="0" collapsed="false">
      <c r="A4409" s="0" t="n">
        <v>4408</v>
      </c>
      <c r="B4409" s="14" t="n">
        <v>104290.533936132</v>
      </c>
      <c r="C4409" s="15" t="n">
        <v>0.0716598243598754</v>
      </c>
      <c r="D4409" s="14" t="n">
        <f aca="false">Summary!$B$5-B4409</f>
        <v>-4290.5339361321</v>
      </c>
      <c r="E4409" s="15" t="n">
        <f aca="false">B4409/Summary!$B$5-1</f>
        <v>0.042905339361321</v>
      </c>
    </row>
    <row r="4410" customFormat="false" ht="15" hidden="false" customHeight="false" outlineLevel="0" collapsed="false">
      <c r="A4410" s="0" t="n">
        <v>4409</v>
      </c>
      <c r="B4410" s="14" t="n">
        <v>112476.924658376</v>
      </c>
      <c r="C4410" s="15" t="n">
        <v>0.0882655501246031</v>
      </c>
      <c r="D4410" s="14" t="n">
        <f aca="false">Summary!$B$5-B4410</f>
        <v>-12476.9246583757</v>
      </c>
      <c r="E4410" s="15" t="n">
        <f aca="false">B4410/Summary!$B$5-1</f>
        <v>0.124769246583757</v>
      </c>
    </row>
    <row r="4411" customFormat="false" ht="15" hidden="false" customHeight="false" outlineLevel="0" collapsed="false">
      <c r="A4411" s="0" t="n">
        <v>4410</v>
      </c>
      <c r="B4411" s="14" t="n">
        <v>115394.356804651</v>
      </c>
      <c r="C4411" s="15" t="n">
        <v>0.0989196208677153</v>
      </c>
      <c r="D4411" s="14" t="n">
        <f aca="false">Summary!$B$5-B4411</f>
        <v>-15394.3568046512</v>
      </c>
      <c r="E4411" s="15" t="n">
        <f aca="false">B4411/Summary!$B$5-1</f>
        <v>0.153943568046512</v>
      </c>
    </row>
    <row r="4412" customFormat="false" ht="15" hidden="false" customHeight="false" outlineLevel="0" collapsed="false">
      <c r="A4412" s="0" t="n">
        <v>4411</v>
      </c>
      <c r="B4412" s="14" t="n">
        <v>127652.021435455</v>
      </c>
      <c r="C4412" s="15" t="n">
        <v>0.0724067707987726</v>
      </c>
      <c r="D4412" s="14" t="n">
        <f aca="false">Summary!$B$5-B4412</f>
        <v>-27652.0214354554</v>
      </c>
      <c r="E4412" s="15" t="n">
        <f aca="false">B4412/Summary!$B$5-1</f>
        <v>0.276520214354554</v>
      </c>
    </row>
    <row r="4413" customFormat="false" ht="15" hidden="false" customHeight="false" outlineLevel="0" collapsed="false">
      <c r="A4413" s="0" t="n">
        <v>4412</v>
      </c>
      <c r="B4413" s="14" t="n">
        <v>102879.503640242</v>
      </c>
      <c r="C4413" s="15" t="n">
        <v>0.0626316734303265</v>
      </c>
      <c r="D4413" s="14" t="n">
        <f aca="false">Summary!$B$5-B4413</f>
        <v>-2879.5036402415</v>
      </c>
      <c r="E4413" s="15" t="n">
        <f aca="false">B4413/Summary!$B$5-1</f>
        <v>0.028795036402415</v>
      </c>
    </row>
    <row r="4414" customFormat="false" ht="15" hidden="false" customHeight="false" outlineLevel="0" collapsed="false">
      <c r="A4414" s="0" t="n">
        <v>4413</v>
      </c>
      <c r="B4414" s="14" t="n">
        <v>110810.521044782</v>
      </c>
      <c r="C4414" s="15" t="n">
        <v>0.084155189950669</v>
      </c>
      <c r="D4414" s="14" t="n">
        <f aca="false">Summary!$B$5-B4414</f>
        <v>-10810.5210447816</v>
      </c>
      <c r="E4414" s="15" t="n">
        <f aca="false">B4414/Summary!$B$5-1</f>
        <v>0.108105210447816</v>
      </c>
    </row>
    <row r="4415" customFormat="false" ht="15" hidden="false" customHeight="false" outlineLevel="0" collapsed="false">
      <c r="A4415" s="0" t="n">
        <v>4414</v>
      </c>
      <c r="B4415" s="14" t="n">
        <v>116319.872546337</v>
      </c>
      <c r="C4415" s="15" t="n">
        <v>0.0805832750706996</v>
      </c>
      <c r="D4415" s="14" t="n">
        <f aca="false">Summary!$B$5-B4415</f>
        <v>-16319.8725463368</v>
      </c>
      <c r="E4415" s="15" t="n">
        <f aca="false">B4415/Summary!$B$5-1</f>
        <v>0.163198725463368</v>
      </c>
    </row>
    <row r="4416" customFormat="false" ht="15" hidden="false" customHeight="false" outlineLevel="0" collapsed="false">
      <c r="A4416" s="0" t="n">
        <v>4415</v>
      </c>
      <c r="B4416" s="14" t="n">
        <v>121750.204253768</v>
      </c>
      <c r="C4416" s="15" t="n">
        <v>0.0757808846975679</v>
      </c>
      <c r="D4416" s="14" t="n">
        <f aca="false">Summary!$B$5-B4416</f>
        <v>-21750.204253768</v>
      </c>
      <c r="E4416" s="15" t="n">
        <f aca="false">B4416/Summary!$B$5-1</f>
        <v>0.21750204253768</v>
      </c>
    </row>
    <row r="4417" customFormat="false" ht="15" hidden="false" customHeight="false" outlineLevel="0" collapsed="false">
      <c r="A4417" s="0" t="n">
        <v>4416</v>
      </c>
      <c r="B4417" s="14" t="n">
        <v>105151.120954787</v>
      </c>
      <c r="C4417" s="15" t="n">
        <v>0.0804738668981296</v>
      </c>
      <c r="D4417" s="14" t="n">
        <f aca="false">Summary!$B$5-B4417</f>
        <v>-5151.12095478681</v>
      </c>
      <c r="E4417" s="15" t="n">
        <f aca="false">B4417/Summary!$B$5-1</f>
        <v>0.051511209547868</v>
      </c>
    </row>
    <row r="4418" customFormat="false" ht="15" hidden="false" customHeight="false" outlineLevel="0" collapsed="false">
      <c r="A4418" s="0" t="n">
        <v>4417</v>
      </c>
      <c r="B4418" s="14" t="n">
        <v>91082.3509101753</v>
      </c>
      <c r="C4418" s="15" t="n">
        <v>0.122327473788816</v>
      </c>
      <c r="D4418" s="14" t="n">
        <f aca="false">Summary!$B$5-B4418</f>
        <v>8917.6490898247</v>
      </c>
      <c r="E4418" s="15" t="n">
        <f aca="false">B4418/Summary!$B$5-1</f>
        <v>-0.089176490898247</v>
      </c>
    </row>
    <row r="4419" customFormat="false" ht="15" hidden="false" customHeight="false" outlineLevel="0" collapsed="false">
      <c r="A4419" s="0" t="n">
        <v>4418</v>
      </c>
      <c r="B4419" s="14" t="n">
        <v>111302.615676532</v>
      </c>
      <c r="C4419" s="15" t="n">
        <v>0.0988823635141353</v>
      </c>
      <c r="D4419" s="14" t="n">
        <f aca="false">Summary!$B$5-B4419</f>
        <v>-11302.6156765315</v>
      </c>
      <c r="E4419" s="15" t="n">
        <f aca="false">B4419/Summary!$B$5-1</f>
        <v>0.113026156765315</v>
      </c>
    </row>
    <row r="4420" customFormat="false" ht="15" hidden="false" customHeight="false" outlineLevel="0" collapsed="false">
      <c r="A4420" s="0" t="n">
        <v>4419</v>
      </c>
      <c r="B4420" s="14" t="n">
        <v>100227.915126397</v>
      </c>
      <c r="C4420" s="15" t="n">
        <v>0.0963516897710621</v>
      </c>
      <c r="D4420" s="14" t="n">
        <f aca="false">Summary!$B$5-B4420</f>
        <v>-227.915126396896</v>
      </c>
      <c r="E4420" s="15" t="n">
        <f aca="false">B4420/Summary!$B$5-1</f>
        <v>0.00227915126396905</v>
      </c>
    </row>
    <row r="4421" customFormat="false" ht="15" hidden="false" customHeight="false" outlineLevel="0" collapsed="false">
      <c r="A4421" s="0" t="n">
        <v>4420</v>
      </c>
      <c r="B4421" s="14" t="n">
        <v>137802.275258049</v>
      </c>
      <c r="C4421" s="15" t="n">
        <v>0.0470073072919452</v>
      </c>
      <c r="D4421" s="14" t="n">
        <f aca="false">Summary!$B$5-B4421</f>
        <v>-37802.275258049</v>
      </c>
      <c r="E4421" s="15" t="n">
        <f aca="false">B4421/Summary!$B$5-1</f>
        <v>0.37802275258049</v>
      </c>
    </row>
    <row r="4422" customFormat="false" ht="15" hidden="false" customHeight="false" outlineLevel="0" collapsed="false">
      <c r="A4422" s="0" t="n">
        <v>4421</v>
      </c>
      <c r="B4422" s="14" t="n">
        <v>112547.677183703</v>
      </c>
      <c r="C4422" s="15" t="n">
        <v>0.044167522568885</v>
      </c>
      <c r="D4422" s="14" t="n">
        <f aca="false">Summary!$B$5-B4422</f>
        <v>-12547.6771837029</v>
      </c>
      <c r="E4422" s="15" t="n">
        <f aca="false">B4422/Summary!$B$5-1</f>
        <v>0.125476771837029</v>
      </c>
    </row>
    <row r="4423" customFormat="false" ht="15" hidden="false" customHeight="false" outlineLevel="0" collapsed="false">
      <c r="A4423" s="0" t="n">
        <v>4422</v>
      </c>
      <c r="B4423" s="14" t="n">
        <v>96482.1081701004</v>
      </c>
      <c r="C4423" s="15" t="n">
        <v>0.142520363860636</v>
      </c>
      <c r="D4423" s="14" t="n">
        <f aca="false">Summary!$B$5-B4423</f>
        <v>3517.89182989957</v>
      </c>
      <c r="E4423" s="15" t="n">
        <f aca="false">B4423/Summary!$B$5-1</f>
        <v>-0.0351789182989957</v>
      </c>
    </row>
    <row r="4424" customFormat="false" ht="15" hidden="false" customHeight="false" outlineLevel="0" collapsed="false">
      <c r="A4424" s="0" t="n">
        <v>4423</v>
      </c>
      <c r="B4424" s="14" t="n">
        <v>107266.074448104</v>
      </c>
      <c r="C4424" s="15" t="n">
        <v>0.0689553588500359</v>
      </c>
      <c r="D4424" s="14" t="n">
        <f aca="false">Summary!$B$5-B4424</f>
        <v>-7266.0744481041</v>
      </c>
      <c r="E4424" s="15" t="n">
        <f aca="false">B4424/Summary!$B$5-1</f>
        <v>0.072660744481041</v>
      </c>
    </row>
    <row r="4425" customFormat="false" ht="15" hidden="false" customHeight="false" outlineLevel="0" collapsed="false">
      <c r="A4425" s="0" t="n">
        <v>4424</v>
      </c>
      <c r="B4425" s="14" t="n">
        <v>96423.9753789765</v>
      </c>
      <c r="C4425" s="15" t="n">
        <v>0.16116298583653</v>
      </c>
      <c r="D4425" s="14" t="n">
        <f aca="false">Summary!$B$5-B4425</f>
        <v>3576.02462102351</v>
      </c>
      <c r="E4425" s="15" t="n">
        <f aca="false">B4425/Summary!$B$5-1</f>
        <v>-0.0357602462102351</v>
      </c>
    </row>
    <row r="4426" customFormat="false" ht="15" hidden="false" customHeight="false" outlineLevel="0" collapsed="false">
      <c r="A4426" s="0" t="n">
        <v>4425</v>
      </c>
      <c r="B4426" s="14" t="n">
        <v>97497.2333127766</v>
      </c>
      <c r="C4426" s="15" t="n">
        <v>0.0769435341866854</v>
      </c>
      <c r="D4426" s="14" t="n">
        <f aca="false">Summary!$B$5-B4426</f>
        <v>2502.76668722343</v>
      </c>
      <c r="E4426" s="15" t="n">
        <f aca="false">B4426/Summary!$B$5-1</f>
        <v>-0.0250276668722342</v>
      </c>
    </row>
    <row r="4427" customFormat="false" ht="15" hidden="false" customHeight="false" outlineLevel="0" collapsed="false">
      <c r="A4427" s="0" t="n">
        <v>4426</v>
      </c>
      <c r="B4427" s="14" t="n">
        <v>134940.057869566</v>
      </c>
      <c r="C4427" s="15" t="n">
        <v>0.0426896155039379</v>
      </c>
      <c r="D4427" s="14" t="n">
        <f aca="false">Summary!$B$5-B4427</f>
        <v>-34940.057869566</v>
      </c>
      <c r="E4427" s="15" t="n">
        <f aca="false">B4427/Summary!$B$5-1</f>
        <v>0.34940057869566</v>
      </c>
    </row>
    <row r="4428" customFormat="false" ht="15" hidden="false" customHeight="false" outlineLevel="0" collapsed="false">
      <c r="A4428" s="0" t="n">
        <v>4427</v>
      </c>
      <c r="B4428" s="14" t="n">
        <v>101566.305349259</v>
      </c>
      <c r="C4428" s="15" t="n">
        <v>0.112393698204743</v>
      </c>
      <c r="D4428" s="14" t="n">
        <f aca="false">Summary!$B$5-B4428</f>
        <v>-1566.3053492586</v>
      </c>
      <c r="E4428" s="15" t="n">
        <f aca="false">B4428/Summary!$B$5-1</f>
        <v>0.0156630534925861</v>
      </c>
    </row>
    <row r="4429" customFormat="false" ht="15" hidden="false" customHeight="false" outlineLevel="0" collapsed="false">
      <c r="A4429" s="0" t="n">
        <v>4428</v>
      </c>
      <c r="B4429" s="14" t="n">
        <v>137674.58755344</v>
      </c>
      <c r="C4429" s="15" t="n">
        <v>0.0518584185056049</v>
      </c>
      <c r="D4429" s="14" t="n">
        <f aca="false">Summary!$B$5-B4429</f>
        <v>-37674.5875534397</v>
      </c>
      <c r="E4429" s="15" t="n">
        <f aca="false">B4429/Summary!$B$5-1</f>
        <v>0.376745875534397</v>
      </c>
    </row>
    <row r="4430" customFormat="false" ht="15" hidden="false" customHeight="false" outlineLevel="0" collapsed="false">
      <c r="A4430" s="0" t="n">
        <v>4429</v>
      </c>
      <c r="B4430" s="14" t="n">
        <v>113597.997774695</v>
      </c>
      <c r="C4430" s="15" t="n">
        <v>0.138179377502113</v>
      </c>
      <c r="D4430" s="14" t="n">
        <f aca="false">Summary!$B$5-B4430</f>
        <v>-13597.997774695</v>
      </c>
      <c r="E4430" s="15" t="n">
        <f aca="false">B4430/Summary!$B$5-1</f>
        <v>0.13597997774695</v>
      </c>
    </row>
    <row r="4431" customFormat="false" ht="15" hidden="false" customHeight="false" outlineLevel="0" collapsed="false">
      <c r="A4431" s="0" t="n">
        <v>4430</v>
      </c>
      <c r="B4431" s="14" t="n">
        <v>111640.673588553</v>
      </c>
      <c r="C4431" s="15" t="n">
        <v>0.0842901328632938</v>
      </c>
      <c r="D4431" s="14" t="n">
        <f aca="false">Summary!$B$5-B4431</f>
        <v>-11640.6735885525</v>
      </c>
      <c r="E4431" s="15" t="n">
        <f aca="false">B4431/Summary!$B$5-1</f>
        <v>0.116406735885525</v>
      </c>
    </row>
    <row r="4432" customFormat="false" ht="15" hidden="false" customHeight="false" outlineLevel="0" collapsed="false">
      <c r="A4432" s="0" t="n">
        <v>4431</v>
      </c>
      <c r="B4432" s="14" t="n">
        <v>124200.815990188</v>
      </c>
      <c r="C4432" s="15" t="n">
        <v>0.0809436596258214</v>
      </c>
      <c r="D4432" s="14" t="n">
        <f aca="false">Summary!$B$5-B4432</f>
        <v>-24200.8159901875</v>
      </c>
      <c r="E4432" s="15" t="n">
        <f aca="false">B4432/Summary!$B$5-1</f>
        <v>0.242008159901875</v>
      </c>
    </row>
    <row r="4433" customFormat="false" ht="15" hidden="false" customHeight="false" outlineLevel="0" collapsed="false">
      <c r="A4433" s="0" t="n">
        <v>4432</v>
      </c>
      <c r="B4433" s="14" t="n">
        <v>97713.8830513326</v>
      </c>
      <c r="C4433" s="15" t="n">
        <v>0.0878783451383073</v>
      </c>
      <c r="D4433" s="14" t="n">
        <f aca="false">Summary!$B$5-B4433</f>
        <v>2286.11694866736</v>
      </c>
      <c r="E4433" s="15" t="n">
        <f aca="false">B4433/Summary!$B$5-1</f>
        <v>-0.0228611694866736</v>
      </c>
    </row>
    <row r="4434" customFormat="false" ht="15" hidden="false" customHeight="false" outlineLevel="0" collapsed="false">
      <c r="A4434" s="0" t="n">
        <v>4433</v>
      </c>
      <c r="B4434" s="14" t="n">
        <v>107370.460535655</v>
      </c>
      <c r="C4434" s="15" t="n">
        <v>0.122844043402704</v>
      </c>
      <c r="D4434" s="14" t="n">
        <f aca="false">Summary!$B$5-B4434</f>
        <v>-7370.4605356549</v>
      </c>
      <c r="E4434" s="15" t="n">
        <f aca="false">B4434/Summary!$B$5-1</f>
        <v>0.0737046053565491</v>
      </c>
    </row>
    <row r="4435" customFormat="false" ht="15" hidden="false" customHeight="false" outlineLevel="0" collapsed="false">
      <c r="A4435" s="0" t="n">
        <v>4434</v>
      </c>
      <c r="B4435" s="14" t="n">
        <v>102842.917830329</v>
      </c>
      <c r="C4435" s="15" t="n">
        <v>0.0779560216890656</v>
      </c>
      <c r="D4435" s="14" t="n">
        <f aca="false">Summary!$B$5-B4435</f>
        <v>-2842.9178303285</v>
      </c>
      <c r="E4435" s="15" t="n">
        <f aca="false">B4435/Summary!$B$5-1</f>
        <v>0.0284291783032851</v>
      </c>
    </row>
    <row r="4436" customFormat="false" ht="15" hidden="false" customHeight="false" outlineLevel="0" collapsed="false">
      <c r="A4436" s="0" t="n">
        <v>4435</v>
      </c>
      <c r="B4436" s="14" t="n">
        <v>107012.326309066</v>
      </c>
      <c r="C4436" s="15" t="n">
        <v>0.0537249081595278</v>
      </c>
      <c r="D4436" s="14" t="n">
        <f aca="false">Summary!$B$5-B4436</f>
        <v>-7012.326309066</v>
      </c>
      <c r="E4436" s="15" t="n">
        <f aca="false">B4436/Summary!$B$5-1</f>
        <v>0.0701232630906601</v>
      </c>
    </row>
    <row r="4437" customFormat="false" ht="15" hidden="false" customHeight="false" outlineLevel="0" collapsed="false">
      <c r="A4437" s="0" t="n">
        <v>4436</v>
      </c>
      <c r="B4437" s="14" t="n">
        <v>103131.130619977</v>
      </c>
      <c r="C4437" s="15" t="n">
        <v>0.0775669846169175</v>
      </c>
      <c r="D4437" s="14" t="n">
        <f aca="false">Summary!$B$5-B4437</f>
        <v>-3131.1306199769</v>
      </c>
      <c r="E4437" s="15" t="n">
        <f aca="false">B4437/Summary!$B$5-1</f>
        <v>0.031311306199769</v>
      </c>
    </row>
    <row r="4438" customFormat="false" ht="15" hidden="false" customHeight="false" outlineLevel="0" collapsed="false">
      <c r="A4438" s="0" t="n">
        <v>4437</v>
      </c>
      <c r="B4438" s="14" t="n">
        <v>100565.702841686</v>
      </c>
      <c r="C4438" s="15" t="n">
        <v>0.081743926448501</v>
      </c>
      <c r="D4438" s="14" t="n">
        <f aca="false">Summary!$B$5-B4438</f>
        <v>-565.702841686303</v>
      </c>
      <c r="E4438" s="15" t="n">
        <f aca="false">B4438/Summary!$B$5-1</f>
        <v>0.00565702841686311</v>
      </c>
    </row>
    <row r="4439" customFormat="false" ht="15" hidden="false" customHeight="false" outlineLevel="0" collapsed="false">
      <c r="A4439" s="0" t="n">
        <v>4438</v>
      </c>
      <c r="B4439" s="14" t="n">
        <v>109756.929724857</v>
      </c>
      <c r="C4439" s="15" t="n">
        <v>0.0659308280897288</v>
      </c>
      <c r="D4439" s="14" t="n">
        <f aca="false">Summary!$B$5-B4439</f>
        <v>-9756.92972485699</v>
      </c>
      <c r="E4439" s="15" t="n">
        <f aca="false">B4439/Summary!$B$5-1</f>
        <v>0.09756929724857</v>
      </c>
    </row>
    <row r="4440" customFormat="false" ht="15" hidden="false" customHeight="false" outlineLevel="0" collapsed="false">
      <c r="A4440" s="0" t="n">
        <v>4439</v>
      </c>
      <c r="B4440" s="14" t="n">
        <v>99168.8052926041</v>
      </c>
      <c r="C4440" s="15" t="n">
        <v>0.0990862128998621</v>
      </c>
      <c r="D4440" s="14" t="n">
        <f aca="false">Summary!$B$5-B4440</f>
        <v>831.194707395858</v>
      </c>
      <c r="E4440" s="15" t="n">
        <f aca="false">B4440/Summary!$B$5-1</f>
        <v>-0.00831194707395855</v>
      </c>
    </row>
    <row r="4441" customFormat="false" ht="15" hidden="false" customHeight="false" outlineLevel="0" collapsed="false">
      <c r="A4441" s="0" t="n">
        <v>4440</v>
      </c>
      <c r="B4441" s="14" t="n">
        <v>94676.0016055786</v>
      </c>
      <c r="C4441" s="15" t="n">
        <v>0.103649214552346</v>
      </c>
      <c r="D4441" s="14" t="n">
        <f aca="false">Summary!$B$5-B4441</f>
        <v>5323.99839442139</v>
      </c>
      <c r="E4441" s="15" t="n">
        <f aca="false">B4441/Summary!$B$5-1</f>
        <v>-0.0532399839442139</v>
      </c>
    </row>
    <row r="4442" customFormat="false" ht="15" hidden="false" customHeight="false" outlineLevel="0" collapsed="false">
      <c r="A4442" s="0" t="n">
        <v>4441</v>
      </c>
      <c r="B4442" s="14" t="n">
        <v>101734.284949602</v>
      </c>
      <c r="C4442" s="15" t="n">
        <v>0.12204199023908</v>
      </c>
      <c r="D4442" s="14" t="n">
        <f aca="false">Summary!$B$5-B4442</f>
        <v>-1734.2849496022</v>
      </c>
      <c r="E4442" s="15" t="n">
        <f aca="false">B4442/Summary!$B$5-1</f>
        <v>0.0173428494960219</v>
      </c>
    </row>
    <row r="4443" customFormat="false" ht="15" hidden="false" customHeight="false" outlineLevel="0" collapsed="false">
      <c r="A4443" s="0" t="n">
        <v>4442</v>
      </c>
      <c r="B4443" s="14" t="n">
        <v>114849.618551039</v>
      </c>
      <c r="C4443" s="15" t="n">
        <v>0.068136004167297</v>
      </c>
      <c r="D4443" s="14" t="n">
        <f aca="false">Summary!$B$5-B4443</f>
        <v>-14849.6185510393</v>
      </c>
      <c r="E4443" s="15" t="n">
        <f aca="false">B4443/Summary!$B$5-1</f>
        <v>0.148496185510393</v>
      </c>
    </row>
    <row r="4444" customFormat="false" ht="15" hidden="false" customHeight="false" outlineLevel="0" collapsed="false">
      <c r="A4444" s="0" t="n">
        <v>4443</v>
      </c>
      <c r="B4444" s="14" t="n">
        <v>115558.417890405</v>
      </c>
      <c r="C4444" s="15" t="n">
        <v>0.0824603692279968</v>
      </c>
      <c r="D4444" s="14" t="n">
        <f aca="false">Summary!$B$5-B4444</f>
        <v>-15558.4178904046</v>
      </c>
      <c r="E4444" s="15" t="n">
        <f aca="false">B4444/Summary!$B$5-1</f>
        <v>0.155584178904046</v>
      </c>
    </row>
    <row r="4445" customFormat="false" ht="15" hidden="false" customHeight="false" outlineLevel="0" collapsed="false">
      <c r="A4445" s="0" t="n">
        <v>4444</v>
      </c>
      <c r="B4445" s="14" t="n">
        <v>128290.670924168</v>
      </c>
      <c r="C4445" s="15" t="n">
        <v>0.0731014028185766</v>
      </c>
      <c r="D4445" s="14" t="n">
        <f aca="false">Summary!$B$5-B4445</f>
        <v>-28290.6709241682</v>
      </c>
      <c r="E4445" s="15" t="n">
        <f aca="false">B4445/Summary!$B$5-1</f>
        <v>0.282906709241682</v>
      </c>
    </row>
    <row r="4446" customFormat="false" ht="15" hidden="false" customHeight="false" outlineLevel="0" collapsed="false">
      <c r="A4446" s="0" t="n">
        <v>4445</v>
      </c>
      <c r="B4446" s="14" t="n">
        <v>105625.974328127</v>
      </c>
      <c r="C4446" s="15" t="n">
        <v>0.0741839710399679</v>
      </c>
      <c r="D4446" s="14" t="n">
        <f aca="false">Summary!$B$5-B4446</f>
        <v>-5625.9743281267</v>
      </c>
      <c r="E4446" s="15" t="n">
        <f aca="false">B4446/Summary!$B$5-1</f>
        <v>0.056259743281267</v>
      </c>
    </row>
    <row r="4447" customFormat="false" ht="15" hidden="false" customHeight="false" outlineLevel="0" collapsed="false">
      <c r="A4447" s="0" t="n">
        <v>4446</v>
      </c>
      <c r="B4447" s="14" t="n">
        <v>107775.528851638</v>
      </c>
      <c r="C4447" s="15" t="n">
        <v>0.0910539848937019</v>
      </c>
      <c r="D4447" s="14" t="n">
        <f aca="false">Summary!$B$5-B4447</f>
        <v>-7775.52885163789</v>
      </c>
      <c r="E4447" s="15" t="n">
        <f aca="false">B4447/Summary!$B$5-1</f>
        <v>0.077755288516379</v>
      </c>
    </row>
    <row r="4448" customFormat="false" ht="15" hidden="false" customHeight="false" outlineLevel="0" collapsed="false">
      <c r="A4448" s="0" t="n">
        <v>4447</v>
      </c>
      <c r="B4448" s="14" t="n">
        <v>110183.309073182</v>
      </c>
      <c r="C4448" s="15" t="n">
        <v>0.0582347337279744</v>
      </c>
      <c r="D4448" s="14" t="n">
        <f aca="false">Summary!$B$5-B4448</f>
        <v>-10183.3090731823</v>
      </c>
      <c r="E4448" s="15" t="n">
        <f aca="false">B4448/Summary!$B$5-1</f>
        <v>0.101833090731823</v>
      </c>
    </row>
    <row r="4449" customFormat="false" ht="15" hidden="false" customHeight="false" outlineLevel="0" collapsed="false">
      <c r="A4449" s="0" t="n">
        <v>4448</v>
      </c>
      <c r="B4449" s="14" t="n">
        <v>123303.642778407</v>
      </c>
      <c r="C4449" s="15" t="n">
        <v>0.0635335185990277</v>
      </c>
      <c r="D4449" s="14" t="n">
        <f aca="false">Summary!$B$5-B4449</f>
        <v>-23303.6427784068</v>
      </c>
      <c r="E4449" s="15" t="n">
        <f aca="false">B4449/Summary!$B$5-1</f>
        <v>0.233036427784068</v>
      </c>
    </row>
    <row r="4450" customFormat="false" ht="15" hidden="false" customHeight="false" outlineLevel="0" collapsed="false">
      <c r="A4450" s="0" t="n">
        <v>4449</v>
      </c>
      <c r="B4450" s="14" t="n">
        <v>125825.239416152</v>
      </c>
      <c r="C4450" s="15" t="n">
        <v>0.046761069771872</v>
      </c>
      <c r="D4450" s="14" t="n">
        <f aca="false">Summary!$B$5-B4450</f>
        <v>-25825.2394161516</v>
      </c>
      <c r="E4450" s="15" t="n">
        <f aca="false">B4450/Summary!$B$5-1</f>
        <v>0.258252394161516</v>
      </c>
    </row>
    <row r="4451" customFormat="false" ht="15" hidden="false" customHeight="false" outlineLevel="0" collapsed="false">
      <c r="A4451" s="0" t="n">
        <v>4450</v>
      </c>
      <c r="B4451" s="14" t="n">
        <v>130175.342100233</v>
      </c>
      <c r="C4451" s="15" t="n">
        <v>0.0945759649234258</v>
      </c>
      <c r="D4451" s="14" t="n">
        <f aca="false">Summary!$B$5-B4451</f>
        <v>-30175.3421002325</v>
      </c>
      <c r="E4451" s="15" t="n">
        <f aca="false">B4451/Summary!$B$5-1</f>
        <v>0.301753421002325</v>
      </c>
    </row>
    <row r="4452" customFormat="false" ht="15" hidden="false" customHeight="false" outlineLevel="0" collapsed="false">
      <c r="A4452" s="0" t="n">
        <v>4451</v>
      </c>
      <c r="B4452" s="14" t="n">
        <v>100845.679707347</v>
      </c>
      <c r="C4452" s="15" t="n">
        <v>0.0974075780214067</v>
      </c>
      <c r="D4452" s="14" t="n">
        <f aca="false">Summary!$B$5-B4452</f>
        <v>-845.679707347197</v>
      </c>
      <c r="E4452" s="15" t="n">
        <f aca="false">B4452/Summary!$B$5-1</f>
        <v>0.00845679707347191</v>
      </c>
    </row>
    <row r="4453" customFormat="false" ht="15" hidden="false" customHeight="false" outlineLevel="0" collapsed="false">
      <c r="A4453" s="0" t="n">
        <v>4452</v>
      </c>
      <c r="B4453" s="14" t="n">
        <v>112764.931796514</v>
      </c>
      <c r="C4453" s="15" t="n">
        <v>0.154517111030605</v>
      </c>
      <c r="D4453" s="14" t="n">
        <f aca="false">Summary!$B$5-B4453</f>
        <v>-12764.9317965137</v>
      </c>
      <c r="E4453" s="15" t="n">
        <f aca="false">B4453/Summary!$B$5-1</f>
        <v>0.127649317965137</v>
      </c>
    </row>
    <row r="4454" customFormat="false" ht="15" hidden="false" customHeight="false" outlineLevel="0" collapsed="false">
      <c r="A4454" s="0" t="n">
        <v>4453</v>
      </c>
      <c r="B4454" s="14" t="n">
        <v>164698.509025427</v>
      </c>
      <c r="C4454" s="15" t="n">
        <v>0.0377817238406423</v>
      </c>
      <c r="D4454" s="14" t="n">
        <f aca="false">Summary!$B$5-B4454</f>
        <v>-64698.5090254265</v>
      </c>
      <c r="E4454" s="15" t="n">
        <f aca="false">B4454/Summary!$B$5-1</f>
        <v>0.646985090254265</v>
      </c>
    </row>
    <row r="4455" customFormat="false" ht="15" hidden="false" customHeight="false" outlineLevel="0" collapsed="false">
      <c r="A4455" s="0" t="n">
        <v>4454</v>
      </c>
      <c r="B4455" s="14" t="n">
        <v>98459.6906094557</v>
      </c>
      <c r="C4455" s="15" t="n">
        <v>0.135995348444476</v>
      </c>
      <c r="D4455" s="14" t="n">
        <f aca="false">Summary!$B$5-B4455</f>
        <v>1540.30939054435</v>
      </c>
      <c r="E4455" s="15" t="n">
        <f aca="false">B4455/Summary!$B$5-1</f>
        <v>-0.0154030939054435</v>
      </c>
    </row>
    <row r="4456" customFormat="false" ht="15" hidden="false" customHeight="false" outlineLevel="0" collapsed="false">
      <c r="A4456" s="0" t="n">
        <v>4455</v>
      </c>
      <c r="B4456" s="14" t="n">
        <v>112225.656341806</v>
      </c>
      <c r="C4456" s="15" t="n">
        <v>0.0891237234826221</v>
      </c>
      <c r="D4456" s="14" t="n">
        <f aca="false">Summary!$B$5-B4456</f>
        <v>-12225.6563418055</v>
      </c>
      <c r="E4456" s="15" t="n">
        <f aca="false">B4456/Summary!$B$5-1</f>
        <v>0.122256563418055</v>
      </c>
    </row>
    <row r="4457" customFormat="false" ht="15" hidden="false" customHeight="false" outlineLevel="0" collapsed="false">
      <c r="A4457" s="0" t="n">
        <v>4456</v>
      </c>
      <c r="B4457" s="14" t="n">
        <v>121213.378720364</v>
      </c>
      <c r="C4457" s="15" t="n">
        <v>0.0631186663372021</v>
      </c>
      <c r="D4457" s="14" t="n">
        <f aca="false">Summary!$B$5-B4457</f>
        <v>-21213.3787203635</v>
      </c>
      <c r="E4457" s="15" t="n">
        <f aca="false">B4457/Summary!$B$5-1</f>
        <v>0.212133787203635</v>
      </c>
    </row>
    <row r="4458" customFormat="false" ht="15" hidden="false" customHeight="false" outlineLevel="0" collapsed="false">
      <c r="A4458" s="0" t="n">
        <v>4457</v>
      </c>
      <c r="B4458" s="14" t="n">
        <v>94286.1265864973</v>
      </c>
      <c r="C4458" s="15" t="n">
        <v>0.123259847737344</v>
      </c>
      <c r="D4458" s="14" t="n">
        <f aca="false">Summary!$B$5-B4458</f>
        <v>5713.87341350275</v>
      </c>
      <c r="E4458" s="15" t="n">
        <f aca="false">B4458/Summary!$B$5-1</f>
        <v>-0.0571387341350275</v>
      </c>
    </row>
    <row r="4459" customFormat="false" ht="15" hidden="false" customHeight="false" outlineLevel="0" collapsed="false">
      <c r="A4459" s="0" t="n">
        <v>4458</v>
      </c>
      <c r="B4459" s="14" t="n">
        <v>123766.689298991</v>
      </c>
      <c r="C4459" s="15" t="n">
        <v>0.0681985911612434</v>
      </c>
      <c r="D4459" s="14" t="n">
        <f aca="false">Summary!$B$5-B4459</f>
        <v>-23766.6892989905</v>
      </c>
      <c r="E4459" s="15" t="n">
        <f aca="false">B4459/Summary!$B$5-1</f>
        <v>0.237666892989905</v>
      </c>
    </row>
    <row r="4460" customFormat="false" ht="15" hidden="false" customHeight="false" outlineLevel="0" collapsed="false">
      <c r="A4460" s="0" t="n">
        <v>4459</v>
      </c>
      <c r="B4460" s="14" t="n">
        <v>109461.748561555</v>
      </c>
      <c r="C4460" s="15" t="n">
        <v>0.0761953372719132</v>
      </c>
      <c r="D4460" s="14" t="n">
        <f aca="false">Summary!$B$5-B4460</f>
        <v>-9461.74856155489</v>
      </c>
      <c r="E4460" s="15" t="n">
        <f aca="false">B4460/Summary!$B$5-1</f>
        <v>0.0946174856155488</v>
      </c>
    </row>
    <row r="4461" customFormat="false" ht="15" hidden="false" customHeight="false" outlineLevel="0" collapsed="false">
      <c r="A4461" s="0" t="n">
        <v>4460</v>
      </c>
      <c r="B4461" s="14" t="n">
        <v>126132.734208534</v>
      </c>
      <c r="C4461" s="15" t="n">
        <v>0.0572797023099867</v>
      </c>
      <c r="D4461" s="14" t="n">
        <f aca="false">Summary!$B$5-B4461</f>
        <v>-26132.7342085335</v>
      </c>
      <c r="E4461" s="15" t="n">
        <f aca="false">B4461/Summary!$B$5-1</f>
        <v>0.261327342085335</v>
      </c>
    </row>
    <row r="4462" customFormat="false" ht="15" hidden="false" customHeight="false" outlineLevel="0" collapsed="false">
      <c r="A4462" s="0" t="n">
        <v>4461</v>
      </c>
      <c r="B4462" s="14" t="n">
        <v>98987.8634431843</v>
      </c>
      <c r="C4462" s="15" t="n">
        <v>0.150745331548499</v>
      </c>
      <c r="D4462" s="14" t="n">
        <f aca="false">Summary!$B$5-B4462</f>
        <v>1012.13655681573</v>
      </c>
      <c r="E4462" s="15" t="n">
        <f aca="false">B4462/Summary!$B$5-1</f>
        <v>-0.0101213655681573</v>
      </c>
    </row>
    <row r="4463" customFormat="false" ht="15" hidden="false" customHeight="false" outlineLevel="0" collapsed="false">
      <c r="A4463" s="0" t="n">
        <v>4462</v>
      </c>
      <c r="B4463" s="14" t="n">
        <v>102860.25031074</v>
      </c>
      <c r="C4463" s="15" t="n">
        <v>0.0921034909014109</v>
      </c>
      <c r="D4463" s="14" t="n">
        <f aca="false">Summary!$B$5-B4463</f>
        <v>-2860.2503107399</v>
      </c>
      <c r="E4463" s="15" t="n">
        <f aca="false">B4463/Summary!$B$5-1</f>
        <v>0.0286025031073989</v>
      </c>
    </row>
    <row r="4464" customFormat="false" ht="15" hidden="false" customHeight="false" outlineLevel="0" collapsed="false">
      <c r="A4464" s="0" t="n">
        <v>4463</v>
      </c>
      <c r="B4464" s="14" t="n">
        <v>114179.748986726</v>
      </c>
      <c r="C4464" s="15" t="n">
        <v>0.102307293540199</v>
      </c>
      <c r="D4464" s="14" t="n">
        <f aca="false">Summary!$B$5-B4464</f>
        <v>-14179.7489867259</v>
      </c>
      <c r="E4464" s="15" t="n">
        <f aca="false">B4464/Summary!$B$5-1</f>
        <v>0.141797489867259</v>
      </c>
    </row>
    <row r="4465" customFormat="false" ht="15" hidden="false" customHeight="false" outlineLevel="0" collapsed="false">
      <c r="A4465" s="0" t="n">
        <v>4464</v>
      </c>
      <c r="B4465" s="14" t="n">
        <v>97417.043704031</v>
      </c>
      <c r="C4465" s="15" t="n">
        <v>0.0880861826805397</v>
      </c>
      <c r="D4465" s="14" t="n">
        <f aca="false">Summary!$B$5-B4465</f>
        <v>2582.95629596902</v>
      </c>
      <c r="E4465" s="15" t="n">
        <f aca="false">B4465/Summary!$B$5-1</f>
        <v>-0.0258295629596902</v>
      </c>
    </row>
    <row r="4466" customFormat="false" ht="15" hidden="false" customHeight="false" outlineLevel="0" collapsed="false">
      <c r="A4466" s="0" t="n">
        <v>4465</v>
      </c>
      <c r="B4466" s="14" t="n">
        <v>99929.0590273958</v>
      </c>
      <c r="C4466" s="15" t="n">
        <v>0.156814843397838</v>
      </c>
      <c r="D4466" s="14" t="n">
        <f aca="false">Summary!$B$5-B4466</f>
        <v>70.9409726042359</v>
      </c>
      <c r="E4466" s="15" t="n">
        <f aca="false">B4466/Summary!$B$5-1</f>
        <v>-0.000709409726042387</v>
      </c>
    </row>
    <row r="4467" customFormat="false" ht="15" hidden="false" customHeight="false" outlineLevel="0" collapsed="false">
      <c r="A4467" s="0" t="n">
        <v>4466</v>
      </c>
      <c r="B4467" s="14" t="n">
        <v>104291.752548886</v>
      </c>
      <c r="C4467" s="15" t="n">
        <v>0.101849413696123</v>
      </c>
      <c r="D4467" s="14" t="n">
        <f aca="false">Summary!$B$5-B4467</f>
        <v>-4291.7525488855</v>
      </c>
      <c r="E4467" s="15" t="n">
        <f aca="false">B4467/Summary!$B$5-1</f>
        <v>0.042917525488855</v>
      </c>
    </row>
    <row r="4468" customFormat="false" ht="15" hidden="false" customHeight="false" outlineLevel="0" collapsed="false">
      <c r="A4468" s="0" t="n">
        <v>4467</v>
      </c>
      <c r="B4468" s="14" t="n">
        <v>88783.3847683569</v>
      </c>
      <c r="C4468" s="15" t="n">
        <v>0.144681267518377</v>
      </c>
      <c r="D4468" s="14" t="n">
        <f aca="false">Summary!$B$5-B4468</f>
        <v>11216.6152316431</v>
      </c>
      <c r="E4468" s="15" t="n">
        <f aca="false">B4468/Summary!$B$5-1</f>
        <v>-0.112166152316431</v>
      </c>
    </row>
    <row r="4469" customFormat="false" ht="15" hidden="false" customHeight="false" outlineLevel="0" collapsed="false">
      <c r="A4469" s="0" t="n">
        <v>4468</v>
      </c>
      <c r="B4469" s="14" t="n">
        <v>98710.6443454817</v>
      </c>
      <c r="C4469" s="15" t="n">
        <v>0.112444180211341</v>
      </c>
      <c r="D4469" s="14" t="n">
        <f aca="false">Summary!$B$5-B4469</f>
        <v>1289.35565451832</v>
      </c>
      <c r="E4469" s="15" t="n">
        <f aca="false">B4469/Summary!$B$5-1</f>
        <v>-0.0128935565451832</v>
      </c>
    </row>
    <row r="4470" customFormat="false" ht="15" hidden="false" customHeight="false" outlineLevel="0" collapsed="false">
      <c r="A4470" s="0" t="n">
        <v>4469</v>
      </c>
      <c r="B4470" s="14" t="n">
        <v>104382.118831738</v>
      </c>
      <c r="C4470" s="15" t="n">
        <v>0.0648929620421119</v>
      </c>
      <c r="D4470" s="14" t="n">
        <f aca="false">Summary!$B$5-B4470</f>
        <v>-4382.11883173839</v>
      </c>
      <c r="E4470" s="15" t="n">
        <f aca="false">B4470/Summary!$B$5-1</f>
        <v>0.043821188317384</v>
      </c>
    </row>
    <row r="4471" customFormat="false" ht="15" hidden="false" customHeight="false" outlineLevel="0" collapsed="false">
      <c r="A4471" s="0" t="n">
        <v>4470</v>
      </c>
      <c r="B4471" s="14" t="n">
        <v>91540.3715498032</v>
      </c>
      <c r="C4471" s="15" t="n">
        <v>0.14653026161872</v>
      </c>
      <c r="D4471" s="14" t="n">
        <f aca="false">Summary!$B$5-B4471</f>
        <v>8459.62845019678</v>
      </c>
      <c r="E4471" s="15" t="n">
        <f aca="false">B4471/Summary!$B$5-1</f>
        <v>-0.0845962845019678</v>
      </c>
    </row>
    <row r="4472" customFormat="false" ht="15" hidden="false" customHeight="false" outlineLevel="0" collapsed="false">
      <c r="A4472" s="0" t="n">
        <v>4471</v>
      </c>
      <c r="B4472" s="14" t="n">
        <v>99735.8458357416</v>
      </c>
      <c r="C4472" s="15" t="n">
        <v>0.143669890758119</v>
      </c>
      <c r="D4472" s="14" t="n">
        <f aca="false">Summary!$B$5-B4472</f>
        <v>264.154164258391</v>
      </c>
      <c r="E4472" s="15" t="n">
        <f aca="false">B4472/Summary!$B$5-1</f>
        <v>-0.0026415416425839</v>
      </c>
    </row>
    <row r="4473" customFormat="false" ht="15" hidden="false" customHeight="false" outlineLevel="0" collapsed="false">
      <c r="A4473" s="0" t="n">
        <v>4472</v>
      </c>
      <c r="B4473" s="14" t="n">
        <v>108908.297517916</v>
      </c>
      <c r="C4473" s="15" t="n">
        <v>0.199522999739351</v>
      </c>
      <c r="D4473" s="14" t="n">
        <f aca="false">Summary!$B$5-B4473</f>
        <v>-8908.2975179162</v>
      </c>
      <c r="E4473" s="15" t="n">
        <f aca="false">B4473/Summary!$B$5-1</f>
        <v>0.089082975179162</v>
      </c>
    </row>
    <row r="4474" customFormat="false" ht="15" hidden="false" customHeight="false" outlineLevel="0" collapsed="false">
      <c r="A4474" s="0" t="n">
        <v>4473</v>
      </c>
      <c r="B4474" s="14" t="n">
        <v>102691.081827844</v>
      </c>
      <c r="C4474" s="15" t="n">
        <v>0.0976637756863793</v>
      </c>
      <c r="D4474" s="14" t="n">
        <f aca="false">Summary!$B$5-B4474</f>
        <v>-2691.0818278441</v>
      </c>
      <c r="E4474" s="15" t="n">
        <f aca="false">B4474/Summary!$B$5-1</f>
        <v>0.026910818278441</v>
      </c>
    </row>
    <row r="4475" customFormat="false" ht="15" hidden="false" customHeight="false" outlineLevel="0" collapsed="false">
      <c r="A4475" s="0" t="n">
        <v>4474</v>
      </c>
      <c r="B4475" s="14" t="n">
        <v>113275.248325059</v>
      </c>
      <c r="C4475" s="15" t="n">
        <v>0.119163769003437</v>
      </c>
      <c r="D4475" s="14" t="n">
        <f aca="false">Summary!$B$5-B4475</f>
        <v>-13275.2483250586</v>
      </c>
      <c r="E4475" s="15" t="n">
        <f aca="false">B4475/Summary!$B$5-1</f>
        <v>0.132752483250586</v>
      </c>
    </row>
    <row r="4476" customFormat="false" ht="15" hidden="false" customHeight="false" outlineLevel="0" collapsed="false">
      <c r="A4476" s="0" t="n">
        <v>4475</v>
      </c>
      <c r="B4476" s="14" t="n">
        <v>92043.5687135958</v>
      </c>
      <c r="C4476" s="15" t="n">
        <v>0.178379801523239</v>
      </c>
      <c r="D4476" s="14" t="n">
        <f aca="false">Summary!$B$5-B4476</f>
        <v>7956.43128640416</v>
      </c>
      <c r="E4476" s="15" t="n">
        <f aca="false">B4476/Summary!$B$5-1</f>
        <v>-0.0795643128640415</v>
      </c>
    </row>
    <row r="4477" customFormat="false" ht="15" hidden="false" customHeight="false" outlineLevel="0" collapsed="false">
      <c r="A4477" s="0" t="n">
        <v>4476</v>
      </c>
      <c r="B4477" s="14" t="n">
        <v>88338.1192187214</v>
      </c>
      <c r="C4477" s="15" t="n">
        <v>0.197934681610979</v>
      </c>
      <c r="D4477" s="14" t="n">
        <f aca="false">Summary!$B$5-B4477</f>
        <v>11661.8807812787</v>
      </c>
      <c r="E4477" s="15" t="n">
        <f aca="false">B4477/Summary!$B$5-1</f>
        <v>-0.116618807812787</v>
      </c>
    </row>
    <row r="4478" customFormat="false" ht="15" hidden="false" customHeight="false" outlineLevel="0" collapsed="false">
      <c r="A4478" s="0" t="n">
        <v>4477</v>
      </c>
      <c r="B4478" s="14" t="n">
        <v>94428.519960898</v>
      </c>
      <c r="C4478" s="15" t="n">
        <v>0.15289594169101</v>
      </c>
      <c r="D4478" s="14" t="n">
        <f aca="false">Summary!$B$5-B4478</f>
        <v>5571.48003910197</v>
      </c>
      <c r="E4478" s="15" t="n">
        <f aca="false">B4478/Summary!$B$5-1</f>
        <v>-0.0557148003910197</v>
      </c>
    </row>
    <row r="4479" customFormat="false" ht="15" hidden="false" customHeight="false" outlineLevel="0" collapsed="false">
      <c r="A4479" s="0" t="n">
        <v>4478</v>
      </c>
      <c r="B4479" s="14" t="n">
        <v>116798.282334581</v>
      </c>
      <c r="C4479" s="15" t="n">
        <v>0.0781507207602411</v>
      </c>
      <c r="D4479" s="14" t="n">
        <f aca="false">Summary!$B$5-B4479</f>
        <v>-16798.2823345811</v>
      </c>
      <c r="E4479" s="15" t="n">
        <f aca="false">B4479/Summary!$B$5-1</f>
        <v>0.167982823345811</v>
      </c>
    </row>
    <row r="4480" customFormat="false" ht="15" hidden="false" customHeight="false" outlineLevel="0" collapsed="false">
      <c r="A4480" s="0" t="n">
        <v>4479</v>
      </c>
      <c r="B4480" s="14" t="n">
        <v>115468.652367504</v>
      </c>
      <c r="C4480" s="15" t="n">
        <v>0.0630101884194299</v>
      </c>
      <c r="D4480" s="14" t="n">
        <f aca="false">Summary!$B$5-B4480</f>
        <v>-15468.6523675044</v>
      </c>
      <c r="E4480" s="15" t="n">
        <f aca="false">B4480/Summary!$B$5-1</f>
        <v>0.154686523675044</v>
      </c>
    </row>
    <row r="4481" customFormat="false" ht="15" hidden="false" customHeight="false" outlineLevel="0" collapsed="false">
      <c r="A4481" s="0" t="n">
        <v>4480</v>
      </c>
      <c r="B4481" s="14" t="n">
        <v>132077.173832259</v>
      </c>
      <c r="C4481" s="15" t="n">
        <v>0.0478219561679861</v>
      </c>
      <c r="D4481" s="14" t="n">
        <f aca="false">Summary!$B$5-B4481</f>
        <v>-32077.1738322592</v>
      </c>
      <c r="E4481" s="15" t="n">
        <f aca="false">B4481/Summary!$B$5-1</f>
        <v>0.320771738322592</v>
      </c>
    </row>
    <row r="4482" customFormat="false" ht="15" hidden="false" customHeight="false" outlineLevel="0" collapsed="false">
      <c r="A4482" s="0" t="n">
        <v>4481</v>
      </c>
      <c r="B4482" s="14" t="n">
        <v>124305.622419425</v>
      </c>
      <c r="C4482" s="15" t="n">
        <v>0.0534426202311154</v>
      </c>
      <c r="D4482" s="14" t="n">
        <f aca="false">Summary!$B$5-B4482</f>
        <v>-24305.622419425</v>
      </c>
      <c r="E4482" s="15" t="n">
        <f aca="false">B4482/Summary!$B$5-1</f>
        <v>0.24305622419425</v>
      </c>
    </row>
    <row r="4483" customFormat="false" ht="15" hidden="false" customHeight="false" outlineLevel="0" collapsed="false">
      <c r="A4483" s="0" t="n">
        <v>4482</v>
      </c>
      <c r="B4483" s="14" t="n">
        <v>106415.909308203</v>
      </c>
      <c r="C4483" s="15" t="n">
        <v>0.0736192868126522</v>
      </c>
      <c r="D4483" s="14" t="n">
        <f aca="false">Summary!$B$5-B4483</f>
        <v>-6415.90930820339</v>
      </c>
      <c r="E4483" s="15" t="n">
        <f aca="false">B4483/Summary!$B$5-1</f>
        <v>0.0641590930820339</v>
      </c>
    </row>
    <row r="4484" customFormat="false" ht="15" hidden="false" customHeight="false" outlineLevel="0" collapsed="false">
      <c r="A4484" s="0" t="n">
        <v>4483</v>
      </c>
      <c r="B4484" s="14" t="n">
        <v>99742.3652903646</v>
      </c>
      <c r="C4484" s="15" t="n">
        <v>0.0858758700591961</v>
      </c>
      <c r="D4484" s="14" t="n">
        <f aca="false">Summary!$B$5-B4484</f>
        <v>257.634709635415</v>
      </c>
      <c r="E4484" s="15" t="n">
        <f aca="false">B4484/Summary!$B$5-1</f>
        <v>-0.00257634709635413</v>
      </c>
    </row>
    <row r="4485" customFormat="false" ht="15" hidden="false" customHeight="false" outlineLevel="0" collapsed="false">
      <c r="A4485" s="0" t="n">
        <v>4484</v>
      </c>
      <c r="B4485" s="14" t="n">
        <v>91804.0729831754</v>
      </c>
      <c r="C4485" s="15" t="n">
        <v>0.0904319340982839</v>
      </c>
      <c r="D4485" s="14" t="n">
        <f aca="false">Summary!$B$5-B4485</f>
        <v>8195.9270168246</v>
      </c>
      <c r="E4485" s="15" t="n">
        <f aca="false">B4485/Summary!$B$5-1</f>
        <v>-0.081959270168246</v>
      </c>
    </row>
    <row r="4486" customFormat="false" ht="15" hidden="false" customHeight="false" outlineLevel="0" collapsed="false">
      <c r="A4486" s="0" t="n">
        <v>4485</v>
      </c>
      <c r="B4486" s="14" t="n">
        <v>132399.447007234</v>
      </c>
      <c r="C4486" s="15" t="n">
        <v>0.0686374440814659</v>
      </c>
      <c r="D4486" s="14" t="n">
        <f aca="false">Summary!$B$5-B4486</f>
        <v>-32399.4470072337</v>
      </c>
      <c r="E4486" s="15" t="n">
        <f aca="false">B4486/Summary!$B$5-1</f>
        <v>0.323994470072337</v>
      </c>
    </row>
    <row r="4487" customFormat="false" ht="15" hidden="false" customHeight="false" outlineLevel="0" collapsed="false">
      <c r="A4487" s="0" t="n">
        <v>4486</v>
      </c>
      <c r="B4487" s="14" t="n">
        <v>97338.876708896</v>
      </c>
      <c r="C4487" s="15" t="n">
        <v>0.119723770493609</v>
      </c>
      <c r="D4487" s="14" t="n">
        <f aca="false">Summary!$B$5-B4487</f>
        <v>2661.12329110404</v>
      </c>
      <c r="E4487" s="15" t="n">
        <f aca="false">B4487/Summary!$B$5-1</f>
        <v>-0.0266112329110404</v>
      </c>
    </row>
    <row r="4488" customFormat="false" ht="15" hidden="false" customHeight="false" outlineLevel="0" collapsed="false">
      <c r="A4488" s="0" t="n">
        <v>4487</v>
      </c>
      <c r="B4488" s="14" t="n">
        <v>104433.338469772</v>
      </c>
      <c r="C4488" s="15" t="n">
        <v>0.132542548964241</v>
      </c>
      <c r="D4488" s="14" t="n">
        <f aca="false">Summary!$B$5-B4488</f>
        <v>-4433.3384697718</v>
      </c>
      <c r="E4488" s="15" t="n">
        <f aca="false">B4488/Summary!$B$5-1</f>
        <v>0.0443333846977181</v>
      </c>
    </row>
    <row r="4489" customFormat="false" ht="15" hidden="false" customHeight="false" outlineLevel="0" collapsed="false">
      <c r="A4489" s="0" t="n">
        <v>4488</v>
      </c>
      <c r="B4489" s="14" t="n">
        <v>131421.226853049</v>
      </c>
      <c r="C4489" s="15" t="n">
        <v>0.0625967707007973</v>
      </c>
      <c r="D4489" s="14" t="n">
        <f aca="false">Summary!$B$5-B4489</f>
        <v>-31421.2268530494</v>
      </c>
      <c r="E4489" s="15" t="n">
        <f aca="false">B4489/Summary!$B$5-1</f>
        <v>0.314212268530494</v>
      </c>
    </row>
    <row r="4490" customFormat="false" ht="15" hidden="false" customHeight="false" outlineLevel="0" collapsed="false">
      <c r="A4490" s="0" t="n">
        <v>4489</v>
      </c>
      <c r="B4490" s="14" t="n">
        <v>95210.2862423292</v>
      </c>
      <c r="C4490" s="15" t="n">
        <v>0.12251924476244</v>
      </c>
      <c r="D4490" s="14" t="n">
        <f aca="false">Summary!$B$5-B4490</f>
        <v>4789.71375767079</v>
      </c>
      <c r="E4490" s="15" t="n">
        <f aca="false">B4490/Summary!$B$5-1</f>
        <v>-0.0478971375767079</v>
      </c>
    </row>
    <row r="4491" customFormat="false" ht="15" hidden="false" customHeight="false" outlineLevel="0" collapsed="false">
      <c r="A4491" s="0" t="n">
        <v>4490</v>
      </c>
      <c r="B4491" s="14" t="n">
        <v>93353.5265289219</v>
      </c>
      <c r="C4491" s="15" t="n">
        <v>0.149398410582857</v>
      </c>
      <c r="D4491" s="14" t="n">
        <f aca="false">Summary!$B$5-B4491</f>
        <v>6646.47347107809</v>
      </c>
      <c r="E4491" s="15" t="n">
        <f aca="false">B4491/Summary!$B$5-1</f>
        <v>-0.0664647347107809</v>
      </c>
    </row>
    <row r="4492" customFormat="false" ht="15" hidden="false" customHeight="false" outlineLevel="0" collapsed="false">
      <c r="A4492" s="0" t="n">
        <v>4491</v>
      </c>
      <c r="B4492" s="14" t="n">
        <v>118179.153401668</v>
      </c>
      <c r="C4492" s="15" t="n">
        <v>0.0543362262288161</v>
      </c>
      <c r="D4492" s="14" t="n">
        <f aca="false">Summary!$B$5-B4492</f>
        <v>-18179.1534016675</v>
      </c>
      <c r="E4492" s="15" t="n">
        <f aca="false">B4492/Summary!$B$5-1</f>
        <v>0.181791534016675</v>
      </c>
    </row>
    <row r="4493" customFormat="false" ht="15" hidden="false" customHeight="false" outlineLevel="0" collapsed="false">
      <c r="A4493" s="0" t="n">
        <v>4492</v>
      </c>
      <c r="B4493" s="14" t="n">
        <v>104352.094314844</v>
      </c>
      <c r="C4493" s="15" t="n">
        <v>0.115839615926634</v>
      </c>
      <c r="D4493" s="14" t="n">
        <f aca="false">Summary!$B$5-B4493</f>
        <v>-4352.0943148441</v>
      </c>
      <c r="E4493" s="15" t="n">
        <f aca="false">B4493/Summary!$B$5-1</f>
        <v>0.0435209431484409</v>
      </c>
    </row>
    <row r="4494" customFormat="false" ht="15" hidden="false" customHeight="false" outlineLevel="0" collapsed="false">
      <c r="A4494" s="0" t="n">
        <v>4493</v>
      </c>
      <c r="B4494" s="14" t="n">
        <v>106733.345479585</v>
      </c>
      <c r="C4494" s="15" t="n">
        <v>0.102693598016235</v>
      </c>
      <c r="D4494" s="14" t="n">
        <f aca="false">Summary!$B$5-B4494</f>
        <v>-6733.3454795852</v>
      </c>
      <c r="E4494" s="15" t="n">
        <f aca="false">B4494/Summary!$B$5-1</f>
        <v>0.067333454795852</v>
      </c>
    </row>
    <row r="4495" customFormat="false" ht="15" hidden="false" customHeight="false" outlineLevel="0" collapsed="false">
      <c r="A4495" s="0" t="n">
        <v>4494</v>
      </c>
      <c r="B4495" s="14" t="n">
        <v>120533.854051375</v>
      </c>
      <c r="C4495" s="15" t="n">
        <v>0.115515298187184</v>
      </c>
      <c r="D4495" s="14" t="n">
        <f aca="false">Summary!$B$5-B4495</f>
        <v>-20533.8540513754</v>
      </c>
      <c r="E4495" s="15" t="n">
        <f aca="false">B4495/Summary!$B$5-1</f>
        <v>0.205338540513754</v>
      </c>
    </row>
    <row r="4496" customFormat="false" ht="15" hidden="false" customHeight="false" outlineLevel="0" collapsed="false">
      <c r="A4496" s="0" t="n">
        <v>4495</v>
      </c>
      <c r="B4496" s="14" t="n">
        <v>91885.2098456024</v>
      </c>
      <c r="C4496" s="15" t="n">
        <v>0.0842452340828709</v>
      </c>
      <c r="D4496" s="14" t="n">
        <f aca="false">Summary!$B$5-B4496</f>
        <v>8114.79015439763</v>
      </c>
      <c r="E4496" s="15" t="n">
        <f aca="false">B4496/Summary!$B$5-1</f>
        <v>-0.0811479015439763</v>
      </c>
    </row>
    <row r="4497" customFormat="false" ht="15" hidden="false" customHeight="false" outlineLevel="0" collapsed="false">
      <c r="A4497" s="0" t="n">
        <v>4496</v>
      </c>
      <c r="B4497" s="14" t="n">
        <v>101084.307924861</v>
      </c>
      <c r="C4497" s="15" t="n">
        <v>0.0807702404051344</v>
      </c>
      <c r="D4497" s="14" t="n">
        <f aca="false">Summary!$B$5-B4497</f>
        <v>-1084.3079248607</v>
      </c>
      <c r="E4497" s="15" t="n">
        <f aca="false">B4497/Summary!$B$5-1</f>
        <v>0.0108430792486069</v>
      </c>
    </row>
    <row r="4498" customFormat="false" ht="15" hidden="false" customHeight="false" outlineLevel="0" collapsed="false">
      <c r="A4498" s="0" t="n">
        <v>4497</v>
      </c>
      <c r="B4498" s="14" t="n">
        <v>98583.1831564085</v>
      </c>
      <c r="C4498" s="15" t="n">
        <v>0.137519071857627</v>
      </c>
      <c r="D4498" s="14" t="n">
        <f aca="false">Summary!$B$5-B4498</f>
        <v>1416.81684359151</v>
      </c>
      <c r="E4498" s="15" t="n">
        <f aca="false">B4498/Summary!$B$5-1</f>
        <v>-0.0141681684359152</v>
      </c>
    </row>
    <row r="4499" customFormat="false" ht="15" hidden="false" customHeight="false" outlineLevel="0" collapsed="false">
      <c r="A4499" s="0" t="n">
        <v>4498</v>
      </c>
      <c r="B4499" s="14" t="n">
        <v>124940.778640065</v>
      </c>
      <c r="C4499" s="15" t="n">
        <v>0.0677719769872693</v>
      </c>
      <c r="D4499" s="14" t="n">
        <f aca="false">Summary!$B$5-B4499</f>
        <v>-24940.7786400652</v>
      </c>
      <c r="E4499" s="15" t="n">
        <f aca="false">B4499/Summary!$B$5-1</f>
        <v>0.249407786400652</v>
      </c>
    </row>
    <row r="4500" customFormat="false" ht="15" hidden="false" customHeight="false" outlineLevel="0" collapsed="false">
      <c r="A4500" s="0" t="n">
        <v>4499</v>
      </c>
      <c r="B4500" s="14" t="n">
        <v>100728.750607417</v>
      </c>
      <c r="C4500" s="15" t="n">
        <v>0.167910458945704</v>
      </c>
      <c r="D4500" s="14" t="n">
        <f aca="false">Summary!$B$5-B4500</f>
        <v>-728.750607416994</v>
      </c>
      <c r="E4500" s="15" t="n">
        <f aca="false">B4500/Summary!$B$5-1</f>
        <v>0.00728750607416995</v>
      </c>
    </row>
    <row r="4501" customFormat="false" ht="15" hidden="false" customHeight="false" outlineLevel="0" collapsed="false">
      <c r="A4501" s="0" t="n">
        <v>4500</v>
      </c>
      <c r="B4501" s="14" t="n">
        <v>96410.5427445759</v>
      </c>
      <c r="C4501" s="15" t="n">
        <v>0.176774612717912</v>
      </c>
      <c r="D4501" s="14" t="n">
        <f aca="false">Summary!$B$5-B4501</f>
        <v>3589.45725542406</v>
      </c>
      <c r="E4501" s="15" t="n">
        <f aca="false">B4501/Summary!$B$5-1</f>
        <v>-0.0358945725542406</v>
      </c>
    </row>
    <row r="4502" customFormat="false" ht="15" hidden="false" customHeight="false" outlineLevel="0" collapsed="false">
      <c r="A4502" s="0" t="n">
        <v>4501</v>
      </c>
      <c r="B4502" s="14" t="n">
        <v>109989.262397792</v>
      </c>
      <c r="C4502" s="15" t="n">
        <v>0.0590048409697299</v>
      </c>
      <c r="D4502" s="14" t="n">
        <f aca="false">Summary!$B$5-B4502</f>
        <v>-9989.2623977921</v>
      </c>
      <c r="E4502" s="15" t="n">
        <f aca="false">B4502/Summary!$B$5-1</f>
        <v>0.099892623977921</v>
      </c>
    </row>
    <row r="4503" customFormat="false" ht="15" hidden="false" customHeight="false" outlineLevel="0" collapsed="false">
      <c r="A4503" s="0" t="n">
        <v>4502</v>
      </c>
      <c r="B4503" s="14" t="n">
        <v>138743.539347859</v>
      </c>
      <c r="C4503" s="15" t="n">
        <v>0.0617421279592009</v>
      </c>
      <c r="D4503" s="14" t="n">
        <f aca="false">Summary!$B$5-B4503</f>
        <v>-38743.5393478587</v>
      </c>
      <c r="E4503" s="15" t="n">
        <f aca="false">B4503/Summary!$B$5-1</f>
        <v>0.387435393478587</v>
      </c>
    </row>
    <row r="4504" customFormat="false" ht="15" hidden="false" customHeight="false" outlineLevel="0" collapsed="false">
      <c r="A4504" s="0" t="n">
        <v>4503</v>
      </c>
      <c r="B4504" s="14" t="n">
        <v>97716.545979069</v>
      </c>
      <c r="C4504" s="15" t="n">
        <v>0.156711294533468</v>
      </c>
      <c r="D4504" s="14" t="n">
        <f aca="false">Summary!$B$5-B4504</f>
        <v>2283.45402093101</v>
      </c>
      <c r="E4504" s="15" t="n">
        <f aca="false">B4504/Summary!$B$5-1</f>
        <v>-0.0228345402093101</v>
      </c>
    </row>
    <row r="4505" customFormat="false" ht="15" hidden="false" customHeight="false" outlineLevel="0" collapsed="false">
      <c r="A4505" s="0" t="n">
        <v>4504</v>
      </c>
      <c r="B4505" s="14" t="n">
        <v>96900.446412591</v>
      </c>
      <c r="C4505" s="15" t="n">
        <v>0.151375428005234</v>
      </c>
      <c r="D4505" s="14" t="n">
        <f aca="false">Summary!$B$5-B4505</f>
        <v>3099.55358740903</v>
      </c>
      <c r="E4505" s="15" t="n">
        <f aca="false">B4505/Summary!$B$5-1</f>
        <v>-0.0309955358740903</v>
      </c>
    </row>
    <row r="4506" customFormat="false" ht="15" hidden="false" customHeight="false" outlineLevel="0" collapsed="false">
      <c r="A4506" s="0" t="n">
        <v>4505</v>
      </c>
      <c r="B4506" s="14" t="n">
        <v>134798.680972722</v>
      </c>
      <c r="C4506" s="15" t="n">
        <v>0.0794151366077531</v>
      </c>
      <c r="D4506" s="14" t="n">
        <f aca="false">Summary!$B$5-B4506</f>
        <v>-34798.6809727217</v>
      </c>
      <c r="E4506" s="15" t="n">
        <f aca="false">B4506/Summary!$B$5-1</f>
        <v>0.347986809727217</v>
      </c>
    </row>
    <row r="4507" customFormat="false" ht="15" hidden="false" customHeight="false" outlineLevel="0" collapsed="false">
      <c r="A4507" s="0" t="n">
        <v>4506</v>
      </c>
      <c r="B4507" s="14" t="n">
        <v>130746.074871999</v>
      </c>
      <c r="C4507" s="15" t="n">
        <v>0.0601407853358014</v>
      </c>
      <c r="D4507" s="14" t="n">
        <f aca="false">Summary!$B$5-B4507</f>
        <v>-30746.0748719985</v>
      </c>
      <c r="E4507" s="15" t="n">
        <f aca="false">B4507/Summary!$B$5-1</f>
        <v>0.307460748719985</v>
      </c>
    </row>
    <row r="4508" customFormat="false" ht="15" hidden="false" customHeight="false" outlineLevel="0" collapsed="false">
      <c r="A4508" s="0" t="n">
        <v>4507</v>
      </c>
      <c r="B4508" s="14" t="n">
        <v>93958.8804616506</v>
      </c>
      <c r="C4508" s="15" t="n">
        <v>0.165339801907141</v>
      </c>
      <c r="D4508" s="14" t="n">
        <f aca="false">Summary!$B$5-B4508</f>
        <v>6041.11953834942</v>
      </c>
      <c r="E4508" s="15" t="n">
        <f aca="false">B4508/Summary!$B$5-1</f>
        <v>-0.0604111953834942</v>
      </c>
    </row>
    <row r="4509" customFormat="false" ht="15" hidden="false" customHeight="false" outlineLevel="0" collapsed="false">
      <c r="A4509" s="0" t="n">
        <v>4508</v>
      </c>
      <c r="B4509" s="14" t="n">
        <v>105415.306684186</v>
      </c>
      <c r="C4509" s="15" t="n">
        <v>0.0874951392538578</v>
      </c>
      <c r="D4509" s="14" t="n">
        <f aca="false">Summary!$B$5-B4509</f>
        <v>-5415.30668418641</v>
      </c>
      <c r="E4509" s="15" t="n">
        <f aca="false">B4509/Summary!$B$5-1</f>
        <v>0.0541530668418642</v>
      </c>
    </row>
    <row r="4510" customFormat="false" ht="15" hidden="false" customHeight="false" outlineLevel="0" collapsed="false">
      <c r="A4510" s="0" t="n">
        <v>4509</v>
      </c>
      <c r="B4510" s="14" t="n">
        <v>122815.313892667</v>
      </c>
      <c r="C4510" s="15" t="n">
        <v>0.0648698123620022</v>
      </c>
      <c r="D4510" s="14" t="n">
        <f aca="false">Summary!$B$5-B4510</f>
        <v>-22815.313892667</v>
      </c>
      <c r="E4510" s="15" t="n">
        <f aca="false">B4510/Summary!$B$5-1</f>
        <v>0.22815313892667</v>
      </c>
    </row>
    <row r="4511" customFormat="false" ht="15" hidden="false" customHeight="false" outlineLevel="0" collapsed="false">
      <c r="A4511" s="0" t="n">
        <v>4510</v>
      </c>
      <c r="B4511" s="14" t="n">
        <v>110121.638850734</v>
      </c>
      <c r="C4511" s="15" t="n">
        <v>0.0843886610322502</v>
      </c>
      <c r="D4511" s="14" t="n">
        <f aca="false">Summary!$B$5-B4511</f>
        <v>-10121.6388507336</v>
      </c>
      <c r="E4511" s="15" t="n">
        <f aca="false">B4511/Summary!$B$5-1</f>
        <v>0.101216388507336</v>
      </c>
    </row>
    <row r="4512" customFormat="false" ht="15" hidden="false" customHeight="false" outlineLevel="0" collapsed="false">
      <c r="A4512" s="0" t="n">
        <v>4511</v>
      </c>
      <c r="B4512" s="14" t="n">
        <v>95243.3798386534</v>
      </c>
      <c r="C4512" s="15" t="n">
        <v>0.12629926415185</v>
      </c>
      <c r="D4512" s="14" t="n">
        <f aca="false">Summary!$B$5-B4512</f>
        <v>4756.62016134666</v>
      </c>
      <c r="E4512" s="15" t="n">
        <f aca="false">B4512/Summary!$B$5-1</f>
        <v>-0.0475662016134666</v>
      </c>
    </row>
    <row r="4513" customFormat="false" ht="15" hidden="false" customHeight="false" outlineLevel="0" collapsed="false">
      <c r="A4513" s="0" t="n">
        <v>4512</v>
      </c>
      <c r="B4513" s="14" t="n">
        <v>94172.0828187835</v>
      </c>
      <c r="C4513" s="15" t="n">
        <v>0.137441364991164</v>
      </c>
      <c r="D4513" s="14" t="n">
        <f aca="false">Summary!$B$5-B4513</f>
        <v>5827.9171812165</v>
      </c>
      <c r="E4513" s="15" t="n">
        <f aca="false">B4513/Summary!$B$5-1</f>
        <v>-0.058279171812165</v>
      </c>
    </row>
    <row r="4514" customFormat="false" ht="15" hidden="false" customHeight="false" outlineLevel="0" collapsed="false">
      <c r="A4514" s="0" t="n">
        <v>4513</v>
      </c>
      <c r="B4514" s="14" t="n">
        <v>117127.936109336</v>
      </c>
      <c r="C4514" s="15" t="n">
        <v>0.0682615795410289</v>
      </c>
      <c r="D4514" s="14" t="n">
        <f aca="false">Summary!$B$5-B4514</f>
        <v>-17127.9361093359</v>
      </c>
      <c r="E4514" s="15" t="n">
        <f aca="false">B4514/Summary!$B$5-1</f>
        <v>0.171279361093359</v>
      </c>
    </row>
    <row r="4515" customFormat="false" ht="15" hidden="false" customHeight="false" outlineLevel="0" collapsed="false">
      <c r="A4515" s="0" t="n">
        <v>4514</v>
      </c>
      <c r="B4515" s="14" t="n">
        <v>90954.1482399031</v>
      </c>
      <c r="C4515" s="15" t="n">
        <v>0.165471727836116</v>
      </c>
      <c r="D4515" s="14" t="n">
        <f aca="false">Summary!$B$5-B4515</f>
        <v>9045.85176009688</v>
      </c>
      <c r="E4515" s="15" t="n">
        <f aca="false">B4515/Summary!$B$5-1</f>
        <v>-0.0904585176009688</v>
      </c>
    </row>
    <row r="4516" customFormat="false" ht="15" hidden="false" customHeight="false" outlineLevel="0" collapsed="false">
      <c r="A4516" s="0" t="n">
        <v>4515</v>
      </c>
      <c r="B4516" s="14" t="n">
        <v>126329.794680682</v>
      </c>
      <c r="C4516" s="15" t="n">
        <v>0.118976261445872</v>
      </c>
      <c r="D4516" s="14" t="n">
        <f aca="false">Summary!$B$5-B4516</f>
        <v>-26329.7946806823</v>
      </c>
      <c r="E4516" s="15" t="n">
        <f aca="false">B4516/Summary!$B$5-1</f>
        <v>0.263297946806823</v>
      </c>
    </row>
    <row r="4517" customFormat="false" ht="15" hidden="false" customHeight="false" outlineLevel="0" collapsed="false">
      <c r="A4517" s="0" t="n">
        <v>4516</v>
      </c>
      <c r="B4517" s="14" t="n">
        <v>107865.280018624</v>
      </c>
      <c r="C4517" s="15" t="n">
        <v>0.112311742377253</v>
      </c>
      <c r="D4517" s="14" t="n">
        <f aca="false">Summary!$B$5-B4517</f>
        <v>-7865.2800186237</v>
      </c>
      <c r="E4517" s="15" t="n">
        <f aca="false">B4517/Summary!$B$5-1</f>
        <v>0.078652800186237</v>
      </c>
    </row>
    <row r="4518" customFormat="false" ht="15" hidden="false" customHeight="false" outlineLevel="0" collapsed="false">
      <c r="A4518" s="0" t="n">
        <v>4517</v>
      </c>
      <c r="B4518" s="14" t="n">
        <v>106728.036475152</v>
      </c>
      <c r="C4518" s="15" t="n">
        <v>0.08730661436793</v>
      </c>
      <c r="D4518" s="14" t="n">
        <f aca="false">Summary!$B$5-B4518</f>
        <v>-6728.0364751523</v>
      </c>
      <c r="E4518" s="15" t="n">
        <f aca="false">B4518/Summary!$B$5-1</f>
        <v>0.067280364751523</v>
      </c>
    </row>
    <row r="4519" customFormat="false" ht="15" hidden="false" customHeight="false" outlineLevel="0" collapsed="false">
      <c r="A4519" s="0" t="n">
        <v>4518</v>
      </c>
      <c r="B4519" s="14" t="n">
        <v>105223.281308827</v>
      </c>
      <c r="C4519" s="15" t="n">
        <v>0.0896607806412241</v>
      </c>
      <c r="D4519" s="14" t="n">
        <f aca="false">Summary!$B$5-B4519</f>
        <v>-5223.28130882701</v>
      </c>
      <c r="E4519" s="15" t="n">
        <f aca="false">B4519/Summary!$B$5-1</f>
        <v>0.0522328130882701</v>
      </c>
    </row>
    <row r="4520" customFormat="false" ht="15" hidden="false" customHeight="false" outlineLevel="0" collapsed="false">
      <c r="A4520" s="0" t="n">
        <v>4519</v>
      </c>
      <c r="B4520" s="14" t="n">
        <v>100023.779036356</v>
      </c>
      <c r="C4520" s="15" t="n">
        <v>0.130038959900383</v>
      </c>
      <c r="D4520" s="14" t="n">
        <f aca="false">Summary!$B$5-B4520</f>
        <v>-23.7790363561944</v>
      </c>
      <c r="E4520" s="15" t="n">
        <f aca="false">B4520/Summary!$B$5-1</f>
        <v>0.000237790363561974</v>
      </c>
    </row>
    <row r="4521" customFormat="false" ht="15" hidden="false" customHeight="false" outlineLevel="0" collapsed="false">
      <c r="A4521" s="0" t="n">
        <v>4520</v>
      </c>
      <c r="B4521" s="14" t="n">
        <v>104648.283277456</v>
      </c>
      <c r="C4521" s="15" t="n">
        <v>0.068188573331928</v>
      </c>
      <c r="D4521" s="14" t="n">
        <f aca="false">Summary!$B$5-B4521</f>
        <v>-4648.2832774557</v>
      </c>
      <c r="E4521" s="15" t="n">
        <f aca="false">B4521/Summary!$B$5-1</f>
        <v>0.046482832774557</v>
      </c>
    </row>
    <row r="4522" customFormat="false" ht="15" hidden="false" customHeight="false" outlineLevel="0" collapsed="false">
      <c r="A4522" s="0" t="n">
        <v>4521</v>
      </c>
      <c r="B4522" s="14" t="n">
        <v>108085.129166042</v>
      </c>
      <c r="C4522" s="15" t="n">
        <v>0.0893460715300769</v>
      </c>
      <c r="D4522" s="14" t="n">
        <f aca="false">Summary!$B$5-B4522</f>
        <v>-8085.12916604189</v>
      </c>
      <c r="E4522" s="15" t="n">
        <f aca="false">B4522/Summary!$B$5-1</f>
        <v>0.0808512916604189</v>
      </c>
    </row>
    <row r="4523" customFormat="false" ht="15" hidden="false" customHeight="false" outlineLevel="0" collapsed="false">
      <c r="A4523" s="0" t="n">
        <v>4522</v>
      </c>
      <c r="B4523" s="14" t="n">
        <v>109165.598673125</v>
      </c>
      <c r="C4523" s="15" t="n">
        <v>0.0989298792120092</v>
      </c>
      <c r="D4523" s="14" t="n">
        <f aca="false">Summary!$B$5-B4523</f>
        <v>-9165.59867312539</v>
      </c>
      <c r="E4523" s="15" t="n">
        <f aca="false">B4523/Summary!$B$5-1</f>
        <v>0.0916559867312539</v>
      </c>
    </row>
    <row r="4524" customFormat="false" ht="15" hidden="false" customHeight="false" outlineLevel="0" collapsed="false">
      <c r="A4524" s="0" t="n">
        <v>4523</v>
      </c>
      <c r="B4524" s="14" t="n">
        <v>117204.821173505</v>
      </c>
      <c r="C4524" s="15" t="n">
        <v>0.0553895762764012</v>
      </c>
      <c r="D4524" s="14" t="n">
        <f aca="false">Summary!$B$5-B4524</f>
        <v>-17204.8211735054</v>
      </c>
      <c r="E4524" s="15" t="n">
        <f aca="false">B4524/Summary!$B$5-1</f>
        <v>0.172048211735054</v>
      </c>
    </row>
    <row r="4525" customFormat="false" ht="15" hidden="false" customHeight="false" outlineLevel="0" collapsed="false">
      <c r="A4525" s="0" t="n">
        <v>4524</v>
      </c>
      <c r="B4525" s="14" t="n">
        <v>106902.05875642</v>
      </c>
      <c r="C4525" s="15" t="n">
        <v>0.0983392310315515</v>
      </c>
      <c r="D4525" s="14" t="n">
        <f aca="false">Summary!$B$5-B4525</f>
        <v>-6902.0587564196</v>
      </c>
      <c r="E4525" s="15" t="n">
        <f aca="false">B4525/Summary!$B$5-1</f>
        <v>0.0690205875641961</v>
      </c>
    </row>
    <row r="4526" customFormat="false" ht="15" hidden="false" customHeight="false" outlineLevel="0" collapsed="false">
      <c r="A4526" s="0" t="n">
        <v>4525</v>
      </c>
      <c r="B4526" s="14" t="n">
        <v>110691.386748641</v>
      </c>
      <c r="C4526" s="15" t="n">
        <v>0.0871766300978408</v>
      </c>
      <c r="D4526" s="14" t="n">
        <f aca="false">Summary!$B$5-B4526</f>
        <v>-10691.386748641</v>
      </c>
      <c r="E4526" s="15" t="n">
        <f aca="false">B4526/Summary!$B$5-1</f>
        <v>0.10691386748641</v>
      </c>
    </row>
    <row r="4527" customFormat="false" ht="15" hidden="false" customHeight="false" outlineLevel="0" collapsed="false">
      <c r="A4527" s="0" t="n">
        <v>4526</v>
      </c>
      <c r="B4527" s="14" t="n">
        <v>128097.147022483</v>
      </c>
      <c r="C4527" s="15" t="n">
        <v>0.0447065539374695</v>
      </c>
      <c r="D4527" s="14" t="n">
        <f aca="false">Summary!$B$5-B4527</f>
        <v>-28097.1470224832</v>
      </c>
      <c r="E4527" s="15" t="n">
        <f aca="false">B4527/Summary!$B$5-1</f>
        <v>0.280971470224832</v>
      </c>
    </row>
    <row r="4528" customFormat="false" ht="15" hidden="false" customHeight="false" outlineLevel="0" collapsed="false">
      <c r="A4528" s="0" t="n">
        <v>4527</v>
      </c>
      <c r="B4528" s="14" t="n">
        <v>98248.5988366834</v>
      </c>
      <c r="C4528" s="15" t="n">
        <v>0.113411136435543</v>
      </c>
      <c r="D4528" s="14" t="n">
        <f aca="false">Summary!$B$5-B4528</f>
        <v>1751.40116331661</v>
      </c>
      <c r="E4528" s="15" t="n">
        <f aca="false">B4528/Summary!$B$5-1</f>
        <v>-0.0175140116331661</v>
      </c>
    </row>
    <row r="4529" customFormat="false" ht="15" hidden="false" customHeight="false" outlineLevel="0" collapsed="false">
      <c r="A4529" s="0" t="n">
        <v>4528</v>
      </c>
      <c r="B4529" s="14" t="n">
        <v>102254.343223527</v>
      </c>
      <c r="C4529" s="15" t="n">
        <v>0.120599671860296</v>
      </c>
      <c r="D4529" s="14" t="n">
        <f aca="false">Summary!$B$5-B4529</f>
        <v>-2254.3432235267</v>
      </c>
      <c r="E4529" s="15" t="n">
        <f aca="false">B4529/Summary!$B$5-1</f>
        <v>0.0225434322352669</v>
      </c>
    </row>
    <row r="4530" customFormat="false" ht="15" hidden="false" customHeight="false" outlineLevel="0" collapsed="false">
      <c r="A4530" s="0" t="n">
        <v>4529</v>
      </c>
      <c r="B4530" s="14" t="n">
        <v>114846.576087243</v>
      </c>
      <c r="C4530" s="15" t="n">
        <v>0.134695584393226</v>
      </c>
      <c r="D4530" s="14" t="n">
        <f aca="false">Summary!$B$5-B4530</f>
        <v>-14846.5760872428</v>
      </c>
      <c r="E4530" s="15" t="n">
        <f aca="false">B4530/Summary!$B$5-1</f>
        <v>0.148465760872428</v>
      </c>
    </row>
    <row r="4531" customFormat="false" ht="15" hidden="false" customHeight="false" outlineLevel="0" collapsed="false">
      <c r="A4531" s="0" t="n">
        <v>4530</v>
      </c>
      <c r="B4531" s="14" t="n">
        <v>109845.498493651</v>
      </c>
      <c r="C4531" s="15" t="n">
        <v>0.0831627439461163</v>
      </c>
      <c r="D4531" s="14" t="n">
        <f aca="false">Summary!$B$5-B4531</f>
        <v>-9845.4984936507</v>
      </c>
      <c r="E4531" s="15" t="n">
        <f aca="false">B4531/Summary!$B$5-1</f>
        <v>0.0984549849365071</v>
      </c>
    </row>
    <row r="4532" customFormat="false" ht="15" hidden="false" customHeight="false" outlineLevel="0" collapsed="false">
      <c r="A4532" s="0" t="n">
        <v>4531</v>
      </c>
      <c r="B4532" s="14" t="n">
        <v>117572.881073404</v>
      </c>
      <c r="C4532" s="15" t="n">
        <v>0.0627704574219821</v>
      </c>
      <c r="D4532" s="14" t="n">
        <f aca="false">Summary!$B$5-B4532</f>
        <v>-17572.8810734037</v>
      </c>
      <c r="E4532" s="15" t="n">
        <f aca="false">B4532/Summary!$B$5-1</f>
        <v>0.175728810734037</v>
      </c>
    </row>
    <row r="4533" customFormat="false" ht="15" hidden="false" customHeight="false" outlineLevel="0" collapsed="false">
      <c r="A4533" s="0" t="n">
        <v>4532</v>
      </c>
      <c r="B4533" s="14" t="n">
        <v>124422.296826213</v>
      </c>
      <c r="C4533" s="15" t="n">
        <v>0.0506754593695756</v>
      </c>
      <c r="D4533" s="14" t="n">
        <f aca="false">Summary!$B$5-B4533</f>
        <v>-24422.2968262125</v>
      </c>
      <c r="E4533" s="15" t="n">
        <f aca="false">B4533/Summary!$B$5-1</f>
        <v>0.244222968262125</v>
      </c>
    </row>
    <row r="4534" customFormat="false" ht="15" hidden="false" customHeight="false" outlineLevel="0" collapsed="false">
      <c r="A4534" s="0" t="n">
        <v>4533</v>
      </c>
      <c r="B4534" s="14" t="n">
        <v>111053.114896365</v>
      </c>
      <c r="C4534" s="15" t="n">
        <v>0.0601774180645608</v>
      </c>
      <c r="D4534" s="14" t="n">
        <f aca="false">Summary!$B$5-B4534</f>
        <v>-11053.1148963645</v>
      </c>
      <c r="E4534" s="15" t="n">
        <f aca="false">B4534/Summary!$B$5-1</f>
        <v>0.110531148963645</v>
      </c>
    </row>
    <row r="4535" customFormat="false" ht="15" hidden="false" customHeight="false" outlineLevel="0" collapsed="false">
      <c r="A4535" s="0" t="n">
        <v>4534</v>
      </c>
      <c r="B4535" s="14" t="n">
        <v>90274.562885961</v>
      </c>
      <c r="C4535" s="15" t="n">
        <v>0.145036827196605</v>
      </c>
      <c r="D4535" s="14" t="n">
        <f aca="false">Summary!$B$5-B4535</f>
        <v>9725.43711403901</v>
      </c>
      <c r="E4535" s="15" t="n">
        <f aca="false">B4535/Summary!$B$5-1</f>
        <v>-0.0972543711403902</v>
      </c>
    </row>
    <row r="4536" customFormat="false" ht="15" hidden="false" customHeight="false" outlineLevel="0" collapsed="false">
      <c r="A4536" s="0" t="n">
        <v>4535</v>
      </c>
      <c r="B4536" s="14" t="n">
        <v>104463.252997495</v>
      </c>
      <c r="C4536" s="15" t="n">
        <v>0.113683785161513</v>
      </c>
      <c r="D4536" s="14" t="n">
        <f aca="false">Summary!$B$5-B4536</f>
        <v>-4463.2529974948</v>
      </c>
      <c r="E4536" s="15" t="n">
        <f aca="false">B4536/Summary!$B$5-1</f>
        <v>0.0446325299749479</v>
      </c>
    </row>
    <row r="4537" customFormat="false" ht="15" hidden="false" customHeight="false" outlineLevel="0" collapsed="false">
      <c r="A4537" s="0" t="n">
        <v>4536</v>
      </c>
      <c r="B4537" s="14" t="n">
        <v>91176.3786533384</v>
      </c>
      <c r="C4537" s="15" t="n">
        <v>0.142781919971798</v>
      </c>
      <c r="D4537" s="14" t="n">
        <f aca="false">Summary!$B$5-B4537</f>
        <v>8823.62134666165</v>
      </c>
      <c r="E4537" s="15" t="n">
        <f aca="false">B4537/Summary!$B$5-1</f>
        <v>-0.0882362134666165</v>
      </c>
    </row>
    <row r="4538" customFormat="false" ht="15" hidden="false" customHeight="false" outlineLevel="0" collapsed="false">
      <c r="A4538" s="0" t="n">
        <v>4537</v>
      </c>
      <c r="B4538" s="14" t="n">
        <v>126588.381707355</v>
      </c>
      <c r="C4538" s="15" t="n">
        <v>0.054221992068313</v>
      </c>
      <c r="D4538" s="14" t="n">
        <f aca="false">Summary!$B$5-B4538</f>
        <v>-26588.3817073548</v>
      </c>
      <c r="E4538" s="15" t="n">
        <f aca="false">B4538/Summary!$B$5-1</f>
        <v>0.265883817073548</v>
      </c>
    </row>
    <row r="4539" customFormat="false" ht="15" hidden="false" customHeight="false" outlineLevel="0" collapsed="false">
      <c r="A4539" s="0" t="n">
        <v>4538</v>
      </c>
      <c r="B4539" s="14" t="n">
        <v>120339.294954537</v>
      </c>
      <c r="C4539" s="15" t="n">
        <v>0.0588588548108243</v>
      </c>
      <c r="D4539" s="14" t="n">
        <f aca="false">Summary!$B$5-B4539</f>
        <v>-20339.2949545372</v>
      </c>
      <c r="E4539" s="15" t="n">
        <f aca="false">B4539/Summary!$B$5-1</f>
        <v>0.203392949545372</v>
      </c>
    </row>
    <row r="4540" customFormat="false" ht="15" hidden="false" customHeight="false" outlineLevel="0" collapsed="false">
      <c r="A4540" s="0" t="n">
        <v>4539</v>
      </c>
      <c r="B4540" s="14" t="n">
        <v>91010.2450055071</v>
      </c>
      <c r="C4540" s="15" t="n">
        <v>0.114763532904297</v>
      </c>
      <c r="D4540" s="14" t="n">
        <f aca="false">Summary!$B$5-B4540</f>
        <v>8989.75499449289</v>
      </c>
      <c r="E4540" s="15" t="n">
        <f aca="false">B4540/Summary!$B$5-1</f>
        <v>-0.0898975499449289</v>
      </c>
    </row>
    <row r="4541" customFormat="false" ht="15" hidden="false" customHeight="false" outlineLevel="0" collapsed="false">
      <c r="A4541" s="0" t="n">
        <v>4540</v>
      </c>
      <c r="B4541" s="14" t="n">
        <v>95361.8410383129</v>
      </c>
      <c r="C4541" s="15" t="n">
        <v>0.132540057247199</v>
      </c>
      <c r="D4541" s="14" t="n">
        <f aca="false">Summary!$B$5-B4541</f>
        <v>4638.15896168715</v>
      </c>
      <c r="E4541" s="15" t="n">
        <f aca="false">B4541/Summary!$B$5-1</f>
        <v>-0.0463815896168714</v>
      </c>
    </row>
    <row r="4542" customFormat="false" ht="15" hidden="false" customHeight="false" outlineLevel="0" collapsed="false">
      <c r="A4542" s="0" t="n">
        <v>4541</v>
      </c>
      <c r="B4542" s="14" t="n">
        <v>121592.397477929</v>
      </c>
      <c r="C4542" s="15" t="n">
        <v>0.0806189038843973</v>
      </c>
      <c r="D4542" s="14" t="n">
        <f aca="false">Summary!$B$5-B4542</f>
        <v>-21592.3974779287</v>
      </c>
      <c r="E4542" s="15" t="n">
        <f aca="false">B4542/Summary!$B$5-1</f>
        <v>0.215923974779287</v>
      </c>
    </row>
    <row r="4543" customFormat="false" ht="15" hidden="false" customHeight="false" outlineLevel="0" collapsed="false">
      <c r="A4543" s="0" t="n">
        <v>4542</v>
      </c>
      <c r="B4543" s="14" t="n">
        <v>109157.396025342</v>
      </c>
      <c r="C4543" s="15" t="n">
        <v>0.0506691582122288</v>
      </c>
      <c r="D4543" s="14" t="n">
        <f aca="false">Summary!$B$5-B4543</f>
        <v>-9157.3960253415</v>
      </c>
      <c r="E4543" s="15" t="n">
        <f aca="false">B4543/Summary!$B$5-1</f>
        <v>0.0915739602534149</v>
      </c>
    </row>
    <row r="4544" customFormat="false" ht="15" hidden="false" customHeight="false" outlineLevel="0" collapsed="false">
      <c r="A4544" s="0" t="n">
        <v>4543</v>
      </c>
      <c r="B4544" s="14" t="n">
        <v>106833.197504772</v>
      </c>
      <c r="C4544" s="15" t="n">
        <v>0.059880611596807</v>
      </c>
      <c r="D4544" s="14" t="n">
        <f aca="false">Summary!$B$5-B4544</f>
        <v>-6833.19750477219</v>
      </c>
      <c r="E4544" s="15" t="n">
        <f aca="false">B4544/Summary!$B$5-1</f>
        <v>0.068331975047722</v>
      </c>
    </row>
    <row r="4545" customFormat="false" ht="15" hidden="false" customHeight="false" outlineLevel="0" collapsed="false">
      <c r="A4545" s="0" t="n">
        <v>4544</v>
      </c>
      <c r="B4545" s="14" t="n">
        <v>106267.989078862</v>
      </c>
      <c r="C4545" s="15" t="n">
        <v>0.0704692606771127</v>
      </c>
      <c r="D4545" s="14" t="n">
        <f aca="false">Summary!$B$5-B4545</f>
        <v>-6267.989078862</v>
      </c>
      <c r="E4545" s="15" t="n">
        <f aca="false">B4545/Summary!$B$5-1</f>
        <v>0.0626798907886199</v>
      </c>
    </row>
    <row r="4546" customFormat="false" ht="15" hidden="false" customHeight="false" outlineLevel="0" collapsed="false">
      <c r="A4546" s="0" t="n">
        <v>4545</v>
      </c>
      <c r="B4546" s="14" t="n">
        <v>116597.153044704</v>
      </c>
      <c r="C4546" s="15" t="n">
        <v>0.0929265467108155</v>
      </c>
      <c r="D4546" s="14" t="n">
        <f aca="false">Summary!$B$5-B4546</f>
        <v>-16597.1530447036</v>
      </c>
      <c r="E4546" s="15" t="n">
        <f aca="false">B4546/Summary!$B$5-1</f>
        <v>0.165971530447036</v>
      </c>
    </row>
    <row r="4547" customFormat="false" ht="15" hidden="false" customHeight="false" outlineLevel="0" collapsed="false">
      <c r="A4547" s="0" t="n">
        <v>4546</v>
      </c>
      <c r="B4547" s="14" t="n">
        <v>117356.641628227</v>
      </c>
      <c r="C4547" s="15" t="n">
        <v>0.057164195876334</v>
      </c>
      <c r="D4547" s="14" t="n">
        <f aca="false">Summary!$B$5-B4547</f>
        <v>-17356.6416282266</v>
      </c>
      <c r="E4547" s="15" t="n">
        <f aca="false">B4547/Summary!$B$5-1</f>
        <v>0.173566416282266</v>
      </c>
    </row>
    <row r="4548" customFormat="false" ht="15" hidden="false" customHeight="false" outlineLevel="0" collapsed="false">
      <c r="A4548" s="0" t="n">
        <v>4547</v>
      </c>
      <c r="B4548" s="14" t="n">
        <v>98251.6875396476</v>
      </c>
      <c r="C4548" s="15" t="n">
        <v>0.123802992787242</v>
      </c>
      <c r="D4548" s="14" t="n">
        <f aca="false">Summary!$B$5-B4548</f>
        <v>1748.31246035239</v>
      </c>
      <c r="E4548" s="15" t="n">
        <f aca="false">B4548/Summary!$B$5-1</f>
        <v>-0.0174831246035239</v>
      </c>
    </row>
    <row r="4549" customFormat="false" ht="15" hidden="false" customHeight="false" outlineLevel="0" collapsed="false">
      <c r="A4549" s="0" t="n">
        <v>4548</v>
      </c>
      <c r="B4549" s="14" t="n">
        <v>106907.325051198</v>
      </c>
      <c r="C4549" s="15" t="n">
        <v>0.10888315949743</v>
      </c>
      <c r="D4549" s="14" t="n">
        <f aca="false">Summary!$B$5-B4549</f>
        <v>-6907.32505119759</v>
      </c>
      <c r="E4549" s="15" t="n">
        <f aca="false">B4549/Summary!$B$5-1</f>
        <v>0.069073250511976</v>
      </c>
    </row>
    <row r="4550" customFormat="false" ht="15" hidden="false" customHeight="false" outlineLevel="0" collapsed="false">
      <c r="A4550" s="0" t="n">
        <v>4549</v>
      </c>
      <c r="B4550" s="14" t="n">
        <v>112805.355691122</v>
      </c>
      <c r="C4550" s="15" t="n">
        <v>0.08145768847098</v>
      </c>
      <c r="D4550" s="14" t="n">
        <f aca="false">Summary!$B$5-B4550</f>
        <v>-12805.3556911223</v>
      </c>
      <c r="E4550" s="15" t="n">
        <f aca="false">B4550/Summary!$B$5-1</f>
        <v>0.128053556911223</v>
      </c>
    </row>
    <row r="4551" customFormat="false" ht="15" hidden="false" customHeight="false" outlineLevel="0" collapsed="false">
      <c r="A4551" s="0" t="n">
        <v>4550</v>
      </c>
      <c r="B4551" s="14" t="n">
        <v>129947.131552489</v>
      </c>
      <c r="C4551" s="15" t="n">
        <v>0.0746366059995983</v>
      </c>
      <c r="D4551" s="14" t="n">
        <f aca="false">Summary!$B$5-B4551</f>
        <v>-29947.1315524888</v>
      </c>
      <c r="E4551" s="15" t="n">
        <f aca="false">B4551/Summary!$B$5-1</f>
        <v>0.299471315524888</v>
      </c>
    </row>
    <row r="4552" customFormat="false" ht="15" hidden="false" customHeight="false" outlineLevel="0" collapsed="false">
      <c r="A4552" s="0" t="n">
        <v>4551</v>
      </c>
      <c r="B4552" s="14" t="n">
        <v>95380.4843172283</v>
      </c>
      <c r="C4552" s="15" t="n">
        <v>0.102405637079568</v>
      </c>
      <c r="D4552" s="14" t="n">
        <f aca="false">Summary!$B$5-B4552</f>
        <v>4619.51568277172</v>
      </c>
      <c r="E4552" s="15" t="n">
        <f aca="false">B4552/Summary!$B$5-1</f>
        <v>-0.0461951568277171</v>
      </c>
    </row>
    <row r="4553" customFormat="false" ht="15" hidden="false" customHeight="false" outlineLevel="0" collapsed="false">
      <c r="A4553" s="0" t="n">
        <v>4552</v>
      </c>
      <c r="B4553" s="14" t="n">
        <v>83555.3369646891</v>
      </c>
      <c r="C4553" s="15" t="n">
        <v>0.193300360746127</v>
      </c>
      <c r="D4553" s="14" t="n">
        <f aca="false">Summary!$B$5-B4553</f>
        <v>16444.6630353109</v>
      </c>
      <c r="E4553" s="15" t="n">
        <f aca="false">B4553/Summary!$B$5-1</f>
        <v>-0.164446630353109</v>
      </c>
    </row>
    <row r="4554" customFormat="false" ht="15" hidden="false" customHeight="false" outlineLevel="0" collapsed="false">
      <c r="A4554" s="0" t="n">
        <v>4553</v>
      </c>
      <c r="B4554" s="14" t="n">
        <v>111114.289290012</v>
      </c>
      <c r="C4554" s="15" t="n">
        <v>0.098894955006723</v>
      </c>
      <c r="D4554" s="14" t="n">
        <f aca="false">Summary!$B$5-B4554</f>
        <v>-11114.2892900118</v>
      </c>
      <c r="E4554" s="15" t="n">
        <f aca="false">B4554/Summary!$B$5-1</f>
        <v>0.111142892900118</v>
      </c>
    </row>
    <row r="4555" customFormat="false" ht="15" hidden="false" customHeight="false" outlineLevel="0" collapsed="false">
      <c r="A4555" s="0" t="n">
        <v>4554</v>
      </c>
      <c r="B4555" s="14" t="n">
        <v>117359.208082484</v>
      </c>
      <c r="C4555" s="15" t="n">
        <v>0.0563164648379392</v>
      </c>
      <c r="D4555" s="14" t="n">
        <f aca="false">Summary!$B$5-B4555</f>
        <v>-17359.2080824842</v>
      </c>
      <c r="E4555" s="15" t="n">
        <f aca="false">B4555/Summary!$B$5-1</f>
        <v>0.173592080824842</v>
      </c>
    </row>
    <row r="4556" customFormat="false" ht="15" hidden="false" customHeight="false" outlineLevel="0" collapsed="false">
      <c r="A4556" s="0" t="n">
        <v>4555</v>
      </c>
      <c r="B4556" s="14" t="n">
        <v>124649.752201398</v>
      </c>
      <c r="C4556" s="15" t="n">
        <v>0.0709958077618262</v>
      </c>
      <c r="D4556" s="14" t="n">
        <f aca="false">Summary!$B$5-B4556</f>
        <v>-24649.7522013984</v>
      </c>
      <c r="E4556" s="15" t="n">
        <f aca="false">B4556/Summary!$B$5-1</f>
        <v>0.246497522013984</v>
      </c>
    </row>
    <row r="4557" customFormat="false" ht="15" hidden="false" customHeight="false" outlineLevel="0" collapsed="false">
      <c r="A4557" s="0" t="n">
        <v>4556</v>
      </c>
      <c r="B4557" s="14" t="n">
        <v>111070.247463102</v>
      </c>
      <c r="C4557" s="15" t="n">
        <v>0.0739727873862671</v>
      </c>
      <c r="D4557" s="14" t="n">
        <f aca="false">Summary!$B$5-B4557</f>
        <v>-11070.247463102</v>
      </c>
      <c r="E4557" s="15" t="n">
        <f aca="false">B4557/Summary!$B$5-1</f>
        <v>0.11070247463102</v>
      </c>
    </row>
    <row r="4558" customFormat="false" ht="15" hidden="false" customHeight="false" outlineLevel="0" collapsed="false">
      <c r="A4558" s="0" t="n">
        <v>4557</v>
      </c>
      <c r="B4558" s="14" t="n">
        <v>85174.7115133341</v>
      </c>
      <c r="C4558" s="15" t="n">
        <v>0.161096671312862</v>
      </c>
      <c r="D4558" s="14" t="n">
        <f aca="false">Summary!$B$5-B4558</f>
        <v>14825.2884866659</v>
      </c>
      <c r="E4558" s="15" t="n">
        <f aca="false">B4558/Summary!$B$5-1</f>
        <v>-0.148252884866659</v>
      </c>
    </row>
    <row r="4559" customFormat="false" ht="15" hidden="false" customHeight="false" outlineLevel="0" collapsed="false">
      <c r="A4559" s="0" t="n">
        <v>4558</v>
      </c>
      <c r="B4559" s="14" t="n">
        <v>123732.139699228</v>
      </c>
      <c r="C4559" s="15" t="n">
        <v>0.0600992978358196</v>
      </c>
      <c r="D4559" s="14" t="n">
        <f aca="false">Summary!$B$5-B4559</f>
        <v>-23732.1396992283</v>
      </c>
      <c r="E4559" s="15" t="n">
        <f aca="false">B4559/Summary!$B$5-1</f>
        <v>0.237321396992283</v>
      </c>
    </row>
    <row r="4560" customFormat="false" ht="15" hidden="false" customHeight="false" outlineLevel="0" collapsed="false">
      <c r="A4560" s="0" t="n">
        <v>4559</v>
      </c>
      <c r="B4560" s="14" t="n">
        <v>96227.0994773816</v>
      </c>
      <c r="C4560" s="15" t="n">
        <v>0.170537125807496</v>
      </c>
      <c r="D4560" s="14" t="n">
        <f aca="false">Summary!$B$5-B4560</f>
        <v>3772.90052261841</v>
      </c>
      <c r="E4560" s="15" t="n">
        <f aca="false">B4560/Summary!$B$5-1</f>
        <v>-0.0377290052261841</v>
      </c>
    </row>
    <row r="4561" customFormat="false" ht="15" hidden="false" customHeight="false" outlineLevel="0" collapsed="false">
      <c r="A4561" s="0" t="n">
        <v>4560</v>
      </c>
      <c r="B4561" s="14" t="n">
        <v>108953.783552115</v>
      </c>
      <c r="C4561" s="15" t="n">
        <v>0.0663903763586352</v>
      </c>
      <c r="D4561" s="14" t="n">
        <f aca="false">Summary!$B$5-B4561</f>
        <v>-8953.7835521152</v>
      </c>
      <c r="E4561" s="15" t="n">
        <f aca="false">B4561/Summary!$B$5-1</f>
        <v>0.089537835521152</v>
      </c>
    </row>
    <row r="4562" customFormat="false" ht="15" hidden="false" customHeight="false" outlineLevel="0" collapsed="false">
      <c r="A4562" s="0" t="n">
        <v>4561</v>
      </c>
      <c r="B4562" s="14" t="n">
        <v>111723.52710679</v>
      </c>
      <c r="C4562" s="15" t="n">
        <v>0.0749344974242828</v>
      </c>
      <c r="D4562" s="14" t="n">
        <f aca="false">Summary!$B$5-B4562</f>
        <v>-11723.5271067901</v>
      </c>
      <c r="E4562" s="15" t="n">
        <f aca="false">B4562/Summary!$B$5-1</f>
        <v>0.117235271067901</v>
      </c>
    </row>
    <row r="4563" customFormat="false" ht="15" hidden="false" customHeight="false" outlineLevel="0" collapsed="false">
      <c r="A4563" s="0" t="n">
        <v>4562</v>
      </c>
      <c r="B4563" s="14" t="n">
        <v>115716.467660483</v>
      </c>
      <c r="C4563" s="15" t="n">
        <v>0.0727198213870758</v>
      </c>
      <c r="D4563" s="14" t="n">
        <f aca="false">Summary!$B$5-B4563</f>
        <v>-15716.4676604829</v>
      </c>
      <c r="E4563" s="15" t="n">
        <f aca="false">B4563/Summary!$B$5-1</f>
        <v>0.157164676604829</v>
      </c>
    </row>
    <row r="4564" customFormat="false" ht="15" hidden="false" customHeight="false" outlineLevel="0" collapsed="false">
      <c r="A4564" s="0" t="n">
        <v>4563</v>
      </c>
      <c r="B4564" s="14" t="n">
        <v>101804.082044459</v>
      </c>
      <c r="C4564" s="15" t="n">
        <v>0.121907096690281</v>
      </c>
      <c r="D4564" s="14" t="n">
        <f aca="false">Summary!$B$5-B4564</f>
        <v>-1804.0820444589</v>
      </c>
      <c r="E4564" s="15" t="n">
        <f aca="false">B4564/Summary!$B$5-1</f>
        <v>0.018040820444589</v>
      </c>
    </row>
    <row r="4565" customFormat="false" ht="15" hidden="false" customHeight="false" outlineLevel="0" collapsed="false">
      <c r="A4565" s="0" t="n">
        <v>4564</v>
      </c>
      <c r="B4565" s="14" t="n">
        <v>108726.866291618</v>
      </c>
      <c r="C4565" s="15" t="n">
        <v>0.107819126236154</v>
      </c>
      <c r="D4565" s="14" t="n">
        <f aca="false">Summary!$B$5-B4565</f>
        <v>-8726.8662916177</v>
      </c>
      <c r="E4565" s="15" t="n">
        <f aca="false">B4565/Summary!$B$5-1</f>
        <v>0.087268662916177</v>
      </c>
    </row>
    <row r="4566" customFormat="false" ht="15" hidden="false" customHeight="false" outlineLevel="0" collapsed="false">
      <c r="A4566" s="0" t="n">
        <v>4565</v>
      </c>
      <c r="B4566" s="14" t="n">
        <v>117133.490951949</v>
      </c>
      <c r="C4566" s="15" t="n">
        <v>0.073099497093827</v>
      </c>
      <c r="D4566" s="14" t="n">
        <f aca="false">Summary!$B$5-B4566</f>
        <v>-17133.4909519487</v>
      </c>
      <c r="E4566" s="15" t="n">
        <f aca="false">B4566/Summary!$B$5-1</f>
        <v>0.171334909519487</v>
      </c>
    </row>
    <row r="4567" customFormat="false" ht="15" hidden="false" customHeight="false" outlineLevel="0" collapsed="false">
      <c r="A4567" s="0" t="n">
        <v>4566</v>
      </c>
      <c r="B4567" s="14" t="n">
        <v>81815.5575415931</v>
      </c>
      <c r="C4567" s="15" t="n">
        <v>0.207443587801457</v>
      </c>
      <c r="D4567" s="14" t="n">
        <f aca="false">Summary!$B$5-B4567</f>
        <v>18184.4424584069</v>
      </c>
      <c r="E4567" s="15" t="n">
        <f aca="false">B4567/Summary!$B$5-1</f>
        <v>-0.181844424584069</v>
      </c>
    </row>
    <row r="4568" customFormat="false" ht="15" hidden="false" customHeight="false" outlineLevel="0" collapsed="false">
      <c r="A4568" s="0" t="n">
        <v>4567</v>
      </c>
      <c r="B4568" s="14" t="n">
        <v>110875.260969106</v>
      </c>
      <c r="C4568" s="15" t="n">
        <v>0.097228285971289</v>
      </c>
      <c r="D4568" s="14" t="n">
        <f aca="false">Summary!$B$5-B4568</f>
        <v>-10875.2609691059</v>
      </c>
      <c r="E4568" s="15" t="n">
        <f aca="false">B4568/Summary!$B$5-1</f>
        <v>0.108752609691059</v>
      </c>
    </row>
    <row r="4569" customFormat="false" ht="15" hidden="false" customHeight="false" outlineLevel="0" collapsed="false">
      <c r="A4569" s="0" t="n">
        <v>4568</v>
      </c>
      <c r="B4569" s="14" t="n">
        <v>123234.796727655</v>
      </c>
      <c r="C4569" s="15" t="n">
        <v>0.0527444018122931</v>
      </c>
      <c r="D4569" s="14" t="n">
        <f aca="false">Summary!$B$5-B4569</f>
        <v>-23234.7967276546</v>
      </c>
      <c r="E4569" s="15" t="n">
        <f aca="false">B4569/Summary!$B$5-1</f>
        <v>0.232347967276546</v>
      </c>
    </row>
    <row r="4570" customFormat="false" ht="15" hidden="false" customHeight="false" outlineLevel="0" collapsed="false">
      <c r="A4570" s="0" t="n">
        <v>4569</v>
      </c>
      <c r="B4570" s="14" t="n">
        <v>135667.857855866</v>
      </c>
      <c r="C4570" s="15" t="n">
        <v>0.0404385510098724</v>
      </c>
      <c r="D4570" s="14" t="n">
        <f aca="false">Summary!$B$5-B4570</f>
        <v>-35667.8578558663</v>
      </c>
      <c r="E4570" s="15" t="n">
        <f aca="false">B4570/Summary!$B$5-1</f>
        <v>0.356678578558663</v>
      </c>
    </row>
    <row r="4571" customFormat="false" ht="15" hidden="false" customHeight="false" outlineLevel="0" collapsed="false">
      <c r="A4571" s="0" t="n">
        <v>4570</v>
      </c>
      <c r="B4571" s="14" t="n">
        <v>103523.355452099</v>
      </c>
      <c r="C4571" s="15" t="n">
        <v>0.0724702148819936</v>
      </c>
      <c r="D4571" s="14" t="n">
        <f aca="false">Summary!$B$5-B4571</f>
        <v>-3523.3554520991</v>
      </c>
      <c r="E4571" s="15" t="n">
        <f aca="false">B4571/Summary!$B$5-1</f>
        <v>0.035233554520991</v>
      </c>
    </row>
    <row r="4572" customFormat="false" ht="15" hidden="false" customHeight="false" outlineLevel="0" collapsed="false">
      <c r="A4572" s="0" t="n">
        <v>4571</v>
      </c>
      <c r="B4572" s="14" t="n">
        <v>111087.416362858</v>
      </c>
      <c r="C4572" s="15" t="n">
        <v>0.111531452255485</v>
      </c>
      <c r="D4572" s="14" t="n">
        <f aca="false">Summary!$B$5-B4572</f>
        <v>-11087.4163628575</v>
      </c>
      <c r="E4572" s="15" t="n">
        <f aca="false">B4572/Summary!$B$5-1</f>
        <v>0.110874163628575</v>
      </c>
    </row>
    <row r="4573" customFormat="false" ht="15" hidden="false" customHeight="false" outlineLevel="0" collapsed="false">
      <c r="A4573" s="0" t="n">
        <v>4572</v>
      </c>
      <c r="B4573" s="14" t="n">
        <v>114986.60707886</v>
      </c>
      <c r="C4573" s="15" t="n">
        <v>0.0740415851164914</v>
      </c>
      <c r="D4573" s="14" t="n">
        <f aca="false">Summary!$B$5-B4573</f>
        <v>-14986.6070788598</v>
      </c>
      <c r="E4573" s="15" t="n">
        <f aca="false">B4573/Summary!$B$5-1</f>
        <v>0.149866070788598</v>
      </c>
    </row>
    <row r="4574" customFormat="false" ht="15" hidden="false" customHeight="false" outlineLevel="0" collapsed="false">
      <c r="A4574" s="0" t="n">
        <v>4573</v>
      </c>
      <c r="B4574" s="14" t="n">
        <v>97777.6251445622</v>
      </c>
      <c r="C4574" s="15" t="n">
        <v>0.106282625944398</v>
      </c>
      <c r="D4574" s="14" t="n">
        <f aca="false">Summary!$B$5-B4574</f>
        <v>2222.37485543784</v>
      </c>
      <c r="E4574" s="15" t="n">
        <f aca="false">B4574/Summary!$B$5-1</f>
        <v>-0.0222237485543784</v>
      </c>
    </row>
    <row r="4575" customFormat="false" ht="15" hidden="false" customHeight="false" outlineLevel="0" collapsed="false">
      <c r="A4575" s="0" t="n">
        <v>4574</v>
      </c>
      <c r="B4575" s="14" t="n">
        <v>107561.947194534</v>
      </c>
      <c r="C4575" s="15" t="n">
        <v>0.0616169785941763</v>
      </c>
      <c r="D4575" s="14" t="n">
        <f aca="false">Summary!$B$5-B4575</f>
        <v>-7561.9471945336</v>
      </c>
      <c r="E4575" s="15" t="n">
        <f aca="false">B4575/Summary!$B$5-1</f>
        <v>0.075619471945336</v>
      </c>
    </row>
    <row r="4576" customFormat="false" ht="15" hidden="false" customHeight="false" outlineLevel="0" collapsed="false">
      <c r="A4576" s="0" t="n">
        <v>4575</v>
      </c>
      <c r="B4576" s="14" t="n">
        <v>129782.112016638</v>
      </c>
      <c r="C4576" s="15" t="n">
        <v>0.0717695004843926</v>
      </c>
      <c r="D4576" s="14" t="n">
        <f aca="false">Summary!$B$5-B4576</f>
        <v>-29782.1120166376</v>
      </c>
      <c r="E4576" s="15" t="n">
        <f aca="false">B4576/Summary!$B$5-1</f>
        <v>0.297821120166376</v>
      </c>
    </row>
    <row r="4577" customFormat="false" ht="15" hidden="false" customHeight="false" outlineLevel="0" collapsed="false">
      <c r="A4577" s="0" t="n">
        <v>4576</v>
      </c>
      <c r="B4577" s="14" t="n">
        <v>99183.5534979585</v>
      </c>
      <c r="C4577" s="15" t="n">
        <v>0.0966374298914302</v>
      </c>
      <c r="D4577" s="14" t="n">
        <f aca="false">Summary!$B$5-B4577</f>
        <v>816.446502041508</v>
      </c>
      <c r="E4577" s="15" t="n">
        <f aca="false">B4577/Summary!$B$5-1</f>
        <v>-0.00816446502041512</v>
      </c>
    </row>
    <row r="4578" customFormat="false" ht="15" hidden="false" customHeight="false" outlineLevel="0" collapsed="false">
      <c r="A4578" s="0" t="n">
        <v>4577</v>
      </c>
      <c r="B4578" s="14" t="n">
        <v>111100.696805552</v>
      </c>
      <c r="C4578" s="15" t="n">
        <v>0.106561579066329</v>
      </c>
      <c r="D4578" s="14" t="n">
        <f aca="false">Summary!$B$5-B4578</f>
        <v>-11100.6968055522</v>
      </c>
      <c r="E4578" s="15" t="n">
        <f aca="false">B4578/Summary!$B$5-1</f>
        <v>0.111006968055522</v>
      </c>
    </row>
    <row r="4579" customFormat="false" ht="15" hidden="false" customHeight="false" outlineLevel="0" collapsed="false">
      <c r="A4579" s="0" t="n">
        <v>4578</v>
      </c>
      <c r="B4579" s="14" t="n">
        <v>100519.368754838</v>
      </c>
      <c r="C4579" s="15" t="n">
        <v>0.145452313164639</v>
      </c>
      <c r="D4579" s="14" t="n">
        <f aca="false">Summary!$B$5-B4579</f>
        <v>-519.368754837793</v>
      </c>
      <c r="E4579" s="15" t="n">
        <f aca="false">B4579/Summary!$B$5-1</f>
        <v>0.00519368754837801</v>
      </c>
    </row>
    <row r="4580" customFormat="false" ht="15" hidden="false" customHeight="false" outlineLevel="0" collapsed="false">
      <c r="A4580" s="0" t="n">
        <v>4579</v>
      </c>
      <c r="B4580" s="14" t="n">
        <v>120136.819116289</v>
      </c>
      <c r="C4580" s="15" t="n">
        <v>0.0597204369299464</v>
      </c>
      <c r="D4580" s="14" t="n">
        <f aca="false">Summary!$B$5-B4580</f>
        <v>-20136.819116289</v>
      </c>
      <c r="E4580" s="15" t="n">
        <f aca="false">B4580/Summary!$B$5-1</f>
        <v>0.20136819116289</v>
      </c>
    </row>
    <row r="4581" customFormat="false" ht="15" hidden="false" customHeight="false" outlineLevel="0" collapsed="false">
      <c r="A4581" s="0" t="n">
        <v>4580</v>
      </c>
      <c r="B4581" s="14" t="n">
        <v>99489.2747125437</v>
      </c>
      <c r="C4581" s="15" t="n">
        <v>0.107022456660033</v>
      </c>
      <c r="D4581" s="14" t="n">
        <f aca="false">Summary!$B$5-B4581</f>
        <v>510.725287456327</v>
      </c>
      <c r="E4581" s="15" t="n">
        <f aca="false">B4581/Summary!$B$5-1</f>
        <v>-0.00510725287456326</v>
      </c>
    </row>
    <row r="4582" customFormat="false" ht="15" hidden="false" customHeight="false" outlineLevel="0" collapsed="false">
      <c r="A4582" s="0" t="n">
        <v>4581</v>
      </c>
      <c r="B4582" s="14" t="n">
        <v>126105.186959261</v>
      </c>
      <c r="C4582" s="15" t="n">
        <v>0.0643994270209936</v>
      </c>
      <c r="D4582" s="14" t="n">
        <f aca="false">Summary!$B$5-B4582</f>
        <v>-26105.1869592608</v>
      </c>
      <c r="E4582" s="15" t="n">
        <f aca="false">B4582/Summary!$B$5-1</f>
        <v>0.261051869592608</v>
      </c>
    </row>
    <row r="4583" customFormat="false" ht="15" hidden="false" customHeight="false" outlineLevel="0" collapsed="false">
      <c r="A4583" s="0" t="n">
        <v>4582</v>
      </c>
      <c r="B4583" s="14" t="n">
        <v>121997.64690052</v>
      </c>
      <c r="C4583" s="15" t="n">
        <v>0.116129874230797</v>
      </c>
      <c r="D4583" s="14" t="n">
        <f aca="false">Summary!$B$5-B4583</f>
        <v>-21997.6469005203</v>
      </c>
      <c r="E4583" s="15" t="n">
        <f aca="false">B4583/Summary!$B$5-1</f>
        <v>0.219976469005203</v>
      </c>
    </row>
    <row r="4584" customFormat="false" ht="15" hidden="false" customHeight="false" outlineLevel="0" collapsed="false">
      <c r="A4584" s="0" t="n">
        <v>4583</v>
      </c>
      <c r="B4584" s="14" t="n">
        <v>127810.786774947</v>
      </c>
      <c r="C4584" s="15" t="n">
        <v>0.0616947907142724</v>
      </c>
      <c r="D4584" s="14" t="n">
        <f aca="false">Summary!$B$5-B4584</f>
        <v>-27810.7867749469</v>
      </c>
      <c r="E4584" s="15" t="n">
        <f aca="false">B4584/Summary!$B$5-1</f>
        <v>0.278107867749469</v>
      </c>
    </row>
    <row r="4585" customFormat="false" ht="15" hidden="false" customHeight="false" outlineLevel="0" collapsed="false">
      <c r="A4585" s="0" t="n">
        <v>4584</v>
      </c>
      <c r="B4585" s="14" t="n">
        <v>104349.375222106</v>
      </c>
      <c r="C4585" s="15" t="n">
        <v>0.0831446421225894</v>
      </c>
      <c r="D4585" s="14" t="n">
        <f aca="false">Summary!$B$5-B4585</f>
        <v>-4349.3752221058</v>
      </c>
      <c r="E4585" s="15" t="n">
        <f aca="false">B4585/Summary!$B$5-1</f>
        <v>0.0434937522210579</v>
      </c>
    </row>
    <row r="4586" customFormat="false" ht="15" hidden="false" customHeight="false" outlineLevel="0" collapsed="false">
      <c r="A4586" s="0" t="n">
        <v>4585</v>
      </c>
      <c r="B4586" s="14" t="n">
        <v>96933.8943430196</v>
      </c>
      <c r="C4586" s="15" t="n">
        <v>0.110102198695761</v>
      </c>
      <c r="D4586" s="14" t="n">
        <f aca="false">Summary!$B$5-B4586</f>
        <v>3066.10565698036</v>
      </c>
      <c r="E4586" s="15" t="n">
        <f aca="false">B4586/Summary!$B$5-1</f>
        <v>-0.0306610565698037</v>
      </c>
    </row>
    <row r="4587" customFormat="false" ht="15" hidden="false" customHeight="false" outlineLevel="0" collapsed="false">
      <c r="A4587" s="0" t="n">
        <v>4586</v>
      </c>
      <c r="B4587" s="14" t="n">
        <v>94321.7473284497</v>
      </c>
      <c r="C4587" s="15" t="n">
        <v>0.125753950152038</v>
      </c>
      <c r="D4587" s="14" t="n">
        <f aca="false">Summary!$B$5-B4587</f>
        <v>5678.25267155029</v>
      </c>
      <c r="E4587" s="15" t="n">
        <f aca="false">B4587/Summary!$B$5-1</f>
        <v>-0.0567825267155029</v>
      </c>
    </row>
    <row r="4588" customFormat="false" ht="15" hidden="false" customHeight="false" outlineLevel="0" collapsed="false">
      <c r="A4588" s="0" t="n">
        <v>4587</v>
      </c>
      <c r="B4588" s="14" t="n">
        <v>111211.417933761</v>
      </c>
      <c r="C4588" s="15" t="n">
        <v>0.0694791901928754</v>
      </c>
      <c r="D4588" s="14" t="n">
        <f aca="false">Summary!$B$5-B4588</f>
        <v>-11211.4179337605</v>
      </c>
      <c r="E4588" s="15" t="n">
        <f aca="false">B4588/Summary!$B$5-1</f>
        <v>0.112114179337605</v>
      </c>
    </row>
    <row r="4589" customFormat="false" ht="15" hidden="false" customHeight="false" outlineLevel="0" collapsed="false">
      <c r="A4589" s="0" t="n">
        <v>4588</v>
      </c>
      <c r="B4589" s="14" t="n">
        <v>101414.893150902</v>
      </c>
      <c r="C4589" s="15" t="n">
        <v>0.121682329142657</v>
      </c>
      <c r="D4589" s="14" t="n">
        <f aca="false">Summary!$B$5-B4589</f>
        <v>-1414.89315090211</v>
      </c>
      <c r="E4589" s="15" t="n">
        <f aca="false">B4589/Summary!$B$5-1</f>
        <v>0.0141489315090211</v>
      </c>
    </row>
    <row r="4590" customFormat="false" ht="15" hidden="false" customHeight="false" outlineLevel="0" collapsed="false">
      <c r="A4590" s="0" t="n">
        <v>4589</v>
      </c>
      <c r="B4590" s="14" t="n">
        <v>97958.7847881479</v>
      </c>
      <c r="C4590" s="15" t="n">
        <v>0.120933157835691</v>
      </c>
      <c r="D4590" s="14" t="n">
        <f aca="false">Summary!$B$5-B4590</f>
        <v>2041.21521185209</v>
      </c>
      <c r="E4590" s="15" t="n">
        <f aca="false">B4590/Summary!$B$5-1</f>
        <v>-0.0204121521185209</v>
      </c>
    </row>
    <row r="4591" customFormat="false" ht="15" hidden="false" customHeight="false" outlineLevel="0" collapsed="false">
      <c r="A4591" s="0" t="n">
        <v>4590</v>
      </c>
      <c r="B4591" s="14" t="n">
        <v>99153.0469234998</v>
      </c>
      <c r="C4591" s="15" t="n">
        <v>0.124644499179912</v>
      </c>
      <c r="D4591" s="14" t="n">
        <f aca="false">Summary!$B$5-B4591</f>
        <v>846.953076500184</v>
      </c>
      <c r="E4591" s="15" t="n">
        <f aca="false">B4591/Summary!$B$5-1</f>
        <v>-0.00846953076500179</v>
      </c>
    </row>
    <row r="4592" customFormat="false" ht="15" hidden="false" customHeight="false" outlineLevel="0" collapsed="false">
      <c r="A4592" s="0" t="n">
        <v>4591</v>
      </c>
      <c r="B4592" s="14" t="n">
        <v>125350.313973204</v>
      </c>
      <c r="C4592" s="15" t="n">
        <v>0.0570722061964334</v>
      </c>
      <c r="D4592" s="14" t="n">
        <f aca="false">Summary!$B$5-B4592</f>
        <v>-25350.3139732043</v>
      </c>
      <c r="E4592" s="15" t="n">
        <f aca="false">B4592/Summary!$B$5-1</f>
        <v>0.253503139732043</v>
      </c>
    </row>
    <row r="4593" customFormat="false" ht="15" hidden="false" customHeight="false" outlineLevel="0" collapsed="false">
      <c r="A4593" s="0" t="n">
        <v>4592</v>
      </c>
      <c r="B4593" s="14" t="n">
        <v>111434.026013058</v>
      </c>
      <c r="C4593" s="15" t="n">
        <v>0.056242407067112</v>
      </c>
      <c r="D4593" s="14" t="n">
        <f aca="false">Summary!$B$5-B4593</f>
        <v>-11434.0260130583</v>
      </c>
      <c r="E4593" s="15" t="n">
        <f aca="false">B4593/Summary!$B$5-1</f>
        <v>0.114340260130583</v>
      </c>
    </row>
    <row r="4594" customFormat="false" ht="15" hidden="false" customHeight="false" outlineLevel="0" collapsed="false">
      <c r="A4594" s="0" t="n">
        <v>4593</v>
      </c>
      <c r="B4594" s="14" t="n">
        <v>90967.4513204435</v>
      </c>
      <c r="C4594" s="15" t="n">
        <v>0.187204400695552</v>
      </c>
      <c r="D4594" s="14" t="n">
        <f aca="false">Summary!$B$5-B4594</f>
        <v>9032.54867955649</v>
      </c>
      <c r="E4594" s="15" t="n">
        <f aca="false">B4594/Summary!$B$5-1</f>
        <v>-0.090325486795565</v>
      </c>
    </row>
    <row r="4595" customFormat="false" ht="15" hidden="false" customHeight="false" outlineLevel="0" collapsed="false">
      <c r="A4595" s="0" t="n">
        <v>4594</v>
      </c>
      <c r="B4595" s="14" t="n">
        <v>107982.664781698</v>
      </c>
      <c r="C4595" s="15" t="n">
        <v>0.0811010420123531</v>
      </c>
      <c r="D4595" s="14" t="n">
        <f aca="false">Summary!$B$5-B4595</f>
        <v>-7982.66478169771</v>
      </c>
      <c r="E4595" s="15" t="n">
        <f aca="false">B4595/Summary!$B$5-1</f>
        <v>0.0798266478169771</v>
      </c>
    </row>
    <row r="4596" customFormat="false" ht="15" hidden="false" customHeight="false" outlineLevel="0" collapsed="false">
      <c r="A4596" s="0" t="n">
        <v>4595</v>
      </c>
      <c r="B4596" s="14" t="n">
        <v>129155.327979301</v>
      </c>
      <c r="C4596" s="15" t="n">
        <v>0.0936522247251335</v>
      </c>
      <c r="D4596" s="14" t="n">
        <f aca="false">Summary!$B$5-B4596</f>
        <v>-29155.3279793006</v>
      </c>
      <c r="E4596" s="15" t="n">
        <f aca="false">B4596/Summary!$B$5-1</f>
        <v>0.291553279793006</v>
      </c>
    </row>
    <row r="4597" customFormat="false" ht="15" hidden="false" customHeight="false" outlineLevel="0" collapsed="false">
      <c r="A4597" s="0" t="n">
        <v>4596</v>
      </c>
      <c r="B4597" s="14" t="n">
        <v>125847.649756717</v>
      </c>
      <c r="C4597" s="15" t="n">
        <v>0.072149307974002</v>
      </c>
      <c r="D4597" s="14" t="n">
        <f aca="false">Summary!$B$5-B4597</f>
        <v>-25847.6497567166</v>
      </c>
      <c r="E4597" s="15" t="n">
        <f aca="false">B4597/Summary!$B$5-1</f>
        <v>0.258476497567166</v>
      </c>
    </row>
    <row r="4598" customFormat="false" ht="15" hidden="false" customHeight="false" outlineLevel="0" collapsed="false">
      <c r="A4598" s="0" t="n">
        <v>4597</v>
      </c>
      <c r="B4598" s="14" t="n">
        <v>107848.427956812</v>
      </c>
      <c r="C4598" s="15" t="n">
        <v>0.0764165482503537</v>
      </c>
      <c r="D4598" s="14" t="n">
        <f aca="false">Summary!$B$5-B4598</f>
        <v>-7848.4279568121</v>
      </c>
      <c r="E4598" s="15" t="n">
        <f aca="false">B4598/Summary!$B$5-1</f>
        <v>0.0784842795681209</v>
      </c>
    </row>
    <row r="4599" customFormat="false" ht="15" hidden="false" customHeight="false" outlineLevel="0" collapsed="false">
      <c r="A4599" s="0" t="n">
        <v>4598</v>
      </c>
      <c r="B4599" s="14" t="n">
        <v>107436.799923402</v>
      </c>
      <c r="C4599" s="15" t="n">
        <v>0.0677304606786242</v>
      </c>
      <c r="D4599" s="14" t="n">
        <f aca="false">Summary!$B$5-B4599</f>
        <v>-7436.7999234015</v>
      </c>
      <c r="E4599" s="15" t="n">
        <f aca="false">B4599/Summary!$B$5-1</f>
        <v>0.0743679992340149</v>
      </c>
    </row>
    <row r="4600" customFormat="false" ht="15" hidden="false" customHeight="false" outlineLevel="0" collapsed="false">
      <c r="A4600" s="0" t="n">
        <v>4599</v>
      </c>
      <c r="B4600" s="14" t="n">
        <v>145528.651600396</v>
      </c>
      <c r="C4600" s="15" t="n">
        <v>0.040895760939318</v>
      </c>
      <c r="D4600" s="14" t="n">
        <f aca="false">Summary!$B$5-B4600</f>
        <v>-45528.6516003964</v>
      </c>
      <c r="E4600" s="15" t="n">
        <f aca="false">B4600/Summary!$B$5-1</f>
        <v>0.455286516003964</v>
      </c>
    </row>
    <row r="4601" customFormat="false" ht="15" hidden="false" customHeight="false" outlineLevel="0" collapsed="false">
      <c r="A4601" s="0" t="n">
        <v>4600</v>
      </c>
      <c r="B4601" s="14" t="n">
        <v>95665.3244280907</v>
      </c>
      <c r="C4601" s="15" t="n">
        <v>0.0983931259631663</v>
      </c>
      <c r="D4601" s="14" t="n">
        <f aca="false">Summary!$B$5-B4601</f>
        <v>4334.67557190926</v>
      </c>
      <c r="E4601" s="15" t="n">
        <f aca="false">B4601/Summary!$B$5-1</f>
        <v>-0.0433467557190926</v>
      </c>
    </row>
    <row r="4602" customFormat="false" ht="15" hidden="false" customHeight="false" outlineLevel="0" collapsed="false">
      <c r="A4602" s="0" t="n">
        <v>4601</v>
      </c>
      <c r="B4602" s="14" t="n">
        <v>116894.042635221</v>
      </c>
      <c r="C4602" s="15" t="n">
        <v>0.0713868585349028</v>
      </c>
      <c r="D4602" s="14" t="n">
        <f aca="false">Summary!$B$5-B4602</f>
        <v>-16894.0426352207</v>
      </c>
      <c r="E4602" s="15" t="n">
        <f aca="false">B4602/Summary!$B$5-1</f>
        <v>0.168940426352207</v>
      </c>
    </row>
    <row r="4603" customFormat="false" ht="15" hidden="false" customHeight="false" outlineLevel="0" collapsed="false">
      <c r="A4603" s="0" t="n">
        <v>4602</v>
      </c>
      <c r="B4603" s="14" t="n">
        <v>99257.6794792081</v>
      </c>
      <c r="C4603" s="15" t="n">
        <v>0.122088238322448</v>
      </c>
      <c r="D4603" s="14" t="n">
        <f aca="false">Summary!$B$5-B4603</f>
        <v>742.320520791865</v>
      </c>
      <c r="E4603" s="15" t="n">
        <f aca="false">B4603/Summary!$B$5-1</f>
        <v>-0.00742320520791862</v>
      </c>
    </row>
    <row r="4604" customFormat="false" ht="15" hidden="false" customHeight="false" outlineLevel="0" collapsed="false">
      <c r="A4604" s="0" t="n">
        <v>4603</v>
      </c>
      <c r="B4604" s="14" t="n">
        <v>120196.887192058</v>
      </c>
      <c r="C4604" s="15" t="n">
        <v>0.0658517430159149</v>
      </c>
      <c r="D4604" s="14" t="n">
        <f aca="false">Summary!$B$5-B4604</f>
        <v>-20196.8871920583</v>
      </c>
      <c r="E4604" s="15" t="n">
        <f aca="false">B4604/Summary!$B$5-1</f>
        <v>0.201968871920583</v>
      </c>
    </row>
    <row r="4605" customFormat="false" ht="15" hidden="false" customHeight="false" outlineLevel="0" collapsed="false">
      <c r="A4605" s="0" t="n">
        <v>4604</v>
      </c>
      <c r="B4605" s="14" t="n">
        <v>107671.349308325</v>
      </c>
      <c r="C4605" s="15" t="n">
        <v>0.143062838321252</v>
      </c>
      <c r="D4605" s="14" t="n">
        <f aca="false">Summary!$B$5-B4605</f>
        <v>-7671.34930832509</v>
      </c>
      <c r="E4605" s="15" t="n">
        <f aca="false">B4605/Summary!$B$5-1</f>
        <v>0.0767134930832509</v>
      </c>
    </row>
    <row r="4606" customFormat="false" ht="15" hidden="false" customHeight="false" outlineLevel="0" collapsed="false">
      <c r="A4606" s="0" t="n">
        <v>4605</v>
      </c>
      <c r="B4606" s="14" t="n">
        <v>97090.8455218024</v>
      </c>
      <c r="C4606" s="15" t="n">
        <v>0.0940244243308523</v>
      </c>
      <c r="D4606" s="14" t="n">
        <f aca="false">Summary!$B$5-B4606</f>
        <v>2909.15447819761</v>
      </c>
      <c r="E4606" s="15" t="n">
        <f aca="false">B4606/Summary!$B$5-1</f>
        <v>-0.0290915447819761</v>
      </c>
    </row>
    <row r="4607" customFormat="false" ht="15" hidden="false" customHeight="false" outlineLevel="0" collapsed="false">
      <c r="A4607" s="0" t="n">
        <v>4606</v>
      </c>
      <c r="B4607" s="14" t="n">
        <v>114032.543262037</v>
      </c>
      <c r="C4607" s="15" t="n">
        <v>0.0696460563580883</v>
      </c>
      <c r="D4607" s="14" t="n">
        <f aca="false">Summary!$B$5-B4607</f>
        <v>-14032.5432620369</v>
      </c>
      <c r="E4607" s="15" t="n">
        <f aca="false">B4607/Summary!$B$5-1</f>
        <v>0.140325432620369</v>
      </c>
    </row>
    <row r="4608" customFormat="false" ht="15" hidden="false" customHeight="false" outlineLevel="0" collapsed="false">
      <c r="A4608" s="0" t="n">
        <v>4607</v>
      </c>
      <c r="B4608" s="14" t="n">
        <v>129604.743148567</v>
      </c>
      <c r="C4608" s="15" t="n">
        <v>0.0710468712836753</v>
      </c>
      <c r="D4608" s="14" t="n">
        <f aca="false">Summary!$B$5-B4608</f>
        <v>-29604.7431485671</v>
      </c>
      <c r="E4608" s="15" t="n">
        <f aca="false">B4608/Summary!$B$5-1</f>
        <v>0.296047431485671</v>
      </c>
    </row>
    <row r="4609" customFormat="false" ht="15" hidden="false" customHeight="false" outlineLevel="0" collapsed="false">
      <c r="A4609" s="0" t="n">
        <v>4608</v>
      </c>
      <c r="B4609" s="14" t="n">
        <v>113408.123209698</v>
      </c>
      <c r="C4609" s="15" t="n">
        <v>0.0916621613248639</v>
      </c>
      <c r="D4609" s="14" t="n">
        <f aca="false">Summary!$B$5-B4609</f>
        <v>-13408.1232096977</v>
      </c>
      <c r="E4609" s="15" t="n">
        <f aca="false">B4609/Summary!$B$5-1</f>
        <v>0.134081232096977</v>
      </c>
    </row>
    <row r="4610" customFormat="false" ht="15" hidden="false" customHeight="false" outlineLevel="0" collapsed="false">
      <c r="A4610" s="0" t="n">
        <v>4609</v>
      </c>
      <c r="B4610" s="14" t="n">
        <v>92697.6758309575</v>
      </c>
      <c r="C4610" s="15" t="n">
        <v>0.141650187023311</v>
      </c>
      <c r="D4610" s="14" t="n">
        <f aca="false">Summary!$B$5-B4610</f>
        <v>7302.32416904246</v>
      </c>
      <c r="E4610" s="15" t="n">
        <f aca="false">B4610/Summary!$B$5-1</f>
        <v>-0.0730232416904246</v>
      </c>
    </row>
    <row r="4611" customFormat="false" ht="15" hidden="false" customHeight="false" outlineLevel="0" collapsed="false">
      <c r="A4611" s="0" t="n">
        <v>4610</v>
      </c>
      <c r="B4611" s="14" t="n">
        <v>111354.991635982</v>
      </c>
      <c r="C4611" s="15" t="n">
        <v>0.0611788591803529</v>
      </c>
      <c r="D4611" s="14" t="n">
        <f aca="false">Summary!$B$5-B4611</f>
        <v>-11354.9916359819</v>
      </c>
      <c r="E4611" s="15" t="n">
        <f aca="false">B4611/Summary!$B$5-1</f>
        <v>0.113549916359819</v>
      </c>
    </row>
    <row r="4612" customFormat="false" ht="15" hidden="false" customHeight="false" outlineLevel="0" collapsed="false">
      <c r="A4612" s="0" t="n">
        <v>4611</v>
      </c>
      <c r="B4612" s="14" t="n">
        <v>121627.317389901</v>
      </c>
      <c r="C4612" s="15" t="n">
        <v>0.0645848767578889</v>
      </c>
      <c r="D4612" s="14" t="n">
        <f aca="false">Summary!$B$5-B4612</f>
        <v>-21627.3173899005</v>
      </c>
      <c r="E4612" s="15" t="n">
        <f aca="false">B4612/Summary!$B$5-1</f>
        <v>0.216273173899005</v>
      </c>
    </row>
    <row r="4613" customFormat="false" ht="15" hidden="false" customHeight="false" outlineLevel="0" collapsed="false">
      <c r="A4613" s="0" t="n">
        <v>4612</v>
      </c>
      <c r="B4613" s="14" t="n">
        <v>92492.571313238</v>
      </c>
      <c r="C4613" s="15" t="n">
        <v>0.148970686074043</v>
      </c>
      <c r="D4613" s="14" t="n">
        <f aca="false">Summary!$B$5-B4613</f>
        <v>7507.42868676203</v>
      </c>
      <c r="E4613" s="15" t="n">
        <f aca="false">B4613/Summary!$B$5-1</f>
        <v>-0.0750742868676203</v>
      </c>
    </row>
    <row r="4614" customFormat="false" ht="15" hidden="false" customHeight="false" outlineLevel="0" collapsed="false">
      <c r="A4614" s="0" t="n">
        <v>4613</v>
      </c>
      <c r="B4614" s="14" t="n">
        <v>102617.629537305</v>
      </c>
      <c r="C4614" s="15" t="n">
        <v>0.0964530397890842</v>
      </c>
      <c r="D4614" s="14" t="n">
        <f aca="false">Summary!$B$5-B4614</f>
        <v>-2617.6295373054</v>
      </c>
      <c r="E4614" s="15" t="n">
        <f aca="false">B4614/Summary!$B$5-1</f>
        <v>0.026176295373054</v>
      </c>
    </row>
    <row r="4615" customFormat="false" ht="15" hidden="false" customHeight="false" outlineLevel="0" collapsed="false">
      <c r="A4615" s="0" t="n">
        <v>4614</v>
      </c>
      <c r="B4615" s="14" t="n">
        <v>109212.07757126</v>
      </c>
      <c r="C4615" s="15" t="n">
        <v>0.0708123159053167</v>
      </c>
      <c r="D4615" s="14" t="n">
        <f aca="false">Summary!$B$5-B4615</f>
        <v>-9212.07757126</v>
      </c>
      <c r="E4615" s="15" t="n">
        <f aca="false">B4615/Summary!$B$5-1</f>
        <v>0.0921207757125999</v>
      </c>
    </row>
    <row r="4616" customFormat="false" ht="15" hidden="false" customHeight="false" outlineLevel="0" collapsed="false">
      <c r="A4616" s="0" t="n">
        <v>4615</v>
      </c>
      <c r="B4616" s="14" t="n">
        <v>113857.306013208</v>
      </c>
      <c r="C4616" s="15" t="n">
        <v>0.0473155358058506</v>
      </c>
      <c r="D4616" s="14" t="n">
        <f aca="false">Summary!$B$5-B4616</f>
        <v>-13857.306013208</v>
      </c>
      <c r="E4616" s="15" t="n">
        <f aca="false">B4616/Summary!$B$5-1</f>
        <v>0.13857306013208</v>
      </c>
    </row>
    <row r="4617" customFormat="false" ht="15" hidden="false" customHeight="false" outlineLevel="0" collapsed="false">
      <c r="A4617" s="0" t="n">
        <v>4616</v>
      </c>
      <c r="B4617" s="14" t="n">
        <v>97483.0315784188</v>
      </c>
      <c r="C4617" s="15" t="n">
        <v>0.0784076936062378</v>
      </c>
      <c r="D4617" s="14" t="n">
        <f aca="false">Summary!$B$5-B4617</f>
        <v>2516.96842158122</v>
      </c>
      <c r="E4617" s="15" t="n">
        <f aca="false">B4617/Summary!$B$5-1</f>
        <v>-0.0251696842158121</v>
      </c>
    </row>
    <row r="4618" customFormat="false" ht="15" hidden="false" customHeight="false" outlineLevel="0" collapsed="false">
      <c r="A4618" s="0" t="n">
        <v>4617</v>
      </c>
      <c r="B4618" s="14" t="n">
        <v>116865.62529004</v>
      </c>
      <c r="C4618" s="15" t="n">
        <v>0.08121195030572</v>
      </c>
      <c r="D4618" s="14" t="n">
        <f aca="false">Summary!$B$5-B4618</f>
        <v>-16865.6252900395</v>
      </c>
      <c r="E4618" s="15" t="n">
        <f aca="false">B4618/Summary!$B$5-1</f>
        <v>0.168656252900395</v>
      </c>
    </row>
    <row r="4619" customFormat="false" ht="15" hidden="false" customHeight="false" outlineLevel="0" collapsed="false">
      <c r="A4619" s="0" t="n">
        <v>4618</v>
      </c>
      <c r="B4619" s="14" t="n">
        <v>110164.012497924</v>
      </c>
      <c r="C4619" s="15" t="n">
        <v>0.122471862445625</v>
      </c>
      <c r="D4619" s="14" t="n">
        <f aca="false">Summary!$B$5-B4619</f>
        <v>-10164.0124979235</v>
      </c>
      <c r="E4619" s="15" t="n">
        <f aca="false">B4619/Summary!$B$5-1</f>
        <v>0.101640124979235</v>
      </c>
    </row>
    <row r="4620" customFormat="false" ht="15" hidden="false" customHeight="false" outlineLevel="0" collapsed="false">
      <c r="A4620" s="0" t="n">
        <v>4619</v>
      </c>
      <c r="B4620" s="14" t="n">
        <v>112231.19103597</v>
      </c>
      <c r="C4620" s="15" t="n">
        <v>0.0840788254016006</v>
      </c>
      <c r="D4620" s="14" t="n">
        <f aca="false">Summary!$B$5-B4620</f>
        <v>-12231.19103597</v>
      </c>
      <c r="E4620" s="15" t="n">
        <f aca="false">B4620/Summary!$B$5-1</f>
        <v>0.1223119103597</v>
      </c>
    </row>
    <row r="4621" customFormat="false" ht="15" hidden="false" customHeight="false" outlineLevel="0" collapsed="false">
      <c r="A4621" s="0" t="n">
        <v>4620</v>
      </c>
      <c r="B4621" s="14" t="n">
        <v>103573.565126355</v>
      </c>
      <c r="C4621" s="15" t="n">
        <v>0.120473325708164</v>
      </c>
      <c r="D4621" s="14" t="n">
        <f aca="false">Summary!$B$5-B4621</f>
        <v>-3573.56512635489</v>
      </c>
      <c r="E4621" s="15" t="n">
        <f aca="false">B4621/Summary!$B$5-1</f>
        <v>0.0357356512635489</v>
      </c>
    </row>
    <row r="4622" customFormat="false" ht="15" hidden="false" customHeight="false" outlineLevel="0" collapsed="false">
      <c r="A4622" s="0" t="n">
        <v>4621</v>
      </c>
      <c r="B4622" s="14" t="n">
        <v>116618.623497107</v>
      </c>
      <c r="C4622" s="15" t="n">
        <v>0.120335276878864</v>
      </c>
      <c r="D4622" s="14" t="n">
        <f aca="false">Summary!$B$5-B4622</f>
        <v>-16618.6234971067</v>
      </c>
      <c r="E4622" s="15" t="n">
        <f aca="false">B4622/Summary!$B$5-1</f>
        <v>0.166186234971067</v>
      </c>
    </row>
    <row r="4623" customFormat="false" ht="15" hidden="false" customHeight="false" outlineLevel="0" collapsed="false">
      <c r="A4623" s="0" t="n">
        <v>4622</v>
      </c>
      <c r="B4623" s="14" t="n">
        <v>120225.060478193</v>
      </c>
      <c r="C4623" s="15" t="n">
        <v>0.0720216193046698</v>
      </c>
      <c r="D4623" s="14" t="n">
        <f aca="false">Summary!$B$5-B4623</f>
        <v>-20225.0604781925</v>
      </c>
      <c r="E4623" s="15" t="n">
        <f aca="false">B4623/Summary!$B$5-1</f>
        <v>0.202250604781925</v>
      </c>
    </row>
    <row r="4624" customFormat="false" ht="15" hidden="false" customHeight="false" outlineLevel="0" collapsed="false">
      <c r="A4624" s="0" t="n">
        <v>4623</v>
      </c>
      <c r="B4624" s="14" t="n">
        <v>91774.4289009537</v>
      </c>
      <c r="C4624" s="15" t="n">
        <v>0.171789651699267</v>
      </c>
      <c r="D4624" s="14" t="n">
        <f aca="false">Summary!$B$5-B4624</f>
        <v>8225.57109904631</v>
      </c>
      <c r="E4624" s="15" t="n">
        <f aca="false">B4624/Summary!$B$5-1</f>
        <v>-0.0822557109904631</v>
      </c>
    </row>
    <row r="4625" customFormat="false" ht="15" hidden="false" customHeight="false" outlineLevel="0" collapsed="false">
      <c r="A4625" s="0" t="n">
        <v>4624</v>
      </c>
      <c r="B4625" s="14" t="n">
        <v>96401.9816985928</v>
      </c>
      <c r="C4625" s="15" t="n">
        <v>0.121375847751887</v>
      </c>
      <c r="D4625" s="14" t="n">
        <f aca="false">Summary!$B$5-B4625</f>
        <v>3598.0183014072</v>
      </c>
      <c r="E4625" s="15" t="n">
        <f aca="false">B4625/Summary!$B$5-1</f>
        <v>-0.0359801830140719</v>
      </c>
    </row>
    <row r="4626" customFormat="false" ht="15" hidden="false" customHeight="false" outlineLevel="0" collapsed="false">
      <c r="A4626" s="0" t="n">
        <v>4625</v>
      </c>
      <c r="B4626" s="14" t="n">
        <v>92267.7526968931</v>
      </c>
      <c r="C4626" s="15" t="n">
        <v>0.20815855890428</v>
      </c>
      <c r="D4626" s="14" t="n">
        <f aca="false">Summary!$B$5-B4626</f>
        <v>7732.24730310692</v>
      </c>
      <c r="E4626" s="15" t="n">
        <f aca="false">B4626/Summary!$B$5-1</f>
        <v>-0.0773224730310692</v>
      </c>
    </row>
    <row r="4627" customFormat="false" ht="15" hidden="false" customHeight="false" outlineLevel="0" collapsed="false">
      <c r="A4627" s="0" t="n">
        <v>4626</v>
      </c>
      <c r="B4627" s="14" t="n">
        <v>108625.331310149</v>
      </c>
      <c r="C4627" s="15" t="n">
        <v>0.0906847286118564</v>
      </c>
      <c r="D4627" s="14" t="n">
        <f aca="false">Summary!$B$5-B4627</f>
        <v>-8625.3313101493</v>
      </c>
      <c r="E4627" s="15" t="n">
        <f aca="false">B4627/Summary!$B$5-1</f>
        <v>0.0862533131014929</v>
      </c>
    </row>
    <row r="4628" customFormat="false" ht="15" hidden="false" customHeight="false" outlineLevel="0" collapsed="false">
      <c r="A4628" s="0" t="n">
        <v>4627</v>
      </c>
      <c r="B4628" s="14" t="n">
        <v>96486.0978829936</v>
      </c>
      <c r="C4628" s="15" t="n">
        <v>0.0883488211000634</v>
      </c>
      <c r="D4628" s="14" t="n">
        <f aca="false">Summary!$B$5-B4628</f>
        <v>3513.90211700639</v>
      </c>
      <c r="E4628" s="15" t="n">
        <f aca="false">B4628/Summary!$B$5-1</f>
        <v>-0.035139021170064</v>
      </c>
    </row>
    <row r="4629" customFormat="false" ht="15" hidden="false" customHeight="false" outlineLevel="0" collapsed="false">
      <c r="A4629" s="0" t="n">
        <v>4628</v>
      </c>
      <c r="B4629" s="14" t="n">
        <v>100975.125415681</v>
      </c>
      <c r="C4629" s="15" t="n">
        <v>0.099475583472833</v>
      </c>
      <c r="D4629" s="14" t="n">
        <f aca="false">Summary!$B$5-B4629</f>
        <v>-975.125415681294</v>
      </c>
      <c r="E4629" s="15" t="n">
        <f aca="false">B4629/Summary!$B$5-1</f>
        <v>0.00975125415681299</v>
      </c>
    </row>
    <row r="4630" customFormat="false" ht="15" hidden="false" customHeight="false" outlineLevel="0" collapsed="false">
      <c r="A4630" s="0" t="n">
        <v>4629</v>
      </c>
      <c r="B4630" s="14" t="n">
        <v>90451.8783054116</v>
      </c>
      <c r="C4630" s="15" t="n">
        <v>0.147674913365805</v>
      </c>
      <c r="D4630" s="14" t="n">
        <f aca="false">Summary!$B$5-B4630</f>
        <v>9548.12169458845</v>
      </c>
      <c r="E4630" s="15" t="n">
        <f aca="false">B4630/Summary!$B$5-1</f>
        <v>-0.0954812169458845</v>
      </c>
    </row>
    <row r="4631" customFormat="false" ht="15" hidden="false" customHeight="false" outlineLevel="0" collapsed="false">
      <c r="A4631" s="0" t="n">
        <v>4630</v>
      </c>
      <c r="B4631" s="14" t="n">
        <v>99352.3771046858</v>
      </c>
      <c r="C4631" s="15" t="n">
        <v>0.148970742910287</v>
      </c>
      <c r="D4631" s="14" t="n">
        <f aca="false">Summary!$B$5-B4631</f>
        <v>647.622895314213</v>
      </c>
      <c r="E4631" s="15" t="n">
        <f aca="false">B4631/Summary!$B$5-1</f>
        <v>-0.00647622895314215</v>
      </c>
    </row>
    <row r="4632" customFormat="false" ht="15" hidden="false" customHeight="false" outlineLevel="0" collapsed="false">
      <c r="A4632" s="0" t="n">
        <v>4631</v>
      </c>
      <c r="B4632" s="14" t="n">
        <v>97928.6957941681</v>
      </c>
      <c r="C4632" s="15" t="n">
        <v>0.1272428224199</v>
      </c>
      <c r="D4632" s="14" t="n">
        <f aca="false">Summary!$B$5-B4632</f>
        <v>2071.30420583194</v>
      </c>
      <c r="E4632" s="15" t="n">
        <f aca="false">B4632/Summary!$B$5-1</f>
        <v>-0.0207130420583194</v>
      </c>
    </row>
    <row r="4633" customFormat="false" ht="15" hidden="false" customHeight="false" outlineLevel="0" collapsed="false">
      <c r="A4633" s="0" t="n">
        <v>4632</v>
      </c>
      <c r="B4633" s="14" t="n">
        <v>97856.7059769059</v>
      </c>
      <c r="C4633" s="15" t="n">
        <v>0.0864690918082232</v>
      </c>
      <c r="D4633" s="14" t="n">
        <f aca="false">Summary!$B$5-B4633</f>
        <v>2143.29402309415</v>
      </c>
      <c r="E4633" s="15" t="n">
        <f aca="false">B4633/Summary!$B$5-1</f>
        <v>-0.0214329402309414</v>
      </c>
    </row>
    <row r="4634" customFormat="false" ht="15" hidden="false" customHeight="false" outlineLevel="0" collapsed="false">
      <c r="A4634" s="0" t="n">
        <v>4633</v>
      </c>
      <c r="B4634" s="14" t="n">
        <v>135674.992141417</v>
      </c>
      <c r="C4634" s="15" t="n">
        <v>0.0629134226491325</v>
      </c>
      <c r="D4634" s="14" t="n">
        <f aca="false">Summary!$B$5-B4634</f>
        <v>-35674.992141417</v>
      </c>
      <c r="E4634" s="15" t="n">
        <f aca="false">B4634/Summary!$B$5-1</f>
        <v>0.35674992141417</v>
      </c>
    </row>
    <row r="4635" customFormat="false" ht="15" hidden="false" customHeight="false" outlineLevel="0" collapsed="false">
      <c r="A4635" s="0" t="n">
        <v>4634</v>
      </c>
      <c r="B4635" s="14" t="n">
        <v>111106.574278276</v>
      </c>
      <c r="C4635" s="15" t="n">
        <v>0.0915008846813195</v>
      </c>
      <c r="D4635" s="14" t="n">
        <f aca="false">Summary!$B$5-B4635</f>
        <v>-11106.5742782759</v>
      </c>
      <c r="E4635" s="15" t="n">
        <f aca="false">B4635/Summary!$B$5-1</f>
        <v>0.111065742782759</v>
      </c>
    </row>
    <row r="4636" customFormat="false" ht="15" hidden="false" customHeight="false" outlineLevel="0" collapsed="false">
      <c r="A4636" s="0" t="n">
        <v>4635</v>
      </c>
      <c r="B4636" s="14" t="n">
        <v>102649.611198873</v>
      </c>
      <c r="C4636" s="15" t="n">
        <v>0.08015710355839</v>
      </c>
      <c r="D4636" s="14" t="n">
        <f aca="false">Summary!$B$5-B4636</f>
        <v>-2649.6111988725</v>
      </c>
      <c r="E4636" s="15" t="n">
        <f aca="false">B4636/Summary!$B$5-1</f>
        <v>0.026496111988725</v>
      </c>
    </row>
    <row r="4637" customFormat="false" ht="15" hidden="false" customHeight="false" outlineLevel="0" collapsed="false">
      <c r="A4637" s="0" t="n">
        <v>4636</v>
      </c>
      <c r="B4637" s="14" t="n">
        <v>149334.639000467</v>
      </c>
      <c r="C4637" s="15" t="n">
        <v>0.0383086312169769</v>
      </c>
      <c r="D4637" s="14" t="n">
        <f aca="false">Summary!$B$5-B4637</f>
        <v>-49334.6390004673</v>
      </c>
      <c r="E4637" s="15" t="n">
        <f aca="false">B4637/Summary!$B$5-1</f>
        <v>0.493346390004673</v>
      </c>
    </row>
    <row r="4638" customFormat="false" ht="15" hidden="false" customHeight="false" outlineLevel="0" collapsed="false">
      <c r="A4638" s="0" t="n">
        <v>4637</v>
      </c>
      <c r="B4638" s="14" t="n">
        <v>110052.383365579</v>
      </c>
      <c r="C4638" s="15" t="n">
        <v>0.0919839068480967</v>
      </c>
      <c r="D4638" s="14" t="n">
        <f aca="false">Summary!$B$5-B4638</f>
        <v>-10052.3833655785</v>
      </c>
      <c r="E4638" s="15" t="n">
        <f aca="false">B4638/Summary!$B$5-1</f>
        <v>0.100523833655785</v>
      </c>
    </row>
    <row r="4639" customFormat="false" ht="15" hidden="false" customHeight="false" outlineLevel="0" collapsed="false">
      <c r="A4639" s="0" t="n">
        <v>4638</v>
      </c>
      <c r="B4639" s="14" t="n">
        <v>123340.83969438</v>
      </c>
      <c r="C4639" s="15" t="n">
        <v>0.0626291491463996</v>
      </c>
      <c r="D4639" s="14" t="n">
        <f aca="false">Summary!$B$5-B4639</f>
        <v>-23340.83969438</v>
      </c>
      <c r="E4639" s="15" t="n">
        <f aca="false">B4639/Summary!$B$5-1</f>
        <v>0.2334083969438</v>
      </c>
    </row>
    <row r="4640" customFormat="false" ht="15" hidden="false" customHeight="false" outlineLevel="0" collapsed="false">
      <c r="A4640" s="0" t="n">
        <v>4639</v>
      </c>
      <c r="B4640" s="14" t="n">
        <v>110025.943353695</v>
      </c>
      <c r="C4640" s="15" t="n">
        <v>0.0917359503597934</v>
      </c>
      <c r="D4640" s="14" t="n">
        <f aca="false">Summary!$B$5-B4640</f>
        <v>-10025.9433536945</v>
      </c>
      <c r="E4640" s="15" t="n">
        <f aca="false">B4640/Summary!$B$5-1</f>
        <v>0.100259433536945</v>
      </c>
    </row>
    <row r="4641" customFormat="false" ht="15" hidden="false" customHeight="false" outlineLevel="0" collapsed="false">
      <c r="A4641" s="0" t="n">
        <v>4640</v>
      </c>
      <c r="B4641" s="14" t="n">
        <v>100054.121808971</v>
      </c>
      <c r="C4641" s="15" t="n">
        <v>0.114858332066818</v>
      </c>
      <c r="D4641" s="14" t="n">
        <f aca="false">Summary!$B$5-B4641</f>
        <v>-54.1218089710019</v>
      </c>
      <c r="E4641" s="15" t="n">
        <f aca="false">B4641/Summary!$B$5-1</f>
        <v>0.000541218089709972</v>
      </c>
    </row>
    <row r="4642" customFormat="false" ht="15" hidden="false" customHeight="false" outlineLevel="0" collapsed="false">
      <c r="A4642" s="0" t="n">
        <v>4641</v>
      </c>
      <c r="B4642" s="14" t="n">
        <v>120183.863743239</v>
      </c>
      <c r="C4642" s="15" t="n">
        <v>0.0676888581946941</v>
      </c>
      <c r="D4642" s="14" t="n">
        <f aca="false">Summary!$B$5-B4642</f>
        <v>-20183.8637432394</v>
      </c>
      <c r="E4642" s="15" t="n">
        <f aca="false">B4642/Summary!$B$5-1</f>
        <v>0.201838637432394</v>
      </c>
    </row>
    <row r="4643" customFormat="false" ht="15" hidden="false" customHeight="false" outlineLevel="0" collapsed="false">
      <c r="A4643" s="0" t="n">
        <v>4642</v>
      </c>
      <c r="B4643" s="14" t="n">
        <v>101156.769640729</v>
      </c>
      <c r="C4643" s="15" t="n">
        <v>0.119743542568871</v>
      </c>
      <c r="D4643" s="14" t="n">
        <f aca="false">Summary!$B$5-B4643</f>
        <v>-1156.7696407293</v>
      </c>
      <c r="E4643" s="15" t="n">
        <f aca="false">B4643/Summary!$B$5-1</f>
        <v>0.011567696407293</v>
      </c>
    </row>
    <row r="4644" customFormat="false" ht="15" hidden="false" customHeight="false" outlineLevel="0" collapsed="false">
      <c r="A4644" s="0" t="n">
        <v>4643</v>
      </c>
      <c r="B4644" s="14" t="n">
        <v>137510.707778574</v>
      </c>
      <c r="C4644" s="15" t="n">
        <v>0.0874954810116191</v>
      </c>
      <c r="D4644" s="14" t="n">
        <f aca="false">Summary!$B$5-B4644</f>
        <v>-37510.7077785743</v>
      </c>
      <c r="E4644" s="15" t="n">
        <f aca="false">B4644/Summary!$B$5-1</f>
        <v>0.375107077785743</v>
      </c>
    </row>
    <row r="4645" customFormat="false" ht="15" hidden="false" customHeight="false" outlineLevel="0" collapsed="false">
      <c r="A4645" s="0" t="n">
        <v>4644</v>
      </c>
      <c r="B4645" s="14" t="n">
        <v>120666.079566436</v>
      </c>
      <c r="C4645" s="15" t="n">
        <v>0.0581427724720683</v>
      </c>
      <c r="D4645" s="14" t="n">
        <f aca="false">Summary!$B$5-B4645</f>
        <v>-20666.0795664362</v>
      </c>
      <c r="E4645" s="15" t="n">
        <f aca="false">B4645/Summary!$B$5-1</f>
        <v>0.206660795664362</v>
      </c>
    </row>
    <row r="4646" customFormat="false" ht="15" hidden="false" customHeight="false" outlineLevel="0" collapsed="false">
      <c r="A4646" s="0" t="n">
        <v>4645</v>
      </c>
      <c r="B4646" s="14" t="n">
        <v>96853.295800241</v>
      </c>
      <c r="C4646" s="15" t="n">
        <v>0.143261207875351</v>
      </c>
      <c r="D4646" s="14" t="n">
        <f aca="false">Summary!$B$5-B4646</f>
        <v>3146.70419975904</v>
      </c>
      <c r="E4646" s="15" t="n">
        <f aca="false">B4646/Summary!$B$5-1</f>
        <v>-0.0314670419975904</v>
      </c>
    </row>
    <row r="4647" customFormat="false" ht="15" hidden="false" customHeight="false" outlineLevel="0" collapsed="false">
      <c r="A4647" s="0" t="n">
        <v>4646</v>
      </c>
      <c r="B4647" s="14" t="n">
        <v>120294.818274943</v>
      </c>
      <c r="C4647" s="15" t="n">
        <v>0.0588535191990628</v>
      </c>
      <c r="D4647" s="14" t="n">
        <f aca="false">Summary!$B$5-B4647</f>
        <v>-20294.8182749431</v>
      </c>
      <c r="E4647" s="15" t="n">
        <f aca="false">B4647/Summary!$B$5-1</f>
        <v>0.202948182749431</v>
      </c>
    </row>
    <row r="4648" customFormat="false" ht="15" hidden="false" customHeight="false" outlineLevel="0" collapsed="false">
      <c r="A4648" s="0" t="n">
        <v>4647</v>
      </c>
      <c r="B4648" s="14" t="n">
        <v>110347.312405372</v>
      </c>
      <c r="C4648" s="15" t="n">
        <v>0.0792494134679345</v>
      </c>
      <c r="D4648" s="14" t="n">
        <f aca="false">Summary!$B$5-B4648</f>
        <v>-10347.3124053722</v>
      </c>
      <c r="E4648" s="15" t="n">
        <f aca="false">B4648/Summary!$B$5-1</f>
        <v>0.103473124053722</v>
      </c>
    </row>
    <row r="4649" customFormat="false" ht="15" hidden="false" customHeight="false" outlineLevel="0" collapsed="false">
      <c r="A4649" s="0" t="n">
        <v>4648</v>
      </c>
      <c r="B4649" s="14" t="n">
        <v>108505.880132173</v>
      </c>
      <c r="C4649" s="15" t="n">
        <v>0.093799455221095</v>
      </c>
      <c r="D4649" s="14" t="n">
        <f aca="false">Summary!$B$5-B4649</f>
        <v>-8505.88013217341</v>
      </c>
      <c r="E4649" s="15" t="n">
        <f aca="false">B4649/Summary!$B$5-1</f>
        <v>0.0850588013217342</v>
      </c>
    </row>
    <row r="4650" customFormat="false" ht="15" hidden="false" customHeight="false" outlineLevel="0" collapsed="false">
      <c r="A4650" s="0" t="n">
        <v>4649</v>
      </c>
      <c r="B4650" s="14" t="n">
        <v>104294.458173866</v>
      </c>
      <c r="C4650" s="15" t="n">
        <v>0.111816035950458</v>
      </c>
      <c r="D4650" s="14" t="n">
        <f aca="false">Summary!$B$5-B4650</f>
        <v>-4294.4581738659</v>
      </c>
      <c r="E4650" s="15" t="n">
        <f aca="false">B4650/Summary!$B$5-1</f>
        <v>0.0429445817386591</v>
      </c>
    </row>
    <row r="4651" customFormat="false" ht="15" hidden="false" customHeight="false" outlineLevel="0" collapsed="false">
      <c r="A4651" s="0" t="n">
        <v>4650</v>
      </c>
      <c r="B4651" s="14" t="n">
        <v>106473.209108862</v>
      </c>
      <c r="C4651" s="15" t="n">
        <v>0.0963874288352644</v>
      </c>
      <c r="D4651" s="14" t="n">
        <f aca="false">Summary!$B$5-B4651</f>
        <v>-6473.2091088622</v>
      </c>
      <c r="E4651" s="15" t="n">
        <f aca="false">B4651/Summary!$B$5-1</f>
        <v>0.064732091088622</v>
      </c>
    </row>
    <row r="4652" customFormat="false" ht="15" hidden="false" customHeight="false" outlineLevel="0" collapsed="false">
      <c r="A4652" s="0" t="n">
        <v>4651</v>
      </c>
      <c r="B4652" s="14" t="n">
        <v>94749.5408051357</v>
      </c>
      <c r="C4652" s="15" t="n">
        <v>0.124590095376934</v>
      </c>
      <c r="D4652" s="14" t="n">
        <f aca="false">Summary!$B$5-B4652</f>
        <v>5250.45919486432</v>
      </c>
      <c r="E4652" s="15" t="n">
        <f aca="false">B4652/Summary!$B$5-1</f>
        <v>-0.0525045919486432</v>
      </c>
    </row>
    <row r="4653" customFormat="false" ht="15" hidden="false" customHeight="false" outlineLevel="0" collapsed="false">
      <c r="A4653" s="0" t="n">
        <v>4652</v>
      </c>
      <c r="B4653" s="14" t="n">
        <v>88064.1673746664</v>
      </c>
      <c r="C4653" s="15" t="n">
        <v>0.177313423579712</v>
      </c>
      <c r="D4653" s="14" t="n">
        <f aca="false">Summary!$B$5-B4653</f>
        <v>11935.8326253336</v>
      </c>
      <c r="E4653" s="15" t="n">
        <f aca="false">B4653/Summary!$B$5-1</f>
        <v>-0.119358326253336</v>
      </c>
    </row>
    <row r="4654" customFormat="false" ht="15" hidden="false" customHeight="false" outlineLevel="0" collapsed="false">
      <c r="A4654" s="0" t="n">
        <v>4653</v>
      </c>
      <c r="B4654" s="14" t="n">
        <v>109359.547908085</v>
      </c>
      <c r="C4654" s="15" t="n">
        <v>0.106275209260884</v>
      </c>
      <c r="D4654" s="14" t="n">
        <f aca="false">Summary!$B$5-B4654</f>
        <v>-9359.5479080853</v>
      </c>
      <c r="E4654" s="15" t="n">
        <f aca="false">B4654/Summary!$B$5-1</f>
        <v>0.0935954790808529</v>
      </c>
    </row>
    <row r="4655" customFormat="false" ht="15" hidden="false" customHeight="false" outlineLevel="0" collapsed="false">
      <c r="A4655" s="0" t="n">
        <v>4654</v>
      </c>
      <c r="B4655" s="14" t="n">
        <v>110956.527129597</v>
      </c>
      <c r="C4655" s="15" t="n">
        <v>0.118618345833444</v>
      </c>
      <c r="D4655" s="14" t="n">
        <f aca="false">Summary!$B$5-B4655</f>
        <v>-10956.527129597</v>
      </c>
      <c r="E4655" s="15" t="n">
        <f aca="false">B4655/Summary!$B$5-1</f>
        <v>0.10956527129597</v>
      </c>
    </row>
    <row r="4656" customFormat="false" ht="15" hidden="false" customHeight="false" outlineLevel="0" collapsed="false">
      <c r="A4656" s="0" t="n">
        <v>4655</v>
      </c>
      <c r="B4656" s="14" t="n">
        <v>96272.0754167185</v>
      </c>
      <c r="C4656" s="15" t="n">
        <v>0.147361315340658</v>
      </c>
      <c r="D4656" s="14" t="n">
        <f aca="false">Summary!$B$5-B4656</f>
        <v>3727.92458328146</v>
      </c>
      <c r="E4656" s="15" t="n">
        <f aca="false">B4656/Summary!$B$5-1</f>
        <v>-0.0372792458328146</v>
      </c>
    </row>
    <row r="4657" customFormat="false" ht="15" hidden="false" customHeight="false" outlineLevel="0" collapsed="false">
      <c r="A4657" s="0" t="n">
        <v>4656</v>
      </c>
      <c r="B4657" s="14" t="n">
        <v>117522.752072952</v>
      </c>
      <c r="C4657" s="15" t="n">
        <v>0.067692274893149</v>
      </c>
      <c r="D4657" s="14" t="n">
        <f aca="false">Summary!$B$5-B4657</f>
        <v>-17522.7520729521</v>
      </c>
      <c r="E4657" s="15" t="n">
        <f aca="false">B4657/Summary!$B$5-1</f>
        <v>0.175227520729521</v>
      </c>
    </row>
    <row r="4658" customFormat="false" ht="15" hidden="false" customHeight="false" outlineLevel="0" collapsed="false">
      <c r="A4658" s="0" t="n">
        <v>4657</v>
      </c>
      <c r="B4658" s="14" t="n">
        <v>160665.421798093</v>
      </c>
      <c r="C4658" s="15" t="n">
        <v>0.0599965826893112</v>
      </c>
      <c r="D4658" s="14" t="n">
        <f aca="false">Summary!$B$5-B4658</f>
        <v>-60665.4217980931</v>
      </c>
      <c r="E4658" s="15" t="n">
        <f aca="false">B4658/Summary!$B$5-1</f>
        <v>0.606654217980931</v>
      </c>
    </row>
    <row r="4659" customFormat="false" ht="15" hidden="false" customHeight="false" outlineLevel="0" collapsed="false">
      <c r="A4659" s="0" t="n">
        <v>4658</v>
      </c>
      <c r="B4659" s="14" t="n">
        <v>126021.881520667</v>
      </c>
      <c r="C4659" s="15" t="n">
        <v>0.070594825743835</v>
      </c>
      <c r="D4659" s="14" t="n">
        <f aca="false">Summary!$B$5-B4659</f>
        <v>-26021.8815206674</v>
      </c>
      <c r="E4659" s="15" t="n">
        <f aca="false">B4659/Summary!$B$5-1</f>
        <v>0.260218815206674</v>
      </c>
    </row>
    <row r="4660" customFormat="false" ht="15" hidden="false" customHeight="false" outlineLevel="0" collapsed="false">
      <c r="A4660" s="0" t="n">
        <v>4659</v>
      </c>
      <c r="B4660" s="14" t="n">
        <v>95738.4742951194</v>
      </c>
      <c r="C4660" s="15" t="n">
        <v>0.133492086193066</v>
      </c>
      <c r="D4660" s="14" t="n">
        <f aca="false">Summary!$B$5-B4660</f>
        <v>4261.52570488057</v>
      </c>
      <c r="E4660" s="15" t="n">
        <f aca="false">B4660/Summary!$B$5-1</f>
        <v>-0.0426152570488056</v>
      </c>
    </row>
    <row r="4661" customFormat="false" ht="15" hidden="false" customHeight="false" outlineLevel="0" collapsed="false">
      <c r="A4661" s="0" t="n">
        <v>4660</v>
      </c>
      <c r="B4661" s="14" t="n">
        <v>103514.088575217</v>
      </c>
      <c r="C4661" s="15" t="n">
        <v>0.116209453115344</v>
      </c>
      <c r="D4661" s="14" t="n">
        <f aca="false">Summary!$B$5-B4661</f>
        <v>-3514.0885752168</v>
      </c>
      <c r="E4661" s="15" t="n">
        <f aca="false">B4661/Summary!$B$5-1</f>
        <v>0.035140885752168</v>
      </c>
    </row>
    <row r="4662" customFormat="false" ht="15" hidden="false" customHeight="false" outlineLevel="0" collapsed="false">
      <c r="A4662" s="0" t="n">
        <v>4661</v>
      </c>
      <c r="B4662" s="14" t="n">
        <v>105168.335330991</v>
      </c>
      <c r="C4662" s="15" t="n">
        <v>0.104650281756893</v>
      </c>
      <c r="D4662" s="14" t="n">
        <f aca="false">Summary!$B$5-B4662</f>
        <v>-5168.33533099121</v>
      </c>
      <c r="E4662" s="15" t="n">
        <f aca="false">B4662/Summary!$B$5-1</f>
        <v>0.0516833533099121</v>
      </c>
    </row>
    <row r="4663" customFormat="false" ht="15" hidden="false" customHeight="false" outlineLevel="0" collapsed="false">
      <c r="A4663" s="0" t="n">
        <v>4662</v>
      </c>
      <c r="B4663" s="14" t="n">
        <v>111007.993395638</v>
      </c>
      <c r="C4663" s="15" t="n">
        <v>0.0820015226121758</v>
      </c>
      <c r="D4663" s="14" t="n">
        <f aca="false">Summary!$B$5-B4663</f>
        <v>-11007.9933956382</v>
      </c>
      <c r="E4663" s="15" t="n">
        <f aca="false">B4663/Summary!$B$5-1</f>
        <v>0.110079933956382</v>
      </c>
    </row>
    <row r="4664" customFormat="false" ht="15" hidden="false" customHeight="false" outlineLevel="0" collapsed="false">
      <c r="A4664" s="0" t="n">
        <v>4663</v>
      </c>
      <c r="B4664" s="14" t="n">
        <v>95132.2622120336</v>
      </c>
      <c r="C4664" s="15" t="n">
        <v>0.125496798091491</v>
      </c>
      <c r="D4664" s="14" t="n">
        <f aca="false">Summary!$B$5-B4664</f>
        <v>4867.73778796641</v>
      </c>
      <c r="E4664" s="15" t="n">
        <f aca="false">B4664/Summary!$B$5-1</f>
        <v>-0.0486773778796641</v>
      </c>
    </row>
    <row r="4665" customFormat="false" ht="15" hidden="false" customHeight="false" outlineLevel="0" collapsed="false">
      <c r="A4665" s="0" t="n">
        <v>4664</v>
      </c>
      <c r="B4665" s="14" t="n">
        <v>99527.7392036536</v>
      </c>
      <c r="C4665" s="15" t="n">
        <v>0.105547826690546</v>
      </c>
      <c r="D4665" s="14" t="n">
        <f aca="false">Summary!$B$5-B4665</f>
        <v>472.260796346367</v>
      </c>
      <c r="E4665" s="15" t="n">
        <f aca="false">B4665/Summary!$B$5-1</f>
        <v>-0.00472260796346369</v>
      </c>
    </row>
    <row r="4666" customFormat="false" ht="15" hidden="false" customHeight="false" outlineLevel="0" collapsed="false">
      <c r="A4666" s="0" t="n">
        <v>4665</v>
      </c>
      <c r="B4666" s="14" t="n">
        <v>117324.535566754</v>
      </c>
      <c r="C4666" s="15" t="n">
        <v>0.0588493058212249</v>
      </c>
      <c r="D4666" s="14" t="n">
        <f aca="false">Summary!$B$5-B4666</f>
        <v>-17324.5355667542</v>
      </c>
      <c r="E4666" s="15" t="n">
        <f aca="false">B4666/Summary!$B$5-1</f>
        <v>0.173245355667542</v>
      </c>
    </row>
    <row r="4667" customFormat="false" ht="15" hidden="false" customHeight="false" outlineLevel="0" collapsed="false">
      <c r="A4667" s="0" t="n">
        <v>4666</v>
      </c>
      <c r="B4667" s="14" t="n">
        <v>98277.5863432181</v>
      </c>
      <c r="C4667" s="15" t="n">
        <v>0.117077199199063</v>
      </c>
      <c r="D4667" s="14" t="n">
        <f aca="false">Summary!$B$5-B4667</f>
        <v>1722.41365678192</v>
      </c>
      <c r="E4667" s="15" t="n">
        <f aca="false">B4667/Summary!$B$5-1</f>
        <v>-0.0172241365678192</v>
      </c>
    </row>
    <row r="4668" customFormat="false" ht="15" hidden="false" customHeight="false" outlineLevel="0" collapsed="false">
      <c r="A4668" s="0" t="n">
        <v>4667</v>
      </c>
      <c r="B4668" s="14" t="n">
        <v>113186.241818985</v>
      </c>
      <c r="C4668" s="15" t="n">
        <v>0.082724337022429</v>
      </c>
      <c r="D4668" s="14" t="n">
        <f aca="false">Summary!$B$5-B4668</f>
        <v>-13186.2418189852</v>
      </c>
      <c r="E4668" s="15" t="n">
        <f aca="false">B4668/Summary!$B$5-1</f>
        <v>0.131862418189852</v>
      </c>
    </row>
    <row r="4669" customFormat="false" ht="15" hidden="false" customHeight="false" outlineLevel="0" collapsed="false">
      <c r="A4669" s="0" t="n">
        <v>4668</v>
      </c>
      <c r="B4669" s="14" t="n">
        <v>86800.3128311397</v>
      </c>
      <c r="C4669" s="15" t="n">
        <v>0.144282325168244</v>
      </c>
      <c r="D4669" s="14" t="n">
        <f aca="false">Summary!$B$5-B4669</f>
        <v>13199.6871688603</v>
      </c>
      <c r="E4669" s="15" t="n">
        <f aca="false">B4669/Summary!$B$5-1</f>
        <v>-0.131996871688603</v>
      </c>
    </row>
    <row r="4670" customFormat="false" ht="15" hidden="false" customHeight="false" outlineLevel="0" collapsed="false">
      <c r="A4670" s="0" t="n">
        <v>4669</v>
      </c>
      <c r="B4670" s="14" t="n">
        <v>119376.572418721</v>
      </c>
      <c r="C4670" s="15" t="n">
        <v>0.0736822607110347</v>
      </c>
      <c r="D4670" s="14" t="n">
        <f aca="false">Summary!$B$5-B4670</f>
        <v>-19376.5724187212</v>
      </c>
      <c r="E4670" s="15" t="n">
        <f aca="false">B4670/Summary!$B$5-1</f>
        <v>0.193765724187212</v>
      </c>
    </row>
    <row r="4671" customFormat="false" ht="15" hidden="false" customHeight="false" outlineLevel="0" collapsed="false">
      <c r="A4671" s="0" t="n">
        <v>4670</v>
      </c>
      <c r="B4671" s="14" t="n">
        <v>123711.468151489</v>
      </c>
      <c r="C4671" s="15" t="n">
        <v>0.0828706092129498</v>
      </c>
      <c r="D4671" s="14" t="n">
        <f aca="false">Summary!$B$5-B4671</f>
        <v>-23711.4681514888</v>
      </c>
      <c r="E4671" s="15" t="n">
        <f aca="false">B4671/Summary!$B$5-1</f>
        <v>0.237114681514888</v>
      </c>
    </row>
    <row r="4672" customFormat="false" ht="15" hidden="false" customHeight="false" outlineLevel="0" collapsed="false">
      <c r="A4672" s="0" t="n">
        <v>4671</v>
      </c>
      <c r="B4672" s="14" t="n">
        <v>87105.995404082</v>
      </c>
      <c r="C4672" s="15" t="n">
        <v>0.157311563933232</v>
      </c>
      <c r="D4672" s="14" t="n">
        <f aca="false">Summary!$B$5-B4672</f>
        <v>12894.004595918</v>
      </c>
      <c r="E4672" s="15" t="n">
        <f aca="false">B4672/Summary!$B$5-1</f>
        <v>-0.12894004595918</v>
      </c>
    </row>
    <row r="4673" customFormat="false" ht="15" hidden="false" customHeight="false" outlineLevel="0" collapsed="false">
      <c r="A4673" s="0" t="n">
        <v>4672</v>
      </c>
      <c r="B4673" s="14" t="n">
        <v>113617.893658695</v>
      </c>
      <c r="C4673" s="15" t="n">
        <v>0.0707491885700375</v>
      </c>
      <c r="D4673" s="14" t="n">
        <f aca="false">Summary!$B$5-B4673</f>
        <v>-13617.8936586951</v>
      </c>
      <c r="E4673" s="15" t="n">
        <f aca="false">B4673/Summary!$B$5-1</f>
        <v>0.136178936586951</v>
      </c>
    </row>
    <row r="4674" customFormat="false" ht="15" hidden="false" customHeight="false" outlineLevel="0" collapsed="false">
      <c r="A4674" s="0" t="n">
        <v>4673</v>
      </c>
      <c r="B4674" s="14" t="n">
        <v>107920.391769154</v>
      </c>
      <c r="C4674" s="15" t="n">
        <v>0.0915853921723203</v>
      </c>
      <c r="D4674" s="14" t="n">
        <f aca="false">Summary!$B$5-B4674</f>
        <v>-7920.39176915441</v>
      </c>
      <c r="E4674" s="15" t="n">
        <f aca="false">B4674/Summary!$B$5-1</f>
        <v>0.079203917691544</v>
      </c>
    </row>
    <row r="4675" customFormat="false" ht="15" hidden="false" customHeight="false" outlineLevel="0" collapsed="false">
      <c r="A4675" s="0" t="n">
        <v>4674</v>
      </c>
      <c r="B4675" s="14" t="n">
        <v>138230.766336439</v>
      </c>
      <c r="C4675" s="15" t="n">
        <v>0.0781086058959291</v>
      </c>
      <c r="D4675" s="14" t="n">
        <f aca="false">Summary!$B$5-B4675</f>
        <v>-38230.7663364394</v>
      </c>
      <c r="E4675" s="15" t="n">
        <f aca="false">B4675/Summary!$B$5-1</f>
        <v>0.382307663364394</v>
      </c>
    </row>
    <row r="4676" customFormat="false" ht="15" hidden="false" customHeight="false" outlineLevel="0" collapsed="false">
      <c r="A4676" s="0" t="n">
        <v>4675</v>
      </c>
      <c r="B4676" s="14" t="n">
        <v>120917.961509003</v>
      </c>
      <c r="C4676" s="15" t="n">
        <v>0.0664750723907607</v>
      </c>
      <c r="D4676" s="14" t="n">
        <f aca="false">Summary!$B$5-B4676</f>
        <v>-20917.9615090026</v>
      </c>
      <c r="E4676" s="15" t="n">
        <f aca="false">B4676/Summary!$B$5-1</f>
        <v>0.209179615090026</v>
      </c>
    </row>
    <row r="4677" customFormat="false" ht="15" hidden="false" customHeight="false" outlineLevel="0" collapsed="false">
      <c r="A4677" s="0" t="n">
        <v>4676</v>
      </c>
      <c r="B4677" s="14" t="n">
        <v>107119.718319644</v>
      </c>
      <c r="C4677" s="15" t="n">
        <v>0.113244760898204</v>
      </c>
      <c r="D4677" s="14" t="n">
        <f aca="false">Summary!$B$5-B4677</f>
        <v>-7119.7183196437</v>
      </c>
      <c r="E4677" s="15" t="n">
        <f aca="false">B4677/Summary!$B$5-1</f>
        <v>0.0711971831964369</v>
      </c>
    </row>
    <row r="4678" customFormat="false" ht="15" hidden="false" customHeight="false" outlineLevel="0" collapsed="false">
      <c r="A4678" s="0" t="n">
        <v>4677</v>
      </c>
      <c r="B4678" s="14" t="n">
        <v>103000.389664897</v>
      </c>
      <c r="C4678" s="15" t="n">
        <v>0.0805175250713216</v>
      </c>
      <c r="D4678" s="14" t="n">
        <f aca="false">Summary!$B$5-B4678</f>
        <v>-3000.3896648973</v>
      </c>
      <c r="E4678" s="15" t="n">
        <f aca="false">B4678/Summary!$B$5-1</f>
        <v>0.0300038966489731</v>
      </c>
    </row>
    <row r="4679" customFormat="false" ht="15" hidden="false" customHeight="false" outlineLevel="0" collapsed="false">
      <c r="A4679" s="0" t="n">
        <v>4678</v>
      </c>
      <c r="B4679" s="14" t="n">
        <v>100057.832458961</v>
      </c>
      <c r="C4679" s="15" t="n">
        <v>0.108922701805895</v>
      </c>
      <c r="D4679" s="14" t="n">
        <f aca="false">Summary!$B$5-B4679</f>
        <v>-57.8324589605036</v>
      </c>
      <c r="E4679" s="15" t="n">
        <f aca="false">B4679/Summary!$B$5-1</f>
        <v>0.000578324589604939</v>
      </c>
    </row>
    <row r="4680" customFormat="false" ht="15" hidden="false" customHeight="false" outlineLevel="0" collapsed="false">
      <c r="A4680" s="0" t="n">
        <v>4679</v>
      </c>
      <c r="B4680" s="14" t="n">
        <v>154669.998612759</v>
      </c>
      <c r="C4680" s="15" t="n">
        <v>0.0542401583558921</v>
      </c>
      <c r="D4680" s="14" t="n">
        <f aca="false">Summary!$B$5-B4680</f>
        <v>-54669.9986127586</v>
      </c>
      <c r="E4680" s="15" t="n">
        <f aca="false">B4680/Summary!$B$5-1</f>
        <v>0.546699986127586</v>
      </c>
    </row>
    <row r="4681" customFormat="false" ht="15" hidden="false" customHeight="false" outlineLevel="0" collapsed="false">
      <c r="A4681" s="0" t="n">
        <v>4680</v>
      </c>
      <c r="B4681" s="14" t="n">
        <v>105758.480115574</v>
      </c>
      <c r="C4681" s="15" t="n">
        <v>0.0592233303717075</v>
      </c>
      <c r="D4681" s="14" t="n">
        <f aca="false">Summary!$B$5-B4681</f>
        <v>-5758.4801155738</v>
      </c>
      <c r="E4681" s="15" t="n">
        <f aca="false">B4681/Summary!$B$5-1</f>
        <v>0.0575848011557381</v>
      </c>
    </row>
    <row r="4682" customFormat="false" ht="15" hidden="false" customHeight="false" outlineLevel="0" collapsed="false">
      <c r="A4682" s="0" t="n">
        <v>4681</v>
      </c>
      <c r="B4682" s="14" t="n">
        <v>104279.017731477</v>
      </c>
      <c r="C4682" s="15" t="n">
        <v>0.0777279314192374</v>
      </c>
      <c r="D4682" s="14" t="n">
        <f aca="false">Summary!$B$5-B4682</f>
        <v>-4279.017731477</v>
      </c>
      <c r="E4682" s="15" t="n">
        <f aca="false">B4682/Summary!$B$5-1</f>
        <v>0.0427901773147699</v>
      </c>
    </row>
    <row r="4683" customFormat="false" ht="15" hidden="false" customHeight="false" outlineLevel="0" collapsed="false">
      <c r="A4683" s="0" t="n">
        <v>4682</v>
      </c>
      <c r="B4683" s="14" t="n">
        <v>122526.726490007</v>
      </c>
      <c r="C4683" s="15" t="n">
        <v>0.0927465395078689</v>
      </c>
      <c r="D4683" s="14" t="n">
        <f aca="false">Summary!$B$5-B4683</f>
        <v>-22526.726490007</v>
      </c>
      <c r="E4683" s="15" t="n">
        <f aca="false">B4683/Summary!$B$5-1</f>
        <v>0.22526726490007</v>
      </c>
    </row>
    <row r="4684" customFormat="false" ht="15" hidden="false" customHeight="false" outlineLevel="0" collapsed="false">
      <c r="A4684" s="0" t="n">
        <v>4683</v>
      </c>
      <c r="B4684" s="14" t="n">
        <v>92809.4023420525</v>
      </c>
      <c r="C4684" s="15" t="n">
        <v>0.105506649111266</v>
      </c>
      <c r="D4684" s="14" t="n">
        <f aca="false">Summary!$B$5-B4684</f>
        <v>7190.59765794751</v>
      </c>
      <c r="E4684" s="15" t="n">
        <f aca="false">B4684/Summary!$B$5-1</f>
        <v>-0.0719059765794751</v>
      </c>
    </row>
    <row r="4685" customFormat="false" ht="15" hidden="false" customHeight="false" outlineLevel="0" collapsed="false">
      <c r="A4685" s="0" t="n">
        <v>4684</v>
      </c>
      <c r="B4685" s="14" t="n">
        <v>103027.42870938</v>
      </c>
      <c r="C4685" s="15" t="n">
        <v>0.116622363599971</v>
      </c>
      <c r="D4685" s="14" t="n">
        <f aca="false">Summary!$B$5-B4685</f>
        <v>-3027.4287093795</v>
      </c>
      <c r="E4685" s="15" t="n">
        <f aca="false">B4685/Summary!$B$5-1</f>
        <v>0.0302742870937951</v>
      </c>
    </row>
    <row r="4686" customFormat="false" ht="15" hidden="false" customHeight="false" outlineLevel="0" collapsed="false">
      <c r="A4686" s="0" t="n">
        <v>4685</v>
      </c>
      <c r="B4686" s="14" t="n">
        <v>105081.861050052</v>
      </c>
      <c r="C4686" s="15" t="n">
        <v>0.0963632033490974</v>
      </c>
      <c r="D4686" s="14" t="n">
        <f aca="false">Summary!$B$5-B4686</f>
        <v>-5081.86105005151</v>
      </c>
      <c r="E4686" s="15" t="n">
        <f aca="false">B4686/Summary!$B$5-1</f>
        <v>0.0508186105005151</v>
      </c>
    </row>
    <row r="4687" customFormat="false" ht="15" hidden="false" customHeight="false" outlineLevel="0" collapsed="false">
      <c r="A4687" s="0" t="n">
        <v>4686</v>
      </c>
      <c r="B4687" s="14" t="n">
        <v>108013.957311833</v>
      </c>
      <c r="C4687" s="15" t="n">
        <v>0.108995472864409</v>
      </c>
      <c r="D4687" s="14" t="n">
        <f aca="false">Summary!$B$5-B4687</f>
        <v>-8013.9573118329</v>
      </c>
      <c r="E4687" s="15" t="n">
        <f aca="false">B4687/Summary!$B$5-1</f>
        <v>0.080139573118329</v>
      </c>
    </row>
    <row r="4688" customFormat="false" ht="15" hidden="false" customHeight="false" outlineLevel="0" collapsed="false">
      <c r="A4688" s="0" t="n">
        <v>4687</v>
      </c>
      <c r="B4688" s="14" t="n">
        <v>98719.7947597458</v>
      </c>
      <c r="C4688" s="15" t="n">
        <v>0.107731466759877</v>
      </c>
      <c r="D4688" s="14" t="n">
        <f aca="false">Summary!$B$5-B4688</f>
        <v>1280.20524025417</v>
      </c>
      <c r="E4688" s="15" t="n">
        <f aca="false">B4688/Summary!$B$5-1</f>
        <v>-0.0128020524025417</v>
      </c>
    </row>
    <row r="4689" customFormat="false" ht="15" hidden="false" customHeight="false" outlineLevel="0" collapsed="false">
      <c r="A4689" s="0" t="n">
        <v>4688</v>
      </c>
      <c r="B4689" s="14" t="n">
        <v>101820.454607931</v>
      </c>
      <c r="C4689" s="15" t="n">
        <v>0.152691693653777</v>
      </c>
      <c r="D4689" s="14" t="n">
        <f aca="false">Summary!$B$5-B4689</f>
        <v>-1820.45460793089</v>
      </c>
      <c r="E4689" s="15" t="n">
        <f aca="false">B4689/Summary!$B$5-1</f>
        <v>0.018204546079309</v>
      </c>
    </row>
    <row r="4690" customFormat="false" ht="15" hidden="false" customHeight="false" outlineLevel="0" collapsed="false">
      <c r="A4690" s="0" t="n">
        <v>4689</v>
      </c>
      <c r="B4690" s="14" t="n">
        <v>110411.848743198</v>
      </c>
      <c r="C4690" s="15" t="n">
        <v>0.110533248512253</v>
      </c>
      <c r="D4690" s="14" t="n">
        <f aca="false">Summary!$B$5-B4690</f>
        <v>-10411.8487431975</v>
      </c>
      <c r="E4690" s="15" t="n">
        <f aca="false">B4690/Summary!$B$5-1</f>
        <v>0.104118487431975</v>
      </c>
    </row>
    <row r="4691" customFormat="false" ht="15" hidden="false" customHeight="false" outlineLevel="0" collapsed="false">
      <c r="A4691" s="0" t="n">
        <v>4690</v>
      </c>
      <c r="B4691" s="14" t="n">
        <v>93130.5048409151</v>
      </c>
      <c r="C4691" s="15" t="n">
        <v>0.139578851626444</v>
      </c>
      <c r="D4691" s="14" t="n">
        <f aca="false">Summary!$B$5-B4691</f>
        <v>6869.49515908491</v>
      </c>
      <c r="E4691" s="15" t="n">
        <f aca="false">B4691/Summary!$B$5-1</f>
        <v>-0.068694951590849</v>
      </c>
    </row>
    <row r="4692" customFormat="false" ht="15" hidden="false" customHeight="false" outlineLevel="0" collapsed="false">
      <c r="A4692" s="0" t="n">
        <v>4691</v>
      </c>
      <c r="B4692" s="14" t="n">
        <v>118726.576942771</v>
      </c>
      <c r="C4692" s="15" t="n">
        <v>0.066217190081177</v>
      </c>
      <c r="D4692" s="14" t="n">
        <f aca="false">Summary!$B$5-B4692</f>
        <v>-18726.5769427707</v>
      </c>
      <c r="E4692" s="15" t="n">
        <f aca="false">B4692/Summary!$B$5-1</f>
        <v>0.187265769427707</v>
      </c>
    </row>
    <row r="4693" customFormat="false" ht="15" hidden="false" customHeight="false" outlineLevel="0" collapsed="false">
      <c r="A4693" s="0" t="n">
        <v>4692</v>
      </c>
      <c r="B4693" s="14" t="n">
        <v>102420.480909701</v>
      </c>
      <c r="C4693" s="15" t="n">
        <v>0.0645618120814184</v>
      </c>
      <c r="D4693" s="14" t="n">
        <f aca="false">Summary!$B$5-B4693</f>
        <v>-2420.4809097009</v>
      </c>
      <c r="E4693" s="15" t="n">
        <f aca="false">B4693/Summary!$B$5-1</f>
        <v>0.0242048090970091</v>
      </c>
    </row>
    <row r="4694" customFormat="false" ht="15" hidden="false" customHeight="false" outlineLevel="0" collapsed="false">
      <c r="A4694" s="0" t="n">
        <v>4693</v>
      </c>
      <c r="B4694" s="14" t="n">
        <v>113175.504616244</v>
      </c>
      <c r="C4694" s="15" t="n">
        <v>0.0689485770350421</v>
      </c>
      <c r="D4694" s="14" t="n">
        <f aca="false">Summary!$B$5-B4694</f>
        <v>-13175.504616244</v>
      </c>
      <c r="E4694" s="15" t="n">
        <f aca="false">B4694/Summary!$B$5-1</f>
        <v>0.13175504616244</v>
      </c>
    </row>
    <row r="4695" customFormat="false" ht="15" hidden="false" customHeight="false" outlineLevel="0" collapsed="false">
      <c r="A4695" s="0" t="n">
        <v>4694</v>
      </c>
      <c r="B4695" s="14" t="n">
        <v>122469.520800222</v>
      </c>
      <c r="C4695" s="15" t="n">
        <v>0.0553739626012918</v>
      </c>
      <c r="D4695" s="14" t="n">
        <f aca="false">Summary!$B$5-B4695</f>
        <v>-22469.5208002219</v>
      </c>
      <c r="E4695" s="15" t="n">
        <f aca="false">B4695/Summary!$B$5-1</f>
        <v>0.224695208002219</v>
      </c>
    </row>
    <row r="4696" customFormat="false" ht="15" hidden="false" customHeight="false" outlineLevel="0" collapsed="false">
      <c r="A4696" s="0" t="n">
        <v>4695</v>
      </c>
      <c r="B4696" s="14" t="n">
        <v>86043.7416657695</v>
      </c>
      <c r="C4696" s="15" t="n">
        <v>0.223786862450831</v>
      </c>
      <c r="D4696" s="14" t="n">
        <f aca="false">Summary!$B$5-B4696</f>
        <v>13956.2583342305</v>
      </c>
      <c r="E4696" s="15" t="n">
        <f aca="false">B4696/Summary!$B$5-1</f>
        <v>-0.139562583342305</v>
      </c>
    </row>
    <row r="4697" customFormat="false" ht="15" hidden="false" customHeight="false" outlineLevel="0" collapsed="false">
      <c r="A4697" s="0" t="n">
        <v>4696</v>
      </c>
      <c r="B4697" s="14" t="n">
        <v>87474.6401678183</v>
      </c>
      <c r="C4697" s="15" t="n">
        <v>0.165532174223528</v>
      </c>
      <c r="D4697" s="14" t="n">
        <f aca="false">Summary!$B$5-B4697</f>
        <v>12525.3598321817</v>
      </c>
      <c r="E4697" s="15" t="n">
        <f aca="false">B4697/Summary!$B$5-1</f>
        <v>-0.125253598321817</v>
      </c>
    </row>
    <row r="4698" customFormat="false" ht="15" hidden="false" customHeight="false" outlineLevel="0" collapsed="false">
      <c r="A4698" s="0" t="n">
        <v>4697</v>
      </c>
      <c r="B4698" s="14" t="n">
        <v>110516.255574333</v>
      </c>
      <c r="C4698" s="15" t="n">
        <v>0.0972767374537196</v>
      </c>
      <c r="D4698" s="14" t="n">
        <f aca="false">Summary!$B$5-B4698</f>
        <v>-10516.2555743329</v>
      </c>
      <c r="E4698" s="15" t="n">
        <f aca="false">B4698/Summary!$B$5-1</f>
        <v>0.105162555743329</v>
      </c>
    </row>
    <row r="4699" customFormat="false" ht="15" hidden="false" customHeight="false" outlineLevel="0" collapsed="false">
      <c r="A4699" s="0" t="n">
        <v>4698</v>
      </c>
      <c r="B4699" s="14" t="n">
        <v>120004.683482501</v>
      </c>
      <c r="C4699" s="15" t="n">
        <v>0.132622590012185</v>
      </c>
      <c r="D4699" s="14" t="n">
        <f aca="false">Summary!$B$5-B4699</f>
        <v>-20004.6834825005</v>
      </c>
      <c r="E4699" s="15" t="n">
        <f aca="false">B4699/Summary!$B$5-1</f>
        <v>0.200046834825005</v>
      </c>
    </row>
    <row r="4700" customFormat="false" ht="15" hidden="false" customHeight="false" outlineLevel="0" collapsed="false">
      <c r="A4700" s="0" t="n">
        <v>4699</v>
      </c>
      <c r="B4700" s="14" t="n">
        <v>107535.059231581</v>
      </c>
      <c r="C4700" s="15" t="n">
        <v>0.096069434249462</v>
      </c>
      <c r="D4700" s="14" t="n">
        <f aca="false">Summary!$B$5-B4700</f>
        <v>-7535.05923158109</v>
      </c>
      <c r="E4700" s="15" t="n">
        <f aca="false">B4700/Summary!$B$5-1</f>
        <v>0.0753505923158109</v>
      </c>
    </row>
    <row r="4701" customFormat="false" ht="15" hidden="false" customHeight="false" outlineLevel="0" collapsed="false">
      <c r="A4701" s="0" t="n">
        <v>4700</v>
      </c>
      <c r="B4701" s="14" t="n">
        <v>108236.008937151</v>
      </c>
      <c r="C4701" s="15" t="n">
        <v>0.0855836352616292</v>
      </c>
      <c r="D4701" s="14" t="n">
        <f aca="false">Summary!$B$5-B4701</f>
        <v>-8236.0089371514</v>
      </c>
      <c r="E4701" s="15" t="n">
        <f aca="false">B4701/Summary!$B$5-1</f>
        <v>0.082360089371514</v>
      </c>
    </row>
    <row r="4702" customFormat="false" ht="15" hidden="false" customHeight="false" outlineLevel="0" collapsed="false">
      <c r="A4702" s="0" t="n">
        <v>4701</v>
      </c>
      <c r="B4702" s="14" t="n">
        <v>90625.7846408286</v>
      </c>
      <c r="C4702" s="15" t="n">
        <v>0.156529752939061</v>
      </c>
      <c r="D4702" s="14" t="n">
        <f aca="false">Summary!$B$5-B4702</f>
        <v>9374.21535917136</v>
      </c>
      <c r="E4702" s="15" t="n">
        <f aca="false">B4702/Summary!$B$5-1</f>
        <v>-0.0937421535917136</v>
      </c>
    </row>
    <row r="4703" customFormat="false" ht="15" hidden="false" customHeight="false" outlineLevel="0" collapsed="false">
      <c r="A4703" s="0" t="n">
        <v>4702</v>
      </c>
      <c r="B4703" s="14" t="n">
        <v>114844.623278566</v>
      </c>
      <c r="C4703" s="15" t="n">
        <v>0.0714380020278451</v>
      </c>
      <c r="D4703" s="14" t="n">
        <f aca="false">Summary!$B$5-B4703</f>
        <v>-14844.6232785657</v>
      </c>
      <c r="E4703" s="15" t="n">
        <f aca="false">B4703/Summary!$B$5-1</f>
        <v>0.148446232785657</v>
      </c>
    </row>
    <row r="4704" customFormat="false" ht="15" hidden="false" customHeight="false" outlineLevel="0" collapsed="false">
      <c r="A4704" s="0" t="n">
        <v>4703</v>
      </c>
      <c r="B4704" s="14" t="n">
        <v>100874.977242749</v>
      </c>
      <c r="C4704" s="15" t="n">
        <v>0.0967344323738056</v>
      </c>
      <c r="D4704" s="14" t="n">
        <f aca="false">Summary!$B$5-B4704</f>
        <v>-874.977242749097</v>
      </c>
      <c r="E4704" s="15" t="n">
        <f aca="false">B4704/Summary!$B$5-1</f>
        <v>0.00874977242749098</v>
      </c>
    </row>
    <row r="4705" customFormat="false" ht="15" hidden="false" customHeight="false" outlineLevel="0" collapsed="false">
      <c r="A4705" s="0" t="n">
        <v>4704</v>
      </c>
      <c r="B4705" s="14" t="n">
        <v>87201.2005361944</v>
      </c>
      <c r="C4705" s="15" t="n">
        <v>0.188865196835842</v>
      </c>
      <c r="D4705" s="14" t="n">
        <f aca="false">Summary!$B$5-B4705</f>
        <v>12798.7994638056</v>
      </c>
      <c r="E4705" s="15" t="n">
        <f aca="false">B4705/Summary!$B$5-1</f>
        <v>-0.127987994638056</v>
      </c>
    </row>
    <row r="4706" customFormat="false" ht="15" hidden="false" customHeight="false" outlineLevel="0" collapsed="false">
      <c r="A4706" s="0" t="n">
        <v>4705</v>
      </c>
      <c r="B4706" s="14" t="n">
        <v>90159.2076690043</v>
      </c>
      <c r="C4706" s="15" t="n">
        <v>0.181534020868677</v>
      </c>
      <c r="D4706" s="14" t="n">
        <f aca="false">Summary!$B$5-B4706</f>
        <v>9840.7923309957</v>
      </c>
      <c r="E4706" s="15" t="n">
        <f aca="false">B4706/Summary!$B$5-1</f>
        <v>-0.098407923309957</v>
      </c>
    </row>
    <row r="4707" customFormat="false" ht="15" hidden="false" customHeight="false" outlineLevel="0" collapsed="false">
      <c r="A4707" s="0" t="n">
        <v>4706</v>
      </c>
      <c r="B4707" s="14" t="n">
        <v>106389.456085286</v>
      </c>
      <c r="C4707" s="15" t="n">
        <v>0.071699223718394</v>
      </c>
      <c r="D4707" s="14" t="n">
        <f aca="false">Summary!$B$5-B4707</f>
        <v>-6389.45608528559</v>
      </c>
      <c r="E4707" s="15" t="n">
        <f aca="false">B4707/Summary!$B$5-1</f>
        <v>0.0638945608528558</v>
      </c>
    </row>
    <row r="4708" customFormat="false" ht="15" hidden="false" customHeight="false" outlineLevel="0" collapsed="false">
      <c r="A4708" s="0" t="n">
        <v>4707</v>
      </c>
      <c r="B4708" s="14" t="n">
        <v>93148.8679448352</v>
      </c>
      <c r="C4708" s="15" t="n">
        <v>0.136979067185052</v>
      </c>
      <c r="D4708" s="14" t="n">
        <f aca="false">Summary!$B$5-B4708</f>
        <v>6851.13205516484</v>
      </c>
      <c r="E4708" s="15" t="n">
        <f aca="false">B4708/Summary!$B$5-1</f>
        <v>-0.0685113205516484</v>
      </c>
    </row>
    <row r="4709" customFormat="false" ht="15" hidden="false" customHeight="false" outlineLevel="0" collapsed="false">
      <c r="A4709" s="0" t="n">
        <v>4708</v>
      </c>
      <c r="B4709" s="14" t="n">
        <v>98855.7881652971</v>
      </c>
      <c r="C4709" s="15" t="n">
        <v>0.14380954860061</v>
      </c>
      <c r="D4709" s="14" t="n">
        <f aca="false">Summary!$B$5-B4709</f>
        <v>1144.21183470287</v>
      </c>
      <c r="E4709" s="15" t="n">
        <f aca="false">B4709/Summary!$B$5-1</f>
        <v>-0.0114421183470287</v>
      </c>
    </row>
    <row r="4710" customFormat="false" ht="15" hidden="false" customHeight="false" outlineLevel="0" collapsed="false">
      <c r="A4710" s="0" t="n">
        <v>4709</v>
      </c>
      <c r="B4710" s="14" t="n">
        <v>108059.270389579</v>
      </c>
      <c r="C4710" s="15" t="n">
        <v>0.149459606479528</v>
      </c>
      <c r="D4710" s="14" t="n">
        <f aca="false">Summary!$B$5-B4710</f>
        <v>-8059.27038957919</v>
      </c>
      <c r="E4710" s="15" t="n">
        <f aca="false">B4710/Summary!$B$5-1</f>
        <v>0.0805927038957919</v>
      </c>
    </row>
    <row r="4711" customFormat="false" ht="15" hidden="false" customHeight="false" outlineLevel="0" collapsed="false">
      <c r="A4711" s="0" t="n">
        <v>4710</v>
      </c>
      <c r="B4711" s="14" t="n">
        <v>109072.327981293</v>
      </c>
      <c r="C4711" s="15" t="n">
        <v>0.0688923141158838</v>
      </c>
      <c r="D4711" s="14" t="n">
        <f aca="false">Summary!$B$5-B4711</f>
        <v>-9072.3279812929</v>
      </c>
      <c r="E4711" s="15" t="n">
        <f aca="false">B4711/Summary!$B$5-1</f>
        <v>0.0907232798129289</v>
      </c>
    </row>
    <row r="4712" customFormat="false" ht="15" hidden="false" customHeight="false" outlineLevel="0" collapsed="false">
      <c r="A4712" s="0" t="n">
        <v>4711</v>
      </c>
      <c r="B4712" s="14" t="n">
        <v>99525.1449933754</v>
      </c>
      <c r="C4712" s="15" t="n">
        <v>0.120634088109795</v>
      </c>
      <c r="D4712" s="14" t="n">
        <f aca="false">Summary!$B$5-B4712</f>
        <v>474.855006624595</v>
      </c>
      <c r="E4712" s="15" t="n">
        <f aca="false">B4712/Summary!$B$5-1</f>
        <v>-0.00474855006624597</v>
      </c>
    </row>
    <row r="4713" customFormat="false" ht="15" hidden="false" customHeight="false" outlineLevel="0" collapsed="false">
      <c r="A4713" s="0" t="n">
        <v>4712</v>
      </c>
      <c r="B4713" s="14" t="n">
        <v>110485.277331094</v>
      </c>
      <c r="C4713" s="15" t="n">
        <v>0.0906310551640142</v>
      </c>
      <c r="D4713" s="14" t="n">
        <f aca="false">Summary!$B$5-B4713</f>
        <v>-10485.2773310942</v>
      </c>
      <c r="E4713" s="15" t="n">
        <f aca="false">B4713/Summary!$B$5-1</f>
        <v>0.104852773310942</v>
      </c>
    </row>
    <row r="4714" customFormat="false" ht="15" hidden="false" customHeight="false" outlineLevel="0" collapsed="false">
      <c r="A4714" s="0" t="n">
        <v>4713</v>
      </c>
      <c r="B4714" s="14" t="n">
        <v>120984.663643535</v>
      </c>
      <c r="C4714" s="15" t="n">
        <v>0.0724141301574823</v>
      </c>
      <c r="D4714" s="14" t="n">
        <f aca="false">Summary!$B$5-B4714</f>
        <v>-20984.6636435347</v>
      </c>
      <c r="E4714" s="15" t="n">
        <f aca="false">B4714/Summary!$B$5-1</f>
        <v>0.209846636435347</v>
      </c>
    </row>
    <row r="4715" customFormat="false" ht="15" hidden="false" customHeight="false" outlineLevel="0" collapsed="false">
      <c r="A4715" s="0" t="n">
        <v>4714</v>
      </c>
      <c r="B4715" s="14" t="n">
        <v>98298.573383598</v>
      </c>
      <c r="C4715" s="15" t="n">
        <v>0.139051423705282</v>
      </c>
      <c r="D4715" s="14" t="n">
        <f aca="false">Summary!$B$5-B4715</f>
        <v>1701.42661640199</v>
      </c>
      <c r="E4715" s="15" t="n">
        <f aca="false">B4715/Summary!$B$5-1</f>
        <v>-0.0170142661640199</v>
      </c>
    </row>
    <row r="4716" customFormat="false" ht="15" hidden="false" customHeight="false" outlineLevel="0" collapsed="false">
      <c r="A4716" s="0" t="n">
        <v>4715</v>
      </c>
      <c r="B4716" s="14" t="n">
        <v>131400.014803928</v>
      </c>
      <c r="C4716" s="15" t="n">
        <v>0.0762321286214178</v>
      </c>
      <c r="D4716" s="14" t="n">
        <f aca="false">Summary!$B$5-B4716</f>
        <v>-31400.0148039281</v>
      </c>
      <c r="E4716" s="15" t="n">
        <f aca="false">B4716/Summary!$B$5-1</f>
        <v>0.314000148039281</v>
      </c>
    </row>
    <row r="4717" customFormat="false" ht="15" hidden="false" customHeight="false" outlineLevel="0" collapsed="false">
      <c r="A4717" s="0" t="n">
        <v>4716</v>
      </c>
      <c r="B4717" s="14" t="n">
        <v>96715.9097672703</v>
      </c>
      <c r="C4717" s="15" t="n">
        <v>0.0710514501720417</v>
      </c>
      <c r="D4717" s="14" t="n">
        <f aca="false">Summary!$B$5-B4717</f>
        <v>3284.09023272969</v>
      </c>
      <c r="E4717" s="15" t="n">
        <f aca="false">B4717/Summary!$B$5-1</f>
        <v>-0.032840902327297</v>
      </c>
    </row>
    <row r="4718" customFormat="false" ht="15" hidden="false" customHeight="false" outlineLevel="0" collapsed="false">
      <c r="A4718" s="0" t="n">
        <v>4717</v>
      </c>
      <c r="B4718" s="14" t="n">
        <v>110973.484632057</v>
      </c>
      <c r="C4718" s="15" t="n">
        <v>0.109053065998763</v>
      </c>
      <c r="D4718" s="14" t="n">
        <f aca="false">Summary!$B$5-B4718</f>
        <v>-10973.4846320566</v>
      </c>
      <c r="E4718" s="15" t="n">
        <f aca="false">B4718/Summary!$B$5-1</f>
        <v>0.109734846320566</v>
      </c>
    </row>
    <row r="4719" customFormat="false" ht="15" hidden="false" customHeight="false" outlineLevel="0" collapsed="false">
      <c r="A4719" s="0" t="n">
        <v>4718</v>
      </c>
      <c r="B4719" s="14" t="n">
        <v>99457.2157230659</v>
      </c>
      <c r="C4719" s="15" t="n">
        <v>0.0821648194889422</v>
      </c>
      <c r="D4719" s="14" t="n">
        <f aca="false">Summary!$B$5-B4719</f>
        <v>542.784276934064</v>
      </c>
      <c r="E4719" s="15" t="n">
        <f aca="false">B4719/Summary!$B$5-1</f>
        <v>-0.00542784276934061</v>
      </c>
    </row>
    <row r="4720" customFormat="false" ht="15" hidden="false" customHeight="false" outlineLevel="0" collapsed="false">
      <c r="A4720" s="0" t="n">
        <v>4719</v>
      </c>
      <c r="B4720" s="14" t="n">
        <v>104744.253063139</v>
      </c>
      <c r="C4720" s="15" t="n">
        <v>0.118129641569591</v>
      </c>
      <c r="D4720" s="14" t="n">
        <f aca="false">Summary!$B$5-B4720</f>
        <v>-4744.253063139</v>
      </c>
      <c r="E4720" s="15" t="n">
        <f aca="false">B4720/Summary!$B$5-1</f>
        <v>0.0474425306313899</v>
      </c>
    </row>
    <row r="4721" customFormat="false" ht="15" hidden="false" customHeight="false" outlineLevel="0" collapsed="false">
      <c r="A4721" s="0" t="n">
        <v>4720</v>
      </c>
      <c r="B4721" s="14" t="n">
        <v>95272.2005648288</v>
      </c>
      <c r="C4721" s="15" t="n">
        <v>0.120523191098378</v>
      </c>
      <c r="D4721" s="14" t="n">
        <f aca="false">Summary!$B$5-B4721</f>
        <v>4727.7994351712</v>
      </c>
      <c r="E4721" s="15" t="n">
        <f aca="false">B4721/Summary!$B$5-1</f>
        <v>-0.047277994351712</v>
      </c>
    </row>
    <row r="4722" customFormat="false" ht="15" hidden="false" customHeight="false" outlineLevel="0" collapsed="false">
      <c r="A4722" s="0" t="n">
        <v>4721</v>
      </c>
      <c r="B4722" s="14" t="n">
        <v>119174.503249512</v>
      </c>
      <c r="C4722" s="15" t="n">
        <v>0.0462232510324457</v>
      </c>
      <c r="D4722" s="14" t="n">
        <f aca="false">Summary!$B$5-B4722</f>
        <v>-19174.5032495122</v>
      </c>
      <c r="E4722" s="15" t="n">
        <f aca="false">B4722/Summary!$B$5-1</f>
        <v>0.191745032495122</v>
      </c>
    </row>
    <row r="4723" customFormat="false" ht="15" hidden="false" customHeight="false" outlineLevel="0" collapsed="false">
      <c r="A4723" s="0" t="n">
        <v>4722</v>
      </c>
      <c r="B4723" s="14" t="n">
        <v>145475.073291744</v>
      </c>
      <c r="C4723" s="15" t="n">
        <v>0.0589784336084316</v>
      </c>
      <c r="D4723" s="14" t="n">
        <f aca="false">Summary!$B$5-B4723</f>
        <v>-45475.0732917443</v>
      </c>
      <c r="E4723" s="15" t="n">
        <f aca="false">B4723/Summary!$B$5-1</f>
        <v>0.454750732917443</v>
      </c>
    </row>
    <row r="4724" customFormat="false" ht="15" hidden="false" customHeight="false" outlineLevel="0" collapsed="false">
      <c r="A4724" s="0" t="n">
        <v>4723</v>
      </c>
      <c r="B4724" s="14" t="n">
        <v>119143.938169261</v>
      </c>
      <c r="C4724" s="15" t="n">
        <v>0.0622757141910297</v>
      </c>
      <c r="D4724" s="14" t="n">
        <f aca="false">Summary!$B$5-B4724</f>
        <v>-19143.9381692606</v>
      </c>
      <c r="E4724" s="15" t="n">
        <f aca="false">B4724/Summary!$B$5-1</f>
        <v>0.191439381692606</v>
      </c>
    </row>
    <row r="4725" customFormat="false" ht="15" hidden="false" customHeight="false" outlineLevel="0" collapsed="false">
      <c r="A4725" s="0" t="n">
        <v>4724</v>
      </c>
      <c r="B4725" s="14" t="n">
        <v>99511.2375300172</v>
      </c>
      <c r="C4725" s="15" t="n">
        <v>0.0799772114090587</v>
      </c>
      <c r="D4725" s="14" t="n">
        <f aca="false">Summary!$B$5-B4725</f>
        <v>488.762469982757</v>
      </c>
      <c r="E4725" s="15" t="n">
        <f aca="false">B4725/Summary!$B$5-1</f>
        <v>-0.00488762469982762</v>
      </c>
    </row>
    <row r="4726" customFormat="false" ht="15" hidden="false" customHeight="false" outlineLevel="0" collapsed="false">
      <c r="A4726" s="0" t="n">
        <v>4725</v>
      </c>
      <c r="B4726" s="14" t="n">
        <v>124397.042923357</v>
      </c>
      <c r="C4726" s="15" t="n">
        <v>0.0670957068096005</v>
      </c>
      <c r="D4726" s="14" t="n">
        <f aca="false">Summary!$B$5-B4726</f>
        <v>-24397.0429233571</v>
      </c>
      <c r="E4726" s="15" t="n">
        <f aca="false">B4726/Summary!$B$5-1</f>
        <v>0.243970429233571</v>
      </c>
    </row>
    <row r="4727" customFormat="false" ht="15" hidden="false" customHeight="false" outlineLevel="0" collapsed="false">
      <c r="A4727" s="0" t="n">
        <v>4726</v>
      </c>
      <c r="B4727" s="14" t="n">
        <v>102969.258718459</v>
      </c>
      <c r="C4727" s="15" t="n">
        <v>0.0841052395592629</v>
      </c>
      <c r="D4727" s="14" t="n">
        <f aca="false">Summary!$B$5-B4727</f>
        <v>-2969.2587184591</v>
      </c>
      <c r="E4727" s="15" t="n">
        <f aca="false">B4727/Summary!$B$5-1</f>
        <v>0.029692587184591</v>
      </c>
    </row>
    <row r="4728" customFormat="false" ht="15" hidden="false" customHeight="false" outlineLevel="0" collapsed="false">
      <c r="A4728" s="0" t="n">
        <v>4727</v>
      </c>
      <c r="B4728" s="14" t="n">
        <v>114593.634508047</v>
      </c>
      <c r="C4728" s="15" t="n">
        <v>0.0868281749761135</v>
      </c>
      <c r="D4728" s="14" t="n">
        <f aca="false">Summary!$B$5-B4728</f>
        <v>-14593.634508047</v>
      </c>
      <c r="E4728" s="15" t="n">
        <f aca="false">B4728/Summary!$B$5-1</f>
        <v>0.14593634508047</v>
      </c>
    </row>
    <row r="4729" customFormat="false" ht="15" hidden="false" customHeight="false" outlineLevel="0" collapsed="false">
      <c r="A4729" s="0" t="n">
        <v>4728</v>
      </c>
      <c r="B4729" s="14" t="n">
        <v>108253.023322118</v>
      </c>
      <c r="C4729" s="15" t="n">
        <v>0.129046341795297</v>
      </c>
      <c r="D4729" s="14" t="n">
        <f aca="false">Summary!$B$5-B4729</f>
        <v>-8253.0233221177</v>
      </c>
      <c r="E4729" s="15" t="n">
        <f aca="false">B4729/Summary!$B$5-1</f>
        <v>0.082530233221177</v>
      </c>
    </row>
    <row r="4730" customFormat="false" ht="15" hidden="false" customHeight="false" outlineLevel="0" collapsed="false">
      <c r="A4730" s="0" t="n">
        <v>4729</v>
      </c>
      <c r="B4730" s="14" t="n">
        <v>120904.682077694</v>
      </c>
      <c r="C4730" s="15" t="n">
        <v>0.0700539299756057</v>
      </c>
      <c r="D4730" s="14" t="n">
        <f aca="false">Summary!$B$5-B4730</f>
        <v>-20904.6820776939</v>
      </c>
      <c r="E4730" s="15" t="n">
        <f aca="false">B4730/Summary!$B$5-1</f>
        <v>0.209046820776939</v>
      </c>
    </row>
    <row r="4731" customFormat="false" ht="15" hidden="false" customHeight="false" outlineLevel="0" collapsed="false">
      <c r="A4731" s="0" t="n">
        <v>4730</v>
      </c>
      <c r="B4731" s="14" t="n">
        <v>90382.8880014928</v>
      </c>
      <c r="C4731" s="15" t="n">
        <v>0.134036370863292</v>
      </c>
      <c r="D4731" s="14" t="n">
        <f aca="false">Summary!$B$5-B4731</f>
        <v>9617.11199850717</v>
      </c>
      <c r="E4731" s="15" t="n">
        <f aca="false">B4731/Summary!$B$5-1</f>
        <v>-0.0961711199850717</v>
      </c>
    </row>
    <row r="4732" customFormat="false" ht="15" hidden="false" customHeight="false" outlineLevel="0" collapsed="false">
      <c r="A4732" s="0" t="n">
        <v>4731</v>
      </c>
      <c r="B4732" s="14" t="n">
        <v>100275.702914276</v>
      </c>
      <c r="C4732" s="15" t="n">
        <v>0.0949375601843788</v>
      </c>
      <c r="D4732" s="14" t="n">
        <f aca="false">Summary!$B$5-B4732</f>
        <v>-275.702914276204</v>
      </c>
      <c r="E4732" s="15" t="n">
        <f aca="false">B4732/Summary!$B$5-1</f>
        <v>0.0027570291427621</v>
      </c>
    </row>
    <row r="4733" customFormat="false" ht="15" hidden="false" customHeight="false" outlineLevel="0" collapsed="false">
      <c r="A4733" s="0" t="n">
        <v>4732</v>
      </c>
      <c r="B4733" s="14" t="n">
        <v>109404.311563531</v>
      </c>
      <c r="C4733" s="15" t="n">
        <v>0.111980087998806</v>
      </c>
      <c r="D4733" s="14" t="n">
        <f aca="false">Summary!$B$5-B4733</f>
        <v>-9404.3115635314</v>
      </c>
      <c r="E4733" s="15" t="n">
        <f aca="false">B4733/Summary!$B$5-1</f>
        <v>0.0940431156353141</v>
      </c>
    </row>
    <row r="4734" customFormat="false" ht="15" hidden="false" customHeight="false" outlineLevel="0" collapsed="false">
      <c r="A4734" s="0" t="n">
        <v>4733</v>
      </c>
      <c r="B4734" s="14" t="n">
        <v>114534.458493716</v>
      </c>
      <c r="C4734" s="15" t="n">
        <v>0.0880165071773321</v>
      </c>
      <c r="D4734" s="14" t="n">
        <f aca="false">Summary!$B$5-B4734</f>
        <v>-14534.4584937155</v>
      </c>
      <c r="E4734" s="15" t="n">
        <f aca="false">B4734/Summary!$B$5-1</f>
        <v>0.145344584937155</v>
      </c>
    </row>
    <row r="4735" customFormat="false" ht="15" hidden="false" customHeight="false" outlineLevel="0" collapsed="false">
      <c r="A4735" s="0" t="n">
        <v>4734</v>
      </c>
      <c r="B4735" s="14" t="n">
        <v>98763.5840974216</v>
      </c>
      <c r="C4735" s="15" t="n">
        <v>0.107125372821934</v>
      </c>
      <c r="D4735" s="14" t="n">
        <f aca="false">Summary!$B$5-B4735</f>
        <v>1236.41590257839</v>
      </c>
      <c r="E4735" s="15" t="n">
        <f aca="false">B4735/Summary!$B$5-1</f>
        <v>-0.0123641590257839</v>
      </c>
    </row>
    <row r="4736" customFormat="false" ht="15" hidden="false" customHeight="false" outlineLevel="0" collapsed="false">
      <c r="A4736" s="0" t="n">
        <v>4735</v>
      </c>
      <c r="B4736" s="14" t="n">
        <v>111858.02999216</v>
      </c>
      <c r="C4736" s="15" t="n">
        <v>0.0599398455439136</v>
      </c>
      <c r="D4736" s="14" t="n">
        <f aca="false">Summary!$B$5-B4736</f>
        <v>-11858.0299921597</v>
      </c>
      <c r="E4736" s="15" t="n">
        <f aca="false">B4736/Summary!$B$5-1</f>
        <v>0.118580299921597</v>
      </c>
    </row>
    <row r="4737" customFormat="false" ht="15" hidden="false" customHeight="false" outlineLevel="0" collapsed="false">
      <c r="A4737" s="0" t="n">
        <v>4736</v>
      </c>
      <c r="B4737" s="14" t="n">
        <v>97609.4357298985</v>
      </c>
      <c r="C4737" s="15" t="n">
        <v>0.0808203134717919</v>
      </c>
      <c r="D4737" s="14" t="n">
        <f aca="false">Summary!$B$5-B4737</f>
        <v>2390.56427010146</v>
      </c>
      <c r="E4737" s="15" t="n">
        <f aca="false">B4737/Summary!$B$5-1</f>
        <v>-0.0239056427010146</v>
      </c>
    </row>
    <row r="4738" customFormat="false" ht="15" hidden="false" customHeight="false" outlineLevel="0" collapsed="false">
      <c r="A4738" s="0" t="n">
        <v>4737</v>
      </c>
      <c r="B4738" s="14" t="n">
        <v>93975.0846745576</v>
      </c>
      <c r="C4738" s="15" t="n">
        <v>0.095989589126964</v>
      </c>
      <c r="D4738" s="14" t="n">
        <f aca="false">Summary!$B$5-B4738</f>
        <v>6024.91532544239</v>
      </c>
      <c r="E4738" s="15" t="n">
        <f aca="false">B4738/Summary!$B$5-1</f>
        <v>-0.0602491532544239</v>
      </c>
    </row>
    <row r="4739" customFormat="false" ht="15" hidden="false" customHeight="false" outlineLevel="0" collapsed="false">
      <c r="A4739" s="0" t="n">
        <v>4738</v>
      </c>
      <c r="B4739" s="14" t="n">
        <v>86396.1702671313</v>
      </c>
      <c r="C4739" s="15" t="n">
        <v>0.153225809500078</v>
      </c>
      <c r="D4739" s="14" t="n">
        <f aca="false">Summary!$B$5-B4739</f>
        <v>13603.8297328687</v>
      </c>
      <c r="E4739" s="15" t="n">
        <f aca="false">B4739/Summary!$B$5-1</f>
        <v>-0.136038297328687</v>
      </c>
    </row>
    <row r="4740" customFormat="false" ht="15" hidden="false" customHeight="false" outlineLevel="0" collapsed="false">
      <c r="A4740" s="0" t="n">
        <v>4739</v>
      </c>
      <c r="B4740" s="14" t="n">
        <v>112002.943095124</v>
      </c>
      <c r="C4740" s="15" t="n">
        <v>0.0818587192140562</v>
      </c>
      <c r="D4740" s="14" t="n">
        <f aca="false">Summary!$B$5-B4740</f>
        <v>-12002.9430951237</v>
      </c>
      <c r="E4740" s="15" t="n">
        <f aca="false">B4740/Summary!$B$5-1</f>
        <v>0.120029430951237</v>
      </c>
    </row>
    <row r="4741" customFormat="false" ht="15" hidden="false" customHeight="false" outlineLevel="0" collapsed="false">
      <c r="A4741" s="0" t="n">
        <v>4740</v>
      </c>
      <c r="B4741" s="14" t="n">
        <v>119990.905577582</v>
      </c>
      <c r="C4741" s="15" t="n">
        <v>0.0584345554463338</v>
      </c>
      <c r="D4741" s="14" t="n">
        <f aca="false">Summary!$B$5-B4741</f>
        <v>-19990.9055775822</v>
      </c>
      <c r="E4741" s="15" t="n">
        <f aca="false">B4741/Summary!$B$5-1</f>
        <v>0.199909055775822</v>
      </c>
    </row>
    <row r="4742" customFormat="false" ht="15" hidden="false" customHeight="false" outlineLevel="0" collapsed="false">
      <c r="A4742" s="0" t="n">
        <v>4741</v>
      </c>
      <c r="B4742" s="14" t="n">
        <v>81217.4665838862</v>
      </c>
      <c r="C4742" s="15" t="n">
        <v>0.218817951098119</v>
      </c>
      <c r="D4742" s="14" t="n">
        <f aca="false">Summary!$B$5-B4742</f>
        <v>18782.5334161138</v>
      </c>
      <c r="E4742" s="15" t="n">
        <f aca="false">B4742/Summary!$B$5-1</f>
        <v>-0.187825334161138</v>
      </c>
    </row>
    <row r="4743" customFormat="false" ht="15" hidden="false" customHeight="false" outlineLevel="0" collapsed="false">
      <c r="A4743" s="0" t="n">
        <v>4742</v>
      </c>
      <c r="B4743" s="14" t="n">
        <v>108723.101963558</v>
      </c>
      <c r="C4743" s="15" t="n">
        <v>0.103783005351495</v>
      </c>
      <c r="D4743" s="14" t="n">
        <f aca="false">Summary!$B$5-B4743</f>
        <v>-8723.10196355759</v>
      </c>
      <c r="E4743" s="15" t="n">
        <f aca="false">B4743/Summary!$B$5-1</f>
        <v>0.0872310196355759</v>
      </c>
    </row>
    <row r="4744" customFormat="false" ht="15" hidden="false" customHeight="false" outlineLevel="0" collapsed="false">
      <c r="A4744" s="0" t="n">
        <v>4743</v>
      </c>
      <c r="B4744" s="14" t="n">
        <v>94845.6409614054</v>
      </c>
      <c r="C4744" s="15" t="n">
        <v>0.128844915533721</v>
      </c>
      <c r="D4744" s="14" t="n">
        <f aca="false">Summary!$B$5-B4744</f>
        <v>5154.35903859462</v>
      </c>
      <c r="E4744" s="15" t="n">
        <f aca="false">B4744/Summary!$B$5-1</f>
        <v>-0.0515435903859461</v>
      </c>
    </row>
    <row r="4745" customFormat="false" ht="15" hidden="false" customHeight="false" outlineLevel="0" collapsed="false">
      <c r="A4745" s="0" t="n">
        <v>4744</v>
      </c>
      <c r="B4745" s="14" t="n">
        <v>106010.198047479</v>
      </c>
      <c r="C4745" s="15" t="n">
        <v>0.152260435214216</v>
      </c>
      <c r="D4745" s="14" t="n">
        <f aca="false">Summary!$B$5-B4745</f>
        <v>-6010.1980474788</v>
      </c>
      <c r="E4745" s="15" t="n">
        <f aca="false">B4745/Summary!$B$5-1</f>
        <v>0.060101980474788</v>
      </c>
    </row>
    <row r="4746" customFormat="false" ht="15" hidden="false" customHeight="false" outlineLevel="0" collapsed="false">
      <c r="A4746" s="0" t="n">
        <v>4745</v>
      </c>
      <c r="B4746" s="14" t="n">
        <v>120752.463639123</v>
      </c>
      <c r="C4746" s="15" t="n">
        <v>0.050877317060528</v>
      </c>
      <c r="D4746" s="14" t="n">
        <f aca="false">Summary!$B$5-B4746</f>
        <v>-20752.463639123</v>
      </c>
      <c r="E4746" s="15" t="n">
        <f aca="false">B4746/Summary!$B$5-1</f>
        <v>0.20752463639123</v>
      </c>
    </row>
    <row r="4747" customFormat="false" ht="15" hidden="false" customHeight="false" outlineLevel="0" collapsed="false">
      <c r="A4747" s="0" t="n">
        <v>4746</v>
      </c>
      <c r="B4747" s="14" t="n">
        <v>120353.814424201</v>
      </c>
      <c r="C4747" s="15" t="n">
        <v>0.0785357216618543</v>
      </c>
      <c r="D4747" s="14" t="n">
        <f aca="false">Summary!$B$5-B4747</f>
        <v>-20353.8144242006</v>
      </c>
      <c r="E4747" s="15" t="n">
        <f aca="false">B4747/Summary!$B$5-1</f>
        <v>0.203538144242006</v>
      </c>
    </row>
    <row r="4748" customFormat="false" ht="15" hidden="false" customHeight="false" outlineLevel="0" collapsed="false">
      <c r="A4748" s="0" t="n">
        <v>4747</v>
      </c>
      <c r="B4748" s="14" t="n">
        <v>122130.367061432</v>
      </c>
      <c r="C4748" s="15" t="n">
        <v>0.0614940877290441</v>
      </c>
      <c r="D4748" s="14" t="n">
        <f aca="false">Summary!$B$5-B4748</f>
        <v>-22130.3670614317</v>
      </c>
      <c r="E4748" s="15" t="n">
        <f aca="false">B4748/Summary!$B$5-1</f>
        <v>0.221303670614317</v>
      </c>
    </row>
    <row r="4749" customFormat="false" ht="15" hidden="false" customHeight="false" outlineLevel="0" collapsed="false">
      <c r="A4749" s="0" t="n">
        <v>4748</v>
      </c>
      <c r="B4749" s="14" t="n">
        <v>104951.827870225</v>
      </c>
      <c r="C4749" s="15" t="n">
        <v>0.108836573299121</v>
      </c>
      <c r="D4749" s="14" t="n">
        <f aca="false">Summary!$B$5-B4749</f>
        <v>-4951.8278702253</v>
      </c>
      <c r="E4749" s="15" t="n">
        <f aca="false">B4749/Summary!$B$5-1</f>
        <v>0.049518278702253</v>
      </c>
    </row>
    <row r="4750" customFormat="false" ht="15" hidden="false" customHeight="false" outlineLevel="0" collapsed="false">
      <c r="A4750" s="0" t="n">
        <v>4749</v>
      </c>
      <c r="B4750" s="14" t="n">
        <v>96262.2419684167</v>
      </c>
      <c r="C4750" s="15" t="n">
        <v>0.134995660930975</v>
      </c>
      <c r="D4750" s="14" t="n">
        <f aca="false">Summary!$B$5-B4750</f>
        <v>3737.75803158332</v>
      </c>
      <c r="E4750" s="15" t="n">
        <f aca="false">B4750/Summary!$B$5-1</f>
        <v>-0.0373775803158332</v>
      </c>
    </row>
    <row r="4751" customFormat="false" ht="15" hidden="false" customHeight="false" outlineLevel="0" collapsed="false">
      <c r="A4751" s="0" t="n">
        <v>4750</v>
      </c>
      <c r="B4751" s="14" t="n">
        <v>110914.692213965</v>
      </c>
      <c r="C4751" s="15" t="n">
        <v>0.121167691364656</v>
      </c>
      <c r="D4751" s="14" t="n">
        <f aca="false">Summary!$B$5-B4751</f>
        <v>-10914.6922139651</v>
      </c>
      <c r="E4751" s="15" t="n">
        <f aca="false">B4751/Summary!$B$5-1</f>
        <v>0.109146922139651</v>
      </c>
    </row>
    <row r="4752" customFormat="false" ht="15" hidden="false" customHeight="false" outlineLevel="0" collapsed="false">
      <c r="A4752" s="0" t="n">
        <v>4751</v>
      </c>
      <c r="B4752" s="14" t="n">
        <v>115448.837757912</v>
      </c>
      <c r="C4752" s="15" t="n">
        <v>0.086302491873314</v>
      </c>
      <c r="D4752" s="14" t="n">
        <f aca="false">Summary!$B$5-B4752</f>
        <v>-15448.8377579117</v>
      </c>
      <c r="E4752" s="15" t="n">
        <f aca="false">B4752/Summary!$B$5-1</f>
        <v>0.154488377579117</v>
      </c>
    </row>
    <row r="4753" customFormat="false" ht="15" hidden="false" customHeight="false" outlineLevel="0" collapsed="false">
      <c r="A4753" s="0" t="n">
        <v>4752</v>
      </c>
      <c r="B4753" s="14" t="n">
        <v>127601.97439349</v>
      </c>
      <c r="C4753" s="15" t="n">
        <v>0.0538515994412661</v>
      </c>
      <c r="D4753" s="14" t="n">
        <f aca="false">Summary!$B$5-B4753</f>
        <v>-27601.9743934904</v>
      </c>
      <c r="E4753" s="15" t="n">
        <f aca="false">B4753/Summary!$B$5-1</f>
        <v>0.276019743934904</v>
      </c>
    </row>
    <row r="4754" customFormat="false" ht="15" hidden="false" customHeight="false" outlineLevel="0" collapsed="false">
      <c r="A4754" s="0" t="n">
        <v>4753</v>
      </c>
      <c r="B4754" s="14" t="n">
        <v>100836.525490844</v>
      </c>
      <c r="C4754" s="15" t="n">
        <v>0.102404800896246</v>
      </c>
      <c r="D4754" s="14" t="n">
        <f aca="false">Summary!$B$5-B4754</f>
        <v>-836.525490843502</v>
      </c>
      <c r="E4754" s="15" t="n">
        <f aca="false">B4754/Summary!$B$5-1</f>
        <v>0.00836525490843498</v>
      </c>
    </row>
    <row r="4755" customFormat="false" ht="15" hidden="false" customHeight="false" outlineLevel="0" collapsed="false">
      <c r="A4755" s="0" t="n">
        <v>4754</v>
      </c>
      <c r="B4755" s="14" t="n">
        <v>104049.421752236</v>
      </c>
      <c r="C4755" s="15" t="n">
        <v>0.100056731121167</v>
      </c>
      <c r="D4755" s="14" t="n">
        <f aca="false">Summary!$B$5-B4755</f>
        <v>-4049.42175223561</v>
      </c>
      <c r="E4755" s="15" t="n">
        <f aca="false">B4755/Summary!$B$5-1</f>
        <v>0.0404942175223562</v>
      </c>
    </row>
    <row r="4756" customFormat="false" ht="15" hidden="false" customHeight="false" outlineLevel="0" collapsed="false">
      <c r="A4756" s="0" t="n">
        <v>4755</v>
      </c>
      <c r="B4756" s="14" t="n">
        <v>112225.896310878</v>
      </c>
      <c r="C4756" s="15" t="n">
        <v>0.111376541262642</v>
      </c>
      <c r="D4756" s="14" t="n">
        <f aca="false">Summary!$B$5-B4756</f>
        <v>-12225.8963108781</v>
      </c>
      <c r="E4756" s="15" t="n">
        <f aca="false">B4756/Summary!$B$5-1</f>
        <v>0.122258963108781</v>
      </c>
    </row>
    <row r="4757" customFormat="false" ht="15" hidden="false" customHeight="false" outlineLevel="0" collapsed="false">
      <c r="A4757" s="0" t="n">
        <v>4756</v>
      </c>
      <c r="B4757" s="14" t="n">
        <v>109469.790696636</v>
      </c>
      <c r="C4757" s="15" t="n">
        <v>0.0863093019535225</v>
      </c>
      <c r="D4757" s="14" t="n">
        <f aca="false">Summary!$B$5-B4757</f>
        <v>-9469.79069663621</v>
      </c>
      <c r="E4757" s="15" t="n">
        <f aca="false">B4757/Summary!$B$5-1</f>
        <v>0.094697906966362</v>
      </c>
    </row>
    <row r="4758" customFormat="false" ht="15" hidden="false" customHeight="false" outlineLevel="0" collapsed="false">
      <c r="A4758" s="0" t="n">
        <v>4757</v>
      </c>
      <c r="B4758" s="14" t="n">
        <v>113610.73512164</v>
      </c>
      <c r="C4758" s="15" t="n">
        <v>0.115140363881317</v>
      </c>
      <c r="D4758" s="14" t="n">
        <f aca="false">Summary!$B$5-B4758</f>
        <v>-13610.7351216403</v>
      </c>
      <c r="E4758" s="15" t="n">
        <f aca="false">B4758/Summary!$B$5-1</f>
        <v>0.136107351216403</v>
      </c>
    </row>
    <row r="4759" customFormat="false" ht="15" hidden="false" customHeight="false" outlineLevel="0" collapsed="false">
      <c r="A4759" s="0" t="n">
        <v>4758</v>
      </c>
      <c r="B4759" s="14" t="n">
        <v>96606.1700940945</v>
      </c>
      <c r="C4759" s="15" t="n">
        <v>0.128876721877581</v>
      </c>
      <c r="D4759" s="14" t="n">
        <f aca="false">Summary!$B$5-B4759</f>
        <v>3393.8299059055</v>
      </c>
      <c r="E4759" s="15" t="n">
        <f aca="false">B4759/Summary!$B$5-1</f>
        <v>-0.033938299059055</v>
      </c>
    </row>
    <row r="4760" customFormat="false" ht="15" hidden="false" customHeight="false" outlineLevel="0" collapsed="false">
      <c r="A4760" s="0" t="n">
        <v>4759</v>
      </c>
      <c r="B4760" s="14" t="n">
        <v>111496.998897434</v>
      </c>
      <c r="C4760" s="15" t="n">
        <v>0.118230343944472</v>
      </c>
      <c r="D4760" s="14" t="n">
        <f aca="false">Summary!$B$5-B4760</f>
        <v>-11496.9988974339</v>
      </c>
      <c r="E4760" s="15" t="n">
        <f aca="false">B4760/Summary!$B$5-1</f>
        <v>0.114969988974339</v>
      </c>
    </row>
    <row r="4761" customFormat="false" ht="15" hidden="false" customHeight="false" outlineLevel="0" collapsed="false">
      <c r="A4761" s="0" t="n">
        <v>4760</v>
      </c>
      <c r="B4761" s="14" t="n">
        <v>114703.766473739</v>
      </c>
      <c r="C4761" s="15" t="n">
        <v>0.0540880781382898</v>
      </c>
      <c r="D4761" s="14" t="n">
        <f aca="false">Summary!$B$5-B4761</f>
        <v>-14703.7664737385</v>
      </c>
      <c r="E4761" s="15" t="n">
        <f aca="false">B4761/Summary!$B$5-1</f>
        <v>0.147037664737385</v>
      </c>
    </row>
    <row r="4762" customFormat="false" ht="15" hidden="false" customHeight="false" outlineLevel="0" collapsed="false">
      <c r="A4762" s="0" t="n">
        <v>4761</v>
      </c>
      <c r="B4762" s="14" t="n">
        <v>85274.7918617574</v>
      </c>
      <c r="C4762" s="15" t="n">
        <v>0.221478010123929</v>
      </c>
      <c r="D4762" s="14" t="n">
        <f aca="false">Summary!$B$5-B4762</f>
        <v>14725.2081382426</v>
      </c>
      <c r="E4762" s="15" t="n">
        <f aca="false">B4762/Summary!$B$5-1</f>
        <v>-0.147252081382426</v>
      </c>
    </row>
    <row r="4763" customFormat="false" ht="15" hidden="false" customHeight="false" outlineLevel="0" collapsed="false">
      <c r="A4763" s="0" t="n">
        <v>4762</v>
      </c>
      <c r="B4763" s="14" t="n">
        <v>107680.834065068</v>
      </c>
      <c r="C4763" s="15" t="n">
        <v>0.104013400766194</v>
      </c>
      <c r="D4763" s="14" t="n">
        <f aca="false">Summary!$B$5-B4763</f>
        <v>-7680.834065068</v>
      </c>
      <c r="E4763" s="15" t="n">
        <f aca="false">B4763/Summary!$B$5-1</f>
        <v>0.0768083406506801</v>
      </c>
    </row>
    <row r="4764" customFormat="false" ht="15" hidden="false" customHeight="false" outlineLevel="0" collapsed="false">
      <c r="A4764" s="0" t="n">
        <v>4763</v>
      </c>
      <c r="B4764" s="14" t="n">
        <v>102182.462037646</v>
      </c>
      <c r="C4764" s="15" t="n">
        <v>0.127563854072088</v>
      </c>
      <c r="D4764" s="14" t="n">
        <f aca="false">Summary!$B$5-B4764</f>
        <v>-2182.4620376464</v>
      </c>
      <c r="E4764" s="15" t="n">
        <f aca="false">B4764/Summary!$B$5-1</f>
        <v>0.021824620376464</v>
      </c>
    </row>
    <row r="4765" customFormat="false" ht="15" hidden="false" customHeight="false" outlineLevel="0" collapsed="false">
      <c r="A4765" s="0" t="n">
        <v>4764</v>
      </c>
      <c r="B4765" s="14" t="n">
        <v>111136.807073694</v>
      </c>
      <c r="C4765" s="15" t="n">
        <v>0.070969035404843</v>
      </c>
      <c r="D4765" s="14" t="n">
        <f aca="false">Summary!$B$5-B4765</f>
        <v>-11136.8070736942</v>
      </c>
      <c r="E4765" s="15" t="n">
        <f aca="false">B4765/Summary!$B$5-1</f>
        <v>0.111368070736942</v>
      </c>
    </row>
    <row r="4766" customFormat="false" ht="15" hidden="false" customHeight="false" outlineLevel="0" collapsed="false">
      <c r="A4766" s="0" t="n">
        <v>4765</v>
      </c>
      <c r="B4766" s="14" t="n">
        <v>115080.447336197</v>
      </c>
      <c r="C4766" s="15" t="n">
        <v>0.084654973311025</v>
      </c>
      <c r="D4766" s="14" t="n">
        <f aca="false">Summary!$B$5-B4766</f>
        <v>-15080.4473361972</v>
      </c>
      <c r="E4766" s="15" t="n">
        <f aca="false">B4766/Summary!$B$5-1</f>
        <v>0.150804473361972</v>
      </c>
    </row>
    <row r="4767" customFormat="false" ht="15" hidden="false" customHeight="false" outlineLevel="0" collapsed="false">
      <c r="A4767" s="0" t="n">
        <v>4766</v>
      </c>
      <c r="B4767" s="14" t="n">
        <v>137754.302679573</v>
      </c>
      <c r="C4767" s="15" t="n">
        <v>0.0372869323107433</v>
      </c>
      <c r="D4767" s="14" t="n">
        <f aca="false">Summary!$B$5-B4767</f>
        <v>-37754.3026795727</v>
      </c>
      <c r="E4767" s="15" t="n">
        <f aca="false">B4767/Summary!$B$5-1</f>
        <v>0.377543026795727</v>
      </c>
    </row>
    <row r="4768" customFormat="false" ht="15" hidden="false" customHeight="false" outlineLevel="0" collapsed="false">
      <c r="A4768" s="0" t="n">
        <v>4767</v>
      </c>
      <c r="B4768" s="14" t="n">
        <v>136474.391456787</v>
      </c>
      <c r="C4768" s="15" t="n">
        <v>0.0577800908918401</v>
      </c>
      <c r="D4768" s="14" t="n">
        <f aca="false">Summary!$B$5-B4768</f>
        <v>-36474.3914567865</v>
      </c>
      <c r="E4768" s="15" t="n">
        <f aca="false">B4768/Summary!$B$5-1</f>
        <v>0.364743914567865</v>
      </c>
    </row>
    <row r="4769" customFormat="false" ht="15" hidden="false" customHeight="false" outlineLevel="0" collapsed="false">
      <c r="A4769" s="0" t="n">
        <v>4768</v>
      </c>
      <c r="B4769" s="14" t="n">
        <v>109964.720754628</v>
      </c>
      <c r="C4769" s="15" t="n">
        <v>0.105956744224066</v>
      </c>
      <c r="D4769" s="14" t="n">
        <f aca="false">Summary!$B$5-B4769</f>
        <v>-9964.7207546284</v>
      </c>
      <c r="E4769" s="15" t="n">
        <f aca="false">B4769/Summary!$B$5-1</f>
        <v>0.099647207546284</v>
      </c>
    </row>
    <row r="4770" customFormat="false" ht="15" hidden="false" customHeight="false" outlineLevel="0" collapsed="false">
      <c r="A4770" s="0" t="n">
        <v>4769</v>
      </c>
      <c r="B4770" s="14" t="n">
        <v>111533.040696575</v>
      </c>
      <c r="C4770" s="15" t="n">
        <v>0.0558748868024385</v>
      </c>
      <c r="D4770" s="14" t="n">
        <f aca="false">Summary!$B$5-B4770</f>
        <v>-11533.0406965751</v>
      </c>
      <c r="E4770" s="15" t="n">
        <f aca="false">B4770/Summary!$B$5-1</f>
        <v>0.115330406965751</v>
      </c>
    </row>
    <row r="4771" customFormat="false" ht="15" hidden="false" customHeight="false" outlineLevel="0" collapsed="false">
      <c r="A4771" s="0" t="n">
        <v>4770</v>
      </c>
      <c r="B4771" s="14" t="n">
        <v>117230.8563819</v>
      </c>
      <c r="C4771" s="15" t="n">
        <v>0.107179903983412</v>
      </c>
      <c r="D4771" s="14" t="n">
        <f aca="false">Summary!$B$5-B4771</f>
        <v>-17230.8563819003</v>
      </c>
      <c r="E4771" s="15" t="n">
        <f aca="false">B4771/Summary!$B$5-1</f>
        <v>0.172308563819003</v>
      </c>
    </row>
    <row r="4772" customFormat="false" ht="15" hidden="false" customHeight="false" outlineLevel="0" collapsed="false">
      <c r="A4772" s="0" t="n">
        <v>4771</v>
      </c>
      <c r="B4772" s="14" t="n">
        <v>114503.907473194</v>
      </c>
      <c r="C4772" s="15" t="n">
        <v>0.0935227593146675</v>
      </c>
      <c r="D4772" s="14" t="n">
        <f aca="false">Summary!$B$5-B4772</f>
        <v>-14503.9074731936</v>
      </c>
      <c r="E4772" s="15" t="n">
        <f aca="false">B4772/Summary!$B$5-1</f>
        <v>0.145039074731936</v>
      </c>
    </row>
    <row r="4773" customFormat="false" ht="15" hidden="false" customHeight="false" outlineLevel="0" collapsed="false">
      <c r="A4773" s="0" t="n">
        <v>4772</v>
      </c>
      <c r="B4773" s="14" t="n">
        <v>99943.107013144</v>
      </c>
      <c r="C4773" s="15" t="n">
        <v>0.115287770305854</v>
      </c>
      <c r="D4773" s="14" t="n">
        <f aca="false">Summary!$B$5-B4773</f>
        <v>56.8929868560081</v>
      </c>
      <c r="E4773" s="15" t="n">
        <f aca="false">B4773/Summary!$B$5-1</f>
        <v>-0.000568929868560053</v>
      </c>
    </row>
    <row r="4774" customFormat="false" ht="15" hidden="false" customHeight="false" outlineLevel="0" collapsed="false">
      <c r="A4774" s="0" t="n">
        <v>4773</v>
      </c>
      <c r="B4774" s="14" t="n">
        <v>93396.4987811716</v>
      </c>
      <c r="C4774" s="15" t="n">
        <v>0.218774344141473</v>
      </c>
      <c r="D4774" s="14" t="n">
        <f aca="false">Summary!$B$5-B4774</f>
        <v>6603.50121882837</v>
      </c>
      <c r="E4774" s="15" t="n">
        <f aca="false">B4774/Summary!$B$5-1</f>
        <v>-0.0660350121882838</v>
      </c>
    </row>
    <row r="4775" customFormat="false" ht="15" hidden="false" customHeight="false" outlineLevel="0" collapsed="false">
      <c r="A4775" s="0" t="n">
        <v>4774</v>
      </c>
      <c r="B4775" s="14" t="n">
        <v>102590.653464839</v>
      </c>
      <c r="C4775" s="15" t="n">
        <v>0.0983733315161437</v>
      </c>
      <c r="D4775" s="14" t="n">
        <f aca="false">Summary!$B$5-B4775</f>
        <v>-2590.6534648391</v>
      </c>
      <c r="E4775" s="15" t="n">
        <f aca="false">B4775/Summary!$B$5-1</f>
        <v>0.0259065346483909</v>
      </c>
    </row>
    <row r="4776" customFormat="false" ht="15" hidden="false" customHeight="false" outlineLevel="0" collapsed="false">
      <c r="A4776" s="0" t="n">
        <v>4775</v>
      </c>
      <c r="B4776" s="14" t="n">
        <v>124327.435149125</v>
      </c>
      <c r="C4776" s="15" t="n">
        <v>0.0528861880731765</v>
      </c>
      <c r="D4776" s="14" t="n">
        <f aca="false">Summary!$B$5-B4776</f>
        <v>-24327.4351491249</v>
      </c>
      <c r="E4776" s="15" t="n">
        <f aca="false">B4776/Summary!$B$5-1</f>
        <v>0.243274351491249</v>
      </c>
    </row>
    <row r="4777" customFormat="false" ht="15" hidden="false" customHeight="false" outlineLevel="0" collapsed="false">
      <c r="A4777" s="0" t="n">
        <v>4776</v>
      </c>
      <c r="B4777" s="14" t="n">
        <v>106045.241885577</v>
      </c>
      <c r="C4777" s="15" t="n">
        <v>0.0692080758463308</v>
      </c>
      <c r="D4777" s="14" t="n">
        <f aca="false">Summary!$B$5-B4777</f>
        <v>-6045.2418855765</v>
      </c>
      <c r="E4777" s="15" t="n">
        <f aca="false">B4777/Summary!$B$5-1</f>
        <v>0.0604524188557649</v>
      </c>
    </row>
    <row r="4778" customFormat="false" ht="15" hidden="false" customHeight="false" outlineLevel="0" collapsed="false">
      <c r="A4778" s="0" t="n">
        <v>4777</v>
      </c>
      <c r="B4778" s="14" t="n">
        <v>95930.9277668312</v>
      </c>
      <c r="C4778" s="15" t="n">
        <v>0.0938324221549687</v>
      </c>
      <c r="D4778" s="14" t="n">
        <f aca="false">Summary!$B$5-B4778</f>
        <v>4069.07223316877</v>
      </c>
      <c r="E4778" s="15" t="n">
        <f aca="false">B4778/Summary!$B$5-1</f>
        <v>-0.0406907223316877</v>
      </c>
    </row>
    <row r="4779" customFormat="false" ht="15" hidden="false" customHeight="false" outlineLevel="0" collapsed="false">
      <c r="A4779" s="0" t="n">
        <v>4778</v>
      </c>
      <c r="B4779" s="14" t="n">
        <v>114006.586851102</v>
      </c>
      <c r="C4779" s="15" t="n">
        <v>0.0583343803715637</v>
      </c>
      <c r="D4779" s="14" t="n">
        <f aca="false">Summary!$B$5-B4779</f>
        <v>-14006.5868511015</v>
      </c>
      <c r="E4779" s="15" t="n">
        <f aca="false">B4779/Summary!$B$5-1</f>
        <v>0.140065868511015</v>
      </c>
    </row>
    <row r="4780" customFormat="false" ht="15" hidden="false" customHeight="false" outlineLevel="0" collapsed="false">
      <c r="A4780" s="0" t="n">
        <v>4779</v>
      </c>
      <c r="B4780" s="14" t="n">
        <v>133211.072205188</v>
      </c>
      <c r="C4780" s="15" t="n">
        <v>0.0751998246582046</v>
      </c>
      <c r="D4780" s="14" t="n">
        <f aca="false">Summary!$B$5-B4780</f>
        <v>-33211.0722051878</v>
      </c>
      <c r="E4780" s="15" t="n">
        <f aca="false">B4780/Summary!$B$5-1</f>
        <v>0.332110722051878</v>
      </c>
    </row>
    <row r="4781" customFormat="false" ht="15" hidden="false" customHeight="false" outlineLevel="0" collapsed="false">
      <c r="A4781" s="0" t="n">
        <v>4780</v>
      </c>
      <c r="B4781" s="14" t="n">
        <v>102710.94799132</v>
      </c>
      <c r="C4781" s="15" t="n">
        <v>0.0827447557715173</v>
      </c>
      <c r="D4781" s="14" t="n">
        <f aca="false">Summary!$B$5-B4781</f>
        <v>-2710.9479913196</v>
      </c>
      <c r="E4781" s="15" t="n">
        <f aca="false">B4781/Summary!$B$5-1</f>
        <v>0.0271094799131959</v>
      </c>
    </row>
    <row r="4782" customFormat="false" ht="15" hidden="false" customHeight="false" outlineLevel="0" collapsed="false">
      <c r="A4782" s="0" t="n">
        <v>4781</v>
      </c>
      <c r="B4782" s="14" t="n">
        <v>106354.905499979</v>
      </c>
      <c r="C4782" s="15" t="n">
        <v>0.0660976969880756</v>
      </c>
      <c r="D4782" s="14" t="n">
        <f aca="false">Summary!$B$5-B4782</f>
        <v>-6354.905499979</v>
      </c>
      <c r="E4782" s="15" t="n">
        <f aca="false">B4782/Summary!$B$5-1</f>
        <v>0.0635490549997899</v>
      </c>
    </row>
    <row r="4783" customFormat="false" ht="15" hidden="false" customHeight="false" outlineLevel="0" collapsed="false">
      <c r="A4783" s="0" t="n">
        <v>4782</v>
      </c>
      <c r="B4783" s="14" t="n">
        <v>127191.492309974</v>
      </c>
      <c r="C4783" s="15" t="n">
        <v>0.145642423377735</v>
      </c>
      <c r="D4783" s="14" t="n">
        <f aca="false">Summary!$B$5-B4783</f>
        <v>-27191.4923099738</v>
      </c>
      <c r="E4783" s="15" t="n">
        <f aca="false">B4783/Summary!$B$5-1</f>
        <v>0.271914923099738</v>
      </c>
    </row>
    <row r="4784" customFormat="false" ht="15" hidden="false" customHeight="false" outlineLevel="0" collapsed="false">
      <c r="A4784" s="0" t="n">
        <v>4783</v>
      </c>
      <c r="B4784" s="14" t="n">
        <v>107485.005465463</v>
      </c>
      <c r="C4784" s="15" t="n">
        <v>0.0554862613040082</v>
      </c>
      <c r="D4784" s="14" t="n">
        <f aca="false">Summary!$B$5-B4784</f>
        <v>-7485.0054654634</v>
      </c>
      <c r="E4784" s="15" t="n">
        <f aca="false">B4784/Summary!$B$5-1</f>
        <v>0.074850054654634</v>
      </c>
    </row>
    <row r="4785" customFormat="false" ht="15" hidden="false" customHeight="false" outlineLevel="0" collapsed="false">
      <c r="A4785" s="0" t="n">
        <v>4784</v>
      </c>
      <c r="B4785" s="14" t="n">
        <v>136090.142544663</v>
      </c>
      <c r="C4785" s="15" t="n">
        <v>0.0874696305164044</v>
      </c>
      <c r="D4785" s="14" t="n">
        <f aca="false">Summary!$B$5-B4785</f>
        <v>-36090.1425446632</v>
      </c>
      <c r="E4785" s="15" t="n">
        <f aca="false">B4785/Summary!$B$5-1</f>
        <v>0.360901425446632</v>
      </c>
    </row>
    <row r="4786" customFormat="false" ht="15" hidden="false" customHeight="false" outlineLevel="0" collapsed="false">
      <c r="A4786" s="0" t="n">
        <v>4785</v>
      </c>
      <c r="B4786" s="14" t="n">
        <v>103204.458177098</v>
      </c>
      <c r="C4786" s="15" t="n">
        <v>0.0835462726498164</v>
      </c>
      <c r="D4786" s="14" t="n">
        <f aca="false">Summary!$B$5-B4786</f>
        <v>-3204.458177098</v>
      </c>
      <c r="E4786" s="15" t="n">
        <f aca="false">B4786/Summary!$B$5-1</f>
        <v>0.03204458177098</v>
      </c>
    </row>
    <row r="4787" customFormat="false" ht="15" hidden="false" customHeight="false" outlineLevel="0" collapsed="false">
      <c r="A4787" s="0" t="n">
        <v>4786</v>
      </c>
      <c r="B4787" s="14" t="n">
        <v>103588.942810897</v>
      </c>
      <c r="C4787" s="15" t="n">
        <v>0.0728911875581538</v>
      </c>
      <c r="D4787" s="14" t="n">
        <f aca="false">Summary!$B$5-B4787</f>
        <v>-3588.9428108966</v>
      </c>
      <c r="E4787" s="15" t="n">
        <f aca="false">B4787/Summary!$B$5-1</f>
        <v>0.0358894281089659</v>
      </c>
    </row>
    <row r="4788" customFormat="false" ht="15" hidden="false" customHeight="false" outlineLevel="0" collapsed="false">
      <c r="A4788" s="0" t="n">
        <v>4787</v>
      </c>
      <c r="B4788" s="14" t="n">
        <v>119027.333432907</v>
      </c>
      <c r="C4788" s="15" t="n">
        <v>0.0513696276625693</v>
      </c>
      <c r="D4788" s="14" t="n">
        <f aca="false">Summary!$B$5-B4788</f>
        <v>-19027.3334329073</v>
      </c>
      <c r="E4788" s="15" t="n">
        <f aca="false">B4788/Summary!$B$5-1</f>
        <v>0.190273334329073</v>
      </c>
    </row>
    <row r="4789" customFormat="false" ht="15" hidden="false" customHeight="false" outlineLevel="0" collapsed="false">
      <c r="A4789" s="0" t="n">
        <v>4788</v>
      </c>
      <c r="B4789" s="14" t="n">
        <v>110177.47628051</v>
      </c>
      <c r="C4789" s="15" t="n">
        <v>0.109498764312337</v>
      </c>
      <c r="D4789" s="14" t="n">
        <f aca="false">Summary!$B$5-B4789</f>
        <v>-10177.4762805102</v>
      </c>
      <c r="E4789" s="15" t="n">
        <f aca="false">B4789/Summary!$B$5-1</f>
        <v>0.101774762805102</v>
      </c>
    </row>
    <row r="4790" customFormat="false" ht="15" hidden="false" customHeight="false" outlineLevel="0" collapsed="false">
      <c r="A4790" s="0" t="n">
        <v>4789</v>
      </c>
      <c r="B4790" s="14" t="n">
        <v>104568.419160727</v>
      </c>
      <c r="C4790" s="15" t="n">
        <v>0.123799500311094</v>
      </c>
      <c r="D4790" s="14" t="n">
        <f aca="false">Summary!$B$5-B4790</f>
        <v>-4568.4191607265</v>
      </c>
      <c r="E4790" s="15" t="n">
        <f aca="false">B4790/Summary!$B$5-1</f>
        <v>0.045684191607265</v>
      </c>
    </row>
    <row r="4791" customFormat="false" ht="15" hidden="false" customHeight="false" outlineLevel="0" collapsed="false">
      <c r="A4791" s="0" t="n">
        <v>4790</v>
      </c>
      <c r="B4791" s="14" t="n">
        <v>124421.459647435</v>
      </c>
      <c r="C4791" s="15" t="n">
        <v>0.0689384720656602</v>
      </c>
      <c r="D4791" s="14" t="n">
        <f aca="false">Summary!$B$5-B4791</f>
        <v>-24421.4596474352</v>
      </c>
      <c r="E4791" s="15" t="n">
        <f aca="false">B4791/Summary!$B$5-1</f>
        <v>0.244214596474352</v>
      </c>
    </row>
    <row r="4792" customFormat="false" ht="15" hidden="false" customHeight="false" outlineLevel="0" collapsed="false">
      <c r="A4792" s="0" t="n">
        <v>4791</v>
      </c>
      <c r="B4792" s="14" t="n">
        <v>96300.1736912466</v>
      </c>
      <c r="C4792" s="15" t="n">
        <v>0.0867584164960222</v>
      </c>
      <c r="D4792" s="14" t="n">
        <f aca="false">Summary!$B$5-B4792</f>
        <v>3699.82630875339</v>
      </c>
      <c r="E4792" s="15" t="n">
        <f aca="false">B4792/Summary!$B$5-1</f>
        <v>-0.0369982630875338</v>
      </c>
    </row>
    <row r="4793" customFormat="false" ht="15" hidden="false" customHeight="false" outlineLevel="0" collapsed="false">
      <c r="A4793" s="0" t="n">
        <v>4792</v>
      </c>
      <c r="B4793" s="14" t="n">
        <v>105083.632670337</v>
      </c>
      <c r="C4793" s="15" t="n">
        <v>0.0813452591448881</v>
      </c>
      <c r="D4793" s="14" t="n">
        <f aca="false">Summary!$B$5-B4793</f>
        <v>-5083.63267033741</v>
      </c>
      <c r="E4793" s="15" t="n">
        <f aca="false">B4793/Summary!$B$5-1</f>
        <v>0.050836326703374</v>
      </c>
    </row>
    <row r="4794" customFormat="false" ht="15" hidden="false" customHeight="false" outlineLevel="0" collapsed="false">
      <c r="A4794" s="0" t="n">
        <v>4793</v>
      </c>
      <c r="B4794" s="14" t="n">
        <v>111863.038546287</v>
      </c>
      <c r="C4794" s="15" t="n">
        <v>0.0421506190959119</v>
      </c>
      <c r="D4794" s="14" t="n">
        <f aca="false">Summary!$B$5-B4794</f>
        <v>-11863.0385462873</v>
      </c>
      <c r="E4794" s="15" t="n">
        <f aca="false">B4794/Summary!$B$5-1</f>
        <v>0.118630385462873</v>
      </c>
    </row>
    <row r="4795" customFormat="false" ht="15" hidden="false" customHeight="false" outlineLevel="0" collapsed="false">
      <c r="A4795" s="0" t="n">
        <v>4794</v>
      </c>
      <c r="B4795" s="14" t="n">
        <v>102703.993803007</v>
      </c>
      <c r="C4795" s="15" t="n">
        <v>0.0987023008605313</v>
      </c>
      <c r="D4795" s="14" t="n">
        <f aca="false">Summary!$B$5-B4795</f>
        <v>-2703.99380300719</v>
      </c>
      <c r="E4795" s="15" t="n">
        <f aca="false">B4795/Summary!$B$5-1</f>
        <v>0.0270399380300719</v>
      </c>
    </row>
    <row r="4796" customFormat="false" ht="15" hidden="false" customHeight="false" outlineLevel="0" collapsed="false">
      <c r="A4796" s="0" t="n">
        <v>4795</v>
      </c>
      <c r="B4796" s="14" t="n">
        <v>107129.108948807</v>
      </c>
      <c r="C4796" s="15" t="n">
        <v>0.122238614941149</v>
      </c>
      <c r="D4796" s="14" t="n">
        <f aca="false">Summary!$B$5-B4796</f>
        <v>-7129.10894880669</v>
      </c>
      <c r="E4796" s="15" t="n">
        <f aca="false">B4796/Summary!$B$5-1</f>
        <v>0.071291089488067</v>
      </c>
    </row>
    <row r="4797" customFormat="false" ht="15" hidden="false" customHeight="false" outlineLevel="0" collapsed="false">
      <c r="A4797" s="0" t="n">
        <v>4796</v>
      </c>
      <c r="B4797" s="14" t="n">
        <v>105534.706085997</v>
      </c>
      <c r="C4797" s="15" t="n">
        <v>0.105185343247613</v>
      </c>
      <c r="D4797" s="14" t="n">
        <f aca="false">Summary!$B$5-B4797</f>
        <v>-5534.7060859965</v>
      </c>
      <c r="E4797" s="15" t="n">
        <f aca="false">B4797/Summary!$B$5-1</f>
        <v>0.0553470608599649</v>
      </c>
    </row>
    <row r="4798" customFormat="false" ht="15" hidden="false" customHeight="false" outlineLevel="0" collapsed="false">
      <c r="A4798" s="0" t="n">
        <v>4797</v>
      </c>
      <c r="B4798" s="14" t="n">
        <v>113283.260033597</v>
      </c>
      <c r="C4798" s="15" t="n">
        <v>0.104819105988104</v>
      </c>
      <c r="D4798" s="14" t="n">
        <f aca="false">Summary!$B$5-B4798</f>
        <v>-13283.2600335967</v>
      </c>
      <c r="E4798" s="15" t="n">
        <f aca="false">B4798/Summary!$B$5-1</f>
        <v>0.132832600335967</v>
      </c>
    </row>
    <row r="4799" customFormat="false" ht="15" hidden="false" customHeight="false" outlineLevel="0" collapsed="false">
      <c r="A4799" s="0" t="n">
        <v>4798</v>
      </c>
      <c r="B4799" s="14" t="n">
        <v>98290.5148287314</v>
      </c>
      <c r="C4799" s="15" t="n">
        <v>0.146281661534879</v>
      </c>
      <c r="D4799" s="14" t="n">
        <f aca="false">Summary!$B$5-B4799</f>
        <v>1709.48517126861</v>
      </c>
      <c r="E4799" s="15" t="n">
        <f aca="false">B4799/Summary!$B$5-1</f>
        <v>-0.0170948517126861</v>
      </c>
    </row>
    <row r="4800" customFormat="false" ht="15" hidden="false" customHeight="false" outlineLevel="0" collapsed="false">
      <c r="A4800" s="0" t="n">
        <v>4799</v>
      </c>
      <c r="B4800" s="14" t="n">
        <v>99190.6735456005</v>
      </c>
      <c r="C4800" s="15" t="n">
        <v>0.103837710202911</v>
      </c>
      <c r="D4800" s="14" t="n">
        <f aca="false">Summary!$B$5-B4800</f>
        <v>809.326454399488</v>
      </c>
      <c r="E4800" s="15" t="n">
        <f aca="false">B4800/Summary!$B$5-1</f>
        <v>-0.00809326454399484</v>
      </c>
    </row>
    <row r="4801" customFormat="false" ht="15" hidden="false" customHeight="false" outlineLevel="0" collapsed="false">
      <c r="A4801" s="0" t="n">
        <v>4800</v>
      </c>
      <c r="B4801" s="14" t="n">
        <v>114824.296994772</v>
      </c>
      <c r="C4801" s="15" t="n">
        <v>0.099454875629824</v>
      </c>
      <c r="D4801" s="14" t="n">
        <f aca="false">Summary!$B$5-B4801</f>
        <v>-14824.2969947715</v>
      </c>
      <c r="E4801" s="15" t="n">
        <f aca="false">B4801/Summary!$B$5-1</f>
        <v>0.148242969947715</v>
      </c>
    </row>
    <row r="4802" customFormat="false" ht="15" hidden="false" customHeight="false" outlineLevel="0" collapsed="false">
      <c r="A4802" s="0" t="n">
        <v>4801</v>
      </c>
      <c r="B4802" s="14" t="n">
        <v>131278.750380274</v>
      </c>
      <c r="C4802" s="15" t="n">
        <v>0.0482855381963941</v>
      </c>
      <c r="D4802" s="14" t="n">
        <f aca="false">Summary!$B$5-B4802</f>
        <v>-31278.7503802742</v>
      </c>
      <c r="E4802" s="15" t="n">
        <f aca="false">B4802/Summary!$B$5-1</f>
        <v>0.312787503802742</v>
      </c>
    </row>
    <row r="4803" customFormat="false" ht="15" hidden="false" customHeight="false" outlineLevel="0" collapsed="false">
      <c r="A4803" s="0" t="n">
        <v>4802</v>
      </c>
      <c r="B4803" s="14" t="n">
        <v>121306.031731086</v>
      </c>
      <c r="C4803" s="15" t="n">
        <v>0.0700851101414786</v>
      </c>
      <c r="D4803" s="14" t="n">
        <f aca="false">Summary!$B$5-B4803</f>
        <v>-21306.0317310859</v>
      </c>
      <c r="E4803" s="15" t="n">
        <f aca="false">B4803/Summary!$B$5-1</f>
        <v>0.213060317310859</v>
      </c>
    </row>
    <row r="4804" customFormat="false" ht="15" hidden="false" customHeight="false" outlineLevel="0" collapsed="false">
      <c r="A4804" s="0" t="n">
        <v>4803</v>
      </c>
      <c r="B4804" s="14" t="n">
        <v>101393.964897711</v>
      </c>
      <c r="C4804" s="15" t="n">
        <v>0.0986584871329438</v>
      </c>
      <c r="D4804" s="14" t="n">
        <f aca="false">Summary!$B$5-B4804</f>
        <v>-1393.9648977107</v>
      </c>
      <c r="E4804" s="15" t="n">
        <f aca="false">B4804/Summary!$B$5-1</f>
        <v>0.0139396489771071</v>
      </c>
    </row>
    <row r="4805" customFormat="false" ht="15" hidden="false" customHeight="false" outlineLevel="0" collapsed="false">
      <c r="A4805" s="0" t="n">
        <v>4804</v>
      </c>
      <c r="B4805" s="14" t="n">
        <v>109366.896330897</v>
      </c>
      <c r="C4805" s="15" t="n">
        <v>0.124101407082329</v>
      </c>
      <c r="D4805" s="14" t="n">
        <f aca="false">Summary!$B$5-B4805</f>
        <v>-9366.8963308965</v>
      </c>
      <c r="E4805" s="15" t="n">
        <f aca="false">B4805/Summary!$B$5-1</f>
        <v>0.0936689633089651</v>
      </c>
    </row>
    <row r="4806" customFormat="false" ht="15" hidden="false" customHeight="false" outlineLevel="0" collapsed="false">
      <c r="A4806" s="0" t="n">
        <v>4805</v>
      </c>
      <c r="B4806" s="14" t="n">
        <v>108583.022750906</v>
      </c>
      <c r="C4806" s="15" t="n">
        <v>0.0794664215561585</v>
      </c>
      <c r="D4806" s="14" t="n">
        <f aca="false">Summary!$B$5-B4806</f>
        <v>-8583.0227509062</v>
      </c>
      <c r="E4806" s="15" t="n">
        <f aca="false">B4806/Summary!$B$5-1</f>
        <v>0.0858302275090619</v>
      </c>
    </row>
    <row r="4807" customFormat="false" ht="15" hidden="false" customHeight="false" outlineLevel="0" collapsed="false">
      <c r="A4807" s="0" t="n">
        <v>4806</v>
      </c>
      <c r="B4807" s="14" t="n">
        <v>115703.316721892</v>
      </c>
      <c r="C4807" s="15" t="n">
        <v>0.0761096407198114</v>
      </c>
      <c r="D4807" s="14" t="n">
        <f aca="false">Summary!$B$5-B4807</f>
        <v>-15703.316721892</v>
      </c>
      <c r="E4807" s="15" t="n">
        <f aca="false">B4807/Summary!$B$5-1</f>
        <v>0.15703316721892</v>
      </c>
    </row>
    <row r="4808" customFormat="false" ht="15" hidden="false" customHeight="false" outlineLevel="0" collapsed="false">
      <c r="A4808" s="0" t="n">
        <v>4807</v>
      </c>
      <c r="B4808" s="14" t="n">
        <v>113405.236942503</v>
      </c>
      <c r="C4808" s="15" t="n">
        <v>0.0778034617492762</v>
      </c>
      <c r="D4808" s="14" t="n">
        <f aca="false">Summary!$B$5-B4808</f>
        <v>-13405.2369425032</v>
      </c>
      <c r="E4808" s="15" t="n">
        <f aca="false">B4808/Summary!$B$5-1</f>
        <v>0.134052369425032</v>
      </c>
    </row>
    <row r="4809" customFormat="false" ht="15" hidden="false" customHeight="false" outlineLevel="0" collapsed="false">
      <c r="A4809" s="0" t="n">
        <v>4808</v>
      </c>
      <c r="B4809" s="14" t="n">
        <v>100011.527600225</v>
      </c>
      <c r="C4809" s="15" t="n">
        <v>0.119842831582295</v>
      </c>
      <c r="D4809" s="14" t="n">
        <f aca="false">Summary!$B$5-B4809</f>
        <v>-11.5276002247992</v>
      </c>
      <c r="E4809" s="15" t="n">
        <f aca="false">B4809/Summary!$B$5-1</f>
        <v>0.000115276002248033</v>
      </c>
    </row>
    <row r="4810" customFormat="false" ht="15" hidden="false" customHeight="false" outlineLevel="0" collapsed="false">
      <c r="A4810" s="0" t="n">
        <v>4809</v>
      </c>
      <c r="B4810" s="14" t="n">
        <v>114515.585312937</v>
      </c>
      <c r="C4810" s="15" t="n">
        <v>0.0943631070940093</v>
      </c>
      <c r="D4810" s="14" t="n">
        <f aca="false">Summary!$B$5-B4810</f>
        <v>-14515.5853129366</v>
      </c>
      <c r="E4810" s="15" t="n">
        <f aca="false">B4810/Summary!$B$5-1</f>
        <v>0.145155853129366</v>
      </c>
    </row>
    <row r="4811" customFormat="false" ht="15" hidden="false" customHeight="false" outlineLevel="0" collapsed="false">
      <c r="A4811" s="0" t="n">
        <v>4810</v>
      </c>
      <c r="B4811" s="14" t="n">
        <v>108662.58643169</v>
      </c>
      <c r="C4811" s="15" t="n">
        <v>0.087146626040876</v>
      </c>
      <c r="D4811" s="14" t="n">
        <f aca="false">Summary!$B$5-B4811</f>
        <v>-8662.58643169</v>
      </c>
      <c r="E4811" s="15" t="n">
        <f aca="false">B4811/Summary!$B$5-1</f>
        <v>0.0866258643169</v>
      </c>
    </row>
    <row r="4812" customFormat="false" ht="15" hidden="false" customHeight="false" outlineLevel="0" collapsed="false">
      <c r="A4812" s="0" t="n">
        <v>4811</v>
      </c>
      <c r="B4812" s="14" t="n">
        <v>105489.470775351</v>
      </c>
      <c r="C4812" s="15" t="n">
        <v>0.0945693295314238</v>
      </c>
      <c r="D4812" s="14" t="n">
        <f aca="false">Summary!$B$5-B4812</f>
        <v>-5489.470775351</v>
      </c>
      <c r="E4812" s="15" t="n">
        <f aca="false">B4812/Summary!$B$5-1</f>
        <v>0.05489470775351</v>
      </c>
    </row>
    <row r="4813" customFormat="false" ht="15" hidden="false" customHeight="false" outlineLevel="0" collapsed="false">
      <c r="A4813" s="0" t="n">
        <v>4812</v>
      </c>
      <c r="B4813" s="14" t="n">
        <v>113172.550184292</v>
      </c>
      <c r="C4813" s="15" t="n">
        <v>0.101392010420181</v>
      </c>
      <c r="D4813" s="14" t="n">
        <f aca="false">Summary!$B$5-B4813</f>
        <v>-13172.5501842916</v>
      </c>
      <c r="E4813" s="15" t="n">
        <f aca="false">B4813/Summary!$B$5-1</f>
        <v>0.131725501842916</v>
      </c>
    </row>
    <row r="4814" customFormat="false" ht="15" hidden="false" customHeight="false" outlineLevel="0" collapsed="false">
      <c r="A4814" s="0" t="n">
        <v>4813</v>
      </c>
      <c r="B4814" s="14" t="n">
        <v>87543.2546934311</v>
      </c>
      <c r="C4814" s="15" t="n">
        <v>0.146674237948978</v>
      </c>
      <c r="D4814" s="14" t="n">
        <f aca="false">Summary!$B$5-B4814</f>
        <v>12456.7453065689</v>
      </c>
      <c r="E4814" s="15" t="n">
        <f aca="false">B4814/Summary!$B$5-1</f>
        <v>-0.124567453065689</v>
      </c>
    </row>
    <row r="4815" customFormat="false" ht="15" hidden="false" customHeight="false" outlineLevel="0" collapsed="false">
      <c r="A4815" s="0" t="n">
        <v>4814</v>
      </c>
      <c r="B4815" s="14" t="n">
        <v>92168.3158955669</v>
      </c>
      <c r="C4815" s="15" t="n">
        <v>0.141438797861817</v>
      </c>
      <c r="D4815" s="14" t="n">
        <f aca="false">Summary!$B$5-B4815</f>
        <v>7831.68410443314</v>
      </c>
      <c r="E4815" s="15" t="n">
        <f aca="false">B4815/Summary!$B$5-1</f>
        <v>-0.0783168410443313</v>
      </c>
    </row>
    <row r="4816" customFormat="false" ht="15" hidden="false" customHeight="false" outlineLevel="0" collapsed="false">
      <c r="A4816" s="0" t="n">
        <v>4815</v>
      </c>
      <c r="B4816" s="14" t="n">
        <v>116487.905669453</v>
      </c>
      <c r="C4816" s="15" t="n">
        <v>0.0770788510635977</v>
      </c>
      <c r="D4816" s="14" t="n">
        <f aca="false">Summary!$B$5-B4816</f>
        <v>-16487.905669453</v>
      </c>
      <c r="E4816" s="15" t="n">
        <f aca="false">B4816/Summary!$B$5-1</f>
        <v>0.16487905669453</v>
      </c>
    </row>
    <row r="4817" customFormat="false" ht="15" hidden="false" customHeight="false" outlineLevel="0" collapsed="false">
      <c r="A4817" s="0" t="n">
        <v>4816</v>
      </c>
      <c r="B4817" s="14" t="n">
        <v>110519.894018338</v>
      </c>
      <c r="C4817" s="15" t="n">
        <v>0.116330581420414</v>
      </c>
      <c r="D4817" s="14" t="n">
        <f aca="false">Summary!$B$5-B4817</f>
        <v>-10519.894018338</v>
      </c>
      <c r="E4817" s="15" t="n">
        <f aca="false">B4817/Summary!$B$5-1</f>
        <v>0.10519894018338</v>
      </c>
    </row>
    <row r="4818" customFormat="false" ht="15" hidden="false" customHeight="false" outlineLevel="0" collapsed="false">
      <c r="A4818" s="0" t="n">
        <v>4817</v>
      </c>
      <c r="B4818" s="14" t="n">
        <v>104351.961826007</v>
      </c>
      <c r="C4818" s="15" t="n">
        <v>0.131116602139245</v>
      </c>
      <c r="D4818" s="14" t="n">
        <f aca="false">Summary!$B$5-B4818</f>
        <v>-4351.96182600661</v>
      </c>
      <c r="E4818" s="15" t="n">
        <f aca="false">B4818/Summary!$B$5-1</f>
        <v>0.0435196182600661</v>
      </c>
    </row>
    <row r="4819" customFormat="false" ht="15" hidden="false" customHeight="false" outlineLevel="0" collapsed="false">
      <c r="A4819" s="0" t="n">
        <v>4818</v>
      </c>
      <c r="B4819" s="14" t="n">
        <v>110839.211249376</v>
      </c>
      <c r="C4819" s="15" t="n">
        <v>0.0865522608982247</v>
      </c>
      <c r="D4819" s="14" t="n">
        <f aca="false">Summary!$B$5-B4819</f>
        <v>-10839.2112493762</v>
      </c>
      <c r="E4819" s="15" t="n">
        <f aca="false">B4819/Summary!$B$5-1</f>
        <v>0.108392112493762</v>
      </c>
    </row>
    <row r="4820" customFormat="false" ht="15" hidden="false" customHeight="false" outlineLevel="0" collapsed="false">
      <c r="A4820" s="0" t="n">
        <v>4819</v>
      </c>
      <c r="B4820" s="14" t="n">
        <v>101151.672571156</v>
      </c>
      <c r="C4820" s="15" t="n">
        <v>0.087035282146418</v>
      </c>
      <c r="D4820" s="14" t="n">
        <f aca="false">Summary!$B$5-B4820</f>
        <v>-1151.6725711555</v>
      </c>
      <c r="E4820" s="15" t="n">
        <f aca="false">B4820/Summary!$B$5-1</f>
        <v>0.0115167257115552</v>
      </c>
    </row>
    <row r="4821" customFormat="false" ht="15" hidden="false" customHeight="false" outlineLevel="0" collapsed="false">
      <c r="A4821" s="0" t="n">
        <v>4820</v>
      </c>
      <c r="B4821" s="14" t="n">
        <v>107376.33732779</v>
      </c>
      <c r="C4821" s="15" t="n">
        <v>0.0838622503494214</v>
      </c>
      <c r="D4821" s="14" t="n">
        <f aca="false">Summary!$B$5-B4821</f>
        <v>-7376.33732778981</v>
      </c>
      <c r="E4821" s="15" t="n">
        <f aca="false">B4821/Summary!$B$5-1</f>
        <v>0.0737633732778982</v>
      </c>
    </row>
    <row r="4822" customFormat="false" ht="15" hidden="false" customHeight="false" outlineLevel="0" collapsed="false">
      <c r="A4822" s="0" t="n">
        <v>4821</v>
      </c>
      <c r="B4822" s="14" t="n">
        <v>113390.781547825</v>
      </c>
      <c r="C4822" s="15" t="n">
        <v>0.0578591320577359</v>
      </c>
      <c r="D4822" s="14" t="n">
        <f aca="false">Summary!$B$5-B4822</f>
        <v>-13390.7815478249</v>
      </c>
      <c r="E4822" s="15" t="n">
        <f aca="false">B4822/Summary!$B$5-1</f>
        <v>0.133907815478249</v>
      </c>
    </row>
    <row r="4823" customFormat="false" ht="15" hidden="false" customHeight="false" outlineLevel="0" collapsed="false">
      <c r="A4823" s="0" t="n">
        <v>4822</v>
      </c>
      <c r="B4823" s="14" t="n">
        <v>103495.598696857</v>
      </c>
      <c r="C4823" s="15" t="n">
        <v>0.137323517355098</v>
      </c>
      <c r="D4823" s="14" t="n">
        <f aca="false">Summary!$B$5-B4823</f>
        <v>-3495.5986968566</v>
      </c>
      <c r="E4823" s="15" t="n">
        <f aca="false">B4823/Summary!$B$5-1</f>
        <v>0.0349559869685661</v>
      </c>
    </row>
    <row r="4824" customFormat="false" ht="15" hidden="false" customHeight="false" outlineLevel="0" collapsed="false">
      <c r="A4824" s="0" t="n">
        <v>4823</v>
      </c>
      <c r="B4824" s="14" t="n">
        <v>88388.8370319629</v>
      </c>
      <c r="C4824" s="15" t="n">
        <v>0.170315018031552</v>
      </c>
      <c r="D4824" s="14" t="n">
        <f aca="false">Summary!$B$5-B4824</f>
        <v>11611.1629680371</v>
      </c>
      <c r="E4824" s="15" t="n">
        <f aca="false">B4824/Summary!$B$5-1</f>
        <v>-0.116111629680371</v>
      </c>
    </row>
    <row r="4825" customFormat="false" ht="15" hidden="false" customHeight="false" outlineLevel="0" collapsed="false">
      <c r="A4825" s="0" t="n">
        <v>4824</v>
      </c>
      <c r="B4825" s="14" t="n">
        <v>117819.117146247</v>
      </c>
      <c r="C4825" s="15" t="n">
        <v>0.0794220050257252</v>
      </c>
      <c r="D4825" s="14" t="n">
        <f aca="false">Summary!$B$5-B4825</f>
        <v>-17819.1171462469</v>
      </c>
      <c r="E4825" s="15" t="n">
        <f aca="false">B4825/Summary!$B$5-1</f>
        <v>0.178191171462469</v>
      </c>
    </row>
    <row r="4826" customFormat="false" ht="15" hidden="false" customHeight="false" outlineLevel="0" collapsed="false">
      <c r="A4826" s="0" t="n">
        <v>4825</v>
      </c>
      <c r="B4826" s="14" t="n">
        <v>107050.483322341</v>
      </c>
      <c r="C4826" s="15" t="n">
        <v>0.0923619691976609</v>
      </c>
      <c r="D4826" s="14" t="n">
        <f aca="false">Summary!$B$5-B4826</f>
        <v>-7050.48332234081</v>
      </c>
      <c r="E4826" s="15" t="n">
        <f aca="false">B4826/Summary!$B$5-1</f>
        <v>0.0705048332234082</v>
      </c>
    </row>
    <row r="4827" customFormat="false" ht="15" hidden="false" customHeight="false" outlineLevel="0" collapsed="false">
      <c r="A4827" s="0" t="n">
        <v>4826</v>
      </c>
      <c r="B4827" s="14" t="n">
        <v>122517.594818122</v>
      </c>
      <c r="C4827" s="15" t="n">
        <v>0.0633196425280642</v>
      </c>
      <c r="D4827" s="14" t="n">
        <f aca="false">Summary!$B$5-B4827</f>
        <v>-22517.5948181216</v>
      </c>
      <c r="E4827" s="15" t="n">
        <f aca="false">B4827/Summary!$B$5-1</f>
        <v>0.225175948181216</v>
      </c>
    </row>
    <row r="4828" customFormat="false" ht="15" hidden="false" customHeight="false" outlineLevel="0" collapsed="false">
      <c r="A4828" s="0" t="n">
        <v>4827</v>
      </c>
      <c r="B4828" s="14" t="n">
        <v>111346.215763451</v>
      </c>
      <c r="C4828" s="15" t="n">
        <v>0.100614073463482</v>
      </c>
      <c r="D4828" s="14" t="n">
        <f aca="false">Summary!$B$5-B4828</f>
        <v>-11346.2157634514</v>
      </c>
      <c r="E4828" s="15" t="n">
        <f aca="false">B4828/Summary!$B$5-1</f>
        <v>0.113462157634514</v>
      </c>
    </row>
    <row r="4829" customFormat="false" ht="15" hidden="false" customHeight="false" outlineLevel="0" collapsed="false">
      <c r="A4829" s="0" t="n">
        <v>4828</v>
      </c>
      <c r="B4829" s="14" t="n">
        <v>134686.072090803</v>
      </c>
      <c r="C4829" s="15" t="n">
        <v>0.0363975534057077</v>
      </c>
      <c r="D4829" s="14" t="n">
        <f aca="false">Summary!$B$5-B4829</f>
        <v>-34686.0720908031</v>
      </c>
      <c r="E4829" s="15" t="n">
        <f aca="false">B4829/Summary!$B$5-1</f>
        <v>0.346860720908031</v>
      </c>
    </row>
    <row r="4830" customFormat="false" ht="15" hidden="false" customHeight="false" outlineLevel="0" collapsed="false">
      <c r="A4830" s="0" t="n">
        <v>4829</v>
      </c>
      <c r="B4830" s="14" t="n">
        <v>96031.6648963985</v>
      </c>
      <c r="C4830" s="15" t="n">
        <v>0.141466567381407</v>
      </c>
      <c r="D4830" s="14" t="n">
        <f aca="false">Summary!$B$5-B4830</f>
        <v>3968.33510360152</v>
      </c>
      <c r="E4830" s="15" t="n">
        <f aca="false">B4830/Summary!$B$5-1</f>
        <v>-0.0396833510360153</v>
      </c>
    </row>
    <row r="4831" customFormat="false" ht="15" hidden="false" customHeight="false" outlineLevel="0" collapsed="false">
      <c r="A4831" s="0" t="n">
        <v>4830</v>
      </c>
      <c r="B4831" s="14" t="n">
        <v>97454.5224541974</v>
      </c>
      <c r="C4831" s="15" t="n">
        <v>0.120187324614209</v>
      </c>
      <c r="D4831" s="14" t="n">
        <f aca="false">Summary!$B$5-B4831</f>
        <v>2545.47754580257</v>
      </c>
      <c r="E4831" s="15" t="n">
        <f aca="false">B4831/Summary!$B$5-1</f>
        <v>-0.0254547754580257</v>
      </c>
    </row>
    <row r="4832" customFormat="false" ht="15" hidden="false" customHeight="false" outlineLevel="0" collapsed="false">
      <c r="A4832" s="0" t="n">
        <v>4831</v>
      </c>
      <c r="B4832" s="14" t="n">
        <v>90946.8558104116</v>
      </c>
      <c r="C4832" s="15" t="n">
        <v>0.189536807433649</v>
      </c>
      <c r="D4832" s="14" t="n">
        <f aca="false">Summary!$B$5-B4832</f>
        <v>9053.14418958841</v>
      </c>
      <c r="E4832" s="15" t="n">
        <f aca="false">B4832/Summary!$B$5-1</f>
        <v>-0.090531441895884</v>
      </c>
    </row>
    <row r="4833" customFormat="false" ht="15" hidden="false" customHeight="false" outlineLevel="0" collapsed="false">
      <c r="A4833" s="0" t="n">
        <v>4832</v>
      </c>
      <c r="B4833" s="14" t="n">
        <v>88245.0079459195</v>
      </c>
      <c r="C4833" s="15" t="n">
        <v>0.122368566199464</v>
      </c>
      <c r="D4833" s="14" t="n">
        <f aca="false">Summary!$B$5-B4833</f>
        <v>11754.9920540805</v>
      </c>
      <c r="E4833" s="15" t="n">
        <f aca="false">B4833/Summary!$B$5-1</f>
        <v>-0.117549920540805</v>
      </c>
    </row>
    <row r="4834" customFormat="false" ht="15" hidden="false" customHeight="false" outlineLevel="0" collapsed="false">
      <c r="A4834" s="0" t="n">
        <v>4833</v>
      </c>
      <c r="B4834" s="14" t="n">
        <v>98704.0541465297</v>
      </c>
      <c r="C4834" s="15" t="n">
        <v>0.141571932155264</v>
      </c>
      <c r="D4834" s="14" t="n">
        <f aca="false">Summary!$B$5-B4834</f>
        <v>1295.94585347027</v>
      </c>
      <c r="E4834" s="15" t="n">
        <f aca="false">B4834/Summary!$B$5-1</f>
        <v>-0.0129594585347027</v>
      </c>
    </row>
    <row r="4835" customFormat="false" ht="15" hidden="false" customHeight="false" outlineLevel="0" collapsed="false">
      <c r="A4835" s="0" t="n">
        <v>4834</v>
      </c>
      <c r="B4835" s="14" t="n">
        <v>114593.75535552</v>
      </c>
      <c r="C4835" s="15" t="n">
        <v>0.108341847355263</v>
      </c>
      <c r="D4835" s="14" t="n">
        <f aca="false">Summary!$B$5-B4835</f>
        <v>-14593.7553555201</v>
      </c>
      <c r="E4835" s="15" t="n">
        <f aca="false">B4835/Summary!$B$5-1</f>
        <v>0.145937553555201</v>
      </c>
    </row>
    <row r="4836" customFormat="false" ht="15" hidden="false" customHeight="false" outlineLevel="0" collapsed="false">
      <c r="A4836" s="0" t="n">
        <v>4835</v>
      </c>
      <c r="B4836" s="14" t="n">
        <v>106353.61591368</v>
      </c>
      <c r="C4836" s="15" t="n">
        <v>0.119830053342864</v>
      </c>
      <c r="D4836" s="14" t="n">
        <f aca="false">Summary!$B$5-B4836</f>
        <v>-6353.6159136801</v>
      </c>
      <c r="E4836" s="15" t="n">
        <f aca="false">B4836/Summary!$B$5-1</f>
        <v>0.0635361591368011</v>
      </c>
    </row>
    <row r="4837" customFormat="false" ht="15" hidden="false" customHeight="false" outlineLevel="0" collapsed="false">
      <c r="A4837" s="0" t="n">
        <v>4836</v>
      </c>
      <c r="B4837" s="14" t="n">
        <v>116083.917396994</v>
      </c>
      <c r="C4837" s="15" t="n">
        <v>0.0643737652145351</v>
      </c>
      <c r="D4837" s="14" t="n">
        <f aca="false">Summary!$B$5-B4837</f>
        <v>-16083.9173969935</v>
      </c>
      <c r="E4837" s="15" t="n">
        <f aca="false">B4837/Summary!$B$5-1</f>
        <v>0.160839173969935</v>
      </c>
    </row>
    <row r="4838" customFormat="false" ht="15" hidden="false" customHeight="false" outlineLevel="0" collapsed="false">
      <c r="A4838" s="0" t="n">
        <v>4837</v>
      </c>
      <c r="B4838" s="14" t="n">
        <v>110665.423438672</v>
      </c>
      <c r="C4838" s="15" t="n">
        <v>0.117079971032981</v>
      </c>
      <c r="D4838" s="14" t="n">
        <f aca="false">Summary!$B$5-B4838</f>
        <v>-10665.4234386724</v>
      </c>
      <c r="E4838" s="15" t="n">
        <f aca="false">B4838/Summary!$B$5-1</f>
        <v>0.106654234386724</v>
      </c>
    </row>
    <row r="4839" customFormat="false" ht="15" hidden="false" customHeight="false" outlineLevel="0" collapsed="false">
      <c r="A4839" s="0" t="n">
        <v>4838</v>
      </c>
      <c r="B4839" s="14" t="n">
        <v>107226.419651382</v>
      </c>
      <c r="C4839" s="15" t="n">
        <v>0.117049314142035</v>
      </c>
      <c r="D4839" s="14" t="n">
        <f aca="false">Summary!$B$5-B4839</f>
        <v>-7226.4196513817</v>
      </c>
      <c r="E4839" s="15" t="n">
        <f aca="false">B4839/Summary!$B$5-1</f>
        <v>0.0722641965138171</v>
      </c>
    </row>
    <row r="4840" customFormat="false" ht="15" hidden="false" customHeight="false" outlineLevel="0" collapsed="false">
      <c r="A4840" s="0" t="n">
        <v>4839</v>
      </c>
      <c r="B4840" s="14" t="n">
        <v>93556.4983345757</v>
      </c>
      <c r="C4840" s="15" t="n">
        <v>0.189441914165675</v>
      </c>
      <c r="D4840" s="14" t="n">
        <f aca="false">Summary!$B$5-B4840</f>
        <v>6443.50166542434</v>
      </c>
      <c r="E4840" s="15" t="n">
        <f aca="false">B4840/Summary!$B$5-1</f>
        <v>-0.0644350166542433</v>
      </c>
    </row>
    <row r="4841" customFormat="false" ht="15" hidden="false" customHeight="false" outlineLevel="0" collapsed="false">
      <c r="A4841" s="0" t="n">
        <v>4840</v>
      </c>
      <c r="B4841" s="14" t="n">
        <v>112740.858234051</v>
      </c>
      <c r="C4841" s="15" t="n">
        <v>0.0828138742467146</v>
      </c>
      <c r="D4841" s="14" t="n">
        <f aca="false">Summary!$B$5-B4841</f>
        <v>-12740.8582340508</v>
      </c>
      <c r="E4841" s="15" t="n">
        <f aca="false">B4841/Summary!$B$5-1</f>
        <v>0.127408582340508</v>
      </c>
    </row>
    <row r="4842" customFormat="false" ht="15" hidden="false" customHeight="false" outlineLevel="0" collapsed="false">
      <c r="A4842" s="0" t="n">
        <v>4841</v>
      </c>
      <c r="B4842" s="14" t="n">
        <v>97821.6899692156</v>
      </c>
      <c r="C4842" s="15" t="n">
        <v>0.0902079389834278</v>
      </c>
      <c r="D4842" s="14" t="n">
        <f aca="false">Summary!$B$5-B4842</f>
        <v>2178.31003078437</v>
      </c>
      <c r="E4842" s="15" t="n">
        <f aca="false">B4842/Summary!$B$5-1</f>
        <v>-0.0217831003078437</v>
      </c>
    </row>
    <row r="4843" customFormat="false" ht="15" hidden="false" customHeight="false" outlineLevel="0" collapsed="false">
      <c r="A4843" s="0" t="n">
        <v>4842</v>
      </c>
      <c r="B4843" s="14" t="n">
        <v>107035.651178191</v>
      </c>
      <c r="C4843" s="15" t="n">
        <v>0.0659952937319919</v>
      </c>
      <c r="D4843" s="14" t="n">
        <f aca="false">Summary!$B$5-B4843</f>
        <v>-7035.65117819091</v>
      </c>
      <c r="E4843" s="15" t="n">
        <f aca="false">B4843/Summary!$B$5-1</f>
        <v>0.0703565117819092</v>
      </c>
    </row>
    <row r="4844" customFormat="false" ht="15" hidden="false" customHeight="false" outlineLevel="0" collapsed="false">
      <c r="A4844" s="0" t="n">
        <v>4843</v>
      </c>
      <c r="B4844" s="14" t="n">
        <v>119865.315854378</v>
      </c>
      <c r="C4844" s="15" t="n">
        <v>0.0575345482350582</v>
      </c>
      <c r="D4844" s="14" t="n">
        <f aca="false">Summary!$B$5-B4844</f>
        <v>-19865.3158543783</v>
      </c>
      <c r="E4844" s="15" t="n">
        <f aca="false">B4844/Summary!$B$5-1</f>
        <v>0.198653158543783</v>
      </c>
    </row>
    <row r="4845" customFormat="false" ht="15" hidden="false" customHeight="false" outlineLevel="0" collapsed="false">
      <c r="A4845" s="0" t="n">
        <v>4844</v>
      </c>
      <c r="B4845" s="14" t="n">
        <v>110046.022029497</v>
      </c>
      <c r="C4845" s="15" t="n">
        <v>0.0856687843323262</v>
      </c>
      <c r="D4845" s="14" t="n">
        <f aca="false">Summary!$B$5-B4845</f>
        <v>-10046.0220294968</v>
      </c>
      <c r="E4845" s="15" t="n">
        <f aca="false">B4845/Summary!$B$5-1</f>
        <v>0.100460220294968</v>
      </c>
    </row>
    <row r="4846" customFormat="false" ht="15" hidden="false" customHeight="false" outlineLevel="0" collapsed="false">
      <c r="A4846" s="0" t="n">
        <v>4845</v>
      </c>
      <c r="B4846" s="14" t="n">
        <v>98852.8434780034</v>
      </c>
      <c r="C4846" s="15" t="n">
        <v>0.101623606898572</v>
      </c>
      <c r="D4846" s="14" t="n">
        <f aca="false">Summary!$B$5-B4846</f>
        <v>1147.15652199663</v>
      </c>
      <c r="E4846" s="15" t="n">
        <f aca="false">B4846/Summary!$B$5-1</f>
        <v>-0.0114715652199663</v>
      </c>
    </row>
    <row r="4847" customFormat="false" ht="15" hidden="false" customHeight="false" outlineLevel="0" collapsed="false">
      <c r="A4847" s="0" t="n">
        <v>4846</v>
      </c>
      <c r="B4847" s="14" t="n">
        <v>107841.464519084</v>
      </c>
      <c r="C4847" s="15" t="n">
        <v>0.097811783473887</v>
      </c>
      <c r="D4847" s="14" t="n">
        <f aca="false">Summary!$B$5-B4847</f>
        <v>-7841.4645190836</v>
      </c>
      <c r="E4847" s="15" t="n">
        <f aca="false">B4847/Summary!$B$5-1</f>
        <v>0.0784146451908361</v>
      </c>
    </row>
    <row r="4848" customFormat="false" ht="15" hidden="false" customHeight="false" outlineLevel="0" collapsed="false">
      <c r="A4848" s="0" t="n">
        <v>4847</v>
      </c>
      <c r="B4848" s="14" t="n">
        <v>91579.4678964934</v>
      </c>
      <c r="C4848" s="15" t="n">
        <v>0.101513433923331</v>
      </c>
      <c r="D4848" s="14" t="n">
        <f aca="false">Summary!$B$5-B4848</f>
        <v>8420.53210350659</v>
      </c>
      <c r="E4848" s="15" t="n">
        <f aca="false">B4848/Summary!$B$5-1</f>
        <v>-0.0842053210350658</v>
      </c>
    </row>
    <row r="4849" customFormat="false" ht="15" hidden="false" customHeight="false" outlineLevel="0" collapsed="false">
      <c r="A4849" s="0" t="n">
        <v>4848</v>
      </c>
      <c r="B4849" s="14" t="n">
        <v>127653.546842828</v>
      </c>
      <c r="C4849" s="15" t="n">
        <v>0.093560823031716</v>
      </c>
      <c r="D4849" s="14" t="n">
        <f aca="false">Summary!$B$5-B4849</f>
        <v>-27653.5468428276</v>
      </c>
      <c r="E4849" s="15" t="n">
        <f aca="false">B4849/Summary!$B$5-1</f>
        <v>0.276535468428276</v>
      </c>
    </row>
    <row r="4850" customFormat="false" ht="15" hidden="false" customHeight="false" outlineLevel="0" collapsed="false">
      <c r="A4850" s="0" t="n">
        <v>4849</v>
      </c>
      <c r="B4850" s="14" t="n">
        <v>90876.6708525347</v>
      </c>
      <c r="C4850" s="15" t="n">
        <v>0.145694659712773</v>
      </c>
      <c r="D4850" s="14" t="n">
        <f aca="false">Summary!$B$5-B4850</f>
        <v>9123.32914746535</v>
      </c>
      <c r="E4850" s="15" t="n">
        <f aca="false">B4850/Summary!$B$5-1</f>
        <v>-0.0912332914746535</v>
      </c>
    </row>
    <row r="4851" customFormat="false" ht="15" hidden="false" customHeight="false" outlineLevel="0" collapsed="false">
      <c r="A4851" s="0" t="n">
        <v>4850</v>
      </c>
      <c r="B4851" s="14" t="n">
        <v>125081.157625946</v>
      </c>
      <c r="C4851" s="15" t="n">
        <v>0.0840009763060705</v>
      </c>
      <c r="D4851" s="14" t="n">
        <f aca="false">Summary!$B$5-B4851</f>
        <v>-25081.157625946</v>
      </c>
      <c r="E4851" s="15" t="n">
        <f aca="false">B4851/Summary!$B$5-1</f>
        <v>0.25081157625946</v>
      </c>
    </row>
    <row r="4852" customFormat="false" ht="15" hidden="false" customHeight="false" outlineLevel="0" collapsed="false">
      <c r="A4852" s="0" t="n">
        <v>4851</v>
      </c>
      <c r="B4852" s="14" t="n">
        <v>101909.153899876</v>
      </c>
      <c r="C4852" s="15" t="n">
        <v>0.200139612434803</v>
      </c>
      <c r="D4852" s="14" t="n">
        <f aca="false">Summary!$B$5-B4852</f>
        <v>-1909.1538998756</v>
      </c>
      <c r="E4852" s="15" t="n">
        <f aca="false">B4852/Summary!$B$5-1</f>
        <v>0.019091538998756</v>
      </c>
    </row>
    <row r="4853" customFormat="false" ht="15" hidden="false" customHeight="false" outlineLevel="0" collapsed="false">
      <c r="A4853" s="0" t="n">
        <v>4852</v>
      </c>
      <c r="B4853" s="14" t="n">
        <v>97951.42947773</v>
      </c>
      <c r="C4853" s="15" t="n">
        <v>0.115941028566109</v>
      </c>
      <c r="D4853" s="14" t="n">
        <f aca="false">Summary!$B$5-B4853</f>
        <v>2048.57052226996</v>
      </c>
      <c r="E4853" s="15" t="n">
        <f aca="false">B4853/Summary!$B$5-1</f>
        <v>-0.0204857052226997</v>
      </c>
    </row>
    <row r="4854" customFormat="false" ht="15" hidden="false" customHeight="false" outlineLevel="0" collapsed="false">
      <c r="A4854" s="0" t="n">
        <v>4853</v>
      </c>
      <c r="B4854" s="14" t="n">
        <v>96891.8341077921</v>
      </c>
      <c r="C4854" s="15" t="n">
        <v>0.144746855842352</v>
      </c>
      <c r="D4854" s="14" t="n">
        <f aca="false">Summary!$B$5-B4854</f>
        <v>3108.16589220794</v>
      </c>
      <c r="E4854" s="15" t="n">
        <f aca="false">B4854/Summary!$B$5-1</f>
        <v>-0.0310816589220794</v>
      </c>
    </row>
    <row r="4855" customFormat="false" ht="15" hidden="false" customHeight="false" outlineLevel="0" collapsed="false">
      <c r="A4855" s="0" t="n">
        <v>4854</v>
      </c>
      <c r="B4855" s="14" t="n">
        <v>103529.449765626</v>
      </c>
      <c r="C4855" s="15" t="n">
        <v>0.118054545472272</v>
      </c>
      <c r="D4855" s="14" t="n">
        <f aca="false">Summary!$B$5-B4855</f>
        <v>-3529.4497656264</v>
      </c>
      <c r="E4855" s="15" t="n">
        <f aca="false">B4855/Summary!$B$5-1</f>
        <v>0.0352944976562639</v>
      </c>
    </row>
    <row r="4856" customFormat="false" ht="15" hidden="false" customHeight="false" outlineLevel="0" collapsed="false">
      <c r="A4856" s="0" t="n">
        <v>4855</v>
      </c>
      <c r="B4856" s="14" t="n">
        <v>107404.811104333</v>
      </c>
      <c r="C4856" s="15" t="n">
        <v>0.108419125136459</v>
      </c>
      <c r="D4856" s="14" t="n">
        <f aca="false">Summary!$B$5-B4856</f>
        <v>-7404.8111043329</v>
      </c>
      <c r="E4856" s="15" t="n">
        <f aca="false">B4856/Summary!$B$5-1</f>
        <v>0.0740481110433289</v>
      </c>
    </row>
    <row r="4857" customFormat="false" ht="15" hidden="false" customHeight="false" outlineLevel="0" collapsed="false">
      <c r="A4857" s="0" t="n">
        <v>4856</v>
      </c>
      <c r="B4857" s="14" t="n">
        <v>99605.5451060847</v>
      </c>
      <c r="C4857" s="15" t="n">
        <v>0.169132916846282</v>
      </c>
      <c r="D4857" s="14" t="n">
        <f aca="false">Summary!$B$5-B4857</f>
        <v>394.454893915332</v>
      </c>
      <c r="E4857" s="15" t="n">
        <f aca="false">B4857/Summary!$B$5-1</f>
        <v>-0.0039445489391533</v>
      </c>
    </row>
    <row r="4858" customFormat="false" ht="15" hidden="false" customHeight="false" outlineLevel="0" collapsed="false">
      <c r="A4858" s="0" t="n">
        <v>4857</v>
      </c>
      <c r="B4858" s="14" t="n">
        <v>105324.684940871</v>
      </c>
      <c r="C4858" s="15" t="n">
        <v>0.155631111623612</v>
      </c>
      <c r="D4858" s="14" t="n">
        <f aca="false">Summary!$B$5-B4858</f>
        <v>-5324.6849408706</v>
      </c>
      <c r="E4858" s="15" t="n">
        <f aca="false">B4858/Summary!$B$5-1</f>
        <v>0.0532468494087059</v>
      </c>
    </row>
    <row r="4859" customFormat="false" ht="15" hidden="false" customHeight="false" outlineLevel="0" collapsed="false">
      <c r="A4859" s="0" t="n">
        <v>4858</v>
      </c>
      <c r="B4859" s="14" t="n">
        <v>93844.1964837996</v>
      </c>
      <c r="C4859" s="15" t="n">
        <v>0.133410773425748</v>
      </c>
      <c r="D4859" s="14" t="n">
        <f aca="false">Summary!$B$5-B4859</f>
        <v>6155.80351620039</v>
      </c>
      <c r="E4859" s="15" t="n">
        <f aca="false">B4859/Summary!$B$5-1</f>
        <v>-0.061558035162004</v>
      </c>
    </row>
    <row r="4860" customFormat="false" ht="15" hidden="false" customHeight="false" outlineLevel="0" collapsed="false">
      <c r="A4860" s="0" t="n">
        <v>4859</v>
      </c>
      <c r="B4860" s="14" t="n">
        <v>122287.599767808</v>
      </c>
      <c r="C4860" s="15" t="n">
        <v>0.0797310714468575</v>
      </c>
      <c r="D4860" s="14" t="n">
        <f aca="false">Summary!$B$5-B4860</f>
        <v>-22287.5997678084</v>
      </c>
      <c r="E4860" s="15" t="n">
        <f aca="false">B4860/Summary!$B$5-1</f>
        <v>0.222875997678084</v>
      </c>
    </row>
    <row r="4861" customFormat="false" ht="15" hidden="false" customHeight="false" outlineLevel="0" collapsed="false">
      <c r="A4861" s="0" t="n">
        <v>4860</v>
      </c>
      <c r="B4861" s="14" t="n">
        <v>95669.7701094368</v>
      </c>
      <c r="C4861" s="15" t="n">
        <v>0.142223945558208</v>
      </c>
      <c r="D4861" s="14" t="n">
        <f aca="false">Summary!$B$5-B4861</f>
        <v>4330.22989056321</v>
      </c>
      <c r="E4861" s="15" t="n">
        <f aca="false">B4861/Summary!$B$5-1</f>
        <v>-0.0433022989056321</v>
      </c>
    </row>
    <row r="4862" customFormat="false" ht="15" hidden="false" customHeight="false" outlineLevel="0" collapsed="false">
      <c r="A4862" s="0" t="n">
        <v>4861</v>
      </c>
      <c r="B4862" s="14" t="n">
        <v>109058.413765264</v>
      </c>
      <c r="C4862" s="15" t="n">
        <v>0.0968218430876554</v>
      </c>
      <c r="D4862" s="14" t="n">
        <f aca="false">Summary!$B$5-B4862</f>
        <v>-9058.4137652643</v>
      </c>
      <c r="E4862" s="15" t="n">
        <f aca="false">B4862/Summary!$B$5-1</f>
        <v>0.0905841376526431</v>
      </c>
    </row>
    <row r="4863" customFormat="false" ht="15" hidden="false" customHeight="false" outlineLevel="0" collapsed="false">
      <c r="A4863" s="0" t="n">
        <v>4862</v>
      </c>
      <c r="B4863" s="14" t="n">
        <v>121802.544484333</v>
      </c>
      <c r="C4863" s="15" t="n">
        <v>0.103583350820711</v>
      </c>
      <c r="D4863" s="14" t="n">
        <f aca="false">Summary!$B$5-B4863</f>
        <v>-21802.5444843333</v>
      </c>
      <c r="E4863" s="15" t="n">
        <f aca="false">B4863/Summary!$B$5-1</f>
        <v>0.218025444843333</v>
      </c>
    </row>
    <row r="4864" customFormat="false" ht="15" hidden="false" customHeight="false" outlineLevel="0" collapsed="false">
      <c r="A4864" s="0" t="n">
        <v>4863</v>
      </c>
      <c r="B4864" s="14" t="n">
        <v>107543.088465394</v>
      </c>
      <c r="C4864" s="15" t="n">
        <v>0.0675564082633019</v>
      </c>
      <c r="D4864" s="14" t="n">
        <f aca="false">Summary!$B$5-B4864</f>
        <v>-7543.088465394</v>
      </c>
      <c r="E4864" s="15" t="n">
        <f aca="false">B4864/Summary!$B$5-1</f>
        <v>0.07543088465394</v>
      </c>
    </row>
    <row r="4865" customFormat="false" ht="15" hidden="false" customHeight="false" outlineLevel="0" collapsed="false">
      <c r="A4865" s="0" t="n">
        <v>4864</v>
      </c>
      <c r="B4865" s="14" t="n">
        <v>120171.637010826</v>
      </c>
      <c r="C4865" s="15" t="n">
        <v>0.0818142154885438</v>
      </c>
      <c r="D4865" s="14" t="n">
        <f aca="false">Summary!$B$5-B4865</f>
        <v>-20171.6370108257</v>
      </c>
      <c r="E4865" s="15" t="n">
        <f aca="false">B4865/Summary!$B$5-1</f>
        <v>0.201716370108257</v>
      </c>
    </row>
    <row r="4866" customFormat="false" ht="15" hidden="false" customHeight="false" outlineLevel="0" collapsed="false">
      <c r="A4866" s="0" t="n">
        <v>4865</v>
      </c>
      <c r="B4866" s="14" t="n">
        <v>98265.4973076944</v>
      </c>
      <c r="C4866" s="15" t="n">
        <v>0.134390907181713</v>
      </c>
      <c r="D4866" s="14" t="n">
        <f aca="false">Summary!$B$5-B4866</f>
        <v>1734.5026923056</v>
      </c>
      <c r="E4866" s="15" t="n">
        <f aca="false">B4866/Summary!$B$5-1</f>
        <v>-0.017345026923056</v>
      </c>
    </row>
    <row r="4867" customFormat="false" ht="15" hidden="false" customHeight="false" outlineLevel="0" collapsed="false">
      <c r="A4867" s="0" t="n">
        <v>4866</v>
      </c>
      <c r="B4867" s="14" t="n">
        <v>110288.169114434</v>
      </c>
      <c r="C4867" s="15" t="n">
        <v>0.108871981380646</v>
      </c>
      <c r="D4867" s="14" t="n">
        <f aca="false">Summary!$B$5-B4867</f>
        <v>-10288.1691144335</v>
      </c>
      <c r="E4867" s="15" t="n">
        <f aca="false">B4867/Summary!$B$5-1</f>
        <v>0.102881691144335</v>
      </c>
    </row>
    <row r="4868" customFormat="false" ht="15" hidden="false" customHeight="false" outlineLevel="0" collapsed="false">
      <c r="A4868" s="0" t="n">
        <v>4867</v>
      </c>
      <c r="B4868" s="14" t="n">
        <v>125262.811015497</v>
      </c>
      <c r="C4868" s="15" t="n">
        <v>0.0625309706932951</v>
      </c>
      <c r="D4868" s="14" t="n">
        <f aca="false">Summary!$B$5-B4868</f>
        <v>-25262.8110154973</v>
      </c>
      <c r="E4868" s="15" t="n">
        <f aca="false">B4868/Summary!$B$5-1</f>
        <v>0.252628110154973</v>
      </c>
    </row>
    <row r="4869" customFormat="false" ht="15" hidden="false" customHeight="false" outlineLevel="0" collapsed="false">
      <c r="A4869" s="0" t="n">
        <v>4868</v>
      </c>
      <c r="B4869" s="14" t="n">
        <v>114672.096289711</v>
      </c>
      <c r="C4869" s="15" t="n">
        <v>0.103528559840118</v>
      </c>
      <c r="D4869" s="14" t="n">
        <f aca="false">Summary!$B$5-B4869</f>
        <v>-14672.0962897112</v>
      </c>
      <c r="E4869" s="15" t="n">
        <f aca="false">B4869/Summary!$B$5-1</f>
        <v>0.146720962897112</v>
      </c>
    </row>
    <row r="4870" customFormat="false" ht="15" hidden="false" customHeight="false" outlineLevel="0" collapsed="false">
      <c r="A4870" s="0" t="n">
        <v>4869</v>
      </c>
      <c r="B4870" s="14" t="n">
        <v>112005.927016508</v>
      </c>
      <c r="C4870" s="15" t="n">
        <v>0.0788333524697025</v>
      </c>
      <c r="D4870" s="14" t="n">
        <f aca="false">Summary!$B$5-B4870</f>
        <v>-12005.9270165077</v>
      </c>
      <c r="E4870" s="15" t="n">
        <f aca="false">B4870/Summary!$B$5-1</f>
        <v>0.120059270165077</v>
      </c>
    </row>
    <row r="4871" customFormat="false" ht="15" hidden="false" customHeight="false" outlineLevel="0" collapsed="false">
      <c r="A4871" s="0" t="n">
        <v>4870</v>
      </c>
      <c r="B4871" s="14" t="n">
        <v>105539.909129068</v>
      </c>
      <c r="C4871" s="15" t="n">
        <v>0.128822428449916</v>
      </c>
      <c r="D4871" s="14" t="n">
        <f aca="false">Summary!$B$5-B4871</f>
        <v>-5539.9091290676</v>
      </c>
      <c r="E4871" s="15" t="n">
        <f aca="false">B4871/Summary!$B$5-1</f>
        <v>0.0553990912906761</v>
      </c>
    </row>
    <row r="4872" customFormat="false" ht="15" hidden="false" customHeight="false" outlineLevel="0" collapsed="false">
      <c r="A4872" s="0" t="n">
        <v>4871</v>
      </c>
      <c r="B4872" s="14" t="n">
        <v>126669.218751565</v>
      </c>
      <c r="C4872" s="15" t="n">
        <v>0.0440390638047178</v>
      </c>
      <c r="D4872" s="14" t="n">
        <f aca="false">Summary!$B$5-B4872</f>
        <v>-26669.2187515645</v>
      </c>
      <c r="E4872" s="15" t="n">
        <f aca="false">B4872/Summary!$B$5-1</f>
        <v>0.266692187515645</v>
      </c>
    </row>
    <row r="4873" customFormat="false" ht="15" hidden="false" customHeight="false" outlineLevel="0" collapsed="false">
      <c r="A4873" s="0" t="n">
        <v>4872</v>
      </c>
      <c r="B4873" s="14" t="n">
        <v>109365.57911747</v>
      </c>
      <c r="C4873" s="15" t="n">
        <v>0.104453368492738</v>
      </c>
      <c r="D4873" s="14" t="n">
        <f aca="false">Summary!$B$5-B4873</f>
        <v>-9365.5791174701</v>
      </c>
      <c r="E4873" s="15" t="n">
        <f aca="false">B4873/Summary!$B$5-1</f>
        <v>0.0936557911747009</v>
      </c>
    </row>
    <row r="4874" customFormat="false" ht="15" hidden="false" customHeight="false" outlineLevel="0" collapsed="false">
      <c r="A4874" s="0" t="n">
        <v>4873</v>
      </c>
      <c r="B4874" s="14" t="n">
        <v>100805.756504525</v>
      </c>
      <c r="C4874" s="15" t="n">
        <v>0.102113053909009</v>
      </c>
      <c r="D4874" s="14" t="n">
        <f aca="false">Summary!$B$5-B4874</f>
        <v>-805.756504524703</v>
      </c>
      <c r="E4874" s="15" t="n">
        <f aca="false">B4874/Summary!$B$5-1</f>
        <v>0.00805756504524702</v>
      </c>
    </row>
    <row r="4875" customFormat="false" ht="15" hidden="false" customHeight="false" outlineLevel="0" collapsed="false">
      <c r="A4875" s="0" t="n">
        <v>4874</v>
      </c>
      <c r="B4875" s="14" t="n">
        <v>103857.193477341</v>
      </c>
      <c r="C4875" s="15" t="n">
        <v>0.0962894506566739</v>
      </c>
      <c r="D4875" s="14" t="n">
        <f aca="false">Summary!$B$5-B4875</f>
        <v>-3857.19347734121</v>
      </c>
      <c r="E4875" s="15" t="n">
        <f aca="false">B4875/Summary!$B$5-1</f>
        <v>0.0385719347734121</v>
      </c>
    </row>
    <row r="4876" customFormat="false" ht="15" hidden="false" customHeight="false" outlineLevel="0" collapsed="false">
      <c r="A4876" s="0" t="n">
        <v>4875</v>
      </c>
      <c r="B4876" s="14" t="n">
        <v>112624.876225301</v>
      </c>
      <c r="C4876" s="15" t="n">
        <v>0.0826750451390672</v>
      </c>
      <c r="D4876" s="14" t="n">
        <f aca="false">Summary!$B$5-B4876</f>
        <v>-12624.8762253012</v>
      </c>
      <c r="E4876" s="15" t="n">
        <f aca="false">B4876/Summary!$B$5-1</f>
        <v>0.126248762253012</v>
      </c>
    </row>
    <row r="4877" customFormat="false" ht="15" hidden="false" customHeight="false" outlineLevel="0" collapsed="false">
      <c r="A4877" s="0" t="n">
        <v>4876</v>
      </c>
      <c r="B4877" s="14" t="n">
        <v>104967.15062461</v>
      </c>
      <c r="C4877" s="15" t="n">
        <v>0.0911376536015827</v>
      </c>
      <c r="D4877" s="14" t="n">
        <f aca="false">Summary!$B$5-B4877</f>
        <v>-4967.1506246097</v>
      </c>
      <c r="E4877" s="15" t="n">
        <f aca="false">B4877/Summary!$B$5-1</f>
        <v>0.0496715062460971</v>
      </c>
    </row>
    <row r="4878" customFormat="false" ht="15" hidden="false" customHeight="false" outlineLevel="0" collapsed="false">
      <c r="A4878" s="0" t="n">
        <v>4877</v>
      </c>
      <c r="B4878" s="14" t="n">
        <v>98421.0239784432</v>
      </c>
      <c r="C4878" s="15" t="n">
        <v>0.120229452656292</v>
      </c>
      <c r="D4878" s="14" t="n">
        <f aca="false">Summary!$B$5-B4878</f>
        <v>1578.97602155685</v>
      </c>
      <c r="E4878" s="15" t="n">
        <f aca="false">B4878/Summary!$B$5-1</f>
        <v>-0.0157897602155686</v>
      </c>
    </row>
    <row r="4879" customFormat="false" ht="15" hidden="false" customHeight="false" outlineLevel="0" collapsed="false">
      <c r="A4879" s="0" t="n">
        <v>4878</v>
      </c>
      <c r="B4879" s="14" t="n">
        <v>118739.938561066</v>
      </c>
      <c r="C4879" s="15" t="n">
        <v>0.0816505996053017</v>
      </c>
      <c r="D4879" s="14" t="n">
        <f aca="false">Summary!$B$5-B4879</f>
        <v>-18739.9385610656</v>
      </c>
      <c r="E4879" s="15" t="n">
        <f aca="false">B4879/Summary!$B$5-1</f>
        <v>0.187399385610656</v>
      </c>
    </row>
    <row r="4880" customFormat="false" ht="15" hidden="false" customHeight="false" outlineLevel="0" collapsed="false">
      <c r="A4880" s="0" t="n">
        <v>4879</v>
      </c>
      <c r="B4880" s="14" t="n">
        <v>130688.400309371</v>
      </c>
      <c r="C4880" s="15" t="n">
        <v>0.0636408174680012</v>
      </c>
      <c r="D4880" s="14" t="n">
        <f aca="false">Summary!$B$5-B4880</f>
        <v>-30688.4003093714</v>
      </c>
      <c r="E4880" s="15" t="n">
        <f aca="false">B4880/Summary!$B$5-1</f>
        <v>0.306884003093714</v>
      </c>
    </row>
    <row r="4881" customFormat="false" ht="15" hidden="false" customHeight="false" outlineLevel="0" collapsed="false">
      <c r="A4881" s="0" t="n">
        <v>4880</v>
      </c>
      <c r="B4881" s="14" t="n">
        <v>96881.2237428228</v>
      </c>
      <c r="C4881" s="15" t="n">
        <v>0.170188234658384</v>
      </c>
      <c r="D4881" s="14" t="n">
        <f aca="false">Summary!$B$5-B4881</f>
        <v>3118.77625717717</v>
      </c>
      <c r="E4881" s="15" t="n">
        <f aca="false">B4881/Summary!$B$5-1</f>
        <v>-0.0311877625717717</v>
      </c>
    </row>
    <row r="4882" customFormat="false" ht="15" hidden="false" customHeight="false" outlineLevel="0" collapsed="false">
      <c r="A4882" s="0" t="n">
        <v>4881</v>
      </c>
      <c r="B4882" s="14" t="n">
        <v>98562.0239133348</v>
      </c>
      <c r="C4882" s="15" t="n">
        <v>0.141553908971596</v>
      </c>
      <c r="D4882" s="14" t="n">
        <f aca="false">Summary!$B$5-B4882</f>
        <v>1437.97608666524</v>
      </c>
      <c r="E4882" s="15" t="n">
        <f aca="false">B4882/Summary!$B$5-1</f>
        <v>-0.0143797608666524</v>
      </c>
    </row>
    <row r="4883" customFormat="false" ht="15" hidden="false" customHeight="false" outlineLevel="0" collapsed="false">
      <c r="A4883" s="0" t="n">
        <v>4882</v>
      </c>
      <c r="B4883" s="14" t="n">
        <v>104540.684761113</v>
      </c>
      <c r="C4883" s="15" t="n">
        <v>0.0827770540769456</v>
      </c>
      <c r="D4883" s="14" t="n">
        <f aca="false">Summary!$B$5-B4883</f>
        <v>-4540.6847611134</v>
      </c>
      <c r="E4883" s="15" t="n">
        <f aca="false">B4883/Summary!$B$5-1</f>
        <v>0.045406847611134</v>
      </c>
    </row>
    <row r="4884" customFormat="false" ht="15" hidden="false" customHeight="false" outlineLevel="0" collapsed="false">
      <c r="A4884" s="0" t="n">
        <v>4883</v>
      </c>
      <c r="B4884" s="14" t="n">
        <v>127310.182508016</v>
      </c>
      <c r="C4884" s="15" t="n">
        <v>0.111596629387356</v>
      </c>
      <c r="D4884" s="14" t="n">
        <f aca="false">Summary!$B$5-B4884</f>
        <v>-27310.1825080163</v>
      </c>
      <c r="E4884" s="15" t="n">
        <f aca="false">B4884/Summary!$B$5-1</f>
        <v>0.273101825080163</v>
      </c>
    </row>
    <row r="4885" customFormat="false" ht="15" hidden="false" customHeight="false" outlineLevel="0" collapsed="false">
      <c r="A4885" s="0" t="n">
        <v>4884</v>
      </c>
      <c r="B4885" s="14" t="n">
        <v>103677.834675292</v>
      </c>
      <c r="C4885" s="15" t="n">
        <v>0.130083132696836</v>
      </c>
      <c r="D4885" s="14" t="n">
        <f aca="false">Summary!$B$5-B4885</f>
        <v>-3677.83467529219</v>
      </c>
      <c r="E4885" s="15" t="n">
        <f aca="false">B4885/Summary!$B$5-1</f>
        <v>0.0367783467529219</v>
      </c>
    </row>
    <row r="4886" customFormat="false" ht="15" hidden="false" customHeight="false" outlineLevel="0" collapsed="false">
      <c r="A4886" s="0" t="n">
        <v>4885</v>
      </c>
      <c r="B4886" s="14" t="n">
        <v>112885.751315188</v>
      </c>
      <c r="C4886" s="15" t="n">
        <v>0.0553774456759854</v>
      </c>
      <c r="D4886" s="14" t="n">
        <f aca="false">Summary!$B$5-B4886</f>
        <v>-12885.7513151884</v>
      </c>
      <c r="E4886" s="15" t="n">
        <f aca="false">B4886/Summary!$B$5-1</f>
        <v>0.128857513151884</v>
      </c>
    </row>
    <row r="4887" customFormat="false" ht="15" hidden="false" customHeight="false" outlineLevel="0" collapsed="false">
      <c r="A4887" s="0" t="n">
        <v>4886</v>
      </c>
      <c r="B4887" s="14" t="n">
        <v>137895.132831799</v>
      </c>
      <c r="C4887" s="15" t="n">
        <v>0.0608624429550478</v>
      </c>
      <c r="D4887" s="14" t="n">
        <f aca="false">Summary!$B$5-B4887</f>
        <v>-37895.1328317992</v>
      </c>
      <c r="E4887" s="15" t="n">
        <f aca="false">B4887/Summary!$B$5-1</f>
        <v>0.378951328317992</v>
      </c>
    </row>
    <row r="4888" customFormat="false" ht="15" hidden="false" customHeight="false" outlineLevel="0" collapsed="false">
      <c r="A4888" s="0" t="n">
        <v>4887</v>
      </c>
      <c r="B4888" s="14" t="n">
        <v>96714.2777033736</v>
      </c>
      <c r="C4888" s="15" t="n">
        <v>0.074668996843134</v>
      </c>
      <c r="D4888" s="14" t="n">
        <f aca="false">Summary!$B$5-B4888</f>
        <v>3285.72229662645</v>
      </c>
      <c r="E4888" s="15" t="n">
        <f aca="false">B4888/Summary!$B$5-1</f>
        <v>-0.0328572229662645</v>
      </c>
    </row>
    <row r="4889" customFormat="false" ht="15" hidden="false" customHeight="false" outlineLevel="0" collapsed="false">
      <c r="A4889" s="0" t="n">
        <v>4888</v>
      </c>
      <c r="B4889" s="14" t="n">
        <v>130273.923931196</v>
      </c>
      <c r="C4889" s="15" t="n">
        <v>0.0577197896463636</v>
      </c>
      <c r="D4889" s="14" t="n">
        <f aca="false">Summary!$B$5-B4889</f>
        <v>-30273.9239311956</v>
      </c>
      <c r="E4889" s="15" t="n">
        <f aca="false">B4889/Summary!$B$5-1</f>
        <v>0.302739239311956</v>
      </c>
    </row>
    <row r="4890" customFormat="false" ht="15" hidden="false" customHeight="false" outlineLevel="0" collapsed="false">
      <c r="A4890" s="0" t="n">
        <v>4889</v>
      </c>
      <c r="B4890" s="14" t="n">
        <v>112505.109111778</v>
      </c>
      <c r="C4890" s="15" t="n">
        <v>0.0547208914364908</v>
      </c>
      <c r="D4890" s="14" t="n">
        <f aca="false">Summary!$B$5-B4890</f>
        <v>-12505.1091117776</v>
      </c>
      <c r="E4890" s="15" t="n">
        <f aca="false">B4890/Summary!$B$5-1</f>
        <v>0.125051091117776</v>
      </c>
    </row>
    <row r="4891" customFormat="false" ht="15" hidden="false" customHeight="false" outlineLevel="0" collapsed="false">
      <c r="A4891" s="0" t="n">
        <v>4890</v>
      </c>
      <c r="B4891" s="14" t="n">
        <v>96966.8207998928</v>
      </c>
      <c r="C4891" s="15" t="n">
        <v>0.157971909124586</v>
      </c>
      <c r="D4891" s="14" t="n">
        <f aca="false">Summary!$B$5-B4891</f>
        <v>3033.1792001072</v>
      </c>
      <c r="E4891" s="15" t="n">
        <f aca="false">B4891/Summary!$B$5-1</f>
        <v>-0.0303317920010721</v>
      </c>
    </row>
    <row r="4892" customFormat="false" ht="15" hidden="false" customHeight="false" outlineLevel="0" collapsed="false">
      <c r="A4892" s="0" t="n">
        <v>4891</v>
      </c>
      <c r="B4892" s="14" t="n">
        <v>131425.177093392</v>
      </c>
      <c r="C4892" s="15" t="n">
        <v>0.0933003078910876</v>
      </c>
      <c r="D4892" s="14" t="n">
        <f aca="false">Summary!$B$5-B4892</f>
        <v>-31425.1770933915</v>
      </c>
      <c r="E4892" s="15" t="n">
        <f aca="false">B4892/Summary!$B$5-1</f>
        <v>0.314251770933915</v>
      </c>
    </row>
    <row r="4893" customFormat="false" ht="15" hidden="false" customHeight="false" outlineLevel="0" collapsed="false">
      <c r="A4893" s="0" t="n">
        <v>4892</v>
      </c>
      <c r="B4893" s="14" t="n">
        <v>101241.018392317</v>
      </c>
      <c r="C4893" s="15" t="n">
        <v>0.0930374187316655</v>
      </c>
      <c r="D4893" s="14" t="n">
        <f aca="false">Summary!$B$5-B4893</f>
        <v>-1241.018392317</v>
      </c>
      <c r="E4893" s="15" t="n">
        <f aca="false">B4893/Summary!$B$5-1</f>
        <v>0.0124101839231701</v>
      </c>
    </row>
    <row r="4894" customFormat="false" ht="15" hidden="false" customHeight="false" outlineLevel="0" collapsed="false">
      <c r="A4894" s="0" t="n">
        <v>4893</v>
      </c>
      <c r="B4894" s="14" t="n">
        <v>117511.697186622</v>
      </c>
      <c r="C4894" s="15" t="n">
        <v>0.0856858273862128</v>
      </c>
      <c r="D4894" s="14" t="n">
        <f aca="false">Summary!$B$5-B4894</f>
        <v>-17511.6971866223</v>
      </c>
      <c r="E4894" s="15" t="n">
        <f aca="false">B4894/Summary!$B$5-1</f>
        <v>0.175116971866223</v>
      </c>
    </row>
    <row r="4895" customFormat="false" ht="15" hidden="false" customHeight="false" outlineLevel="0" collapsed="false">
      <c r="A4895" s="0" t="n">
        <v>4894</v>
      </c>
      <c r="B4895" s="14" t="n">
        <v>120111.678238124</v>
      </c>
      <c r="C4895" s="15" t="n">
        <v>0.0665512432816522</v>
      </c>
      <c r="D4895" s="14" t="n">
        <f aca="false">Summary!$B$5-B4895</f>
        <v>-20111.678238124</v>
      </c>
      <c r="E4895" s="15" t="n">
        <f aca="false">B4895/Summary!$B$5-1</f>
        <v>0.20111678238124</v>
      </c>
    </row>
    <row r="4896" customFormat="false" ht="15" hidden="false" customHeight="false" outlineLevel="0" collapsed="false">
      <c r="A4896" s="0" t="n">
        <v>4895</v>
      </c>
      <c r="B4896" s="14" t="n">
        <v>108107.377973189</v>
      </c>
      <c r="C4896" s="15" t="n">
        <v>0.0843170157895333</v>
      </c>
      <c r="D4896" s="14" t="n">
        <f aca="false">Summary!$B$5-B4896</f>
        <v>-8107.3779731886</v>
      </c>
      <c r="E4896" s="15" t="n">
        <f aca="false">B4896/Summary!$B$5-1</f>
        <v>0.0810737797318861</v>
      </c>
    </row>
    <row r="4897" customFormat="false" ht="15" hidden="false" customHeight="false" outlineLevel="0" collapsed="false">
      <c r="A4897" s="0" t="n">
        <v>4896</v>
      </c>
      <c r="B4897" s="14" t="n">
        <v>100269.4210706</v>
      </c>
      <c r="C4897" s="15" t="n">
        <v>0.0987938702538187</v>
      </c>
      <c r="D4897" s="14" t="n">
        <f aca="false">Summary!$B$5-B4897</f>
        <v>-269.421070599507</v>
      </c>
      <c r="E4897" s="15" t="n">
        <f aca="false">B4897/Summary!$B$5-1</f>
        <v>0.00269421070599507</v>
      </c>
    </row>
    <row r="4898" customFormat="false" ht="15" hidden="false" customHeight="false" outlineLevel="0" collapsed="false">
      <c r="A4898" s="0" t="n">
        <v>4897</v>
      </c>
      <c r="B4898" s="14" t="n">
        <v>120320.198256861</v>
      </c>
      <c r="C4898" s="15" t="n">
        <v>0.0843270400498143</v>
      </c>
      <c r="D4898" s="14" t="n">
        <f aca="false">Summary!$B$5-B4898</f>
        <v>-20320.1982568608</v>
      </c>
      <c r="E4898" s="15" t="n">
        <f aca="false">B4898/Summary!$B$5-1</f>
        <v>0.203201982568608</v>
      </c>
    </row>
    <row r="4899" customFormat="false" ht="15" hidden="false" customHeight="false" outlineLevel="0" collapsed="false">
      <c r="A4899" s="0" t="n">
        <v>4898</v>
      </c>
      <c r="B4899" s="14" t="n">
        <v>108412.65654517</v>
      </c>
      <c r="C4899" s="15" t="n">
        <v>0.0840171449609991</v>
      </c>
      <c r="D4899" s="14" t="n">
        <f aca="false">Summary!$B$5-B4899</f>
        <v>-8412.6565451697</v>
      </c>
      <c r="E4899" s="15" t="n">
        <f aca="false">B4899/Summary!$B$5-1</f>
        <v>0.0841265654516969</v>
      </c>
    </row>
    <row r="4900" customFormat="false" ht="15" hidden="false" customHeight="false" outlineLevel="0" collapsed="false">
      <c r="A4900" s="0" t="n">
        <v>4899</v>
      </c>
      <c r="B4900" s="14" t="n">
        <v>114588.697942847</v>
      </c>
      <c r="C4900" s="15" t="n">
        <v>0.0532286072881516</v>
      </c>
      <c r="D4900" s="14" t="n">
        <f aca="false">Summary!$B$5-B4900</f>
        <v>-14588.697942847</v>
      </c>
      <c r="E4900" s="15" t="n">
        <f aca="false">B4900/Summary!$B$5-1</f>
        <v>0.14588697942847</v>
      </c>
    </row>
    <row r="4901" customFormat="false" ht="15" hidden="false" customHeight="false" outlineLevel="0" collapsed="false">
      <c r="A4901" s="0" t="n">
        <v>4900</v>
      </c>
      <c r="B4901" s="14" t="n">
        <v>96207.9839318391</v>
      </c>
      <c r="C4901" s="15" t="n">
        <v>0.138426141804119</v>
      </c>
      <c r="D4901" s="14" t="n">
        <f aca="false">Summary!$B$5-B4901</f>
        <v>3792.01606816088</v>
      </c>
      <c r="E4901" s="15" t="n">
        <f aca="false">B4901/Summary!$B$5-1</f>
        <v>-0.0379201606816089</v>
      </c>
    </row>
    <row r="4902" customFormat="false" ht="15" hidden="false" customHeight="false" outlineLevel="0" collapsed="false">
      <c r="A4902" s="0" t="n">
        <v>4901</v>
      </c>
      <c r="B4902" s="14" t="n">
        <v>128832.498537014</v>
      </c>
      <c r="C4902" s="15" t="n">
        <v>0.138472744543141</v>
      </c>
      <c r="D4902" s="14" t="n">
        <f aca="false">Summary!$B$5-B4902</f>
        <v>-28832.4985370139</v>
      </c>
      <c r="E4902" s="15" t="n">
        <f aca="false">B4902/Summary!$B$5-1</f>
        <v>0.288324985370139</v>
      </c>
    </row>
    <row r="4903" customFormat="false" ht="15" hidden="false" customHeight="false" outlineLevel="0" collapsed="false">
      <c r="A4903" s="0" t="n">
        <v>4902</v>
      </c>
      <c r="B4903" s="14" t="n">
        <v>123755.055349816</v>
      </c>
      <c r="C4903" s="15" t="n">
        <v>0.0670208607850961</v>
      </c>
      <c r="D4903" s="14" t="n">
        <f aca="false">Summary!$B$5-B4903</f>
        <v>-23755.0553498158</v>
      </c>
      <c r="E4903" s="15" t="n">
        <f aca="false">B4903/Summary!$B$5-1</f>
        <v>0.237550553498158</v>
      </c>
    </row>
    <row r="4904" customFormat="false" ht="15" hidden="false" customHeight="false" outlineLevel="0" collapsed="false">
      <c r="A4904" s="0" t="n">
        <v>4903</v>
      </c>
      <c r="B4904" s="14" t="n">
        <v>92823.815075482</v>
      </c>
      <c r="C4904" s="15" t="n">
        <v>0.134394544843403</v>
      </c>
      <c r="D4904" s="14" t="n">
        <f aca="false">Summary!$B$5-B4904</f>
        <v>7176.18492451798</v>
      </c>
      <c r="E4904" s="15" t="n">
        <f aca="false">B4904/Summary!$B$5-1</f>
        <v>-0.0717618492451798</v>
      </c>
    </row>
    <row r="4905" customFormat="false" ht="15" hidden="false" customHeight="false" outlineLevel="0" collapsed="false">
      <c r="A4905" s="0" t="n">
        <v>4904</v>
      </c>
      <c r="B4905" s="14" t="n">
        <v>82747.5042831</v>
      </c>
      <c r="C4905" s="15" t="n">
        <v>0.210990179873828</v>
      </c>
      <c r="D4905" s="14" t="n">
        <f aca="false">Summary!$B$5-B4905</f>
        <v>17252.4957169</v>
      </c>
      <c r="E4905" s="15" t="n">
        <f aca="false">B4905/Summary!$B$5-1</f>
        <v>-0.172524957169</v>
      </c>
    </row>
    <row r="4906" customFormat="false" ht="15" hidden="false" customHeight="false" outlineLevel="0" collapsed="false">
      <c r="A4906" s="0" t="n">
        <v>4905</v>
      </c>
      <c r="B4906" s="14" t="n">
        <v>157683.166782091</v>
      </c>
      <c r="C4906" s="15" t="n">
        <v>0.067186516236118</v>
      </c>
      <c r="D4906" s="14" t="n">
        <f aca="false">Summary!$B$5-B4906</f>
        <v>-57683.1667820907</v>
      </c>
      <c r="E4906" s="15" t="n">
        <f aca="false">B4906/Summary!$B$5-1</f>
        <v>0.576831667820907</v>
      </c>
    </row>
    <row r="4907" customFormat="false" ht="15" hidden="false" customHeight="false" outlineLevel="0" collapsed="false">
      <c r="A4907" s="0" t="n">
        <v>4906</v>
      </c>
      <c r="B4907" s="14" t="n">
        <v>142606.3931548</v>
      </c>
      <c r="C4907" s="15" t="n">
        <v>0.0701662224490476</v>
      </c>
      <c r="D4907" s="14" t="n">
        <f aca="false">Summary!$B$5-B4907</f>
        <v>-42606.3931547996</v>
      </c>
      <c r="E4907" s="15" t="n">
        <f aca="false">B4907/Summary!$B$5-1</f>
        <v>0.426063931547996</v>
      </c>
    </row>
    <row r="4908" customFormat="false" ht="15" hidden="false" customHeight="false" outlineLevel="0" collapsed="false">
      <c r="A4908" s="0" t="n">
        <v>4907</v>
      </c>
      <c r="B4908" s="14" t="n">
        <v>102500.642880027</v>
      </c>
      <c r="C4908" s="15" t="n">
        <v>0.101598689454489</v>
      </c>
      <c r="D4908" s="14" t="n">
        <f aca="false">Summary!$B$5-B4908</f>
        <v>-2500.6428800272</v>
      </c>
      <c r="E4908" s="15" t="n">
        <f aca="false">B4908/Summary!$B$5-1</f>
        <v>0.025006428800272</v>
      </c>
    </row>
    <row r="4909" customFormat="false" ht="15" hidden="false" customHeight="false" outlineLevel="0" collapsed="false">
      <c r="A4909" s="0" t="n">
        <v>4908</v>
      </c>
      <c r="B4909" s="14" t="n">
        <v>100878.413870017</v>
      </c>
      <c r="C4909" s="15" t="n">
        <v>0.0936988908838596</v>
      </c>
      <c r="D4909" s="14" t="n">
        <f aca="false">Summary!$B$5-B4909</f>
        <v>-878.413870016797</v>
      </c>
      <c r="E4909" s="15" t="n">
        <f aca="false">B4909/Summary!$B$5-1</f>
        <v>0.00878413870016792</v>
      </c>
    </row>
    <row r="4910" customFormat="false" ht="15" hidden="false" customHeight="false" outlineLevel="0" collapsed="false">
      <c r="A4910" s="0" t="n">
        <v>4909</v>
      </c>
      <c r="B4910" s="14" t="n">
        <v>112342.056671695</v>
      </c>
      <c r="C4910" s="15" t="n">
        <v>0.0493980267979443</v>
      </c>
      <c r="D4910" s="14" t="n">
        <f aca="false">Summary!$B$5-B4910</f>
        <v>-12342.0566716946</v>
      </c>
      <c r="E4910" s="15" t="n">
        <f aca="false">B4910/Summary!$B$5-1</f>
        <v>0.123420566716946</v>
      </c>
    </row>
    <row r="4911" customFormat="false" ht="15" hidden="false" customHeight="false" outlineLevel="0" collapsed="false">
      <c r="A4911" s="0" t="n">
        <v>4910</v>
      </c>
      <c r="B4911" s="14" t="n">
        <v>131923.792035673</v>
      </c>
      <c r="C4911" s="15" t="n">
        <v>0.0480223171940313</v>
      </c>
      <c r="D4911" s="14" t="n">
        <f aca="false">Summary!$B$5-B4911</f>
        <v>-31923.7920356732</v>
      </c>
      <c r="E4911" s="15" t="n">
        <f aca="false">B4911/Summary!$B$5-1</f>
        <v>0.319237920356732</v>
      </c>
    </row>
    <row r="4912" customFormat="false" ht="15" hidden="false" customHeight="false" outlineLevel="0" collapsed="false">
      <c r="A4912" s="0" t="n">
        <v>4911</v>
      </c>
      <c r="B4912" s="14" t="n">
        <v>102816.395919011</v>
      </c>
      <c r="C4912" s="15" t="n">
        <v>0.0831925579410505</v>
      </c>
      <c r="D4912" s="14" t="n">
        <f aca="false">Summary!$B$5-B4912</f>
        <v>-2816.3959190107</v>
      </c>
      <c r="E4912" s="15" t="n">
        <f aca="false">B4912/Summary!$B$5-1</f>
        <v>0.0281639591901071</v>
      </c>
    </row>
    <row r="4913" customFormat="false" ht="15" hidden="false" customHeight="false" outlineLevel="0" collapsed="false">
      <c r="A4913" s="0" t="n">
        <v>4912</v>
      </c>
      <c r="B4913" s="14" t="n">
        <v>108668.402331693</v>
      </c>
      <c r="C4913" s="15" t="n">
        <v>0.0894254967043169</v>
      </c>
      <c r="D4913" s="14" t="n">
        <f aca="false">Summary!$B$5-B4913</f>
        <v>-8668.4023316934</v>
      </c>
      <c r="E4913" s="15" t="n">
        <f aca="false">B4913/Summary!$B$5-1</f>
        <v>0.0866840233169341</v>
      </c>
    </row>
    <row r="4914" customFormat="false" ht="15" hidden="false" customHeight="false" outlineLevel="0" collapsed="false">
      <c r="A4914" s="0" t="n">
        <v>4913</v>
      </c>
      <c r="B4914" s="14" t="n">
        <v>89523.0803859139</v>
      </c>
      <c r="C4914" s="15" t="n">
        <v>0.155211066408629</v>
      </c>
      <c r="D4914" s="14" t="n">
        <f aca="false">Summary!$B$5-B4914</f>
        <v>10476.9196140861</v>
      </c>
      <c r="E4914" s="15" t="n">
        <f aca="false">B4914/Summary!$B$5-1</f>
        <v>-0.104769196140861</v>
      </c>
    </row>
    <row r="4915" customFormat="false" ht="15" hidden="false" customHeight="false" outlineLevel="0" collapsed="false">
      <c r="A4915" s="0" t="n">
        <v>4914</v>
      </c>
      <c r="B4915" s="14" t="n">
        <v>95279.968990095</v>
      </c>
      <c r="C4915" s="15" t="n">
        <v>0.104673041189064</v>
      </c>
      <c r="D4915" s="14" t="n">
        <f aca="false">Summary!$B$5-B4915</f>
        <v>4720.03100990506</v>
      </c>
      <c r="E4915" s="15" t="n">
        <f aca="false">B4915/Summary!$B$5-1</f>
        <v>-0.0472003100990506</v>
      </c>
    </row>
    <row r="4916" customFormat="false" ht="15" hidden="false" customHeight="false" outlineLevel="0" collapsed="false">
      <c r="A4916" s="0" t="n">
        <v>4915</v>
      </c>
      <c r="B4916" s="14" t="n">
        <v>104636.231566775</v>
      </c>
      <c r="C4916" s="15" t="n">
        <v>0.167811946248406</v>
      </c>
      <c r="D4916" s="14" t="n">
        <f aca="false">Summary!$B$5-B4916</f>
        <v>-4636.2315667745</v>
      </c>
      <c r="E4916" s="15" t="n">
        <f aca="false">B4916/Summary!$B$5-1</f>
        <v>0.0463623156677451</v>
      </c>
    </row>
    <row r="4917" customFormat="false" ht="15" hidden="false" customHeight="false" outlineLevel="0" collapsed="false">
      <c r="A4917" s="0" t="n">
        <v>4916</v>
      </c>
      <c r="B4917" s="14" t="n">
        <v>92195.8885174882</v>
      </c>
      <c r="C4917" s="15" t="n">
        <v>0.126121574633541</v>
      </c>
      <c r="D4917" s="14" t="n">
        <f aca="false">Summary!$B$5-B4917</f>
        <v>7804.11148251177</v>
      </c>
      <c r="E4917" s="15" t="n">
        <f aca="false">B4917/Summary!$B$5-1</f>
        <v>-0.0780411148251177</v>
      </c>
    </row>
    <row r="4918" customFormat="false" ht="15" hidden="false" customHeight="false" outlineLevel="0" collapsed="false">
      <c r="A4918" s="0" t="n">
        <v>4917</v>
      </c>
      <c r="B4918" s="14" t="n">
        <v>104324.541926024</v>
      </c>
      <c r="C4918" s="15" t="n">
        <v>0.0749511757244874</v>
      </c>
      <c r="D4918" s="14" t="n">
        <f aca="false">Summary!$B$5-B4918</f>
        <v>-4324.5419260238</v>
      </c>
      <c r="E4918" s="15" t="n">
        <f aca="false">B4918/Summary!$B$5-1</f>
        <v>0.0432454192602381</v>
      </c>
    </row>
    <row r="4919" customFormat="false" ht="15" hidden="false" customHeight="false" outlineLevel="0" collapsed="false">
      <c r="A4919" s="0" t="n">
        <v>4918</v>
      </c>
      <c r="B4919" s="14" t="n">
        <v>135531.202815375</v>
      </c>
      <c r="C4919" s="15" t="n">
        <v>0.0452014351699488</v>
      </c>
      <c r="D4919" s="14" t="n">
        <f aca="false">Summary!$B$5-B4919</f>
        <v>-35531.2028153753</v>
      </c>
      <c r="E4919" s="15" t="n">
        <f aca="false">B4919/Summary!$B$5-1</f>
        <v>0.355312028153753</v>
      </c>
    </row>
    <row r="4920" customFormat="false" ht="15" hidden="false" customHeight="false" outlineLevel="0" collapsed="false">
      <c r="A4920" s="0" t="n">
        <v>4919</v>
      </c>
      <c r="B4920" s="14" t="n">
        <v>90476.1127980344</v>
      </c>
      <c r="C4920" s="15" t="n">
        <v>0.189548339328459</v>
      </c>
      <c r="D4920" s="14" t="n">
        <f aca="false">Summary!$B$5-B4920</f>
        <v>9523.88720196557</v>
      </c>
      <c r="E4920" s="15" t="n">
        <f aca="false">B4920/Summary!$B$5-1</f>
        <v>-0.0952388720196556</v>
      </c>
    </row>
    <row r="4921" customFormat="false" ht="15" hidden="false" customHeight="false" outlineLevel="0" collapsed="false">
      <c r="A4921" s="0" t="n">
        <v>4920</v>
      </c>
      <c r="B4921" s="14" t="n">
        <v>100286.766291554</v>
      </c>
      <c r="C4921" s="15" t="n">
        <v>0.162014488818048</v>
      </c>
      <c r="D4921" s="14" t="n">
        <f aca="false">Summary!$B$5-B4921</f>
        <v>-286.766291553693</v>
      </c>
      <c r="E4921" s="15" t="n">
        <f aca="false">B4921/Summary!$B$5-1</f>
        <v>0.00286766291553686</v>
      </c>
    </row>
    <row r="4922" customFormat="false" ht="15" hidden="false" customHeight="false" outlineLevel="0" collapsed="false">
      <c r="A4922" s="0" t="n">
        <v>4921</v>
      </c>
      <c r="B4922" s="14" t="n">
        <v>93771.5127239058</v>
      </c>
      <c r="C4922" s="15" t="n">
        <v>0.121006250022682</v>
      </c>
      <c r="D4922" s="14" t="n">
        <f aca="false">Summary!$B$5-B4922</f>
        <v>6228.48727609422</v>
      </c>
      <c r="E4922" s="15" t="n">
        <f aca="false">B4922/Summary!$B$5-1</f>
        <v>-0.0622848727609422</v>
      </c>
    </row>
    <row r="4923" customFormat="false" ht="15" hidden="false" customHeight="false" outlineLevel="0" collapsed="false">
      <c r="A4923" s="0" t="n">
        <v>4922</v>
      </c>
      <c r="B4923" s="14" t="n">
        <v>99242.9812343422</v>
      </c>
      <c r="C4923" s="15" t="n">
        <v>0.0609952022029946</v>
      </c>
      <c r="D4923" s="14" t="n">
        <f aca="false">Summary!$B$5-B4923</f>
        <v>757.01876565782</v>
      </c>
      <c r="E4923" s="15" t="n">
        <f aca="false">B4923/Summary!$B$5-1</f>
        <v>-0.00757018765657824</v>
      </c>
    </row>
    <row r="4924" customFormat="false" ht="15" hidden="false" customHeight="false" outlineLevel="0" collapsed="false">
      <c r="A4924" s="0" t="n">
        <v>4923</v>
      </c>
      <c r="B4924" s="14" t="n">
        <v>118248.644026401</v>
      </c>
      <c r="C4924" s="15" t="n">
        <v>0.0583280665455159</v>
      </c>
      <c r="D4924" s="14" t="n">
        <f aca="false">Summary!$B$5-B4924</f>
        <v>-18248.6440264007</v>
      </c>
      <c r="E4924" s="15" t="n">
        <f aca="false">B4924/Summary!$B$5-1</f>
        <v>0.182486440264007</v>
      </c>
    </row>
    <row r="4925" customFormat="false" ht="15" hidden="false" customHeight="false" outlineLevel="0" collapsed="false">
      <c r="A4925" s="0" t="n">
        <v>4924</v>
      </c>
      <c r="B4925" s="14" t="n">
        <v>112482.982147047</v>
      </c>
      <c r="C4925" s="15" t="n">
        <v>0.0648090392242056</v>
      </c>
      <c r="D4925" s="14" t="n">
        <f aca="false">Summary!$B$5-B4925</f>
        <v>-12482.9821470469</v>
      </c>
      <c r="E4925" s="15" t="n">
        <f aca="false">B4925/Summary!$B$5-1</f>
        <v>0.124829821470469</v>
      </c>
    </row>
    <row r="4926" customFormat="false" ht="15" hidden="false" customHeight="false" outlineLevel="0" collapsed="false">
      <c r="A4926" s="0" t="n">
        <v>4925</v>
      </c>
      <c r="B4926" s="14" t="n">
        <v>130399.785626078</v>
      </c>
      <c r="C4926" s="15" t="n">
        <v>0.0625531056223581</v>
      </c>
      <c r="D4926" s="14" t="n">
        <f aca="false">Summary!$B$5-B4926</f>
        <v>-30399.7856260781</v>
      </c>
      <c r="E4926" s="15" t="n">
        <f aca="false">B4926/Summary!$B$5-1</f>
        <v>0.303997856260781</v>
      </c>
    </row>
    <row r="4927" customFormat="false" ht="15" hidden="false" customHeight="false" outlineLevel="0" collapsed="false">
      <c r="A4927" s="0" t="n">
        <v>4926</v>
      </c>
      <c r="B4927" s="14" t="n">
        <v>101487.233884523</v>
      </c>
      <c r="C4927" s="15" t="n">
        <v>0.111983822799707</v>
      </c>
      <c r="D4927" s="14" t="n">
        <f aca="false">Summary!$B$5-B4927</f>
        <v>-1487.2338845232</v>
      </c>
      <c r="E4927" s="15" t="n">
        <f aca="false">B4927/Summary!$B$5-1</f>
        <v>0.0148723388452321</v>
      </c>
    </row>
    <row r="4928" customFormat="false" ht="15" hidden="false" customHeight="false" outlineLevel="0" collapsed="false">
      <c r="A4928" s="0" t="n">
        <v>4927</v>
      </c>
      <c r="B4928" s="14" t="n">
        <v>104589.226010398</v>
      </c>
      <c r="C4928" s="15" t="n">
        <v>0.0918175773490882</v>
      </c>
      <c r="D4928" s="14" t="n">
        <f aca="false">Summary!$B$5-B4928</f>
        <v>-4589.2260103982</v>
      </c>
      <c r="E4928" s="15" t="n">
        <f aca="false">B4928/Summary!$B$5-1</f>
        <v>0.045892260103982</v>
      </c>
    </row>
    <row r="4929" customFormat="false" ht="15" hidden="false" customHeight="false" outlineLevel="0" collapsed="false">
      <c r="A4929" s="0" t="n">
        <v>4928</v>
      </c>
      <c r="B4929" s="14" t="n">
        <v>104775.254235756</v>
      </c>
      <c r="C4929" s="15" t="n">
        <v>0.0716703880072445</v>
      </c>
      <c r="D4929" s="14" t="n">
        <f aca="false">Summary!$B$5-B4929</f>
        <v>-4775.2542357557</v>
      </c>
      <c r="E4929" s="15" t="n">
        <f aca="false">B4929/Summary!$B$5-1</f>
        <v>0.0477525423575569</v>
      </c>
    </row>
    <row r="4930" customFormat="false" ht="15" hidden="false" customHeight="false" outlineLevel="0" collapsed="false">
      <c r="A4930" s="0" t="n">
        <v>4929</v>
      </c>
      <c r="B4930" s="14" t="n">
        <v>136155.707827732</v>
      </c>
      <c r="C4930" s="15" t="n">
        <v>0.0585289931155084</v>
      </c>
      <c r="D4930" s="14" t="n">
        <f aca="false">Summary!$B$5-B4930</f>
        <v>-36155.7078277323</v>
      </c>
      <c r="E4930" s="15" t="n">
        <f aca="false">B4930/Summary!$B$5-1</f>
        <v>0.361557078277323</v>
      </c>
    </row>
    <row r="4931" customFormat="false" ht="15" hidden="false" customHeight="false" outlineLevel="0" collapsed="false">
      <c r="A4931" s="0" t="n">
        <v>4930</v>
      </c>
      <c r="B4931" s="14" t="n">
        <v>114641.106198645</v>
      </c>
      <c r="C4931" s="15" t="n">
        <v>0.076267559671392</v>
      </c>
      <c r="D4931" s="14" t="n">
        <f aca="false">Summary!$B$5-B4931</f>
        <v>-14641.1061986451</v>
      </c>
      <c r="E4931" s="15" t="n">
        <f aca="false">B4931/Summary!$B$5-1</f>
        <v>0.146411061986451</v>
      </c>
    </row>
    <row r="4932" customFormat="false" ht="15" hidden="false" customHeight="false" outlineLevel="0" collapsed="false">
      <c r="A4932" s="0" t="n">
        <v>4931</v>
      </c>
      <c r="B4932" s="14" t="n">
        <v>113817.207963976</v>
      </c>
      <c r="C4932" s="15" t="n">
        <v>0.0975953166719682</v>
      </c>
      <c r="D4932" s="14" t="n">
        <f aca="false">Summary!$B$5-B4932</f>
        <v>-13817.2079639763</v>
      </c>
      <c r="E4932" s="15" t="n">
        <f aca="false">B4932/Summary!$B$5-1</f>
        <v>0.138172079639763</v>
      </c>
    </row>
    <row r="4933" customFormat="false" ht="15" hidden="false" customHeight="false" outlineLevel="0" collapsed="false">
      <c r="A4933" s="0" t="n">
        <v>4932</v>
      </c>
      <c r="B4933" s="14" t="n">
        <v>130997.723536198</v>
      </c>
      <c r="C4933" s="15" t="n">
        <v>0.055423686437474</v>
      </c>
      <c r="D4933" s="14" t="n">
        <f aca="false">Summary!$B$5-B4933</f>
        <v>-30997.7235361977</v>
      </c>
      <c r="E4933" s="15" t="n">
        <f aca="false">B4933/Summary!$B$5-1</f>
        <v>0.309977235361977</v>
      </c>
    </row>
    <row r="4934" customFormat="false" ht="15" hidden="false" customHeight="false" outlineLevel="0" collapsed="false">
      <c r="A4934" s="0" t="n">
        <v>4933</v>
      </c>
      <c r="B4934" s="14" t="n">
        <v>138706.453914482</v>
      </c>
      <c r="C4934" s="15" t="n">
        <v>0.116665622124983</v>
      </c>
      <c r="D4934" s="14" t="n">
        <f aca="false">Summary!$B$5-B4934</f>
        <v>-38706.4539144819</v>
      </c>
      <c r="E4934" s="15" t="n">
        <f aca="false">B4934/Summary!$B$5-1</f>
        <v>0.387064539144819</v>
      </c>
    </row>
    <row r="4935" customFormat="false" ht="15" hidden="false" customHeight="false" outlineLevel="0" collapsed="false">
      <c r="A4935" s="0" t="n">
        <v>4934</v>
      </c>
      <c r="B4935" s="14" t="n">
        <v>93850.3417801504</v>
      </c>
      <c r="C4935" s="15" t="n">
        <v>0.115430509258161</v>
      </c>
      <c r="D4935" s="14" t="n">
        <f aca="false">Summary!$B$5-B4935</f>
        <v>6149.65821984962</v>
      </c>
      <c r="E4935" s="15" t="n">
        <f aca="false">B4935/Summary!$B$5-1</f>
        <v>-0.0614965821984962</v>
      </c>
    </row>
    <row r="4936" customFormat="false" ht="15" hidden="false" customHeight="false" outlineLevel="0" collapsed="false">
      <c r="A4936" s="0" t="n">
        <v>4935</v>
      </c>
      <c r="B4936" s="14" t="n">
        <v>102681.636057349</v>
      </c>
      <c r="C4936" s="15" t="n">
        <v>0.0836118872796893</v>
      </c>
      <c r="D4936" s="14" t="n">
        <f aca="false">Summary!$B$5-B4936</f>
        <v>-2681.63605734889</v>
      </c>
      <c r="E4936" s="15" t="n">
        <f aca="false">B4936/Summary!$B$5-1</f>
        <v>0.026816360573489</v>
      </c>
    </row>
    <row r="4937" customFormat="false" ht="15" hidden="false" customHeight="false" outlineLevel="0" collapsed="false">
      <c r="A4937" s="0" t="n">
        <v>4936</v>
      </c>
      <c r="B4937" s="14" t="n">
        <v>98709.2374668205</v>
      </c>
      <c r="C4937" s="15" t="n">
        <v>0.0892193957232795</v>
      </c>
      <c r="D4937" s="14" t="n">
        <f aca="false">Summary!$B$5-B4937</f>
        <v>1290.76253317948</v>
      </c>
      <c r="E4937" s="15" t="n">
        <f aca="false">B4937/Summary!$B$5-1</f>
        <v>-0.0129076253317948</v>
      </c>
    </row>
    <row r="4938" customFormat="false" ht="15" hidden="false" customHeight="false" outlineLevel="0" collapsed="false">
      <c r="A4938" s="0" t="n">
        <v>4937</v>
      </c>
      <c r="B4938" s="14" t="n">
        <v>102450.314696344</v>
      </c>
      <c r="C4938" s="15" t="n">
        <v>0.103150217503347</v>
      </c>
      <c r="D4938" s="14" t="n">
        <f aca="false">Summary!$B$5-B4938</f>
        <v>-2450.31469634399</v>
      </c>
      <c r="E4938" s="15" t="n">
        <f aca="false">B4938/Summary!$B$5-1</f>
        <v>0.02450314696344</v>
      </c>
    </row>
    <row r="4939" customFormat="false" ht="15" hidden="false" customHeight="false" outlineLevel="0" collapsed="false">
      <c r="A4939" s="0" t="n">
        <v>4938</v>
      </c>
      <c r="B4939" s="14" t="n">
        <v>109586.236557448</v>
      </c>
      <c r="C4939" s="15" t="n">
        <v>0.0775635165350509</v>
      </c>
      <c r="D4939" s="14" t="n">
        <f aca="false">Summary!$B$5-B4939</f>
        <v>-9586.2365574476</v>
      </c>
      <c r="E4939" s="15" t="n">
        <f aca="false">B4939/Summary!$B$5-1</f>
        <v>0.0958623655744759</v>
      </c>
    </row>
    <row r="4940" customFormat="false" ht="15" hidden="false" customHeight="false" outlineLevel="0" collapsed="false">
      <c r="A4940" s="0" t="n">
        <v>4939</v>
      </c>
      <c r="B4940" s="14" t="n">
        <v>108525.71265881</v>
      </c>
      <c r="C4940" s="15" t="n">
        <v>0.0791630134883117</v>
      </c>
      <c r="D4940" s="14" t="n">
        <f aca="false">Summary!$B$5-B4940</f>
        <v>-8525.7126588101</v>
      </c>
      <c r="E4940" s="15" t="n">
        <f aca="false">B4940/Summary!$B$5-1</f>
        <v>0.085257126588101</v>
      </c>
    </row>
    <row r="4941" customFormat="false" ht="15" hidden="false" customHeight="false" outlineLevel="0" collapsed="false">
      <c r="A4941" s="0" t="n">
        <v>4940</v>
      </c>
      <c r="B4941" s="14" t="n">
        <v>111223.528978846</v>
      </c>
      <c r="C4941" s="15" t="n">
        <v>0.0623609032764568</v>
      </c>
      <c r="D4941" s="14" t="n">
        <f aca="false">Summary!$B$5-B4941</f>
        <v>-11223.5289788457</v>
      </c>
      <c r="E4941" s="15" t="n">
        <f aca="false">B4941/Summary!$B$5-1</f>
        <v>0.112235289788457</v>
      </c>
    </row>
    <row r="4942" customFormat="false" ht="15" hidden="false" customHeight="false" outlineLevel="0" collapsed="false">
      <c r="A4942" s="0" t="n">
        <v>4941</v>
      </c>
      <c r="B4942" s="14" t="n">
        <v>117330.096287892</v>
      </c>
      <c r="C4942" s="15" t="n">
        <v>0.087005099539647</v>
      </c>
      <c r="D4942" s="14" t="n">
        <f aca="false">Summary!$B$5-B4942</f>
        <v>-17330.0962878915</v>
      </c>
      <c r="E4942" s="15" t="n">
        <f aca="false">B4942/Summary!$B$5-1</f>
        <v>0.173300962878915</v>
      </c>
    </row>
    <row r="4943" customFormat="false" ht="15" hidden="false" customHeight="false" outlineLevel="0" collapsed="false">
      <c r="A4943" s="0" t="n">
        <v>4942</v>
      </c>
      <c r="B4943" s="14" t="n">
        <v>94564.642527944</v>
      </c>
      <c r="C4943" s="15" t="n">
        <v>0.115209464173598</v>
      </c>
      <c r="D4943" s="14" t="n">
        <f aca="false">Summary!$B$5-B4943</f>
        <v>5435.35747205604</v>
      </c>
      <c r="E4943" s="15" t="n">
        <f aca="false">B4943/Summary!$B$5-1</f>
        <v>-0.0543535747205605</v>
      </c>
    </row>
    <row r="4944" customFormat="false" ht="15" hidden="false" customHeight="false" outlineLevel="0" collapsed="false">
      <c r="A4944" s="0" t="n">
        <v>4943</v>
      </c>
      <c r="B4944" s="14" t="n">
        <v>101150.024420181</v>
      </c>
      <c r="C4944" s="15" t="n">
        <v>0.104435375713319</v>
      </c>
      <c r="D4944" s="14" t="n">
        <f aca="false">Summary!$B$5-B4944</f>
        <v>-1150.0244201809</v>
      </c>
      <c r="E4944" s="15" t="n">
        <f aca="false">B4944/Summary!$B$5-1</f>
        <v>0.0115002442018091</v>
      </c>
    </row>
    <row r="4945" customFormat="false" ht="15" hidden="false" customHeight="false" outlineLevel="0" collapsed="false">
      <c r="A4945" s="0" t="n">
        <v>4944</v>
      </c>
      <c r="B4945" s="14" t="n">
        <v>91690.5683745907</v>
      </c>
      <c r="C4945" s="15" t="n">
        <v>0.136329672325238</v>
      </c>
      <c r="D4945" s="14" t="n">
        <f aca="false">Summary!$B$5-B4945</f>
        <v>8309.43162540929</v>
      </c>
      <c r="E4945" s="15" t="n">
        <f aca="false">B4945/Summary!$B$5-1</f>
        <v>-0.0830943162540928</v>
      </c>
    </row>
    <row r="4946" customFormat="false" ht="15" hidden="false" customHeight="false" outlineLevel="0" collapsed="false">
      <c r="A4946" s="0" t="n">
        <v>4945</v>
      </c>
      <c r="B4946" s="14" t="n">
        <v>98076.8108350134</v>
      </c>
      <c r="C4946" s="15" t="n">
        <v>0.102937947047203</v>
      </c>
      <c r="D4946" s="14" t="n">
        <f aca="false">Summary!$B$5-B4946</f>
        <v>1923.18916498663</v>
      </c>
      <c r="E4946" s="15" t="n">
        <f aca="false">B4946/Summary!$B$5-1</f>
        <v>-0.0192318916498663</v>
      </c>
    </row>
    <row r="4947" customFormat="false" ht="15" hidden="false" customHeight="false" outlineLevel="0" collapsed="false">
      <c r="A4947" s="0" t="n">
        <v>4946</v>
      </c>
      <c r="B4947" s="14" t="n">
        <v>116327.09989864</v>
      </c>
      <c r="C4947" s="15" t="n">
        <v>0.0674219494041617</v>
      </c>
      <c r="D4947" s="14" t="n">
        <f aca="false">Summary!$B$5-B4947</f>
        <v>-16327.0998986395</v>
      </c>
      <c r="E4947" s="15" t="n">
        <f aca="false">B4947/Summary!$B$5-1</f>
        <v>0.163270998986395</v>
      </c>
    </row>
    <row r="4948" customFormat="false" ht="15" hidden="false" customHeight="false" outlineLevel="0" collapsed="false">
      <c r="A4948" s="0" t="n">
        <v>4947</v>
      </c>
      <c r="B4948" s="14" t="n">
        <v>94879.0964865752</v>
      </c>
      <c r="C4948" s="15" t="n">
        <v>0.184492348367282</v>
      </c>
      <c r="D4948" s="14" t="n">
        <f aca="false">Summary!$B$5-B4948</f>
        <v>5120.90351342484</v>
      </c>
      <c r="E4948" s="15" t="n">
        <f aca="false">B4948/Summary!$B$5-1</f>
        <v>-0.0512090351342485</v>
      </c>
    </row>
    <row r="4949" customFormat="false" ht="15" hidden="false" customHeight="false" outlineLevel="0" collapsed="false">
      <c r="A4949" s="0" t="n">
        <v>4948</v>
      </c>
      <c r="B4949" s="14" t="n">
        <v>95546.0836794425</v>
      </c>
      <c r="C4949" s="15" t="n">
        <v>0.172344970501371</v>
      </c>
      <c r="D4949" s="14" t="n">
        <f aca="false">Summary!$B$5-B4949</f>
        <v>4453.91632055747</v>
      </c>
      <c r="E4949" s="15" t="n">
        <f aca="false">B4949/Summary!$B$5-1</f>
        <v>-0.0445391632055747</v>
      </c>
    </row>
    <row r="4950" customFormat="false" ht="15" hidden="false" customHeight="false" outlineLevel="0" collapsed="false">
      <c r="A4950" s="0" t="n">
        <v>4949</v>
      </c>
      <c r="B4950" s="14" t="n">
        <v>100230.608688352</v>
      </c>
      <c r="C4950" s="15" t="n">
        <v>0.118824146143685</v>
      </c>
      <c r="D4950" s="14" t="n">
        <f aca="false">Summary!$B$5-B4950</f>
        <v>-230.608688351495</v>
      </c>
      <c r="E4950" s="15" t="n">
        <f aca="false">B4950/Summary!$B$5-1</f>
        <v>0.00230608688351497</v>
      </c>
    </row>
    <row r="4951" customFormat="false" ht="15" hidden="false" customHeight="false" outlineLevel="0" collapsed="false">
      <c r="A4951" s="0" t="n">
        <v>4950</v>
      </c>
      <c r="B4951" s="14" t="n">
        <v>117742.53546934</v>
      </c>
      <c r="C4951" s="15" t="n">
        <v>0.0817095642829131</v>
      </c>
      <c r="D4951" s="14" t="n">
        <f aca="false">Summary!$B$5-B4951</f>
        <v>-17742.5354693403</v>
      </c>
      <c r="E4951" s="15" t="n">
        <f aca="false">B4951/Summary!$B$5-1</f>
        <v>0.177425354693403</v>
      </c>
    </row>
    <row r="4952" customFormat="false" ht="15" hidden="false" customHeight="false" outlineLevel="0" collapsed="false">
      <c r="A4952" s="0" t="n">
        <v>4951</v>
      </c>
      <c r="B4952" s="14" t="n">
        <v>105564.608155471</v>
      </c>
      <c r="C4952" s="15" t="n">
        <v>0.1138778223067</v>
      </c>
      <c r="D4952" s="14" t="n">
        <f aca="false">Summary!$B$5-B4952</f>
        <v>-5564.60815547089</v>
      </c>
      <c r="E4952" s="15" t="n">
        <f aca="false">B4952/Summary!$B$5-1</f>
        <v>0.0556460815547089</v>
      </c>
    </row>
    <row r="4953" customFormat="false" ht="15" hidden="false" customHeight="false" outlineLevel="0" collapsed="false">
      <c r="A4953" s="0" t="n">
        <v>4952</v>
      </c>
      <c r="B4953" s="14" t="n">
        <v>104383.944390197</v>
      </c>
      <c r="C4953" s="15" t="n">
        <v>0.0853944103865389</v>
      </c>
      <c r="D4953" s="14" t="n">
        <f aca="false">Summary!$B$5-B4953</f>
        <v>-4383.9443901967</v>
      </c>
      <c r="E4953" s="15" t="n">
        <f aca="false">B4953/Summary!$B$5-1</f>
        <v>0.0438394439019669</v>
      </c>
    </row>
    <row r="4954" customFormat="false" ht="15" hidden="false" customHeight="false" outlineLevel="0" collapsed="false">
      <c r="A4954" s="0" t="n">
        <v>4953</v>
      </c>
      <c r="B4954" s="14" t="n">
        <v>104310.33439965</v>
      </c>
      <c r="C4954" s="15" t="n">
        <v>0.137395979867285</v>
      </c>
      <c r="D4954" s="14" t="n">
        <f aca="false">Summary!$B$5-B4954</f>
        <v>-4310.3343996496</v>
      </c>
      <c r="E4954" s="15" t="n">
        <f aca="false">B4954/Summary!$B$5-1</f>
        <v>0.0431033439964961</v>
      </c>
    </row>
    <row r="4955" customFormat="false" ht="15" hidden="false" customHeight="false" outlineLevel="0" collapsed="false">
      <c r="A4955" s="0" t="n">
        <v>4954</v>
      </c>
      <c r="B4955" s="14" t="n">
        <v>98470.1420276966</v>
      </c>
      <c r="C4955" s="15" t="n">
        <v>0.0859006196562774</v>
      </c>
      <c r="D4955" s="14" t="n">
        <f aca="false">Summary!$B$5-B4955</f>
        <v>1529.85797230345</v>
      </c>
      <c r="E4955" s="15" t="n">
        <f aca="false">B4955/Summary!$B$5-1</f>
        <v>-0.0152985797230345</v>
      </c>
    </row>
    <row r="4956" customFormat="false" ht="15" hidden="false" customHeight="false" outlineLevel="0" collapsed="false">
      <c r="A4956" s="0" t="n">
        <v>4955</v>
      </c>
      <c r="B4956" s="14" t="n">
        <v>123938.857131447</v>
      </c>
      <c r="C4956" s="15" t="n">
        <v>0.0414953935910138</v>
      </c>
      <c r="D4956" s="14" t="n">
        <f aca="false">Summary!$B$5-B4956</f>
        <v>-23938.8571314466</v>
      </c>
      <c r="E4956" s="15" t="n">
        <f aca="false">B4956/Summary!$B$5-1</f>
        <v>0.239388571314466</v>
      </c>
    </row>
    <row r="4957" customFormat="false" ht="15" hidden="false" customHeight="false" outlineLevel="0" collapsed="false">
      <c r="A4957" s="0" t="n">
        <v>4956</v>
      </c>
      <c r="B4957" s="14" t="n">
        <v>104999.941808826</v>
      </c>
      <c r="C4957" s="15" t="n">
        <v>0.0642606727090817</v>
      </c>
      <c r="D4957" s="14" t="n">
        <f aca="false">Summary!$B$5-B4957</f>
        <v>-4999.9418088261</v>
      </c>
      <c r="E4957" s="15" t="n">
        <f aca="false">B4957/Summary!$B$5-1</f>
        <v>0.049999418088261</v>
      </c>
    </row>
    <row r="4958" customFormat="false" ht="15" hidden="false" customHeight="false" outlineLevel="0" collapsed="false">
      <c r="A4958" s="0" t="n">
        <v>4957</v>
      </c>
      <c r="B4958" s="14" t="n">
        <v>104699.572970194</v>
      </c>
      <c r="C4958" s="15" t="n">
        <v>0.108681176550269</v>
      </c>
      <c r="D4958" s="14" t="n">
        <f aca="false">Summary!$B$5-B4958</f>
        <v>-4699.572970194</v>
      </c>
      <c r="E4958" s="15" t="n">
        <f aca="false">B4958/Summary!$B$5-1</f>
        <v>0.0469957297019401</v>
      </c>
    </row>
    <row r="4959" customFormat="false" ht="15" hidden="false" customHeight="false" outlineLevel="0" collapsed="false">
      <c r="A4959" s="0" t="n">
        <v>4958</v>
      </c>
      <c r="B4959" s="14" t="n">
        <v>102287.237139029</v>
      </c>
      <c r="C4959" s="15" t="n">
        <v>0.131534192802753</v>
      </c>
      <c r="D4959" s="14" t="n">
        <f aca="false">Summary!$B$5-B4959</f>
        <v>-2287.23713902909</v>
      </c>
      <c r="E4959" s="15" t="n">
        <f aca="false">B4959/Summary!$B$5-1</f>
        <v>0.022872371390291</v>
      </c>
    </row>
    <row r="4960" customFormat="false" ht="15" hidden="false" customHeight="false" outlineLevel="0" collapsed="false">
      <c r="A4960" s="0" t="n">
        <v>4959</v>
      </c>
      <c r="B4960" s="14" t="n">
        <v>109427.194869839</v>
      </c>
      <c r="C4960" s="15" t="n">
        <v>0.0880174843817221</v>
      </c>
      <c r="D4960" s="14" t="n">
        <f aca="false">Summary!$B$5-B4960</f>
        <v>-9427.1948698388</v>
      </c>
      <c r="E4960" s="15" t="n">
        <f aca="false">B4960/Summary!$B$5-1</f>
        <v>0.0942719486983881</v>
      </c>
    </row>
    <row r="4961" customFormat="false" ht="15" hidden="false" customHeight="false" outlineLevel="0" collapsed="false">
      <c r="A4961" s="0" t="n">
        <v>4960</v>
      </c>
      <c r="B4961" s="14" t="n">
        <v>114809.114422832</v>
      </c>
      <c r="C4961" s="15" t="n">
        <v>0.0624402228434201</v>
      </c>
      <c r="D4961" s="14" t="n">
        <f aca="false">Summary!$B$5-B4961</f>
        <v>-14809.1144228324</v>
      </c>
      <c r="E4961" s="15" t="n">
        <f aca="false">B4961/Summary!$B$5-1</f>
        <v>0.148091144228324</v>
      </c>
    </row>
    <row r="4962" customFormat="false" ht="15" hidden="false" customHeight="false" outlineLevel="0" collapsed="false">
      <c r="A4962" s="0" t="n">
        <v>4961</v>
      </c>
      <c r="B4962" s="14" t="n">
        <v>102896.77175837</v>
      </c>
      <c r="C4962" s="15" t="n">
        <v>0.12952523405348</v>
      </c>
      <c r="D4962" s="14" t="n">
        <f aca="false">Summary!$B$5-B4962</f>
        <v>-2896.7717583698</v>
      </c>
      <c r="E4962" s="15" t="n">
        <f aca="false">B4962/Summary!$B$5-1</f>
        <v>0.028967717583698</v>
      </c>
    </row>
    <row r="4963" customFormat="false" ht="15" hidden="false" customHeight="false" outlineLevel="0" collapsed="false">
      <c r="A4963" s="0" t="n">
        <v>4962</v>
      </c>
      <c r="B4963" s="14" t="n">
        <v>108781.657642033</v>
      </c>
      <c r="C4963" s="15" t="n">
        <v>0.0944928896998906</v>
      </c>
      <c r="D4963" s="14" t="n">
        <f aca="false">Summary!$B$5-B4963</f>
        <v>-8781.6576420331</v>
      </c>
      <c r="E4963" s="15" t="n">
        <f aca="false">B4963/Summary!$B$5-1</f>
        <v>0.0878165764203309</v>
      </c>
    </row>
    <row r="4964" customFormat="false" ht="15" hidden="false" customHeight="false" outlineLevel="0" collapsed="false">
      <c r="A4964" s="0" t="n">
        <v>4963</v>
      </c>
      <c r="B4964" s="14" t="n">
        <v>115347.895230483</v>
      </c>
      <c r="C4964" s="15" t="n">
        <v>0.102151951820232</v>
      </c>
      <c r="D4964" s="14" t="n">
        <f aca="false">Summary!$B$5-B4964</f>
        <v>-15347.8952304829</v>
      </c>
      <c r="E4964" s="15" t="n">
        <f aca="false">B4964/Summary!$B$5-1</f>
        <v>0.153478952304829</v>
      </c>
    </row>
    <row r="4965" customFormat="false" ht="15" hidden="false" customHeight="false" outlineLevel="0" collapsed="false">
      <c r="A4965" s="0" t="n">
        <v>4964</v>
      </c>
      <c r="B4965" s="14" t="n">
        <v>142207.457063214</v>
      </c>
      <c r="C4965" s="15" t="n">
        <v>0.0476450451864211</v>
      </c>
      <c r="D4965" s="14" t="n">
        <f aca="false">Summary!$B$5-B4965</f>
        <v>-42207.4570632141</v>
      </c>
      <c r="E4965" s="15" t="n">
        <f aca="false">B4965/Summary!$B$5-1</f>
        <v>0.422074570632141</v>
      </c>
    </row>
    <row r="4966" customFormat="false" ht="15" hidden="false" customHeight="false" outlineLevel="0" collapsed="false">
      <c r="A4966" s="0" t="n">
        <v>4965</v>
      </c>
      <c r="B4966" s="14" t="n">
        <v>104376.678405793</v>
      </c>
      <c r="C4966" s="15" t="n">
        <v>0.126273808413712</v>
      </c>
      <c r="D4966" s="14" t="n">
        <f aca="false">Summary!$B$5-B4966</f>
        <v>-4376.6784057925</v>
      </c>
      <c r="E4966" s="15" t="n">
        <f aca="false">B4966/Summary!$B$5-1</f>
        <v>0.043766784057925</v>
      </c>
    </row>
    <row r="4967" customFormat="false" ht="15" hidden="false" customHeight="false" outlineLevel="0" collapsed="false">
      <c r="A4967" s="0" t="n">
        <v>4966</v>
      </c>
      <c r="B4967" s="14" t="n">
        <v>114410.296597116</v>
      </c>
      <c r="C4967" s="15" t="n">
        <v>0.0754921007682355</v>
      </c>
      <c r="D4967" s="14" t="n">
        <f aca="false">Summary!$B$5-B4967</f>
        <v>-14410.2965971158</v>
      </c>
      <c r="E4967" s="15" t="n">
        <f aca="false">B4967/Summary!$B$5-1</f>
        <v>0.144102965971158</v>
      </c>
    </row>
    <row r="4968" customFormat="false" ht="15" hidden="false" customHeight="false" outlineLevel="0" collapsed="false">
      <c r="A4968" s="0" t="n">
        <v>4967</v>
      </c>
      <c r="B4968" s="14" t="n">
        <v>106125.569997612</v>
      </c>
      <c r="C4968" s="15" t="n">
        <v>0.102333581151773</v>
      </c>
      <c r="D4968" s="14" t="n">
        <f aca="false">Summary!$B$5-B4968</f>
        <v>-6125.56999761191</v>
      </c>
      <c r="E4968" s="15" t="n">
        <f aca="false">B4968/Summary!$B$5-1</f>
        <v>0.0612556999761191</v>
      </c>
    </row>
    <row r="4969" customFormat="false" ht="15" hidden="false" customHeight="false" outlineLevel="0" collapsed="false">
      <c r="A4969" s="0" t="n">
        <v>4968</v>
      </c>
      <c r="B4969" s="14" t="n">
        <v>118504.732944041</v>
      </c>
      <c r="C4969" s="15" t="n">
        <v>0.0760733461349592</v>
      </c>
      <c r="D4969" s="14" t="n">
        <f aca="false">Summary!$B$5-B4969</f>
        <v>-18504.7329440407</v>
      </c>
      <c r="E4969" s="15" t="n">
        <f aca="false">B4969/Summary!$B$5-1</f>
        <v>0.185047329440407</v>
      </c>
    </row>
    <row r="4970" customFormat="false" ht="15" hidden="false" customHeight="false" outlineLevel="0" collapsed="false">
      <c r="A4970" s="0" t="n">
        <v>4969</v>
      </c>
      <c r="B4970" s="14" t="n">
        <v>116665.442064953</v>
      </c>
      <c r="C4970" s="15" t="n">
        <v>0.0736368036971224</v>
      </c>
      <c r="D4970" s="14" t="n">
        <f aca="false">Summary!$B$5-B4970</f>
        <v>-16665.4420649532</v>
      </c>
      <c r="E4970" s="15" t="n">
        <f aca="false">B4970/Summary!$B$5-1</f>
        <v>0.166654420649532</v>
      </c>
    </row>
    <row r="4971" customFormat="false" ht="15" hidden="false" customHeight="false" outlineLevel="0" collapsed="false">
      <c r="A4971" s="0" t="n">
        <v>4970</v>
      </c>
      <c r="B4971" s="14" t="n">
        <v>119458.218549867</v>
      </c>
      <c r="C4971" s="15" t="n">
        <v>0.0951430463073085</v>
      </c>
      <c r="D4971" s="14" t="n">
        <f aca="false">Summary!$B$5-B4971</f>
        <v>-19458.2185498666</v>
      </c>
      <c r="E4971" s="15" t="n">
        <f aca="false">B4971/Summary!$B$5-1</f>
        <v>0.194582185498666</v>
      </c>
    </row>
    <row r="4972" customFormat="false" ht="15" hidden="false" customHeight="false" outlineLevel="0" collapsed="false">
      <c r="A4972" s="0" t="n">
        <v>4971</v>
      </c>
      <c r="B4972" s="14" t="n">
        <v>114735.038533614</v>
      </c>
      <c r="C4972" s="15" t="n">
        <v>0.0860354382284759</v>
      </c>
      <c r="D4972" s="14" t="n">
        <f aca="false">Summary!$B$5-B4972</f>
        <v>-14735.0385336137</v>
      </c>
      <c r="E4972" s="15" t="n">
        <f aca="false">B4972/Summary!$B$5-1</f>
        <v>0.147350385336137</v>
      </c>
    </row>
    <row r="4973" customFormat="false" ht="15" hidden="false" customHeight="false" outlineLevel="0" collapsed="false">
      <c r="A4973" s="0" t="n">
        <v>4972</v>
      </c>
      <c r="B4973" s="14" t="n">
        <v>112165.527281513</v>
      </c>
      <c r="C4973" s="15" t="n">
        <v>0.0784007127561243</v>
      </c>
      <c r="D4973" s="14" t="n">
        <f aca="false">Summary!$B$5-B4973</f>
        <v>-12165.5272815127</v>
      </c>
      <c r="E4973" s="15" t="n">
        <f aca="false">B4973/Summary!$B$5-1</f>
        <v>0.121655272815127</v>
      </c>
    </row>
    <row r="4974" customFormat="false" ht="15" hidden="false" customHeight="false" outlineLevel="0" collapsed="false">
      <c r="A4974" s="0" t="n">
        <v>4973</v>
      </c>
      <c r="B4974" s="14" t="n">
        <v>108986.884946776</v>
      </c>
      <c r="C4974" s="15" t="n">
        <v>0.060645698392089</v>
      </c>
      <c r="D4974" s="14" t="n">
        <f aca="false">Summary!$B$5-B4974</f>
        <v>-8986.8849467759</v>
      </c>
      <c r="E4974" s="15" t="n">
        <f aca="false">B4974/Summary!$B$5-1</f>
        <v>0.0898688494677591</v>
      </c>
    </row>
    <row r="4975" customFormat="false" ht="15" hidden="false" customHeight="false" outlineLevel="0" collapsed="false">
      <c r="A4975" s="0" t="n">
        <v>4974</v>
      </c>
      <c r="B4975" s="14" t="n">
        <v>111565.561910627</v>
      </c>
      <c r="C4975" s="15" t="n">
        <v>0.093876984965207</v>
      </c>
      <c r="D4975" s="14" t="n">
        <f aca="false">Summary!$B$5-B4975</f>
        <v>-11565.5619106268</v>
      </c>
      <c r="E4975" s="15" t="n">
        <f aca="false">B4975/Summary!$B$5-1</f>
        <v>0.115655619106268</v>
      </c>
    </row>
    <row r="4976" customFormat="false" ht="15" hidden="false" customHeight="false" outlineLevel="0" collapsed="false">
      <c r="A4976" s="0" t="n">
        <v>4975</v>
      </c>
      <c r="B4976" s="14" t="n">
        <v>108754.197729401</v>
      </c>
      <c r="C4976" s="15" t="n">
        <v>0.0907920902786489</v>
      </c>
      <c r="D4976" s="14" t="n">
        <f aca="false">Summary!$B$5-B4976</f>
        <v>-8754.1977294008</v>
      </c>
      <c r="E4976" s="15" t="n">
        <f aca="false">B4976/Summary!$B$5-1</f>
        <v>0.087541977294008</v>
      </c>
    </row>
    <row r="4977" customFormat="false" ht="15" hidden="false" customHeight="false" outlineLevel="0" collapsed="false">
      <c r="A4977" s="0" t="n">
        <v>4976</v>
      </c>
      <c r="B4977" s="14" t="n">
        <v>90708.6216660464</v>
      </c>
      <c r="C4977" s="15" t="n">
        <v>0.118445707651981</v>
      </c>
      <c r="D4977" s="14" t="n">
        <f aca="false">Summary!$B$5-B4977</f>
        <v>9291.3783339536</v>
      </c>
      <c r="E4977" s="15" t="n">
        <f aca="false">B4977/Summary!$B$5-1</f>
        <v>-0.092913783339536</v>
      </c>
    </row>
    <row r="4978" customFormat="false" ht="15" hidden="false" customHeight="false" outlineLevel="0" collapsed="false">
      <c r="A4978" s="0" t="n">
        <v>4977</v>
      </c>
      <c r="B4978" s="14" t="n">
        <v>126858.228733904</v>
      </c>
      <c r="C4978" s="15" t="n">
        <v>0.101362820654764</v>
      </c>
      <c r="D4978" s="14" t="n">
        <f aca="false">Summary!$B$5-B4978</f>
        <v>-26858.2287339038</v>
      </c>
      <c r="E4978" s="15" t="n">
        <f aca="false">B4978/Summary!$B$5-1</f>
        <v>0.268582287339038</v>
      </c>
    </row>
    <row r="4979" customFormat="false" ht="15" hidden="false" customHeight="false" outlineLevel="0" collapsed="false">
      <c r="A4979" s="0" t="n">
        <v>4978</v>
      </c>
      <c r="B4979" s="14" t="n">
        <v>96742.1097623671</v>
      </c>
      <c r="C4979" s="15" t="n">
        <v>0.159399928260706</v>
      </c>
      <c r="D4979" s="14" t="n">
        <f aca="false">Summary!$B$5-B4979</f>
        <v>3257.89023763288</v>
      </c>
      <c r="E4979" s="15" t="n">
        <f aca="false">B4979/Summary!$B$5-1</f>
        <v>-0.0325789023763288</v>
      </c>
    </row>
    <row r="4980" customFormat="false" ht="15" hidden="false" customHeight="false" outlineLevel="0" collapsed="false">
      <c r="A4980" s="0" t="n">
        <v>4979</v>
      </c>
      <c r="B4980" s="14" t="n">
        <v>100624.166127725</v>
      </c>
      <c r="C4980" s="15" t="n">
        <v>0.0830534529453411</v>
      </c>
      <c r="D4980" s="14" t="n">
        <f aca="false">Summary!$B$5-B4980</f>
        <v>-624.1661277245</v>
      </c>
      <c r="E4980" s="15" t="n">
        <f aca="false">B4980/Summary!$B$5-1</f>
        <v>0.0062416612772449</v>
      </c>
    </row>
    <row r="4981" customFormat="false" ht="15" hidden="false" customHeight="false" outlineLevel="0" collapsed="false">
      <c r="A4981" s="0" t="n">
        <v>4980</v>
      </c>
      <c r="B4981" s="14" t="n">
        <v>106978.095726332</v>
      </c>
      <c r="C4981" s="15" t="n">
        <v>0.0845441297962775</v>
      </c>
      <c r="D4981" s="14" t="n">
        <f aca="false">Summary!$B$5-B4981</f>
        <v>-6978.09572633231</v>
      </c>
      <c r="E4981" s="15" t="n">
        <f aca="false">B4981/Summary!$B$5-1</f>
        <v>0.069780957263323</v>
      </c>
    </row>
    <row r="4982" customFormat="false" ht="15" hidden="false" customHeight="false" outlineLevel="0" collapsed="false">
      <c r="A4982" s="0" t="n">
        <v>4981</v>
      </c>
      <c r="B4982" s="14" t="n">
        <v>87088.6251104266</v>
      </c>
      <c r="C4982" s="15" t="n">
        <v>0.186584574529104</v>
      </c>
      <c r="D4982" s="14" t="n">
        <f aca="false">Summary!$B$5-B4982</f>
        <v>12911.3748895734</v>
      </c>
      <c r="E4982" s="15" t="n">
        <f aca="false">B4982/Summary!$B$5-1</f>
        <v>-0.129113748895734</v>
      </c>
    </row>
    <row r="4983" customFormat="false" ht="15" hidden="false" customHeight="false" outlineLevel="0" collapsed="false">
      <c r="A4983" s="0" t="n">
        <v>4982</v>
      </c>
      <c r="B4983" s="14" t="n">
        <v>118881.63125197</v>
      </c>
      <c r="C4983" s="15" t="n">
        <v>0.0899896775739458</v>
      </c>
      <c r="D4983" s="14" t="n">
        <f aca="false">Summary!$B$5-B4983</f>
        <v>-18881.6312519697</v>
      </c>
      <c r="E4983" s="15" t="n">
        <f aca="false">B4983/Summary!$B$5-1</f>
        <v>0.188816312519697</v>
      </c>
    </row>
    <row r="4984" customFormat="false" ht="15" hidden="false" customHeight="false" outlineLevel="0" collapsed="false">
      <c r="A4984" s="0" t="n">
        <v>4983</v>
      </c>
      <c r="B4984" s="14" t="n">
        <v>137429.083987672</v>
      </c>
      <c r="C4984" s="15" t="n">
        <v>0.0793693008874425</v>
      </c>
      <c r="D4984" s="14" t="n">
        <f aca="false">Summary!$B$5-B4984</f>
        <v>-37429.0839876716</v>
      </c>
      <c r="E4984" s="15" t="n">
        <f aca="false">B4984/Summary!$B$5-1</f>
        <v>0.374290839876716</v>
      </c>
    </row>
    <row r="4985" customFormat="false" ht="15" hidden="false" customHeight="false" outlineLevel="0" collapsed="false">
      <c r="A4985" s="0" t="n">
        <v>4984</v>
      </c>
      <c r="B4985" s="14" t="n">
        <v>94452.4257734015</v>
      </c>
      <c r="C4985" s="15" t="n">
        <v>0.142434475467795</v>
      </c>
      <c r="D4985" s="14" t="n">
        <f aca="false">Summary!$B$5-B4985</f>
        <v>5547.57422659852</v>
      </c>
      <c r="E4985" s="15" t="n">
        <f aca="false">B4985/Summary!$B$5-1</f>
        <v>-0.0554757422659852</v>
      </c>
    </row>
    <row r="4986" customFormat="false" ht="15" hidden="false" customHeight="false" outlineLevel="0" collapsed="false">
      <c r="A4986" s="0" t="n">
        <v>4985</v>
      </c>
      <c r="B4986" s="14" t="n">
        <v>100321.589870543</v>
      </c>
      <c r="C4986" s="15" t="n">
        <v>0.0851587533191999</v>
      </c>
      <c r="D4986" s="14" t="n">
        <f aca="false">Summary!$B$5-B4986</f>
        <v>-321.589870542593</v>
      </c>
      <c r="E4986" s="15" t="n">
        <f aca="false">B4986/Summary!$B$5-1</f>
        <v>0.00321589870542582</v>
      </c>
    </row>
    <row r="4987" customFormat="false" ht="15" hidden="false" customHeight="false" outlineLevel="0" collapsed="false">
      <c r="A4987" s="0" t="n">
        <v>4986</v>
      </c>
      <c r="B4987" s="14" t="n">
        <v>139201.84316416</v>
      </c>
      <c r="C4987" s="15" t="n">
        <v>0.0510291052887569</v>
      </c>
      <c r="D4987" s="14" t="n">
        <f aca="false">Summary!$B$5-B4987</f>
        <v>-39201.84316416</v>
      </c>
      <c r="E4987" s="15" t="n">
        <f aca="false">B4987/Summary!$B$5-1</f>
        <v>0.3920184316416</v>
      </c>
    </row>
    <row r="4988" customFormat="false" ht="15" hidden="false" customHeight="false" outlineLevel="0" collapsed="false">
      <c r="A4988" s="0" t="n">
        <v>4987</v>
      </c>
      <c r="B4988" s="14" t="n">
        <v>106736.813456707</v>
      </c>
      <c r="C4988" s="15" t="n">
        <v>0.063641640212045</v>
      </c>
      <c r="D4988" s="14" t="n">
        <f aca="false">Summary!$B$5-B4988</f>
        <v>-6736.81345670681</v>
      </c>
      <c r="E4988" s="15" t="n">
        <f aca="false">B4988/Summary!$B$5-1</f>
        <v>0.067368134567068</v>
      </c>
    </row>
    <row r="4989" customFormat="false" ht="15" hidden="false" customHeight="false" outlineLevel="0" collapsed="false">
      <c r="A4989" s="0" t="n">
        <v>4988</v>
      </c>
      <c r="B4989" s="14" t="n">
        <v>99445.9683568438</v>
      </c>
      <c r="C4989" s="15" t="n">
        <v>0.119687094921539</v>
      </c>
      <c r="D4989" s="14" t="n">
        <f aca="false">Summary!$B$5-B4989</f>
        <v>554.031643156253</v>
      </c>
      <c r="E4989" s="15" t="n">
        <f aca="false">B4989/Summary!$B$5-1</f>
        <v>-0.0055403164315625</v>
      </c>
    </row>
    <row r="4990" customFormat="false" ht="15" hidden="false" customHeight="false" outlineLevel="0" collapsed="false">
      <c r="A4990" s="0" t="n">
        <v>4989</v>
      </c>
      <c r="B4990" s="14" t="n">
        <v>117642.222506067</v>
      </c>
      <c r="C4990" s="15" t="n">
        <v>0.0514602766219769</v>
      </c>
      <c r="D4990" s="14" t="n">
        <f aca="false">Summary!$B$5-B4990</f>
        <v>-17642.2225060666</v>
      </c>
      <c r="E4990" s="15" t="n">
        <f aca="false">B4990/Summary!$B$5-1</f>
        <v>0.176422225060666</v>
      </c>
    </row>
    <row r="4991" customFormat="false" ht="15" hidden="false" customHeight="false" outlineLevel="0" collapsed="false">
      <c r="A4991" s="0" t="n">
        <v>4990</v>
      </c>
      <c r="B4991" s="14" t="n">
        <v>90221.2199406049</v>
      </c>
      <c r="C4991" s="15" t="n">
        <v>0.173865196153795</v>
      </c>
      <c r="D4991" s="14" t="n">
        <f aca="false">Summary!$B$5-B4991</f>
        <v>9778.7800593951</v>
      </c>
      <c r="E4991" s="15" t="n">
        <f aca="false">B4991/Summary!$B$5-1</f>
        <v>-0.097787800593951</v>
      </c>
    </row>
    <row r="4992" customFormat="false" ht="15" hidden="false" customHeight="false" outlineLevel="0" collapsed="false">
      <c r="A4992" s="0" t="n">
        <v>4991</v>
      </c>
      <c r="B4992" s="14" t="n">
        <v>93445.2778177074</v>
      </c>
      <c r="C4992" s="15" t="n">
        <v>0.125556814935846</v>
      </c>
      <c r="D4992" s="14" t="n">
        <f aca="false">Summary!$B$5-B4992</f>
        <v>6554.72218229261</v>
      </c>
      <c r="E4992" s="15" t="n">
        <f aca="false">B4992/Summary!$B$5-1</f>
        <v>-0.0655472218229261</v>
      </c>
    </row>
    <row r="4993" customFormat="false" ht="15" hidden="false" customHeight="false" outlineLevel="0" collapsed="false">
      <c r="A4993" s="0" t="n">
        <v>4992</v>
      </c>
      <c r="B4993" s="14" t="n">
        <v>117338.973357028</v>
      </c>
      <c r="C4993" s="15" t="n">
        <v>0.0942260237061721</v>
      </c>
      <c r="D4993" s="14" t="n">
        <f aca="false">Summary!$B$5-B4993</f>
        <v>-17338.9733570282</v>
      </c>
      <c r="E4993" s="15" t="n">
        <f aca="false">B4993/Summary!$B$5-1</f>
        <v>0.173389733570282</v>
      </c>
    </row>
    <row r="4994" customFormat="false" ht="15" hidden="false" customHeight="false" outlineLevel="0" collapsed="false">
      <c r="A4994" s="0" t="n">
        <v>4993</v>
      </c>
      <c r="B4994" s="14" t="n">
        <v>125550.165207677</v>
      </c>
      <c r="C4994" s="15" t="n">
        <v>0.065882998446089</v>
      </c>
      <c r="D4994" s="14" t="n">
        <f aca="false">Summary!$B$5-B4994</f>
        <v>-25550.1652076765</v>
      </c>
      <c r="E4994" s="15" t="n">
        <f aca="false">B4994/Summary!$B$5-1</f>
        <v>0.255501652076765</v>
      </c>
    </row>
    <row r="4995" customFormat="false" ht="15" hidden="false" customHeight="false" outlineLevel="0" collapsed="false">
      <c r="A4995" s="0" t="n">
        <v>4994</v>
      </c>
      <c r="B4995" s="14" t="n">
        <v>97485.8041724802</v>
      </c>
      <c r="C4995" s="15" t="n">
        <v>0.106882690622052</v>
      </c>
      <c r="D4995" s="14" t="n">
        <f aca="false">Summary!$B$5-B4995</f>
        <v>2514.19582751984</v>
      </c>
      <c r="E4995" s="15" t="n">
        <f aca="false">B4995/Summary!$B$5-1</f>
        <v>-0.0251419582751984</v>
      </c>
    </row>
    <row r="4996" customFormat="false" ht="15" hidden="false" customHeight="false" outlineLevel="0" collapsed="false">
      <c r="A4996" s="0" t="n">
        <v>4995</v>
      </c>
      <c r="B4996" s="14" t="n">
        <v>119341.273062413</v>
      </c>
      <c r="C4996" s="15" t="n">
        <v>0.099329351705711</v>
      </c>
      <c r="D4996" s="14" t="n">
        <f aca="false">Summary!$B$5-B4996</f>
        <v>-19341.273062413</v>
      </c>
      <c r="E4996" s="15" t="n">
        <f aca="false">B4996/Summary!$B$5-1</f>
        <v>0.19341273062413</v>
      </c>
    </row>
    <row r="4997" customFormat="false" ht="15" hidden="false" customHeight="false" outlineLevel="0" collapsed="false">
      <c r="A4997" s="0" t="n">
        <v>4996</v>
      </c>
      <c r="B4997" s="14" t="n">
        <v>124936.226977301</v>
      </c>
      <c r="C4997" s="15" t="n">
        <v>0.108314771146417</v>
      </c>
      <c r="D4997" s="14" t="n">
        <f aca="false">Summary!$B$5-B4997</f>
        <v>-24936.2269773005</v>
      </c>
      <c r="E4997" s="15" t="n">
        <f aca="false">B4997/Summary!$B$5-1</f>
        <v>0.249362269773005</v>
      </c>
    </row>
    <row r="4998" customFormat="false" ht="15" hidden="false" customHeight="false" outlineLevel="0" collapsed="false">
      <c r="A4998" s="0" t="n">
        <v>4997</v>
      </c>
      <c r="B4998" s="14" t="n">
        <v>97685.3964967042</v>
      </c>
      <c r="C4998" s="15" t="n">
        <v>0.141774122506471</v>
      </c>
      <c r="D4998" s="14" t="n">
        <f aca="false">Summary!$B$5-B4998</f>
        <v>2314.6035032958</v>
      </c>
      <c r="E4998" s="15" t="n">
        <f aca="false">B4998/Summary!$B$5-1</f>
        <v>-0.023146035032958</v>
      </c>
    </row>
    <row r="4999" customFormat="false" ht="15" hidden="false" customHeight="false" outlineLevel="0" collapsed="false">
      <c r="A4999" s="0" t="n">
        <v>4998</v>
      </c>
      <c r="B4999" s="14" t="n">
        <v>95930.3294280465</v>
      </c>
      <c r="C4999" s="15" t="n">
        <v>0.145662668181373</v>
      </c>
      <c r="D4999" s="14" t="n">
        <f aca="false">Summary!$B$5-B4999</f>
        <v>4069.67057195352</v>
      </c>
      <c r="E4999" s="15" t="n">
        <f aca="false">B4999/Summary!$B$5-1</f>
        <v>-0.0406967057195352</v>
      </c>
    </row>
    <row r="5000" customFormat="false" ht="15" hidden="false" customHeight="false" outlineLevel="0" collapsed="false">
      <c r="A5000" s="0" t="n">
        <v>4999</v>
      </c>
      <c r="B5000" s="14" t="n">
        <v>125073.7505889</v>
      </c>
      <c r="C5000" s="15" t="n">
        <v>0.0784962861081991</v>
      </c>
      <c r="D5000" s="14" t="n">
        <f aca="false">Summary!$B$5-B5000</f>
        <v>-25073.7505888999</v>
      </c>
      <c r="E5000" s="15" t="n">
        <f aca="false">B5000/Summary!$B$5-1</f>
        <v>0.250737505888999</v>
      </c>
    </row>
    <row r="5001" customFormat="false" ht="15" hidden="false" customHeight="false" outlineLevel="0" collapsed="false">
      <c r="A5001" s="0" t="n">
        <v>5000</v>
      </c>
      <c r="B5001" s="14" t="n">
        <v>123589.370056565</v>
      </c>
      <c r="C5001" s="15" t="n">
        <v>0.0660344429329747</v>
      </c>
      <c r="D5001" s="14" t="n">
        <f aca="false">Summary!$B$5-B5001</f>
        <v>-23589.3700565651</v>
      </c>
      <c r="E5001" s="15" t="n">
        <f aca="false">B5001/Summary!$B$5-1</f>
        <v>0.235893700565651</v>
      </c>
    </row>
    <row r="5002" customFormat="false" ht="15" hidden="false" customHeight="false" outlineLevel="0" collapsed="false">
      <c r="A5002" s="0" t="n">
        <v>5001</v>
      </c>
      <c r="B5002" s="14" t="n">
        <v>120364.823901493</v>
      </c>
      <c r="C5002" s="15" t="n">
        <v>0.0662389752364647</v>
      </c>
      <c r="D5002" s="14" t="n">
        <f aca="false">Summary!$B$5-B5002</f>
        <v>-20364.8239014933</v>
      </c>
      <c r="E5002" s="15" t="n">
        <f aca="false">B5002/Summary!$B$5-1</f>
        <v>0.203648239014933</v>
      </c>
    </row>
    <row r="5003" customFormat="false" ht="15" hidden="false" customHeight="false" outlineLevel="0" collapsed="false">
      <c r="A5003" s="0" t="n">
        <v>5002</v>
      </c>
      <c r="B5003" s="14" t="n">
        <v>97164.5242690074</v>
      </c>
      <c r="C5003" s="15" t="n">
        <v>0.150095526262419</v>
      </c>
      <c r="D5003" s="14" t="n">
        <f aca="false">Summary!$B$5-B5003</f>
        <v>2835.47573099256</v>
      </c>
      <c r="E5003" s="15" t="n">
        <f aca="false">B5003/Summary!$B$5-1</f>
        <v>-0.0283547573099257</v>
      </c>
    </row>
    <row r="5004" customFormat="false" ht="15" hidden="false" customHeight="false" outlineLevel="0" collapsed="false">
      <c r="A5004" s="0" t="n">
        <v>5003</v>
      </c>
      <c r="B5004" s="14" t="n">
        <v>129640.798578635</v>
      </c>
      <c r="C5004" s="15" t="n">
        <v>0.0601521592652097</v>
      </c>
      <c r="D5004" s="14" t="n">
        <f aca="false">Summary!$B$5-B5004</f>
        <v>-29640.7985786347</v>
      </c>
      <c r="E5004" s="15" t="n">
        <f aca="false">B5004/Summary!$B$5-1</f>
        <v>0.296407985786347</v>
      </c>
    </row>
    <row r="5005" customFormat="false" ht="15" hidden="false" customHeight="false" outlineLevel="0" collapsed="false">
      <c r="A5005" s="0" t="n">
        <v>5004</v>
      </c>
      <c r="B5005" s="14" t="n">
        <v>93739.253448223</v>
      </c>
      <c r="C5005" s="15" t="n">
        <v>0.102011215485596</v>
      </c>
      <c r="D5005" s="14" t="n">
        <f aca="false">Summary!$B$5-B5005</f>
        <v>6260.74655177696</v>
      </c>
      <c r="E5005" s="15" t="n">
        <f aca="false">B5005/Summary!$B$5-1</f>
        <v>-0.0626074655177696</v>
      </c>
    </row>
    <row r="5006" customFormat="false" ht="15" hidden="false" customHeight="false" outlineLevel="0" collapsed="false">
      <c r="A5006" s="0" t="n">
        <v>5005</v>
      </c>
      <c r="B5006" s="14" t="n">
        <v>87023.0651929923</v>
      </c>
      <c r="C5006" s="15" t="n">
        <v>0.154398349693256</v>
      </c>
      <c r="D5006" s="14" t="n">
        <f aca="false">Summary!$B$5-B5006</f>
        <v>12976.9348070077</v>
      </c>
      <c r="E5006" s="15" t="n">
        <f aca="false">B5006/Summary!$B$5-1</f>
        <v>-0.129769348070077</v>
      </c>
    </row>
    <row r="5007" customFormat="false" ht="15" hidden="false" customHeight="false" outlineLevel="0" collapsed="false">
      <c r="A5007" s="0" t="n">
        <v>5006</v>
      </c>
      <c r="B5007" s="14" t="n">
        <v>106465.249143392</v>
      </c>
      <c r="C5007" s="15" t="n">
        <v>0.0782641150631532</v>
      </c>
      <c r="D5007" s="14" t="n">
        <f aca="false">Summary!$B$5-B5007</f>
        <v>-6465.2491433918</v>
      </c>
      <c r="E5007" s="15" t="n">
        <f aca="false">B5007/Summary!$B$5-1</f>
        <v>0.0646524914339179</v>
      </c>
    </row>
    <row r="5008" customFormat="false" ht="15" hidden="false" customHeight="false" outlineLevel="0" collapsed="false">
      <c r="A5008" s="0" t="n">
        <v>5007</v>
      </c>
      <c r="B5008" s="14" t="n">
        <v>126287.722833031</v>
      </c>
      <c r="C5008" s="15" t="n">
        <v>0.0551815291012582</v>
      </c>
      <c r="D5008" s="14" t="n">
        <f aca="false">Summary!$B$5-B5008</f>
        <v>-26287.7228330309</v>
      </c>
      <c r="E5008" s="15" t="n">
        <f aca="false">B5008/Summary!$B$5-1</f>
        <v>0.262877228330309</v>
      </c>
    </row>
    <row r="5009" customFormat="false" ht="15" hidden="false" customHeight="false" outlineLevel="0" collapsed="false">
      <c r="A5009" s="0" t="n">
        <v>5008</v>
      </c>
      <c r="B5009" s="14" t="n">
        <v>96813.1341484613</v>
      </c>
      <c r="C5009" s="15" t="n">
        <v>0.166744492504205</v>
      </c>
      <c r="D5009" s="14" t="n">
        <f aca="false">Summary!$B$5-B5009</f>
        <v>3186.86585153868</v>
      </c>
      <c r="E5009" s="15" t="n">
        <f aca="false">B5009/Summary!$B$5-1</f>
        <v>-0.0318686585153868</v>
      </c>
    </row>
    <row r="5010" customFormat="false" ht="15" hidden="false" customHeight="false" outlineLevel="0" collapsed="false">
      <c r="A5010" s="0" t="n">
        <v>5009</v>
      </c>
      <c r="B5010" s="14" t="n">
        <v>116059.942646217</v>
      </c>
      <c r="C5010" s="15" t="n">
        <v>0.105514638801595</v>
      </c>
      <c r="D5010" s="14" t="n">
        <f aca="false">Summary!$B$5-B5010</f>
        <v>-16059.9426462169</v>
      </c>
      <c r="E5010" s="15" t="n">
        <f aca="false">B5010/Summary!$B$5-1</f>
        <v>0.160599426462169</v>
      </c>
    </row>
    <row r="5011" customFormat="false" ht="15" hidden="false" customHeight="false" outlineLevel="0" collapsed="false">
      <c r="A5011" s="0" t="n">
        <v>5010</v>
      </c>
      <c r="B5011" s="14" t="n">
        <v>97249.0087150024</v>
      </c>
      <c r="C5011" s="15" t="n">
        <v>0.0731812071851912</v>
      </c>
      <c r="D5011" s="14" t="n">
        <f aca="false">Summary!$B$5-B5011</f>
        <v>2750.99128499758</v>
      </c>
      <c r="E5011" s="15" t="n">
        <f aca="false">B5011/Summary!$B$5-1</f>
        <v>-0.0275099128499758</v>
      </c>
    </row>
    <row r="5012" customFormat="false" ht="15" hidden="false" customHeight="false" outlineLevel="0" collapsed="false">
      <c r="A5012" s="0" t="n">
        <v>5011</v>
      </c>
      <c r="B5012" s="14" t="n">
        <v>121923.474461422</v>
      </c>
      <c r="C5012" s="15" t="n">
        <v>0.0750326995512792</v>
      </c>
      <c r="D5012" s="14" t="n">
        <f aca="false">Summary!$B$5-B5012</f>
        <v>-21923.4744614224</v>
      </c>
      <c r="E5012" s="15" t="n">
        <f aca="false">B5012/Summary!$B$5-1</f>
        <v>0.219234744614224</v>
      </c>
    </row>
    <row r="5013" customFormat="false" ht="15" hidden="false" customHeight="false" outlineLevel="0" collapsed="false">
      <c r="A5013" s="0" t="n">
        <v>5012</v>
      </c>
      <c r="B5013" s="14" t="n">
        <v>100790.851214412</v>
      </c>
      <c r="C5013" s="15" t="n">
        <v>0.107472115380376</v>
      </c>
      <c r="D5013" s="14" t="n">
        <f aca="false">Summary!$B$5-B5013</f>
        <v>-790.851214412294</v>
      </c>
      <c r="E5013" s="15" t="n">
        <f aca="false">B5013/Summary!$B$5-1</f>
        <v>0.00790851214412291</v>
      </c>
    </row>
    <row r="5014" customFormat="false" ht="15" hidden="false" customHeight="false" outlineLevel="0" collapsed="false">
      <c r="A5014" s="0" t="n">
        <v>5013</v>
      </c>
      <c r="B5014" s="14" t="n">
        <v>130990.552135216</v>
      </c>
      <c r="C5014" s="15" t="n">
        <v>0.065065847564436</v>
      </c>
      <c r="D5014" s="14" t="n">
        <f aca="false">Summary!$B$5-B5014</f>
        <v>-30990.5521352161</v>
      </c>
      <c r="E5014" s="15" t="n">
        <f aca="false">B5014/Summary!$B$5-1</f>
        <v>0.309905521352161</v>
      </c>
    </row>
    <row r="5015" customFormat="false" ht="15" hidden="false" customHeight="false" outlineLevel="0" collapsed="false">
      <c r="A5015" s="0" t="n">
        <v>5014</v>
      </c>
      <c r="B5015" s="14" t="n">
        <v>99809.6877396706</v>
      </c>
      <c r="C5015" s="15" t="n">
        <v>0.0942163061413742</v>
      </c>
      <c r="D5015" s="14" t="n">
        <f aca="false">Summary!$B$5-B5015</f>
        <v>190.312260329374</v>
      </c>
      <c r="E5015" s="15" t="n">
        <f aca="false">B5015/Summary!$B$5-1</f>
        <v>-0.00190312260329373</v>
      </c>
    </row>
    <row r="5016" customFormat="false" ht="15" hidden="false" customHeight="false" outlineLevel="0" collapsed="false">
      <c r="A5016" s="0" t="n">
        <v>5015</v>
      </c>
      <c r="B5016" s="14" t="n">
        <v>101029.229128047</v>
      </c>
      <c r="C5016" s="15" t="n">
        <v>0.125368884760605</v>
      </c>
      <c r="D5016" s="14" t="n">
        <f aca="false">Summary!$B$5-B5016</f>
        <v>-1029.2291280473</v>
      </c>
      <c r="E5016" s="15" t="n">
        <f aca="false">B5016/Summary!$B$5-1</f>
        <v>0.010292291280473</v>
      </c>
    </row>
    <row r="5017" customFormat="false" ht="15" hidden="false" customHeight="false" outlineLevel="0" collapsed="false">
      <c r="A5017" s="0" t="n">
        <v>5016</v>
      </c>
      <c r="B5017" s="14" t="n">
        <v>112210.893779897</v>
      </c>
      <c r="C5017" s="15" t="n">
        <v>0.0625704727511778</v>
      </c>
      <c r="D5017" s="14" t="n">
        <f aca="false">Summary!$B$5-B5017</f>
        <v>-12210.8937798971</v>
      </c>
      <c r="E5017" s="15" t="n">
        <f aca="false">B5017/Summary!$B$5-1</f>
        <v>0.122108937798971</v>
      </c>
    </row>
    <row r="5018" customFormat="false" ht="15" hidden="false" customHeight="false" outlineLevel="0" collapsed="false">
      <c r="A5018" s="0" t="n">
        <v>5017</v>
      </c>
      <c r="B5018" s="14" t="n">
        <v>130244.487273685</v>
      </c>
      <c r="C5018" s="15" t="n">
        <v>0.0586975234161192</v>
      </c>
      <c r="D5018" s="14" t="n">
        <f aca="false">Summary!$B$5-B5018</f>
        <v>-30244.4872736853</v>
      </c>
      <c r="E5018" s="15" t="n">
        <f aca="false">B5018/Summary!$B$5-1</f>
        <v>0.302444872736853</v>
      </c>
    </row>
    <row r="5019" customFormat="false" ht="15" hidden="false" customHeight="false" outlineLevel="0" collapsed="false">
      <c r="A5019" s="0" t="n">
        <v>5018</v>
      </c>
      <c r="B5019" s="14" t="n">
        <v>120323.804810249</v>
      </c>
      <c r="C5019" s="15" t="n">
        <v>0.0636786246194144</v>
      </c>
      <c r="D5019" s="14" t="n">
        <f aca="false">Summary!$B$5-B5019</f>
        <v>-20323.8048102492</v>
      </c>
      <c r="E5019" s="15" t="n">
        <f aca="false">B5019/Summary!$B$5-1</f>
        <v>0.203238048102492</v>
      </c>
    </row>
    <row r="5020" customFormat="false" ht="15" hidden="false" customHeight="false" outlineLevel="0" collapsed="false">
      <c r="A5020" s="0" t="n">
        <v>5019</v>
      </c>
      <c r="B5020" s="14" t="n">
        <v>126818.875135975</v>
      </c>
      <c r="C5020" s="15" t="n">
        <v>0.0761494860271367</v>
      </c>
      <c r="D5020" s="14" t="n">
        <f aca="false">Summary!$B$5-B5020</f>
        <v>-26818.8751359747</v>
      </c>
      <c r="E5020" s="15" t="n">
        <f aca="false">B5020/Summary!$B$5-1</f>
        <v>0.268188751359747</v>
      </c>
    </row>
    <row r="5021" customFormat="false" ht="15" hidden="false" customHeight="false" outlineLevel="0" collapsed="false">
      <c r="A5021" s="0" t="n">
        <v>5020</v>
      </c>
      <c r="B5021" s="14" t="n">
        <v>107445.927193294</v>
      </c>
      <c r="C5021" s="15" t="n">
        <v>0.0565000700841346</v>
      </c>
      <c r="D5021" s="14" t="n">
        <f aca="false">Summary!$B$5-B5021</f>
        <v>-7445.92719329421</v>
      </c>
      <c r="E5021" s="15" t="n">
        <f aca="false">B5021/Summary!$B$5-1</f>
        <v>0.074459271932942</v>
      </c>
    </row>
    <row r="5022" customFormat="false" ht="15" hidden="false" customHeight="false" outlineLevel="0" collapsed="false">
      <c r="A5022" s="0" t="n">
        <v>5021</v>
      </c>
      <c r="B5022" s="14" t="n">
        <v>116237.975851788</v>
      </c>
      <c r="C5022" s="15" t="n">
        <v>0.0830722543516639</v>
      </c>
      <c r="D5022" s="14" t="n">
        <f aca="false">Summary!$B$5-B5022</f>
        <v>-16237.9758517879</v>
      </c>
      <c r="E5022" s="15" t="n">
        <f aca="false">B5022/Summary!$B$5-1</f>
        <v>0.162379758517879</v>
      </c>
    </row>
    <row r="5023" customFormat="false" ht="15" hidden="false" customHeight="false" outlineLevel="0" collapsed="false">
      <c r="A5023" s="0" t="n">
        <v>5022</v>
      </c>
      <c r="B5023" s="14" t="n">
        <v>104686.737994621</v>
      </c>
      <c r="C5023" s="15" t="n">
        <v>0.0896347249998727</v>
      </c>
      <c r="D5023" s="14" t="n">
        <f aca="false">Summary!$B$5-B5023</f>
        <v>-4686.7379946213</v>
      </c>
      <c r="E5023" s="15" t="n">
        <f aca="false">B5023/Summary!$B$5-1</f>
        <v>0.0468673799462132</v>
      </c>
    </row>
    <row r="5024" customFormat="false" ht="15" hidden="false" customHeight="false" outlineLevel="0" collapsed="false">
      <c r="A5024" s="0" t="n">
        <v>5023</v>
      </c>
      <c r="B5024" s="14" t="n">
        <v>94263.0183731199</v>
      </c>
      <c r="C5024" s="15" t="n">
        <v>0.14823455626688</v>
      </c>
      <c r="D5024" s="14" t="n">
        <f aca="false">Summary!$B$5-B5024</f>
        <v>5736.98162688006</v>
      </c>
      <c r="E5024" s="15" t="n">
        <f aca="false">B5024/Summary!$B$5-1</f>
        <v>-0.0573698162688007</v>
      </c>
    </row>
    <row r="5025" customFormat="false" ht="15" hidden="false" customHeight="false" outlineLevel="0" collapsed="false">
      <c r="A5025" s="0" t="n">
        <v>5024</v>
      </c>
      <c r="B5025" s="14" t="n">
        <v>94756.8971848082</v>
      </c>
      <c r="C5025" s="15" t="n">
        <v>0.137501584972449</v>
      </c>
      <c r="D5025" s="14" t="n">
        <f aca="false">Summary!$B$5-B5025</f>
        <v>5243.10281519184</v>
      </c>
      <c r="E5025" s="15" t="n">
        <f aca="false">B5025/Summary!$B$5-1</f>
        <v>-0.0524310281519185</v>
      </c>
    </row>
    <row r="5026" customFormat="false" ht="15" hidden="false" customHeight="false" outlineLevel="0" collapsed="false">
      <c r="A5026" s="0" t="n">
        <v>5025</v>
      </c>
      <c r="B5026" s="14" t="n">
        <v>87130.1085164393</v>
      </c>
      <c r="C5026" s="15" t="n">
        <v>0.193158314069631</v>
      </c>
      <c r="D5026" s="14" t="n">
        <f aca="false">Summary!$B$5-B5026</f>
        <v>12869.8914835607</v>
      </c>
      <c r="E5026" s="15" t="n">
        <f aca="false">B5026/Summary!$B$5-1</f>
        <v>-0.128698914835607</v>
      </c>
    </row>
    <row r="5027" customFormat="false" ht="15" hidden="false" customHeight="false" outlineLevel="0" collapsed="false">
      <c r="A5027" s="0" t="n">
        <v>5026</v>
      </c>
      <c r="B5027" s="14" t="n">
        <v>86838.5829602538</v>
      </c>
      <c r="C5027" s="15" t="n">
        <v>0.147417506466072</v>
      </c>
      <c r="D5027" s="14" t="n">
        <f aca="false">Summary!$B$5-B5027</f>
        <v>13161.4170397462</v>
      </c>
      <c r="E5027" s="15" t="n">
        <f aca="false">B5027/Summary!$B$5-1</f>
        <v>-0.131614170397462</v>
      </c>
    </row>
    <row r="5028" customFormat="false" ht="15" hidden="false" customHeight="false" outlineLevel="0" collapsed="false">
      <c r="A5028" s="0" t="n">
        <v>5027</v>
      </c>
      <c r="B5028" s="14" t="n">
        <v>120171.931945993</v>
      </c>
      <c r="C5028" s="15" t="n">
        <v>0.099817026313904</v>
      </c>
      <c r="D5028" s="14" t="n">
        <f aca="false">Summary!$B$5-B5028</f>
        <v>-20171.9319459933</v>
      </c>
      <c r="E5028" s="15" t="n">
        <f aca="false">B5028/Summary!$B$5-1</f>
        <v>0.201719319459933</v>
      </c>
    </row>
    <row r="5029" customFormat="false" ht="15" hidden="false" customHeight="false" outlineLevel="0" collapsed="false">
      <c r="A5029" s="0" t="n">
        <v>5028</v>
      </c>
      <c r="B5029" s="14" t="n">
        <v>101357.416598734</v>
      </c>
      <c r="C5029" s="15" t="n">
        <v>0.106623190550224</v>
      </c>
      <c r="D5029" s="14" t="n">
        <f aca="false">Summary!$B$5-B5029</f>
        <v>-1357.4165987337</v>
      </c>
      <c r="E5029" s="15" t="n">
        <f aca="false">B5029/Summary!$B$5-1</f>
        <v>0.013574165987337</v>
      </c>
    </row>
    <row r="5030" customFormat="false" ht="15" hidden="false" customHeight="false" outlineLevel="0" collapsed="false">
      <c r="A5030" s="0" t="n">
        <v>5029</v>
      </c>
      <c r="B5030" s="14" t="n">
        <v>102665.951344722</v>
      </c>
      <c r="C5030" s="15" t="n">
        <v>0.0853900053206866</v>
      </c>
      <c r="D5030" s="14" t="n">
        <f aca="false">Summary!$B$5-B5030</f>
        <v>-2665.9513447222</v>
      </c>
      <c r="E5030" s="15" t="n">
        <f aca="false">B5030/Summary!$B$5-1</f>
        <v>0.0266595134472221</v>
      </c>
    </row>
    <row r="5031" customFormat="false" ht="15" hidden="false" customHeight="false" outlineLevel="0" collapsed="false">
      <c r="A5031" s="0" t="n">
        <v>5030</v>
      </c>
      <c r="B5031" s="14" t="n">
        <v>103196.986539917</v>
      </c>
      <c r="C5031" s="15" t="n">
        <v>0.113403335297451</v>
      </c>
      <c r="D5031" s="14" t="n">
        <f aca="false">Summary!$B$5-B5031</f>
        <v>-3196.9865399168</v>
      </c>
      <c r="E5031" s="15" t="n">
        <f aca="false">B5031/Summary!$B$5-1</f>
        <v>0.031969865399168</v>
      </c>
    </row>
    <row r="5032" customFormat="false" ht="15" hidden="false" customHeight="false" outlineLevel="0" collapsed="false">
      <c r="A5032" s="0" t="n">
        <v>5031</v>
      </c>
      <c r="B5032" s="14" t="n">
        <v>97844.7673997273</v>
      </c>
      <c r="C5032" s="15" t="n">
        <v>0.126930329539548</v>
      </c>
      <c r="D5032" s="14" t="n">
        <f aca="false">Summary!$B$5-B5032</f>
        <v>2155.23260027272</v>
      </c>
      <c r="E5032" s="15" t="n">
        <f aca="false">B5032/Summary!$B$5-1</f>
        <v>-0.0215523260027272</v>
      </c>
    </row>
    <row r="5033" customFormat="false" ht="15" hidden="false" customHeight="false" outlineLevel="0" collapsed="false">
      <c r="A5033" s="0" t="n">
        <v>5032</v>
      </c>
      <c r="B5033" s="14" t="n">
        <v>96813.4795577604</v>
      </c>
      <c r="C5033" s="15" t="n">
        <v>0.136420054863723</v>
      </c>
      <c r="D5033" s="14" t="n">
        <f aca="false">Summary!$B$5-B5033</f>
        <v>3186.52044223956</v>
      </c>
      <c r="E5033" s="15" t="n">
        <f aca="false">B5033/Summary!$B$5-1</f>
        <v>-0.0318652044223956</v>
      </c>
    </row>
    <row r="5034" customFormat="false" ht="15" hidden="false" customHeight="false" outlineLevel="0" collapsed="false">
      <c r="A5034" s="0" t="n">
        <v>5033</v>
      </c>
      <c r="B5034" s="14" t="n">
        <v>105901.837294647</v>
      </c>
      <c r="C5034" s="15" t="n">
        <v>0.0921890941031675</v>
      </c>
      <c r="D5034" s="14" t="n">
        <f aca="false">Summary!$B$5-B5034</f>
        <v>-5901.8372946474</v>
      </c>
      <c r="E5034" s="15" t="n">
        <f aca="false">B5034/Summary!$B$5-1</f>
        <v>0.0590183729464739</v>
      </c>
    </row>
    <row r="5035" customFormat="false" ht="15" hidden="false" customHeight="false" outlineLevel="0" collapsed="false">
      <c r="A5035" s="0" t="n">
        <v>5034</v>
      </c>
      <c r="B5035" s="14" t="n">
        <v>116096.04236821</v>
      </c>
      <c r="C5035" s="15" t="n">
        <v>0.0507593627612971</v>
      </c>
      <c r="D5035" s="14" t="n">
        <f aca="false">Summary!$B$5-B5035</f>
        <v>-16096.0423682103</v>
      </c>
      <c r="E5035" s="15" t="n">
        <f aca="false">B5035/Summary!$B$5-1</f>
        <v>0.160960423682103</v>
      </c>
    </row>
    <row r="5036" customFormat="false" ht="15" hidden="false" customHeight="false" outlineLevel="0" collapsed="false">
      <c r="A5036" s="0" t="n">
        <v>5035</v>
      </c>
      <c r="B5036" s="14" t="n">
        <v>132339.465054527</v>
      </c>
      <c r="C5036" s="15" t="n">
        <v>0.0870807391405924</v>
      </c>
      <c r="D5036" s="14" t="n">
        <f aca="false">Summary!$B$5-B5036</f>
        <v>-32339.465054527</v>
      </c>
      <c r="E5036" s="15" t="n">
        <f aca="false">B5036/Summary!$B$5-1</f>
        <v>0.32339465054527</v>
      </c>
    </row>
    <row r="5037" customFormat="false" ht="15" hidden="false" customHeight="false" outlineLevel="0" collapsed="false">
      <c r="A5037" s="0" t="n">
        <v>5036</v>
      </c>
      <c r="B5037" s="14" t="n">
        <v>100524.292267236</v>
      </c>
      <c r="C5037" s="15" t="n">
        <v>0.0928558688839117</v>
      </c>
      <c r="D5037" s="14" t="n">
        <f aca="false">Summary!$B$5-B5037</f>
        <v>-524.292267235607</v>
      </c>
      <c r="E5037" s="15" t="n">
        <f aca="false">B5037/Summary!$B$5-1</f>
        <v>0.00524292267235604</v>
      </c>
    </row>
    <row r="5038" customFormat="false" ht="15" hidden="false" customHeight="false" outlineLevel="0" collapsed="false">
      <c r="A5038" s="0" t="n">
        <v>5037</v>
      </c>
      <c r="B5038" s="14" t="n">
        <v>110723.231997357</v>
      </c>
      <c r="C5038" s="15" t="n">
        <v>0.0967952203705959</v>
      </c>
      <c r="D5038" s="14" t="n">
        <f aca="false">Summary!$B$5-B5038</f>
        <v>-10723.2319973569</v>
      </c>
      <c r="E5038" s="15" t="n">
        <f aca="false">B5038/Summary!$B$5-1</f>
        <v>0.107232319973569</v>
      </c>
    </row>
    <row r="5039" customFormat="false" ht="15" hidden="false" customHeight="false" outlineLevel="0" collapsed="false">
      <c r="A5039" s="0" t="n">
        <v>5038</v>
      </c>
      <c r="B5039" s="14" t="n">
        <v>91951.4450591613</v>
      </c>
      <c r="C5039" s="15" t="n">
        <v>0.129012226134215</v>
      </c>
      <c r="D5039" s="14" t="n">
        <f aca="false">Summary!$B$5-B5039</f>
        <v>8048.55494083869</v>
      </c>
      <c r="E5039" s="15" t="n">
        <f aca="false">B5039/Summary!$B$5-1</f>
        <v>-0.0804855494083868</v>
      </c>
    </row>
    <row r="5040" customFormat="false" ht="15" hidden="false" customHeight="false" outlineLevel="0" collapsed="false">
      <c r="A5040" s="0" t="n">
        <v>5039</v>
      </c>
      <c r="B5040" s="14" t="n">
        <v>102206.408609723</v>
      </c>
      <c r="C5040" s="15" t="n">
        <v>0.130031151334976</v>
      </c>
      <c r="D5040" s="14" t="n">
        <f aca="false">Summary!$B$5-B5040</f>
        <v>-2206.4086097227</v>
      </c>
      <c r="E5040" s="15" t="n">
        <f aca="false">B5040/Summary!$B$5-1</f>
        <v>0.022064086097227</v>
      </c>
    </row>
    <row r="5041" customFormat="false" ht="15" hidden="false" customHeight="false" outlineLevel="0" collapsed="false">
      <c r="A5041" s="0" t="n">
        <v>5040</v>
      </c>
      <c r="B5041" s="14" t="n">
        <v>107533.24146447</v>
      </c>
      <c r="C5041" s="15" t="n">
        <v>0.136402730688909</v>
      </c>
      <c r="D5041" s="14" t="n">
        <f aca="false">Summary!$B$5-B5041</f>
        <v>-7533.2414644698</v>
      </c>
      <c r="E5041" s="15" t="n">
        <f aca="false">B5041/Summary!$B$5-1</f>
        <v>0.0753324146446981</v>
      </c>
    </row>
    <row r="5042" customFormat="false" ht="15" hidden="false" customHeight="false" outlineLevel="0" collapsed="false">
      <c r="A5042" s="0" t="n">
        <v>5041</v>
      </c>
      <c r="B5042" s="14" t="n">
        <v>104166.811239211</v>
      </c>
      <c r="C5042" s="15" t="n">
        <v>0.0986614270145816</v>
      </c>
      <c r="D5042" s="14" t="n">
        <f aca="false">Summary!$B$5-B5042</f>
        <v>-4166.8112392109</v>
      </c>
      <c r="E5042" s="15" t="n">
        <f aca="false">B5042/Summary!$B$5-1</f>
        <v>0.041668112392109</v>
      </c>
    </row>
    <row r="5043" customFormat="false" ht="15" hidden="false" customHeight="false" outlineLevel="0" collapsed="false">
      <c r="A5043" s="0" t="n">
        <v>5042</v>
      </c>
      <c r="B5043" s="14" t="n">
        <v>118881.965220976</v>
      </c>
      <c r="C5043" s="15" t="n">
        <v>0.0813673864730122</v>
      </c>
      <c r="D5043" s="14" t="n">
        <f aca="false">Summary!$B$5-B5043</f>
        <v>-18881.9652209759</v>
      </c>
      <c r="E5043" s="15" t="n">
        <f aca="false">B5043/Summary!$B$5-1</f>
        <v>0.188819652209759</v>
      </c>
    </row>
    <row r="5044" customFormat="false" ht="15" hidden="false" customHeight="false" outlineLevel="0" collapsed="false">
      <c r="A5044" s="0" t="n">
        <v>5043</v>
      </c>
      <c r="B5044" s="14" t="n">
        <v>118620.020075812</v>
      </c>
      <c r="C5044" s="15" t="n">
        <v>0.099386670287</v>
      </c>
      <c r="D5044" s="14" t="n">
        <f aca="false">Summary!$B$5-B5044</f>
        <v>-18620.0200758123</v>
      </c>
      <c r="E5044" s="15" t="n">
        <f aca="false">B5044/Summary!$B$5-1</f>
        <v>0.186200200758123</v>
      </c>
    </row>
    <row r="5045" customFormat="false" ht="15" hidden="false" customHeight="false" outlineLevel="0" collapsed="false">
      <c r="A5045" s="0" t="n">
        <v>5044</v>
      </c>
      <c r="B5045" s="14" t="n">
        <v>102927.831857244</v>
      </c>
      <c r="C5045" s="15" t="n">
        <v>0.106192123681324</v>
      </c>
      <c r="D5045" s="14" t="n">
        <f aca="false">Summary!$B$5-B5045</f>
        <v>-2927.8318572439</v>
      </c>
      <c r="E5045" s="15" t="n">
        <f aca="false">B5045/Summary!$B$5-1</f>
        <v>0.029278318572439</v>
      </c>
    </row>
    <row r="5046" customFormat="false" ht="15" hidden="false" customHeight="false" outlineLevel="0" collapsed="false">
      <c r="A5046" s="0" t="n">
        <v>5045</v>
      </c>
      <c r="B5046" s="14" t="n">
        <v>101340.441685692</v>
      </c>
      <c r="C5046" s="15" t="n">
        <v>0.164079225865269</v>
      </c>
      <c r="D5046" s="14" t="n">
        <f aca="false">Summary!$B$5-B5046</f>
        <v>-1340.44168569241</v>
      </c>
      <c r="E5046" s="15" t="n">
        <f aca="false">B5046/Summary!$B$5-1</f>
        <v>0.0134044168569241</v>
      </c>
    </row>
    <row r="5047" customFormat="false" ht="15" hidden="false" customHeight="false" outlineLevel="0" collapsed="false">
      <c r="A5047" s="0" t="n">
        <v>5046</v>
      </c>
      <c r="B5047" s="14" t="n">
        <v>97875.5324314117</v>
      </c>
      <c r="C5047" s="15" t="n">
        <v>0.151684436377143</v>
      </c>
      <c r="D5047" s="14" t="n">
        <f aca="false">Summary!$B$5-B5047</f>
        <v>2124.46756858827</v>
      </c>
      <c r="E5047" s="15" t="n">
        <f aca="false">B5047/Summary!$B$5-1</f>
        <v>-0.0212446756858827</v>
      </c>
    </row>
    <row r="5048" customFormat="false" ht="15" hidden="false" customHeight="false" outlineLevel="0" collapsed="false">
      <c r="A5048" s="0" t="n">
        <v>5047</v>
      </c>
      <c r="B5048" s="14" t="n">
        <v>96286.3943370989</v>
      </c>
      <c r="C5048" s="15" t="n">
        <v>0.121282376079622</v>
      </c>
      <c r="D5048" s="14" t="n">
        <f aca="false">Summary!$B$5-B5048</f>
        <v>3713.60566290113</v>
      </c>
      <c r="E5048" s="15" t="n">
        <f aca="false">B5048/Summary!$B$5-1</f>
        <v>-0.0371360566290113</v>
      </c>
    </row>
    <row r="5049" customFormat="false" ht="15" hidden="false" customHeight="false" outlineLevel="0" collapsed="false">
      <c r="A5049" s="0" t="n">
        <v>5048</v>
      </c>
      <c r="B5049" s="14" t="n">
        <v>112608.265552761</v>
      </c>
      <c r="C5049" s="15" t="n">
        <v>0.0762206468212372</v>
      </c>
      <c r="D5049" s="14" t="n">
        <f aca="false">Summary!$B$5-B5049</f>
        <v>-12608.2655527612</v>
      </c>
      <c r="E5049" s="15" t="n">
        <f aca="false">B5049/Summary!$B$5-1</f>
        <v>0.126082655527612</v>
      </c>
    </row>
    <row r="5050" customFormat="false" ht="15" hidden="false" customHeight="false" outlineLevel="0" collapsed="false">
      <c r="A5050" s="0" t="n">
        <v>5049</v>
      </c>
      <c r="B5050" s="14" t="n">
        <v>107623.976696395</v>
      </c>
      <c r="C5050" s="15" t="n">
        <v>0.0955903258339425</v>
      </c>
      <c r="D5050" s="14" t="n">
        <f aca="false">Summary!$B$5-B5050</f>
        <v>-7623.97669639489</v>
      </c>
      <c r="E5050" s="15" t="n">
        <f aca="false">B5050/Summary!$B$5-1</f>
        <v>0.076239766963949</v>
      </c>
    </row>
    <row r="5051" customFormat="false" ht="15" hidden="false" customHeight="false" outlineLevel="0" collapsed="false">
      <c r="A5051" s="0" t="n">
        <v>5050</v>
      </c>
      <c r="B5051" s="14" t="n">
        <v>110437.831055821</v>
      </c>
      <c r="C5051" s="15" t="n">
        <v>0.0838442785114729</v>
      </c>
      <c r="D5051" s="14" t="n">
        <f aca="false">Summary!$B$5-B5051</f>
        <v>-10437.831055821</v>
      </c>
      <c r="E5051" s="15" t="n">
        <f aca="false">B5051/Summary!$B$5-1</f>
        <v>0.10437831055821</v>
      </c>
    </row>
    <row r="5052" customFormat="false" ht="15" hidden="false" customHeight="false" outlineLevel="0" collapsed="false">
      <c r="A5052" s="0" t="n">
        <v>5051</v>
      </c>
      <c r="B5052" s="14" t="n">
        <v>105126.524096654</v>
      </c>
      <c r="C5052" s="15" t="n">
        <v>0.0907057472288748</v>
      </c>
      <c r="D5052" s="14" t="n">
        <f aca="false">Summary!$B$5-B5052</f>
        <v>-5126.52409665431</v>
      </c>
      <c r="E5052" s="15" t="n">
        <f aca="false">B5052/Summary!$B$5-1</f>
        <v>0.0512652409665431</v>
      </c>
    </row>
    <row r="5053" customFormat="false" ht="15" hidden="false" customHeight="false" outlineLevel="0" collapsed="false">
      <c r="A5053" s="0" t="n">
        <v>5052</v>
      </c>
      <c r="B5053" s="14" t="n">
        <v>110777.691775723</v>
      </c>
      <c r="C5053" s="15" t="n">
        <v>0.103304507704759</v>
      </c>
      <c r="D5053" s="14" t="n">
        <f aca="false">Summary!$B$5-B5053</f>
        <v>-10777.6917757233</v>
      </c>
      <c r="E5053" s="15" t="n">
        <f aca="false">B5053/Summary!$B$5-1</f>
        <v>0.107776917757233</v>
      </c>
    </row>
    <row r="5054" customFormat="false" ht="15" hidden="false" customHeight="false" outlineLevel="0" collapsed="false">
      <c r="A5054" s="0" t="n">
        <v>5053</v>
      </c>
      <c r="B5054" s="14" t="n">
        <v>102731.373243046</v>
      </c>
      <c r="C5054" s="15" t="n">
        <v>0.0889209070474705</v>
      </c>
      <c r="D5054" s="14" t="n">
        <f aca="false">Summary!$B$5-B5054</f>
        <v>-2731.3732430457</v>
      </c>
      <c r="E5054" s="15" t="n">
        <f aca="false">B5054/Summary!$B$5-1</f>
        <v>0.0273137324304571</v>
      </c>
    </row>
    <row r="5055" customFormat="false" ht="15" hidden="false" customHeight="false" outlineLevel="0" collapsed="false">
      <c r="A5055" s="0" t="n">
        <v>5054</v>
      </c>
      <c r="B5055" s="14" t="n">
        <v>112261.91462318</v>
      </c>
      <c r="C5055" s="15" t="n">
        <v>0.11115721038549</v>
      </c>
      <c r="D5055" s="14" t="n">
        <f aca="false">Summary!$B$5-B5055</f>
        <v>-12261.9146231799</v>
      </c>
      <c r="E5055" s="15" t="n">
        <f aca="false">B5055/Summary!$B$5-1</f>
        <v>0.122619146231799</v>
      </c>
    </row>
    <row r="5056" customFormat="false" ht="15" hidden="false" customHeight="false" outlineLevel="0" collapsed="false">
      <c r="A5056" s="0" t="n">
        <v>5055</v>
      </c>
      <c r="B5056" s="14" t="n">
        <v>103841.216989964</v>
      </c>
      <c r="C5056" s="15" t="n">
        <v>0.095337584692724</v>
      </c>
      <c r="D5056" s="14" t="n">
        <f aca="false">Summary!$B$5-B5056</f>
        <v>-3841.2169899639</v>
      </c>
      <c r="E5056" s="15" t="n">
        <f aca="false">B5056/Summary!$B$5-1</f>
        <v>0.0384121698996389</v>
      </c>
    </row>
    <row r="5057" customFormat="false" ht="15" hidden="false" customHeight="false" outlineLevel="0" collapsed="false">
      <c r="A5057" s="0" t="n">
        <v>5056</v>
      </c>
      <c r="B5057" s="14" t="n">
        <v>125332.049393196</v>
      </c>
      <c r="C5057" s="15" t="n">
        <v>0.0685913114972691</v>
      </c>
      <c r="D5057" s="14" t="n">
        <f aca="false">Summary!$B$5-B5057</f>
        <v>-25332.0493931961</v>
      </c>
      <c r="E5057" s="15" t="n">
        <f aca="false">B5057/Summary!$B$5-1</f>
        <v>0.253320493931961</v>
      </c>
    </row>
    <row r="5058" customFormat="false" ht="15" hidden="false" customHeight="false" outlineLevel="0" collapsed="false">
      <c r="A5058" s="0" t="n">
        <v>5057</v>
      </c>
      <c r="B5058" s="14" t="n">
        <v>105612.344675071</v>
      </c>
      <c r="C5058" s="15" t="n">
        <v>0.122479312618656</v>
      </c>
      <c r="D5058" s="14" t="n">
        <f aca="false">Summary!$B$5-B5058</f>
        <v>-5612.3446750709</v>
      </c>
      <c r="E5058" s="15" t="n">
        <f aca="false">B5058/Summary!$B$5-1</f>
        <v>0.056123446750709</v>
      </c>
    </row>
    <row r="5059" customFormat="false" ht="15" hidden="false" customHeight="false" outlineLevel="0" collapsed="false">
      <c r="A5059" s="0" t="n">
        <v>5058</v>
      </c>
      <c r="B5059" s="14" t="n">
        <v>108609.139013014</v>
      </c>
      <c r="C5059" s="15" t="n">
        <v>0.142473062269443</v>
      </c>
      <c r="D5059" s="14" t="n">
        <f aca="false">Summary!$B$5-B5059</f>
        <v>-8609.1390130142</v>
      </c>
      <c r="E5059" s="15" t="n">
        <f aca="false">B5059/Summary!$B$5-1</f>
        <v>0.0860913901301419</v>
      </c>
    </row>
    <row r="5060" customFormat="false" ht="15" hidden="false" customHeight="false" outlineLevel="0" collapsed="false">
      <c r="A5060" s="0" t="n">
        <v>5059</v>
      </c>
      <c r="B5060" s="14" t="n">
        <v>120439.514346994</v>
      </c>
      <c r="C5060" s="15" t="n">
        <v>0.0560913622278944</v>
      </c>
      <c r="D5060" s="14" t="n">
        <f aca="false">Summary!$B$5-B5060</f>
        <v>-20439.5143469941</v>
      </c>
      <c r="E5060" s="15" t="n">
        <f aca="false">B5060/Summary!$B$5-1</f>
        <v>0.204395143469941</v>
      </c>
    </row>
    <row r="5061" customFormat="false" ht="15" hidden="false" customHeight="false" outlineLevel="0" collapsed="false">
      <c r="A5061" s="0" t="n">
        <v>5060</v>
      </c>
      <c r="B5061" s="14" t="n">
        <v>124006.120565051</v>
      </c>
      <c r="C5061" s="15" t="n">
        <v>0.0637310520942792</v>
      </c>
      <c r="D5061" s="14" t="n">
        <f aca="false">Summary!$B$5-B5061</f>
        <v>-24006.1205650506</v>
      </c>
      <c r="E5061" s="15" t="n">
        <f aca="false">B5061/Summary!$B$5-1</f>
        <v>0.240061205650506</v>
      </c>
    </row>
    <row r="5062" customFormat="false" ht="15" hidden="false" customHeight="false" outlineLevel="0" collapsed="false">
      <c r="A5062" s="0" t="n">
        <v>5061</v>
      </c>
      <c r="B5062" s="14" t="n">
        <v>83435.421306518</v>
      </c>
      <c r="C5062" s="15" t="n">
        <v>0.186963719154061</v>
      </c>
      <c r="D5062" s="14" t="n">
        <f aca="false">Summary!$B$5-B5062</f>
        <v>16564.5786934821</v>
      </c>
      <c r="E5062" s="15" t="n">
        <f aca="false">B5062/Summary!$B$5-1</f>
        <v>-0.16564578693482</v>
      </c>
    </row>
    <row r="5063" customFormat="false" ht="15" hidden="false" customHeight="false" outlineLevel="0" collapsed="false">
      <c r="A5063" s="0" t="n">
        <v>5062</v>
      </c>
      <c r="B5063" s="14" t="n">
        <v>102702.482082591</v>
      </c>
      <c r="C5063" s="15" t="n">
        <v>0.15440039451279</v>
      </c>
      <c r="D5063" s="14" t="n">
        <f aca="false">Summary!$B$5-B5063</f>
        <v>-2702.48208259141</v>
      </c>
      <c r="E5063" s="15" t="n">
        <f aca="false">B5063/Summary!$B$5-1</f>
        <v>0.0270248208259141</v>
      </c>
    </row>
    <row r="5064" customFormat="false" ht="15" hidden="false" customHeight="false" outlineLevel="0" collapsed="false">
      <c r="A5064" s="0" t="n">
        <v>5063</v>
      </c>
      <c r="B5064" s="14" t="n">
        <v>86400.7230697846</v>
      </c>
      <c r="C5064" s="15" t="n">
        <v>0.187847360719187</v>
      </c>
      <c r="D5064" s="14" t="n">
        <f aca="false">Summary!$B$5-B5064</f>
        <v>13599.2769302154</v>
      </c>
      <c r="E5064" s="15" t="n">
        <f aca="false">B5064/Summary!$B$5-1</f>
        <v>-0.135992769302154</v>
      </c>
    </row>
    <row r="5065" customFormat="false" ht="15" hidden="false" customHeight="false" outlineLevel="0" collapsed="false">
      <c r="A5065" s="0" t="n">
        <v>5064</v>
      </c>
      <c r="B5065" s="14" t="n">
        <v>100483.712299626</v>
      </c>
      <c r="C5065" s="15" t="n">
        <v>0.132706180416119</v>
      </c>
      <c r="D5065" s="14" t="n">
        <f aca="false">Summary!$B$5-B5065</f>
        <v>-483.712299626204</v>
      </c>
      <c r="E5065" s="15" t="n">
        <f aca="false">B5065/Summary!$B$5-1</f>
        <v>0.00483712299626204</v>
      </c>
    </row>
    <row r="5066" customFormat="false" ht="15" hidden="false" customHeight="false" outlineLevel="0" collapsed="false">
      <c r="A5066" s="0" t="n">
        <v>5065</v>
      </c>
      <c r="B5066" s="14" t="n">
        <v>97977.8068005911</v>
      </c>
      <c r="C5066" s="15" t="n">
        <v>0.124305465721469</v>
      </c>
      <c r="D5066" s="14" t="n">
        <f aca="false">Summary!$B$5-B5066</f>
        <v>2022.19319940891</v>
      </c>
      <c r="E5066" s="15" t="n">
        <f aca="false">B5066/Summary!$B$5-1</f>
        <v>-0.0202219319940891</v>
      </c>
    </row>
    <row r="5067" customFormat="false" ht="15" hidden="false" customHeight="false" outlineLevel="0" collapsed="false">
      <c r="A5067" s="0" t="n">
        <v>5066</v>
      </c>
      <c r="B5067" s="14" t="n">
        <v>106192.357104034</v>
      </c>
      <c r="C5067" s="15" t="n">
        <v>0.100107078112334</v>
      </c>
      <c r="D5067" s="14" t="n">
        <f aca="false">Summary!$B$5-B5067</f>
        <v>-6192.35710403349</v>
      </c>
      <c r="E5067" s="15" t="n">
        <f aca="false">B5067/Summary!$B$5-1</f>
        <v>0.061923571040335</v>
      </c>
    </row>
    <row r="5068" customFormat="false" ht="15" hidden="false" customHeight="false" outlineLevel="0" collapsed="false">
      <c r="A5068" s="0" t="n">
        <v>5067</v>
      </c>
      <c r="B5068" s="14" t="n">
        <v>100827.162372702</v>
      </c>
      <c r="C5068" s="15" t="n">
        <v>0.119026293903193</v>
      </c>
      <c r="D5068" s="14" t="n">
        <f aca="false">Summary!$B$5-B5068</f>
        <v>-827.162372701801</v>
      </c>
      <c r="E5068" s="15" t="n">
        <f aca="false">B5068/Summary!$B$5-1</f>
        <v>0.00827162372701795</v>
      </c>
    </row>
    <row r="5069" customFormat="false" ht="15" hidden="false" customHeight="false" outlineLevel="0" collapsed="false">
      <c r="A5069" s="0" t="n">
        <v>5068</v>
      </c>
      <c r="B5069" s="14" t="n">
        <v>118618.184897588</v>
      </c>
      <c r="C5069" s="15" t="n">
        <v>0.0825740715611948</v>
      </c>
      <c r="D5069" s="14" t="n">
        <f aca="false">Summary!$B$5-B5069</f>
        <v>-18618.1848975877</v>
      </c>
      <c r="E5069" s="15" t="n">
        <f aca="false">B5069/Summary!$B$5-1</f>
        <v>0.186181848975877</v>
      </c>
    </row>
    <row r="5070" customFormat="false" ht="15" hidden="false" customHeight="false" outlineLevel="0" collapsed="false">
      <c r="A5070" s="0" t="n">
        <v>5069</v>
      </c>
      <c r="B5070" s="14" t="n">
        <v>121607.426530736</v>
      </c>
      <c r="C5070" s="15" t="n">
        <v>0.0878838826629943</v>
      </c>
      <c r="D5070" s="14" t="n">
        <f aca="false">Summary!$B$5-B5070</f>
        <v>-21607.4265307362</v>
      </c>
      <c r="E5070" s="15" t="n">
        <f aca="false">B5070/Summary!$B$5-1</f>
        <v>0.216074265307362</v>
      </c>
    </row>
    <row r="5071" customFormat="false" ht="15" hidden="false" customHeight="false" outlineLevel="0" collapsed="false">
      <c r="A5071" s="0" t="n">
        <v>5070</v>
      </c>
      <c r="B5071" s="14" t="n">
        <v>116900.19436801</v>
      </c>
      <c r="C5071" s="15" t="n">
        <v>0.116519773648555</v>
      </c>
      <c r="D5071" s="14" t="n">
        <f aca="false">Summary!$B$5-B5071</f>
        <v>-16900.1943680102</v>
      </c>
      <c r="E5071" s="15" t="n">
        <f aca="false">B5071/Summary!$B$5-1</f>
        <v>0.169001943680102</v>
      </c>
    </row>
    <row r="5072" customFormat="false" ht="15" hidden="false" customHeight="false" outlineLevel="0" collapsed="false">
      <c r="A5072" s="0" t="n">
        <v>5071</v>
      </c>
      <c r="B5072" s="14" t="n">
        <v>97271.6029892235</v>
      </c>
      <c r="C5072" s="15" t="n">
        <v>0.12249564998798</v>
      </c>
      <c r="D5072" s="14" t="n">
        <f aca="false">Summary!$B$5-B5072</f>
        <v>2728.39701077651</v>
      </c>
      <c r="E5072" s="15" t="n">
        <f aca="false">B5072/Summary!$B$5-1</f>
        <v>-0.0272839701077651</v>
      </c>
    </row>
    <row r="5073" customFormat="false" ht="15" hidden="false" customHeight="false" outlineLevel="0" collapsed="false">
      <c r="A5073" s="0" t="n">
        <v>5072</v>
      </c>
      <c r="B5073" s="14" t="n">
        <v>137163.963939125</v>
      </c>
      <c r="C5073" s="15" t="n">
        <v>0.0417972967051173</v>
      </c>
      <c r="D5073" s="14" t="n">
        <f aca="false">Summary!$B$5-B5073</f>
        <v>-37163.9639391249</v>
      </c>
      <c r="E5073" s="15" t="n">
        <f aca="false">B5073/Summary!$B$5-1</f>
        <v>0.371639639391249</v>
      </c>
    </row>
    <row r="5074" customFormat="false" ht="15" hidden="false" customHeight="false" outlineLevel="0" collapsed="false">
      <c r="A5074" s="0" t="n">
        <v>5073</v>
      </c>
      <c r="B5074" s="14" t="n">
        <v>115560.218955883</v>
      </c>
      <c r="C5074" s="15" t="n">
        <v>0.124012570037961</v>
      </c>
      <c r="D5074" s="14" t="n">
        <f aca="false">Summary!$B$5-B5074</f>
        <v>-15560.2189558831</v>
      </c>
      <c r="E5074" s="15" t="n">
        <f aca="false">B5074/Summary!$B$5-1</f>
        <v>0.155602189558831</v>
      </c>
    </row>
    <row r="5075" customFormat="false" ht="15" hidden="false" customHeight="false" outlineLevel="0" collapsed="false">
      <c r="A5075" s="0" t="n">
        <v>5074</v>
      </c>
      <c r="B5075" s="14" t="n">
        <v>94232.9835369545</v>
      </c>
      <c r="C5075" s="15" t="n">
        <v>0.118501605911458</v>
      </c>
      <c r="D5075" s="14" t="n">
        <f aca="false">Summary!$B$5-B5075</f>
        <v>5767.01646304553</v>
      </c>
      <c r="E5075" s="15" t="n">
        <f aca="false">B5075/Summary!$B$5-1</f>
        <v>-0.0576701646304553</v>
      </c>
    </row>
    <row r="5076" customFormat="false" ht="15" hidden="false" customHeight="false" outlineLevel="0" collapsed="false">
      <c r="A5076" s="0" t="n">
        <v>5075</v>
      </c>
      <c r="B5076" s="14" t="n">
        <v>117186.148402256</v>
      </c>
      <c r="C5076" s="15" t="n">
        <v>0.0598219631692134</v>
      </c>
      <c r="D5076" s="14" t="n">
        <f aca="false">Summary!$B$5-B5076</f>
        <v>-17186.1484022555</v>
      </c>
      <c r="E5076" s="15" t="n">
        <f aca="false">B5076/Summary!$B$5-1</f>
        <v>0.171861484022555</v>
      </c>
    </row>
    <row r="5077" customFormat="false" ht="15" hidden="false" customHeight="false" outlineLevel="0" collapsed="false">
      <c r="A5077" s="0" t="n">
        <v>5076</v>
      </c>
      <c r="B5077" s="14" t="n">
        <v>102154.296894702</v>
      </c>
      <c r="C5077" s="15" t="n">
        <v>0.0753193278962064</v>
      </c>
      <c r="D5077" s="14" t="n">
        <f aca="false">Summary!$B$5-B5077</f>
        <v>-2154.2968947022</v>
      </c>
      <c r="E5077" s="15" t="n">
        <f aca="false">B5077/Summary!$B$5-1</f>
        <v>0.0215429689470221</v>
      </c>
    </row>
    <row r="5078" customFormat="false" ht="15" hidden="false" customHeight="false" outlineLevel="0" collapsed="false">
      <c r="A5078" s="0" t="n">
        <v>5077</v>
      </c>
      <c r="B5078" s="14" t="n">
        <v>106770.839326625</v>
      </c>
      <c r="C5078" s="15" t="n">
        <v>0.0841713090220839</v>
      </c>
      <c r="D5078" s="14" t="n">
        <f aca="false">Summary!$B$5-B5078</f>
        <v>-6770.8393266249</v>
      </c>
      <c r="E5078" s="15" t="n">
        <f aca="false">B5078/Summary!$B$5-1</f>
        <v>0.067708393266249</v>
      </c>
    </row>
    <row r="5079" customFormat="false" ht="15" hidden="false" customHeight="false" outlineLevel="0" collapsed="false">
      <c r="A5079" s="0" t="n">
        <v>5078</v>
      </c>
      <c r="B5079" s="14" t="n">
        <v>115775.105853795</v>
      </c>
      <c r="C5079" s="15" t="n">
        <v>0.0817559010268393</v>
      </c>
      <c r="D5079" s="14" t="n">
        <f aca="false">Summary!$B$5-B5079</f>
        <v>-15775.1058537945</v>
      </c>
      <c r="E5079" s="15" t="n">
        <f aca="false">B5079/Summary!$B$5-1</f>
        <v>0.157751058537945</v>
      </c>
    </row>
    <row r="5080" customFormat="false" ht="15" hidden="false" customHeight="false" outlineLevel="0" collapsed="false">
      <c r="A5080" s="0" t="n">
        <v>5079</v>
      </c>
      <c r="B5080" s="14" t="n">
        <v>139833.834083116</v>
      </c>
      <c r="C5080" s="15" t="n">
        <v>0.0592817892748769</v>
      </c>
      <c r="D5080" s="14" t="n">
        <f aca="false">Summary!$B$5-B5080</f>
        <v>-39833.8340831164</v>
      </c>
      <c r="E5080" s="15" t="n">
        <f aca="false">B5080/Summary!$B$5-1</f>
        <v>0.398338340831164</v>
      </c>
    </row>
    <row r="5081" customFormat="false" ht="15" hidden="false" customHeight="false" outlineLevel="0" collapsed="false">
      <c r="A5081" s="0" t="n">
        <v>5080</v>
      </c>
      <c r="B5081" s="14" t="n">
        <v>108734.730783568</v>
      </c>
      <c r="C5081" s="15" t="n">
        <v>0.166371479210006</v>
      </c>
      <c r="D5081" s="14" t="n">
        <f aca="false">Summary!$B$5-B5081</f>
        <v>-8734.7307835683</v>
      </c>
      <c r="E5081" s="15" t="n">
        <f aca="false">B5081/Summary!$B$5-1</f>
        <v>0.087347307835683</v>
      </c>
    </row>
    <row r="5082" customFormat="false" ht="15" hidden="false" customHeight="false" outlineLevel="0" collapsed="false">
      <c r="A5082" s="0" t="n">
        <v>5081</v>
      </c>
      <c r="B5082" s="14" t="n">
        <v>102204.614609482</v>
      </c>
      <c r="C5082" s="15" t="n">
        <v>0.0733271221037528</v>
      </c>
      <c r="D5082" s="14" t="n">
        <f aca="false">Summary!$B$5-B5082</f>
        <v>-2204.61460948151</v>
      </c>
      <c r="E5082" s="15" t="n">
        <f aca="false">B5082/Summary!$B$5-1</f>
        <v>0.0220461460948151</v>
      </c>
    </row>
    <row r="5083" customFormat="false" ht="15" hidden="false" customHeight="false" outlineLevel="0" collapsed="false">
      <c r="A5083" s="0" t="n">
        <v>5082</v>
      </c>
      <c r="B5083" s="14" t="n">
        <v>104731.336469589</v>
      </c>
      <c r="C5083" s="15" t="n">
        <v>0.0732232460205334</v>
      </c>
      <c r="D5083" s="14" t="n">
        <f aca="false">Summary!$B$5-B5083</f>
        <v>-4731.33646958911</v>
      </c>
      <c r="E5083" s="15" t="n">
        <f aca="false">B5083/Summary!$B$5-1</f>
        <v>0.047313364695891</v>
      </c>
    </row>
    <row r="5084" customFormat="false" ht="15" hidden="false" customHeight="false" outlineLevel="0" collapsed="false">
      <c r="A5084" s="0" t="n">
        <v>5083</v>
      </c>
      <c r="B5084" s="14" t="n">
        <v>129692.995088462</v>
      </c>
      <c r="C5084" s="15" t="n">
        <v>0.0966706536594482</v>
      </c>
      <c r="D5084" s="14" t="n">
        <f aca="false">Summary!$B$5-B5084</f>
        <v>-29692.9950884618</v>
      </c>
      <c r="E5084" s="15" t="n">
        <f aca="false">B5084/Summary!$B$5-1</f>
        <v>0.296929950884618</v>
      </c>
    </row>
    <row r="5085" customFormat="false" ht="15" hidden="false" customHeight="false" outlineLevel="0" collapsed="false">
      <c r="A5085" s="0" t="n">
        <v>5084</v>
      </c>
      <c r="B5085" s="14" t="n">
        <v>91259.5577979368</v>
      </c>
      <c r="C5085" s="15" t="n">
        <v>0.158071623270287</v>
      </c>
      <c r="D5085" s="14" t="n">
        <f aca="false">Summary!$B$5-B5085</f>
        <v>8740.44220206325</v>
      </c>
      <c r="E5085" s="15" t="n">
        <f aca="false">B5085/Summary!$B$5-1</f>
        <v>-0.0874044220206325</v>
      </c>
    </row>
    <row r="5086" customFormat="false" ht="15" hidden="false" customHeight="false" outlineLevel="0" collapsed="false">
      <c r="A5086" s="0" t="n">
        <v>5085</v>
      </c>
      <c r="B5086" s="14" t="n">
        <v>108936.283898269</v>
      </c>
      <c r="C5086" s="15" t="n">
        <v>0.0541665440124677</v>
      </c>
      <c r="D5086" s="14" t="n">
        <f aca="false">Summary!$B$5-B5086</f>
        <v>-8936.283898269</v>
      </c>
      <c r="E5086" s="15" t="n">
        <f aca="false">B5086/Summary!$B$5-1</f>
        <v>0.0893628389826899</v>
      </c>
    </row>
    <row r="5087" customFormat="false" ht="15" hidden="false" customHeight="false" outlineLevel="0" collapsed="false">
      <c r="A5087" s="0" t="n">
        <v>5086</v>
      </c>
      <c r="B5087" s="14" t="n">
        <v>94445.4261164974</v>
      </c>
      <c r="C5087" s="15" t="n">
        <v>0.129313042043797</v>
      </c>
      <c r="D5087" s="14" t="n">
        <f aca="false">Summary!$B$5-B5087</f>
        <v>5554.57388350261</v>
      </c>
      <c r="E5087" s="15" t="n">
        <f aca="false">B5087/Summary!$B$5-1</f>
        <v>-0.0555457388350261</v>
      </c>
    </row>
    <row r="5088" customFormat="false" ht="15" hidden="false" customHeight="false" outlineLevel="0" collapsed="false">
      <c r="A5088" s="0" t="n">
        <v>5087</v>
      </c>
      <c r="B5088" s="14" t="n">
        <v>110044.614073921</v>
      </c>
      <c r="C5088" s="15" t="n">
        <v>0.0628168203670514</v>
      </c>
      <c r="D5088" s="14" t="n">
        <f aca="false">Summary!$B$5-B5088</f>
        <v>-10044.6140739213</v>
      </c>
      <c r="E5088" s="15" t="n">
        <f aca="false">B5088/Summary!$B$5-1</f>
        <v>0.100446140739213</v>
      </c>
    </row>
    <row r="5089" customFormat="false" ht="15" hidden="false" customHeight="false" outlineLevel="0" collapsed="false">
      <c r="A5089" s="0" t="n">
        <v>5088</v>
      </c>
      <c r="B5089" s="14" t="n">
        <v>98289.6652078735</v>
      </c>
      <c r="C5089" s="15" t="n">
        <v>0.0913694773618153</v>
      </c>
      <c r="D5089" s="14" t="n">
        <f aca="false">Summary!$B$5-B5089</f>
        <v>1710.33479212654</v>
      </c>
      <c r="E5089" s="15" t="n">
        <f aca="false">B5089/Summary!$B$5-1</f>
        <v>-0.0171033479212653</v>
      </c>
    </row>
    <row r="5090" customFormat="false" ht="15" hidden="false" customHeight="false" outlineLevel="0" collapsed="false">
      <c r="A5090" s="0" t="n">
        <v>5089</v>
      </c>
      <c r="B5090" s="14" t="n">
        <v>116417.377624966</v>
      </c>
      <c r="C5090" s="15" t="n">
        <v>0.0736070825917167</v>
      </c>
      <c r="D5090" s="14" t="n">
        <f aca="false">Summary!$B$5-B5090</f>
        <v>-16417.3776249659</v>
      </c>
      <c r="E5090" s="15" t="n">
        <f aca="false">B5090/Summary!$B$5-1</f>
        <v>0.164173776249659</v>
      </c>
    </row>
    <row r="5091" customFormat="false" ht="15" hidden="false" customHeight="false" outlineLevel="0" collapsed="false">
      <c r="A5091" s="0" t="n">
        <v>5090</v>
      </c>
      <c r="B5091" s="14" t="n">
        <v>98047.7032016181</v>
      </c>
      <c r="C5091" s="15" t="n">
        <v>0.163253843118324</v>
      </c>
      <c r="D5091" s="14" t="n">
        <f aca="false">Summary!$B$5-B5091</f>
        <v>1952.29679838195</v>
      </c>
      <c r="E5091" s="15" t="n">
        <f aca="false">B5091/Summary!$B$5-1</f>
        <v>-0.0195229679838196</v>
      </c>
    </row>
    <row r="5092" customFormat="false" ht="15" hidden="false" customHeight="false" outlineLevel="0" collapsed="false">
      <c r="A5092" s="0" t="n">
        <v>5091</v>
      </c>
      <c r="B5092" s="14" t="n">
        <v>95125.1445721161</v>
      </c>
      <c r="C5092" s="15" t="n">
        <v>0.122843265449875</v>
      </c>
      <c r="D5092" s="14" t="n">
        <f aca="false">Summary!$B$5-B5092</f>
        <v>4874.85542788394</v>
      </c>
      <c r="E5092" s="15" t="n">
        <f aca="false">B5092/Summary!$B$5-1</f>
        <v>-0.0487485542788394</v>
      </c>
    </row>
    <row r="5093" customFormat="false" ht="15" hidden="false" customHeight="false" outlineLevel="0" collapsed="false">
      <c r="A5093" s="0" t="n">
        <v>5092</v>
      </c>
      <c r="B5093" s="14" t="n">
        <v>117002.746792687</v>
      </c>
      <c r="C5093" s="15" t="n">
        <v>0.0637273185896572</v>
      </c>
      <c r="D5093" s="14" t="n">
        <f aca="false">Summary!$B$5-B5093</f>
        <v>-17002.7467926874</v>
      </c>
      <c r="E5093" s="15" t="n">
        <f aca="false">B5093/Summary!$B$5-1</f>
        <v>0.170027467926874</v>
      </c>
    </row>
    <row r="5094" customFormat="false" ht="15" hidden="false" customHeight="false" outlineLevel="0" collapsed="false">
      <c r="A5094" s="0" t="n">
        <v>5093</v>
      </c>
      <c r="B5094" s="14" t="n">
        <v>98715.4625104526</v>
      </c>
      <c r="C5094" s="15" t="n">
        <v>0.0912818505949536</v>
      </c>
      <c r="D5094" s="14" t="n">
        <f aca="false">Summary!$B$5-B5094</f>
        <v>1284.53748954737</v>
      </c>
      <c r="E5094" s="15" t="n">
        <f aca="false">B5094/Summary!$B$5-1</f>
        <v>-0.0128453748954737</v>
      </c>
    </row>
    <row r="5095" customFormat="false" ht="15" hidden="false" customHeight="false" outlineLevel="0" collapsed="false">
      <c r="A5095" s="0" t="n">
        <v>5094</v>
      </c>
      <c r="B5095" s="14" t="n">
        <v>97718.1575130032</v>
      </c>
      <c r="C5095" s="15" t="n">
        <v>0.126607313333387</v>
      </c>
      <c r="D5095" s="14" t="n">
        <f aca="false">Summary!$B$5-B5095</f>
        <v>2281.84248699679</v>
      </c>
      <c r="E5095" s="15" t="n">
        <f aca="false">B5095/Summary!$B$5-1</f>
        <v>-0.0228184248699679</v>
      </c>
    </row>
    <row r="5096" customFormat="false" ht="15" hidden="false" customHeight="false" outlineLevel="0" collapsed="false">
      <c r="A5096" s="0" t="n">
        <v>5095</v>
      </c>
      <c r="B5096" s="14" t="n">
        <v>136796.890550681</v>
      </c>
      <c r="C5096" s="15" t="n">
        <v>0.0754558367987123</v>
      </c>
      <c r="D5096" s="14" t="n">
        <f aca="false">Summary!$B$5-B5096</f>
        <v>-36796.8905506813</v>
      </c>
      <c r="E5096" s="15" t="n">
        <f aca="false">B5096/Summary!$B$5-1</f>
        <v>0.367968905506813</v>
      </c>
    </row>
    <row r="5097" customFormat="false" ht="15" hidden="false" customHeight="false" outlineLevel="0" collapsed="false">
      <c r="A5097" s="0" t="n">
        <v>5096</v>
      </c>
      <c r="B5097" s="14" t="n">
        <v>89241.4024280747</v>
      </c>
      <c r="C5097" s="15" t="n">
        <v>0.147053160084749</v>
      </c>
      <c r="D5097" s="14" t="n">
        <f aca="false">Summary!$B$5-B5097</f>
        <v>10758.5975719253</v>
      </c>
      <c r="E5097" s="15" t="n">
        <f aca="false">B5097/Summary!$B$5-1</f>
        <v>-0.107585975719253</v>
      </c>
    </row>
    <row r="5098" customFormat="false" ht="15" hidden="false" customHeight="false" outlineLevel="0" collapsed="false">
      <c r="A5098" s="0" t="n">
        <v>5097</v>
      </c>
      <c r="B5098" s="14" t="n">
        <v>105872.866672345</v>
      </c>
      <c r="C5098" s="15" t="n">
        <v>0.0825302968468329</v>
      </c>
      <c r="D5098" s="14" t="n">
        <f aca="false">Summary!$B$5-B5098</f>
        <v>-5872.86667234531</v>
      </c>
      <c r="E5098" s="15" t="n">
        <f aca="false">B5098/Summary!$B$5-1</f>
        <v>0.058728666723453</v>
      </c>
    </row>
    <row r="5099" customFormat="false" ht="15" hidden="false" customHeight="false" outlineLevel="0" collapsed="false">
      <c r="A5099" s="0" t="n">
        <v>5098</v>
      </c>
      <c r="B5099" s="14" t="n">
        <v>93074.1515293103</v>
      </c>
      <c r="C5099" s="15" t="n">
        <v>0.130970359416757</v>
      </c>
      <c r="D5099" s="14" t="n">
        <f aca="false">Summary!$B$5-B5099</f>
        <v>6925.84847068969</v>
      </c>
      <c r="E5099" s="15" t="n">
        <f aca="false">B5099/Summary!$B$5-1</f>
        <v>-0.0692584847068969</v>
      </c>
    </row>
    <row r="5100" customFormat="false" ht="15" hidden="false" customHeight="false" outlineLevel="0" collapsed="false">
      <c r="A5100" s="0" t="n">
        <v>5099</v>
      </c>
      <c r="B5100" s="14" t="n">
        <v>98717.7036725881</v>
      </c>
      <c r="C5100" s="15" t="n">
        <v>0.0916994979505198</v>
      </c>
      <c r="D5100" s="14" t="n">
        <f aca="false">Summary!$B$5-B5100</f>
        <v>1282.29632741194</v>
      </c>
      <c r="E5100" s="15" t="n">
        <f aca="false">B5100/Summary!$B$5-1</f>
        <v>-0.0128229632741194</v>
      </c>
    </row>
    <row r="5101" customFormat="false" ht="15" hidden="false" customHeight="false" outlineLevel="0" collapsed="false">
      <c r="A5101" s="0" t="n">
        <v>5100</v>
      </c>
      <c r="B5101" s="14" t="n">
        <v>123483.389676493</v>
      </c>
      <c r="C5101" s="15" t="n">
        <v>0.0614592163957047</v>
      </c>
      <c r="D5101" s="14" t="n">
        <f aca="false">Summary!$B$5-B5101</f>
        <v>-23483.3896764925</v>
      </c>
      <c r="E5101" s="15" t="n">
        <f aca="false">B5101/Summary!$B$5-1</f>
        <v>0.234833896764925</v>
      </c>
    </row>
    <row r="5102" customFormat="false" ht="15" hidden="false" customHeight="false" outlineLevel="0" collapsed="false">
      <c r="A5102" s="0" t="n">
        <v>5101</v>
      </c>
      <c r="B5102" s="14" t="n">
        <v>117922.588081621</v>
      </c>
      <c r="C5102" s="15" t="n">
        <v>0.0730400279043747</v>
      </c>
      <c r="D5102" s="14" t="n">
        <f aca="false">Summary!$B$5-B5102</f>
        <v>-17922.5880816205</v>
      </c>
      <c r="E5102" s="15" t="n">
        <f aca="false">B5102/Summary!$B$5-1</f>
        <v>0.179225880816205</v>
      </c>
    </row>
    <row r="5103" customFormat="false" ht="15" hidden="false" customHeight="false" outlineLevel="0" collapsed="false">
      <c r="A5103" s="0" t="n">
        <v>5102</v>
      </c>
      <c r="B5103" s="14" t="n">
        <v>109024.695935636</v>
      </c>
      <c r="C5103" s="15" t="n">
        <v>0.0904844845859648</v>
      </c>
      <c r="D5103" s="14" t="n">
        <f aca="false">Summary!$B$5-B5103</f>
        <v>-9024.6959356364</v>
      </c>
      <c r="E5103" s="15" t="n">
        <f aca="false">B5103/Summary!$B$5-1</f>
        <v>0.090246959356364</v>
      </c>
    </row>
    <row r="5104" customFormat="false" ht="15" hidden="false" customHeight="false" outlineLevel="0" collapsed="false">
      <c r="A5104" s="0" t="n">
        <v>5103</v>
      </c>
      <c r="B5104" s="14" t="n">
        <v>98870.2207051413</v>
      </c>
      <c r="C5104" s="15" t="n">
        <v>0.141284549276772</v>
      </c>
      <c r="D5104" s="14" t="n">
        <f aca="false">Summary!$B$5-B5104</f>
        <v>1129.77929485869</v>
      </c>
      <c r="E5104" s="15" t="n">
        <f aca="false">B5104/Summary!$B$5-1</f>
        <v>-0.0112977929485869</v>
      </c>
    </row>
    <row r="5105" customFormat="false" ht="15" hidden="false" customHeight="false" outlineLevel="0" collapsed="false">
      <c r="A5105" s="0" t="n">
        <v>5104</v>
      </c>
      <c r="B5105" s="14" t="n">
        <v>93513.7652774753</v>
      </c>
      <c r="C5105" s="15" t="n">
        <v>0.147726217783835</v>
      </c>
      <c r="D5105" s="14" t="n">
        <f aca="false">Summary!$B$5-B5105</f>
        <v>6486.23472252469</v>
      </c>
      <c r="E5105" s="15" t="n">
        <f aca="false">B5105/Summary!$B$5-1</f>
        <v>-0.064862347225247</v>
      </c>
    </row>
    <row r="5106" customFormat="false" ht="15" hidden="false" customHeight="false" outlineLevel="0" collapsed="false">
      <c r="A5106" s="0" t="n">
        <v>5105</v>
      </c>
      <c r="B5106" s="14" t="n">
        <v>134052.523035849</v>
      </c>
      <c r="C5106" s="15" t="n">
        <v>0.0628369273388838</v>
      </c>
      <c r="D5106" s="14" t="n">
        <f aca="false">Summary!$B$5-B5106</f>
        <v>-34052.5230358492</v>
      </c>
      <c r="E5106" s="15" t="n">
        <f aca="false">B5106/Summary!$B$5-1</f>
        <v>0.340525230358492</v>
      </c>
    </row>
    <row r="5107" customFormat="false" ht="15" hidden="false" customHeight="false" outlineLevel="0" collapsed="false">
      <c r="A5107" s="0" t="n">
        <v>5106</v>
      </c>
      <c r="B5107" s="14" t="n">
        <v>101017.360907969</v>
      </c>
      <c r="C5107" s="15" t="n">
        <v>0.0926752682897356</v>
      </c>
      <c r="D5107" s="14" t="n">
        <f aca="false">Summary!$B$5-B5107</f>
        <v>-1017.3609079689</v>
      </c>
      <c r="E5107" s="15" t="n">
        <f aca="false">B5107/Summary!$B$5-1</f>
        <v>0.0101736090796891</v>
      </c>
    </row>
    <row r="5108" customFormat="false" ht="15" hidden="false" customHeight="false" outlineLevel="0" collapsed="false">
      <c r="A5108" s="0" t="n">
        <v>5107</v>
      </c>
      <c r="B5108" s="14" t="n">
        <v>97330.1612386164</v>
      </c>
      <c r="C5108" s="15" t="n">
        <v>0.0811152669891787</v>
      </c>
      <c r="D5108" s="14" t="n">
        <f aca="false">Summary!$B$5-B5108</f>
        <v>2669.83876138361</v>
      </c>
      <c r="E5108" s="15" t="n">
        <f aca="false">B5108/Summary!$B$5-1</f>
        <v>-0.0266983876138361</v>
      </c>
    </row>
    <row r="5109" customFormat="false" ht="15" hidden="false" customHeight="false" outlineLevel="0" collapsed="false">
      <c r="A5109" s="0" t="n">
        <v>5108</v>
      </c>
      <c r="B5109" s="14" t="n">
        <v>110290.537698702</v>
      </c>
      <c r="C5109" s="15" t="n">
        <v>0.0934812107542203</v>
      </c>
      <c r="D5109" s="14" t="n">
        <f aca="false">Summary!$B$5-B5109</f>
        <v>-10290.5376987021</v>
      </c>
      <c r="E5109" s="15" t="n">
        <f aca="false">B5109/Summary!$B$5-1</f>
        <v>0.102905376987021</v>
      </c>
    </row>
    <row r="5110" customFormat="false" ht="15" hidden="false" customHeight="false" outlineLevel="0" collapsed="false">
      <c r="A5110" s="0" t="n">
        <v>5109</v>
      </c>
      <c r="B5110" s="14" t="n">
        <v>95993.4727850496</v>
      </c>
      <c r="C5110" s="15" t="n">
        <v>0.126129174133394</v>
      </c>
      <c r="D5110" s="14" t="n">
        <f aca="false">Summary!$B$5-B5110</f>
        <v>4006.52721495042</v>
      </c>
      <c r="E5110" s="15" t="n">
        <f aca="false">B5110/Summary!$B$5-1</f>
        <v>-0.0400652721495042</v>
      </c>
    </row>
    <row r="5111" customFormat="false" ht="15" hidden="false" customHeight="false" outlineLevel="0" collapsed="false">
      <c r="A5111" s="0" t="n">
        <v>5110</v>
      </c>
      <c r="B5111" s="14" t="n">
        <v>90594.3409067975</v>
      </c>
      <c r="C5111" s="15" t="n">
        <v>0.228962926811949</v>
      </c>
      <c r="D5111" s="14" t="n">
        <f aca="false">Summary!$B$5-B5111</f>
        <v>9405.6590932025</v>
      </c>
      <c r="E5111" s="15" t="n">
        <f aca="false">B5111/Summary!$B$5-1</f>
        <v>-0.094056590932025</v>
      </c>
    </row>
    <row r="5112" customFormat="false" ht="15" hidden="false" customHeight="false" outlineLevel="0" collapsed="false">
      <c r="A5112" s="0" t="n">
        <v>5111</v>
      </c>
      <c r="B5112" s="14" t="n">
        <v>106300.167615593</v>
      </c>
      <c r="C5112" s="15" t="n">
        <v>0.0636275327534717</v>
      </c>
      <c r="D5112" s="14" t="n">
        <f aca="false">Summary!$B$5-B5112</f>
        <v>-6300.167615593</v>
      </c>
      <c r="E5112" s="15" t="n">
        <f aca="false">B5112/Summary!$B$5-1</f>
        <v>0.06300167615593</v>
      </c>
    </row>
    <row r="5113" customFormat="false" ht="15" hidden="false" customHeight="false" outlineLevel="0" collapsed="false">
      <c r="A5113" s="0" t="n">
        <v>5112</v>
      </c>
      <c r="B5113" s="14" t="n">
        <v>108437.033138117</v>
      </c>
      <c r="C5113" s="15" t="n">
        <v>0.0683907515848234</v>
      </c>
      <c r="D5113" s="14" t="n">
        <f aca="false">Summary!$B$5-B5113</f>
        <v>-8437.0331381172</v>
      </c>
      <c r="E5113" s="15" t="n">
        <f aca="false">B5113/Summary!$B$5-1</f>
        <v>0.0843703313811719</v>
      </c>
    </row>
    <row r="5114" customFormat="false" ht="15" hidden="false" customHeight="false" outlineLevel="0" collapsed="false">
      <c r="A5114" s="0" t="n">
        <v>5113</v>
      </c>
      <c r="B5114" s="14" t="n">
        <v>98723.5931803437</v>
      </c>
      <c r="C5114" s="15" t="n">
        <v>0.120576612917857</v>
      </c>
      <c r="D5114" s="14" t="n">
        <f aca="false">Summary!$B$5-B5114</f>
        <v>1276.40681965632</v>
      </c>
      <c r="E5114" s="15" t="n">
        <f aca="false">B5114/Summary!$B$5-1</f>
        <v>-0.0127640681965632</v>
      </c>
    </row>
    <row r="5115" customFormat="false" ht="15" hidden="false" customHeight="false" outlineLevel="0" collapsed="false">
      <c r="A5115" s="0" t="n">
        <v>5114</v>
      </c>
      <c r="B5115" s="14" t="n">
        <v>104002.860586877</v>
      </c>
      <c r="C5115" s="15" t="n">
        <v>0.123129028726949</v>
      </c>
      <c r="D5115" s="14" t="n">
        <f aca="false">Summary!$B$5-B5115</f>
        <v>-4002.8605868774</v>
      </c>
      <c r="E5115" s="15" t="n">
        <f aca="false">B5115/Summary!$B$5-1</f>
        <v>0.040028605868774</v>
      </c>
    </row>
    <row r="5116" customFormat="false" ht="15" hidden="false" customHeight="false" outlineLevel="0" collapsed="false">
      <c r="A5116" s="0" t="n">
        <v>5115</v>
      </c>
      <c r="B5116" s="14" t="n">
        <v>98719.5690312627</v>
      </c>
      <c r="C5116" s="15" t="n">
        <v>0.139226370018797</v>
      </c>
      <c r="D5116" s="14" t="n">
        <f aca="false">Summary!$B$5-B5116</f>
        <v>1280.43096873733</v>
      </c>
      <c r="E5116" s="15" t="n">
        <f aca="false">B5116/Summary!$B$5-1</f>
        <v>-0.0128043096873733</v>
      </c>
    </row>
    <row r="5117" customFormat="false" ht="15" hidden="false" customHeight="false" outlineLevel="0" collapsed="false">
      <c r="A5117" s="0" t="n">
        <v>5116</v>
      </c>
      <c r="B5117" s="14" t="n">
        <v>104519.114019143</v>
      </c>
      <c r="C5117" s="15" t="n">
        <v>0.0639031546184167</v>
      </c>
      <c r="D5117" s="14" t="n">
        <f aca="false">Summary!$B$5-B5117</f>
        <v>-4519.1140191427</v>
      </c>
      <c r="E5117" s="15" t="n">
        <f aca="false">B5117/Summary!$B$5-1</f>
        <v>0.0451911401914269</v>
      </c>
    </row>
    <row r="5118" customFormat="false" ht="15" hidden="false" customHeight="false" outlineLevel="0" collapsed="false">
      <c r="A5118" s="0" t="n">
        <v>5117</v>
      </c>
      <c r="B5118" s="14" t="n">
        <v>130883.470881585</v>
      </c>
      <c r="C5118" s="15" t="n">
        <v>0.0628546754301872</v>
      </c>
      <c r="D5118" s="14" t="n">
        <f aca="false">Summary!$B$5-B5118</f>
        <v>-30883.4708815848</v>
      </c>
      <c r="E5118" s="15" t="n">
        <f aca="false">B5118/Summary!$B$5-1</f>
        <v>0.308834708815848</v>
      </c>
    </row>
    <row r="5119" customFormat="false" ht="15" hidden="false" customHeight="false" outlineLevel="0" collapsed="false">
      <c r="A5119" s="0" t="n">
        <v>5118</v>
      </c>
      <c r="B5119" s="14" t="n">
        <v>100959.843362888</v>
      </c>
      <c r="C5119" s="15" t="n">
        <v>0.0808624229169863</v>
      </c>
      <c r="D5119" s="14" t="n">
        <f aca="false">Summary!$B$5-B5119</f>
        <v>-959.843362888001</v>
      </c>
      <c r="E5119" s="15" t="n">
        <f aca="false">B5119/Summary!$B$5-1</f>
        <v>0.00959843362887991</v>
      </c>
    </row>
    <row r="5120" customFormat="false" ht="15" hidden="false" customHeight="false" outlineLevel="0" collapsed="false">
      <c r="A5120" s="0" t="n">
        <v>5119</v>
      </c>
      <c r="B5120" s="14" t="n">
        <v>106580.40096081</v>
      </c>
      <c r="C5120" s="15" t="n">
        <v>0.123542898609432</v>
      </c>
      <c r="D5120" s="14" t="n">
        <f aca="false">Summary!$B$5-B5120</f>
        <v>-6580.40096081029</v>
      </c>
      <c r="E5120" s="15" t="n">
        <f aca="false">B5120/Summary!$B$5-1</f>
        <v>0.065804009608103</v>
      </c>
    </row>
    <row r="5121" customFormat="false" ht="15" hidden="false" customHeight="false" outlineLevel="0" collapsed="false">
      <c r="A5121" s="0" t="n">
        <v>5120</v>
      </c>
      <c r="B5121" s="14" t="n">
        <v>118293.163428875</v>
      </c>
      <c r="C5121" s="15" t="n">
        <v>0.0582138701302361</v>
      </c>
      <c r="D5121" s="14" t="n">
        <f aca="false">Summary!$B$5-B5121</f>
        <v>-18293.163428875</v>
      </c>
      <c r="E5121" s="15" t="n">
        <f aca="false">B5121/Summary!$B$5-1</f>
        <v>0.18293163428875</v>
      </c>
    </row>
    <row r="5122" customFormat="false" ht="15" hidden="false" customHeight="false" outlineLevel="0" collapsed="false">
      <c r="A5122" s="0" t="n">
        <v>5121</v>
      </c>
      <c r="B5122" s="14" t="n">
        <v>100703.967108916</v>
      </c>
      <c r="C5122" s="15" t="n">
        <v>0.122241137264361</v>
      </c>
      <c r="D5122" s="14" t="n">
        <f aca="false">Summary!$B$5-B5122</f>
        <v>-703.967108915793</v>
      </c>
      <c r="E5122" s="15" t="n">
        <f aca="false">B5122/Summary!$B$5-1</f>
        <v>0.00703967108915782</v>
      </c>
    </row>
    <row r="5123" customFormat="false" ht="15" hidden="false" customHeight="false" outlineLevel="0" collapsed="false">
      <c r="A5123" s="0" t="n">
        <v>5122</v>
      </c>
      <c r="B5123" s="14" t="n">
        <v>109219.724880187</v>
      </c>
      <c r="C5123" s="15" t="n">
        <v>0.0789336566467332</v>
      </c>
      <c r="D5123" s="14" t="n">
        <f aca="false">Summary!$B$5-B5123</f>
        <v>-9219.72488018659</v>
      </c>
      <c r="E5123" s="15" t="n">
        <f aca="false">B5123/Summary!$B$5-1</f>
        <v>0.0921972488018659</v>
      </c>
    </row>
    <row r="5124" customFormat="false" ht="15" hidden="false" customHeight="false" outlineLevel="0" collapsed="false">
      <c r="A5124" s="0" t="n">
        <v>5123</v>
      </c>
      <c r="B5124" s="14" t="n">
        <v>98809.9710353405</v>
      </c>
      <c r="C5124" s="15" t="n">
        <v>0.139663704144886</v>
      </c>
      <c r="D5124" s="14" t="n">
        <f aca="false">Summary!$B$5-B5124</f>
        <v>1190.02896465955</v>
      </c>
      <c r="E5124" s="15" t="n">
        <f aca="false">B5124/Summary!$B$5-1</f>
        <v>-0.0119002896465955</v>
      </c>
    </row>
    <row r="5125" customFormat="false" ht="15" hidden="false" customHeight="false" outlineLevel="0" collapsed="false">
      <c r="A5125" s="0" t="n">
        <v>5124</v>
      </c>
      <c r="B5125" s="14" t="n">
        <v>90122.1416050236</v>
      </c>
      <c r="C5125" s="15" t="n">
        <v>0.171140684670859</v>
      </c>
      <c r="D5125" s="14" t="n">
        <f aca="false">Summary!$B$5-B5125</f>
        <v>9877.85839497643</v>
      </c>
      <c r="E5125" s="15" t="n">
        <f aca="false">B5125/Summary!$B$5-1</f>
        <v>-0.0987785839497642</v>
      </c>
    </row>
    <row r="5126" customFormat="false" ht="15" hidden="false" customHeight="false" outlineLevel="0" collapsed="false">
      <c r="A5126" s="0" t="n">
        <v>5125</v>
      </c>
      <c r="B5126" s="14" t="n">
        <v>91592.8663760476</v>
      </c>
      <c r="C5126" s="15" t="n">
        <v>0.167502700808609</v>
      </c>
      <c r="D5126" s="14" t="n">
        <f aca="false">Summary!$B$5-B5126</f>
        <v>8407.13362395242</v>
      </c>
      <c r="E5126" s="15" t="n">
        <f aca="false">B5126/Summary!$B$5-1</f>
        <v>-0.0840713362395242</v>
      </c>
    </row>
    <row r="5127" customFormat="false" ht="15" hidden="false" customHeight="false" outlineLevel="0" collapsed="false">
      <c r="A5127" s="0" t="n">
        <v>5126</v>
      </c>
      <c r="B5127" s="14" t="n">
        <v>102573.034407306</v>
      </c>
      <c r="C5127" s="15" t="n">
        <v>0.0678544167492606</v>
      </c>
      <c r="D5127" s="14" t="n">
        <f aca="false">Summary!$B$5-B5127</f>
        <v>-2573.0344073063</v>
      </c>
      <c r="E5127" s="15" t="n">
        <f aca="false">B5127/Summary!$B$5-1</f>
        <v>0.025730344073063</v>
      </c>
    </row>
    <row r="5128" customFormat="false" ht="15" hidden="false" customHeight="false" outlineLevel="0" collapsed="false">
      <c r="A5128" s="0" t="n">
        <v>5127</v>
      </c>
      <c r="B5128" s="14" t="n">
        <v>115154.454573892</v>
      </c>
      <c r="C5128" s="15" t="n">
        <v>0.0860363583777692</v>
      </c>
      <c r="D5128" s="14" t="n">
        <f aca="false">Summary!$B$5-B5128</f>
        <v>-15154.454573892</v>
      </c>
      <c r="E5128" s="15" t="n">
        <f aca="false">B5128/Summary!$B$5-1</f>
        <v>0.15154454573892</v>
      </c>
    </row>
    <row r="5129" customFormat="false" ht="15" hidden="false" customHeight="false" outlineLevel="0" collapsed="false">
      <c r="A5129" s="0" t="n">
        <v>5128</v>
      </c>
      <c r="B5129" s="14" t="n">
        <v>106592.367476167</v>
      </c>
      <c r="C5129" s="15" t="n">
        <v>0.0880863183586952</v>
      </c>
      <c r="D5129" s="14" t="n">
        <f aca="false">Summary!$B$5-B5129</f>
        <v>-6592.36747616741</v>
      </c>
      <c r="E5129" s="15" t="n">
        <f aca="false">B5129/Summary!$B$5-1</f>
        <v>0.065923674761674</v>
      </c>
    </row>
    <row r="5130" customFormat="false" ht="15" hidden="false" customHeight="false" outlineLevel="0" collapsed="false">
      <c r="A5130" s="0" t="n">
        <v>5129</v>
      </c>
      <c r="B5130" s="14" t="n">
        <v>117943.4282252</v>
      </c>
      <c r="C5130" s="15" t="n">
        <v>0.0629549006582503</v>
      </c>
      <c r="D5130" s="14" t="n">
        <f aca="false">Summary!$B$5-B5130</f>
        <v>-17943.4282251997</v>
      </c>
      <c r="E5130" s="15" t="n">
        <f aca="false">B5130/Summary!$B$5-1</f>
        <v>0.179434282251997</v>
      </c>
    </row>
    <row r="5131" customFormat="false" ht="15" hidden="false" customHeight="false" outlineLevel="0" collapsed="false">
      <c r="A5131" s="0" t="n">
        <v>5130</v>
      </c>
      <c r="B5131" s="14" t="n">
        <v>107756.253439776</v>
      </c>
      <c r="C5131" s="15" t="n">
        <v>0.0693644702569344</v>
      </c>
      <c r="D5131" s="14" t="n">
        <f aca="false">Summary!$B$5-B5131</f>
        <v>-7756.25343977611</v>
      </c>
      <c r="E5131" s="15" t="n">
        <f aca="false">B5131/Summary!$B$5-1</f>
        <v>0.0775625343977611</v>
      </c>
    </row>
    <row r="5132" customFormat="false" ht="15" hidden="false" customHeight="false" outlineLevel="0" collapsed="false">
      <c r="A5132" s="0" t="n">
        <v>5131</v>
      </c>
      <c r="B5132" s="14" t="n">
        <v>103500.270054742</v>
      </c>
      <c r="C5132" s="15" t="n">
        <v>0.0995953122966496</v>
      </c>
      <c r="D5132" s="14" t="n">
        <f aca="false">Summary!$B$5-B5132</f>
        <v>-3500.27005474181</v>
      </c>
      <c r="E5132" s="15" t="n">
        <f aca="false">B5132/Summary!$B$5-1</f>
        <v>0.0350027005474181</v>
      </c>
    </row>
    <row r="5133" customFormat="false" ht="15" hidden="false" customHeight="false" outlineLevel="0" collapsed="false">
      <c r="A5133" s="0" t="n">
        <v>5132</v>
      </c>
      <c r="B5133" s="14" t="n">
        <v>109368.654409046</v>
      </c>
      <c r="C5133" s="15" t="n">
        <v>0.0722347631742848</v>
      </c>
      <c r="D5133" s="14" t="n">
        <f aca="false">Summary!$B$5-B5133</f>
        <v>-9368.6544090461</v>
      </c>
      <c r="E5133" s="15" t="n">
        <f aca="false">B5133/Summary!$B$5-1</f>
        <v>0.0936865440904611</v>
      </c>
    </row>
    <row r="5134" customFormat="false" ht="15" hidden="false" customHeight="false" outlineLevel="0" collapsed="false">
      <c r="A5134" s="0" t="n">
        <v>5133</v>
      </c>
      <c r="B5134" s="14" t="n">
        <v>103920.285046504</v>
      </c>
      <c r="C5134" s="15" t="n">
        <v>0.0649576814340042</v>
      </c>
      <c r="D5134" s="14" t="n">
        <f aca="false">Summary!$B$5-B5134</f>
        <v>-3920.2850465043</v>
      </c>
      <c r="E5134" s="15" t="n">
        <f aca="false">B5134/Summary!$B$5-1</f>
        <v>0.039202850465043</v>
      </c>
    </row>
    <row r="5135" customFormat="false" ht="15" hidden="false" customHeight="false" outlineLevel="0" collapsed="false">
      <c r="A5135" s="0" t="n">
        <v>5134</v>
      </c>
      <c r="B5135" s="14" t="n">
        <v>95926.7780329174</v>
      </c>
      <c r="C5135" s="15" t="n">
        <v>0.111190864177716</v>
      </c>
      <c r="D5135" s="14" t="n">
        <f aca="false">Summary!$B$5-B5135</f>
        <v>4073.22196708257</v>
      </c>
      <c r="E5135" s="15" t="n">
        <f aca="false">B5135/Summary!$B$5-1</f>
        <v>-0.0407322196708257</v>
      </c>
    </row>
    <row r="5136" customFormat="false" ht="15" hidden="false" customHeight="false" outlineLevel="0" collapsed="false">
      <c r="A5136" s="0" t="n">
        <v>5135</v>
      </c>
      <c r="B5136" s="14" t="n">
        <v>82593.4364155674</v>
      </c>
      <c r="C5136" s="15" t="n">
        <v>0.208099970456417</v>
      </c>
      <c r="D5136" s="14" t="n">
        <f aca="false">Summary!$B$5-B5136</f>
        <v>17406.5635844326</v>
      </c>
      <c r="E5136" s="15" t="n">
        <f aca="false">B5136/Summary!$B$5-1</f>
        <v>-0.174065635844326</v>
      </c>
    </row>
    <row r="5137" customFormat="false" ht="15" hidden="false" customHeight="false" outlineLevel="0" collapsed="false">
      <c r="A5137" s="0" t="n">
        <v>5136</v>
      </c>
      <c r="B5137" s="14" t="n">
        <v>101255.305883208</v>
      </c>
      <c r="C5137" s="15" t="n">
        <v>0.087458073025619</v>
      </c>
      <c r="D5137" s="14" t="n">
        <f aca="false">Summary!$B$5-B5137</f>
        <v>-1255.3058832081</v>
      </c>
      <c r="E5137" s="15" t="n">
        <f aca="false">B5137/Summary!$B$5-1</f>
        <v>0.012553058832081</v>
      </c>
    </row>
    <row r="5138" customFormat="false" ht="15" hidden="false" customHeight="false" outlineLevel="0" collapsed="false">
      <c r="A5138" s="0" t="n">
        <v>5137</v>
      </c>
      <c r="B5138" s="14" t="n">
        <v>100097.685083184</v>
      </c>
      <c r="C5138" s="15" t="n">
        <v>0.0668898212506836</v>
      </c>
      <c r="D5138" s="14" t="n">
        <f aca="false">Summary!$B$5-B5138</f>
        <v>-97.6850831835036</v>
      </c>
      <c r="E5138" s="15" t="n">
        <f aca="false">B5138/Summary!$B$5-1</f>
        <v>0.000976850831835074</v>
      </c>
    </row>
    <row r="5139" customFormat="false" ht="15" hidden="false" customHeight="false" outlineLevel="0" collapsed="false">
      <c r="A5139" s="0" t="n">
        <v>5138</v>
      </c>
      <c r="B5139" s="14" t="n">
        <v>102031.377058905</v>
      </c>
      <c r="C5139" s="15" t="n">
        <v>0.163124862231623</v>
      </c>
      <c r="D5139" s="14" t="n">
        <f aca="false">Summary!$B$5-B5139</f>
        <v>-2031.3770589045</v>
      </c>
      <c r="E5139" s="15" t="n">
        <f aca="false">B5139/Summary!$B$5-1</f>
        <v>0.020313770589045</v>
      </c>
    </row>
    <row r="5140" customFormat="false" ht="15" hidden="false" customHeight="false" outlineLevel="0" collapsed="false">
      <c r="A5140" s="0" t="n">
        <v>5139</v>
      </c>
      <c r="B5140" s="14" t="n">
        <v>93176.7211913754</v>
      </c>
      <c r="C5140" s="15" t="n">
        <v>0.129732873625035</v>
      </c>
      <c r="D5140" s="14" t="n">
        <f aca="false">Summary!$B$5-B5140</f>
        <v>6823.27880862457</v>
      </c>
      <c r="E5140" s="15" t="n">
        <f aca="false">B5140/Summary!$B$5-1</f>
        <v>-0.0682327880862457</v>
      </c>
    </row>
    <row r="5141" customFormat="false" ht="15" hidden="false" customHeight="false" outlineLevel="0" collapsed="false">
      <c r="A5141" s="0" t="n">
        <v>5140</v>
      </c>
      <c r="B5141" s="14" t="n">
        <v>101725.636033669</v>
      </c>
      <c r="C5141" s="15" t="n">
        <v>0.0819012375129194</v>
      </c>
      <c r="D5141" s="14" t="n">
        <f aca="false">Summary!$B$5-B5141</f>
        <v>-1725.63603366941</v>
      </c>
      <c r="E5141" s="15" t="n">
        <f aca="false">B5141/Summary!$B$5-1</f>
        <v>0.017256360336694</v>
      </c>
    </row>
    <row r="5142" customFormat="false" ht="15" hidden="false" customHeight="false" outlineLevel="0" collapsed="false">
      <c r="A5142" s="0" t="n">
        <v>5141</v>
      </c>
      <c r="B5142" s="14" t="n">
        <v>103342.390590088</v>
      </c>
      <c r="C5142" s="15" t="n">
        <v>0.098833841324505</v>
      </c>
      <c r="D5142" s="14" t="n">
        <f aca="false">Summary!$B$5-B5142</f>
        <v>-3342.3905900877</v>
      </c>
      <c r="E5142" s="15" t="n">
        <f aca="false">B5142/Summary!$B$5-1</f>
        <v>0.033423905900877</v>
      </c>
    </row>
    <row r="5143" customFormat="false" ht="15" hidden="false" customHeight="false" outlineLevel="0" collapsed="false">
      <c r="A5143" s="0" t="n">
        <v>5142</v>
      </c>
      <c r="B5143" s="14" t="n">
        <v>135601.835330899</v>
      </c>
      <c r="C5143" s="15" t="n">
        <v>0.0409035795875444</v>
      </c>
      <c r="D5143" s="14" t="n">
        <f aca="false">Summary!$B$5-B5143</f>
        <v>-35601.8353308991</v>
      </c>
      <c r="E5143" s="15" t="n">
        <f aca="false">B5143/Summary!$B$5-1</f>
        <v>0.356018353308991</v>
      </c>
    </row>
    <row r="5144" customFormat="false" ht="15" hidden="false" customHeight="false" outlineLevel="0" collapsed="false">
      <c r="A5144" s="0" t="n">
        <v>5143</v>
      </c>
      <c r="B5144" s="14" t="n">
        <v>97062.5611677416</v>
      </c>
      <c r="C5144" s="15" t="n">
        <v>0.103480748857765</v>
      </c>
      <c r="D5144" s="14" t="n">
        <f aca="false">Summary!$B$5-B5144</f>
        <v>2937.43883225843</v>
      </c>
      <c r="E5144" s="15" t="n">
        <f aca="false">B5144/Summary!$B$5-1</f>
        <v>-0.0293743883225843</v>
      </c>
    </row>
    <row r="5145" customFormat="false" ht="15" hidden="false" customHeight="false" outlineLevel="0" collapsed="false">
      <c r="A5145" s="0" t="n">
        <v>5144</v>
      </c>
      <c r="B5145" s="14" t="n">
        <v>109256.184632587</v>
      </c>
      <c r="C5145" s="15" t="n">
        <v>0.0648321962756803</v>
      </c>
      <c r="D5145" s="14" t="n">
        <f aca="false">Summary!$B$5-B5145</f>
        <v>-9256.18463258661</v>
      </c>
      <c r="E5145" s="15" t="n">
        <f aca="false">B5145/Summary!$B$5-1</f>
        <v>0.0925618463258662</v>
      </c>
    </row>
    <row r="5146" customFormat="false" ht="15" hidden="false" customHeight="false" outlineLevel="0" collapsed="false">
      <c r="A5146" s="0" t="n">
        <v>5145</v>
      </c>
      <c r="B5146" s="14" t="n">
        <v>105424.505558759</v>
      </c>
      <c r="C5146" s="15" t="n">
        <v>0.0828375535365993</v>
      </c>
      <c r="D5146" s="14" t="n">
        <f aca="false">Summary!$B$5-B5146</f>
        <v>-5424.505558759</v>
      </c>
      <c r="E5146" s="15" t="n">
        <f aca="false">B5146/Summary!$B$5-1</f>
        <v>0.05424505558759</v>
      </c>
    </row>
    <row r="5147" customFormat="false" ht="15" hidden="false" customHeight="false" outlineLevel="0" collapsed="false">
      <c r="A5147" s="0" t="n">
        <v>5146</v>
      </c>
      <c r="B5147" s="14" t="n">
        <v>94802.4156351391</v>
      </c>
      <c r="C5147" s="15" t="n">
        <v>0.124936117739107</v>
      </c>
      <c r="D5147" s="14" t="n">
        <f aca="false">Summary!$B$5-B5147</f>
        <v>5197.58436486087</v>
      </c>
      <c r="E5147" s="15" t="n">
        <f aca="false">B5147/Summary!$B$5-1</f>
        <v>-0.0519758436486087</v>
      </c>
    </row>
    <row r="5148" customFormat="false" ht="15" hidden="false" customHeight="false" outlineLevel="0" collapsed="false">
      <c r="A5148" s="0" t="n">
        <v>5147</v>
      </c>
      <c r="B5148" s="14" t="n">
        <v>114976.036054335</v>
      </c>
      <c r="C5148" s="15" t="n">
        <v>0.0683796581468186</v>
      </c>
      <c r="D5148" s="14" t="n">
        <f aca="false">Summary!$B$5-B5148</f>
        <v>-14976.0360543347</v>
      </c>
      <c r="E5148" s="15" t="n">
        <f aca="false">B5148/Summary!$B$5-1</f>
        <v>0.149760360543347</v>
      </c>
    </row>
    <row r="5149" customFormat="false" ht="15" hidden="false" customHeight="false" outlineLevel="0" collapsed="false">
      <c r="A5149" s="0" t="n">
        <v>5148</v>
      </c>
      <c r="B5149" s="14" t="n">
        <v>108017.034467271</v>
      </c>
      <c r="C5149" s="15" t="n">
        <v>0.0605768284022861</v>
      </c>
      <c r="D5149" s="14" t="n">
        <f aca="false">Summary!$B$5-B5149</f>
        <v>-8017.0344672705</v>
      </c>
      <c r="E5149" s="15" t="n">
        <f aca="false">B5149/Summary!$B$5-1</f>
        <v>0.0801703446727049</v>
      </c>
    </row>
    <row r="5150" customFormat="false" ht="15" hidden="false" customHeight="false" outlineLevel="0" collapsed="false">
      <c r="A5150" s="0" t="n">
        <v>5149</v>
      </c>
      <c r="B5150" s="14" t="n">
        <v>94878.8208195433</v>
      </c>
      <c r="C5150" s="15" t="n">
        <v>0.126068521629889</v>
      </c>
      <c r="D5150" s="14" t="n">
        <f aca="false">Summary!$B$5-B5150</f>
        <v>5121.17918045669</v>
      </c>
      <c r="E5150" s="15" t="n">
        <f aca="false">B5150/Summary!$B$5-1</f>
        <v>-0.0512117918045669</v>
      </c>
    </row>
    <row r="5151" customFormat="false" ht="15" hidden="false" customHeight="false" outlineLevel="0" collapsed="false">
      <c r="A5151" s="0" t="n">
        <v>5150</v>
      </c>
      <c r="B5151" s="14" t="n">
        <v>103475.034690945</v>
      </c>
      <c r="C5151" s="15" t="n">
        <v>0.0668944371041195</v>
      </c>
      <c r="D5151" s="14" t="n">
        <f aca="false">Summary!$B$5-B5151</f>
        <v>-3475.0346909448</v>
      </c>
      <c r="E5151" s="15" t="n">
        <f aca="false">B5151/Summary!$B$5-1</f>
        <v>0.0347503469094479</v>
      </c>
    </row>
    <row r="5152" customFormat="false" ht="15" hidden="false" customHeight="false" outlineLevel="0" collapsed="false">
      <c r="A5152" s="0" t="n">
        <v>5151</v>
      </c>
      <c r="B5152" s="14" t="n">
        <v>122129.734491194</v>
      </c>
      <c r="C5152" s="15" t="n">
        <v>0.0644889889133742</v>
      </c>
      <c r="D5152" s="14" t="n">
        <f aca="false">Summary!$B$5-B5152</f>
        <v>-22129.734491194</v>
      </c>
      <c r="E5152" s="15" t="n">
        <f aca="false">B5152/Summary!$B$5-1</f>
        <v>0.22129734491194</v>
      </c>
    </row>
    <row r="5153" customFormat="false" ht="15" hidden="false" customHeight="false" outlineLevel="0" collapsed="false">
      <c r="A5153" s="0" t="n">
        <v>5152</v>
      </c>
      <c r="B5153" s="14" t="n">
        <v>112687.018543574</v>
      </c>
      <c r="C5153" s="15" t="n">
        <v>0.0562648730221</v>
      </c>
      <c r="D5153" s="14" t="n">
        <f aca="false">Summary!$B$5-B5153</f>
        <v>-12687.0185435744</v>
      </c>
      <c r="E5153" s="15" t="n">
        <f aca="false">B5153/Summary!$B$5-1</f>
        <v>0.126870185435744</v>
      </c>
    </row>
    <row r="5154" customFormat="false" ht="15" hidden="false" customHeight="false" outlineLevel="0" collapsed="false">
      <c r="A5154" s="0" t="n">
        <v>5153</v>
      </c>
      <c r="B5154" s="14" t="n">
        <v>99221.3431571306</v>
      </c>
      <c r="C5154" s="15" t="n">
        <v>0.109259382416835</v>
      </c>
      <c r="D5154" s="14" t="n">
        <f aca="false">Summary!$B$5-B5154</f>
        <v>778.656842869415</v>
      </c>
      <c r="E5154" s="15" t="n">
        <f aca="false">B5154/Summary!$B$5-1</f>
        <v>-0.00778656842869419</v>
      </c>
    </row>
    <row r="5155" customFormat="false" ht="15" hidden="false" customHeight="false" outlineLevel="0" collapsed="false">
      <c r="A5155" s="0" t="n">
        <v>5154</v>
      </c>
      <c r="B5155" s="14" t="n">
        <v>116084.829128877</v>
      </c>
      <c r="C5155" s="15" t="n">
        <v>0.11548467630784</v>
      </c>
      <c r="D5155" s="14" t="n">
        <f aca="false">Summary!$B$5-B5155</f>
        <v>-16084.8291288768</v>
      </c>
      <c r="E5155" s="15" t="n">
        <f aca="false">B5155/Summary!$B$5-1</f>
        <v>0.160848291288768</v>
      </c>
    </row>
    <row r="5156" customFormat="false" ht="15" hidden="false" customHeight="false" outlineLevel="0" collapsed="false">
      <c r="A5156" s="0" t="n">
        <v>5155</v>
      </c>
      <c r="B5156" s="14" t="n">
        <v>91348.9851300749</v>
      </c>
      <c r="C5156" s="15" t="n">
        <v>0.108263040537623</v>
      </c>
      <c r="D5156" s="14" t="n">
        <f aca="false">Summary!$B$5-B5156</f>
        <v>8651.01486992513</v>
      </c>
      <c r="E5156" s="15" t="n">
        <f aca="false">B5156/Summary!$B$5-1</f>
        <v>-0.0865101486992513</v>
      </c>
    </row>
    <row r="5157" customFormat="false" ht="15" hidden="false" customHeight="false" outlineLevel="0" collapsed="false">
      <c r="A5157" s="0" t="n">
        <v>5156</v>
      </c>
      <c r="B5157" s="14" t="n">
        <v>90916.3056150525</v>
      </c>
      <c r="C5157" s="15" t="n">
        <v>0.117045547647497</v>
      </c>
      <c r="D5157" s="14" t="n">
        <f aca="false">Summary!$B$5-B5157</f>
        <v>9083.69438494748</v>
      </c>
      <c r="E5157" s="15" t="n">
        <f aca="false">B5157/Summary!$B$5-1</f>
        <v>-0.0908369438494748</v>
      </c>
    </row>
    <row r="5158" customFormat="false" ht="15" hidden="false" customHeight="false" outlineLevel="0" collapsed="false">
      <c r="A5158" s="0" t="n">
        <v>5157</v>
      </c>
      <c r="B5158" s="14" t="n">
        <v>111583.446246758</v>
      </c>
      <c r="C5158" s="15" t="n">
        <v>0.0714629343384777</v>
      </c>
      <c r="D5158" s="14" t="n">
        <f aca="false">Summary!$B$5-B5158</f>
        <v>-11583.4462467582</v>
      </c>
      <c r="E5158" s="15" t="n">
        <f aca="false">B5158/Summary!$B$5-1</f>
        <v>0.115834462467582</v>
      </c>
    </row>
    <row r="5159" customFormat="false" ht="15" hidden="false" customHeight="false" outlineLevel="0" collapsed="false">
      <c r="A5159" s="0" t="n">
        <v>5158</v>
      </c>
      <c r="B5159" s="14" t="n">
        <v>89938.2713032547</v>
      </c>
      <c r="C5159" s="15" t="n">
        <v>0.142865386443116</v>
      </c>
      <c r="D5159" s="14" t="n">
        <f aca="false">Summary!$B$5-B5159</f>
        <v>10061.7286967453</v>
      </c>
      <c r="E5159" s="15" t="n">
        <f aca="false">B5159/Summary!$B$5-1</f>
        <v>-0.100617286967453</v>
      </c>
    </row>
    <row r="5160" customFormat="false" ht="15" hidden="false" customHeight="false" outlineLevel="0" collapsed="false">
      <c r="A5160" s="0" t="n">
        <v>5159</v>
      </c>
      <c r="B5160" s="14" t="n">
        <v>105180.761616026</v>
      </c>
      <c r="C5160" s="15" t="n">
        <v>0.10007718635498</v>
      </c>
      <c r="D5160" s="14" t="n">
        <f aca="false">Summary!$B$5-B5160</f>
        <v>-5180.7616160256</v>
      </c>
      <c r="E5160" s="15" t="n">
        <f aca="false">B5160/Summary!$B$5-1</f>
        <v>0.0518076161602561</v>
      </c>
    </row>
    <row r="5161" customFormat="false" ht="15" hidden="false" customHeight="false" outlineLevel="0" collapsed="false">
      <c r="A5161" s="0" t="n">
        <v>5160</v>
      </c>
      <c r="B5161" s="14" t="n">
        <v>112512.492928425</v>
      </c>
      <c r="C5161" s="15" t="n">
        <v>0.10561638432066</v>
      </c>
      <c r="D5161" s="14" t="n">
        <f aca="false">Summary!$B$5-B5161</f>
        <v>-12512.4929284247</v>
      </c>
      <c r="E5161" s="15" t="n">
        <f aca="false">B5161/Summary!$B$5-1</f>
        <v>0.125124929284247</v>
      </c>
    </row>
    <row r="5162" customFormat="false" ht="15" hidden="false" customHeight="false" outlineLevel="0" collapsed="false">
      <c r="A5162" s="0" t="n">
        <v>5161</v>
      </c>
      <c r="B5162" s="14" t="n">
        <v>98844.6951055189</v>
      </c>
      <c r="C5162" s="15" t="n">
        <v>0.128693743661481</v>
      </c>
      <c r="D5162" s="14" t="n">
        <f aca="false">Summary!$B$5-B5162</f>
        <v>1155.30489448109</v>
      </c>
      <c r="E5162" s="15" t="n">
        <f aca="false">B5162/Summary!$B$5-1</f>
        <v>-0.0115530489448109</v>
      </c>
    </row>
    <row r="5163" customFormat="false" ht="15" hidden="false" customHeight="false" outlineLevel="0" collapsed="false">
      <c r="A5163" s="0" t="n">
        <v>5162</v>
      </c>
      <c r="B5163" s="14" t="n">
        <v>97723.3246953895</v>
      </c>
      <c r="C5163" s="15" t="n">
        <v>0.0817866465067692</v>
      </c>
      <c r="D5163" s="14" t="n">
        <f aca="false">Summary!$B$5-B5163</f>
        <v>2276.67530461046</v>
      </c>
      <c r="E5163" s="15" t="n">
        <f aca="false">B5163/Summary!$B$5-1</f>
        <v>-0.0227667530461045</v>
      </c>
    </row>
    <row r="5164" customFormat="false" ht="15" hidden="false" customHeight="false" outlineLevel="0" collapsed="false">
      <c r="A5164" s="0" t="n">
        <v>5163</v>
      </c>
      <c r="B5164" s="14" t="n">
        <v>101722.16774338</v>
      </c>
      <c r="C5164" s="15" t="n">
        <v>0.111811800542866</v>
      </c>
      <c r="D5164" s="14" t="n">
        <f aca="false">Summary!$B$5-B5164</f>
        <v>-1722.1677433804</v>
      </c>
      <c r="E5164" s="15" t="n">
        <f aca="false">B5164/Summary!$B$5-1</f>
        <v>0.0172216774338041</v>
      </c>
    </row>
    <row r="5165" customFormat="false" ht="15" hidden="false" customHeight="false" outlineLevel="0" collapsed="false">
      <c r="A5165" s="0" t="n">
        <v>5164</v>
      </c>
      <c r="B5165" s="14" t="n">
        <v>119604.40381165</v>
      </c>
      <c r="C5165" s="15" t="n">
        <v>0.0706340340993407</v>
      </c>
      <c r="D5165" s="14" t="n">
        <f aca="false">Summary!$B$5-B5165</f>
        <v>-19604.4038116499</v>
      </c>
      <c r="E5165" s="15" t="n">
        <f aca="false">B5165/Summary!$B$5-1</f>
        <v>0.196044038116499</v>
      </c>
    </row>
    <row r="5166" customFormat="false" ht="15" hidden="false" customHeight="false" outlineLevel="0" collapsed="false">
      <c r="A5166" s="0" t="n">
        <v>5165</v>
      </c>
      <c r="B5166" s="14" t="n">
        <v>106296.542741442</v>
      </c>
      <c r="C5166" s="15" t="n">
        <v>0.10046430813241</v>
      </c>
      <c r="D5166" s="14" t="n">
        <f aca="false">Summary!$B$5-B5166</f>
        <v>-6296.5427414419</v>
      </c>
      <c r="E5166" s="15" t="n">
        <f aca="false">B5166/Summary!$B$5-1</f>
        <v>0.0629654274144189</v>
      </c>
    </row>
    <row r="5167" customFormat="false" ht="15" hidden="false" customHeight="false" outlineLevel="0" collapsed="false">
      <c r="A5167" s="0" t="n">
        <v>5166</v>
      </c>
      <c r="B5167" s="14" t="n">
        <v>136249.104313932</v>
      </c>
      <c r="C5167" s="15" t="n">
        <v>0.0744497621416289</v>
      </c>
      <c r="D5167" s="14" t="n">
        <f aca="false">Summary!$B$5-B5167</f>
        <v>-36249.1043139321</v>
      </c>
      <c r="E5167" s="15" t="n">
        <f aca="false">B5167/Summary!$B$5-1</f>
        <v>0.362491043139321</v>
      </c>
    </row>
    <row r="5168" customFormat="false" ht="15" hidden="false" customHeight="false" outlineLevel="0" collapsed="false">
      <c r="A5168" s="0" t="n">
        <v>5167</v>
      </c>
      <c r="B5168" s="14" t="n">
        <v>96095.7599773949</v>
      </c>
      <c r="C5168" s="15" t="n">
        <v>0.0852296990715831</v>
      </c>
      <c r="D5168" s="14" t="n">
        <f aca="false">Summary!$B$5-B5168</f>
        <v>3904.24002260513</v>
      </c>
      <c r="E5168" s="15" t="n">
        <f aca="false">B5168/Summary!$B$5-1</f>
        <v>-0.0390424002260512</v>
      </c>
    </row>
    <row r="5169" customFormat="false" ht="15" hidden="false" customHeight="false" outlineLevel="0" collapsed="false">
      <c r="A5169" s="0" t="n">
        <v>5168</v>
      </c>
      <c r="B5169" s="14" t="n">
        <v>115009.699856773</v>
      </c>
      <c r="C5169" s="15" t="n">
        <v>0.0984836393554345</v>
      </c>
      <c r="D5169" s="14" t="n">
        <f aca="false">Summary!$B$5-B5169</f>
        <v>-15009.6998567729</v>
      </c>
      <c r="E5169" s="15" t="n">
        <f aca="false">B5169/Summary!$B$5-1</f>
        <v>0.150096998567729</v>
      </c>
    </row>
    <row r="5170" customFormat="false" ht="15" hidden="false" customHeight="false" outlineLevel="0" collapsed="false">
      <c r="A5170" s="0" t="n">
        <v>5169</v>
      </c>
      <c r="B5170" s="14" t="n">
        <v>108554.971245929</v>
      </c>
      <c r="C5170" s="15" t="n">
        <v>0.0780584059282677</v>
      </c>
      <c r="D5170" s="14" t="n">
        <f aca="false">Summary!$B$5-B5170</f>
        <v>-8554.97124592929</v>
      </c>
      <c r="E5170" s="15" t="n">
        <f aca="false">B5170/Summary!$B$5-1</f>
        <v>0.085549712459293</v>
      </c>
    </row>
    <row r="5171" customFormat="false" ht="15" hidden="false" customHeight="false" outlineLevel="0" collapsed="false">
      <c r="A5171" s="0" t="n">
        <v>5170</v>
      </c>
      <c r="B5171" s="14" t="n">
        <v>97947.349434648</v>
      </c>
      <c r="C5171" s="15" t="n">
        <v>0.0944421715684637</v>
      </c>
      <c r="D5171" s="14" t="n">
        <f aca="false">Summary!$B$5-B5171</f>
        <v>2052.65056535203</v>
      </c>
      <c r="E5171" s="15" t="n">
        <f aca="false">B5171/Summary!$B$5-1</f>
        <v>-0.0205265056535203</v>
      </c>
    </row>
    <row r="5172" customFormat="false" ht="15" hidden="false" customHeight="false" outlineLevel="0" collapsed="false">
      <c r="A5172" s="0" t="n">
        <v>5171</v>
      </c>
      <c r="B5172" s="14" t="n">
        <v>141519.414615457</v>
      </c>
      <c r="C5172" s="15" t="n">
        <v>0.0743105321867151</v>
      </c>
      <c r="D5172" s="14" t="n">
        <f aca="false">Summary!$B$5-B5172</f>
        <v>-41519.4146154568</v>
      </c>
      <c r="E5172" s="15" t="n">
        <f aca="false">B5172/Summary!$B$5-1</f>
        <v>0.415194146154568</v>
      </c>
    </row>
    <row r="5173" customFormat="false" ht="15" hidden="false" customHeight="false" outlineLevel="0" collapsed="false">
      <c r="A5173" s="0" t="n">
        <v>5172</v>
      </c>
      <c r="B5173" s="14" t="n">
        <v>137935.064627895</v>
      </c>
      <c r="C5173" s="15" t="n">
        <v>0.0542333447898575</v>
      </c>
      <c r="D5173" s="14" t="n">
        <f aca="false">Summary!$B$5-B5173</f>
        <v>-37935.0646278945</v>
      </c>
      <c r="E5173" s="15" t="n">
        <f aca="false">B5173/Summary!$B$5-1</f>
        <v>0.379350646278945</v>
      </c>
    </row>
    <row r="5174" customFormat="false" ht="15" hidden="false" customHeight="false" outlineLevel="0" collapsed="false">
      <c r="A5174" s="0" t="n">
        <v>5173</v>
      </c>
      <c r="B5174" s="14" t="n">
        <v>97933.4454199767</v>
      </c>
      <c r="C5174" s="15" t="n">
        <v>0.116776218242965</v>
      </c>
      <c r="D5174" s="14" t="n">
        <f aca="false">Summary!$B$5-B5174</f>
        <v>2066.55458002335</v>
      </c>
      <c r="E5174" s="15" t="n">
        <f aca="false">B5174/Summary!$B$5-1</f>
        <v>-0.0206655458002335</v>
      </c>
    </row>
    <row r="5175" customFormat="false" ht="15" hidden="false" customHeight="false" outlineLevel="0" collapsed="false">
      <c r="A5175" s="0" t="n">
        <v>5174</v>
      </c>
      <c r="B5175" s="14" t="n">
        <v>98389.3978208444</v>
      </c>
      <c r="C5175" s="15" t="n">
        <v>0.112465476854113</v>
      </c>
      <c r="D5175" s="14" t="n">
        <f aca="false">Summary!$B$5-B5175</f>
        <v>1610.60217915557</v>
      </c>
      <c r="E5175" s="15" t="n">
        <f aca="false">B5175/Summary!$B$5-1</f>
        <v>-0.0161060217915557</v>
      </c>
    </row>
    <row r="5176" customFormat="false" ht="15" hidden="false" customHeight="false" outlineLevel="0" collapsed="false">
      <c r="A5176" s="0" t="n">
        <v>5175</v>
      </c>
      <c r="B5176" s="14" t="n">
        <v>98735.4452750111</v>
      </c>
      <c r="C5176" s="15" t="n">
        <v>0.130310121251323</v>
      </c>
      <c r="D5176" s="14" t="n">
        <f aca="false">Summary!$B$5-B5176</f>
        <v>1264.55472498888</v>
      </c>
      <c r="E5176" s="15" t="n">
        <f aca="false">B5176/Summary!$B$5-1</f>
        <v>-0.0126455472498888</v>
      </c>
    </row>
    <row r="5177" customFormat="false" ht="15" hidden="false" customHeight="false" outlineLevel="0" collapsed="false">
      <c r="A5177" s="0" t="n">
        <v>5176</v>
      </c>
      <c r="B5177" s="14" t="n">
        <v>124123.652265908</v>
      </c>
      <c r="C5177" s="15" t="n">
        <v>0.0575161016222274</v>
      </c>
      <c r="D5177" s="14" t="n">
        <f aca="false">Summary!$B$5-B5177</f>
        <v>-24123.6522659083</v>
      </c>
      <c r="E5177" s="15" t="n">
        <f aca="false">B5177/Summary!$B$5-1</f>
        <v>0.241236522659083</v>
      </c>
    </row>
    <row r="5178" customFormat="false" ht="15" hidden="false" customHeight="false" outlineLevel="0" collapsed="false">
      <c r="A5178" s="0" t="n">
        <v>5177</v>
      </c>
      <c r="B5178" s="14" t="n">
        <v>109156.783064472</v>
      </c>
      <c r="C5178" s="15" t="n">
        <v>0.0968541712671641</v>
      </c>
      <c r="D5178" s="14" t="n">
        <f aca="false">Summary!$B$5-B5178</f>
        <v>-9156.7830644724</v>
      </c>
      <c r="E5178" s="15" t="n">
        <f aca="false">B5178/Summary!$B$5-1</f>
        <v>0.0915678306447241</v>
      </c>
    </row>
    <row r="5179" customFormat="false" ht="15" hidden="false" customHeight="false" outlineLevel="0" collapsed="false">
      <c r="A5179" s="0" t="n">
        <v>5178</v>
      </c>
      <c r="B5179" s="14" t="n">
        <v>108516.999440257</v>
      </c>
      <c r="C5179" s="15" t="n">
        <v>0.0927651589450815</v>
      </c>
      <c r="D5179" s="14" t="n">
        <f aca="false">Summary!$B$5-B5179</f>
        <v>-8516.99944025731</v>
      </c>
      <c r="E5179" s="15" t="n">
        <f aca="false">B5179/Summary!$B$5-1</f>
        <v>0.085169994402573</v>
      </c>
    </row>
    <row r="5180" customFormat="false" ht="15" hidden="false" customHeight="false" outlineLevel="0" collapsed="false">
      <c r="A5180" s="0" t="n">
        <v>5179</v>
      </c>
      <c r="B5180" s="14" t="n">
        <v>99614.3008090083</v>
      </c>
      <c r="C5180" s="15" t="n">
        <v>0.169924202553785</v>
      </c>
      <c r="D5180" s="14" t="n">
        <f aca="false">Summary!$B$5-B5180</f>
        <v>385.699190991727</v>
      </c>
      <c r="E5180" s="15" t="n">
        <f aca="false">B5180/Summary!$B$5-1</f>
        <v>-0.00385699190991728</v>
      </c>
    </row>
    <row r="5181" customFormat="false" ht="15" hidden="false" customHeight="false" outlineLevel="0" collapsed="false">
      <c r="A5181" s="0" t="n">
        <v>5180</v>
      </c>
      <c r="B5181" s="14" t="n">
        <v>82353.7981302858</v>
      </c>
      <c r="C5181" s="15" t="n">
        <v>0.229686890128231</v>
      </c>
      <c r="D5181" s="14" t="n">
        <f aca="false">Summary!$B$5-B5181</f>
        <v>17646.2018697142</v>
      </c>
      <c r="E5181" s="15" t="n">
        <f aca="false">B5181/Summary!$B$5-1</f>
        <v>-0.176462018697142</v>
      </c>
    </row>
    <row r="5182" customFormat="false" ht="15" hidden="false" customHeight="false" outlineLevel="0" collapsed="false">
      <c r="A5182" s="0" t="n">
        <v>5181</v>
      </c>
      <c r="B5182" s="14" t="n">
        <v>99310.2639827141</v>
      </c>
      <c r="C5182" s="15" t="n">
        <v>0.126770570941613</v>
      </c>
      <c r="D5182" s="14" t="n">
        <f aca="false">Summary!$B$5-B5182</f>
        <v>689.736017285875</v>
      </c>
      <c r="E5182" s="15" t="n">
        <f aca="false">B5182/Summary!$B$5-1</f>
        <v>-0.0068973601728588</v>
      </c>
    </row>
    <row r="5183" customFormat="false" ht="15" hidden="false" customHeight="false" outlineLevel="0" collapsed="false">
      <c r="A5183" s="0" t="n">
        <v>5182</v>
      </c>
      <c r="B5183" s="14" t="n">
        <v>97703.3729047515</v>
      </c>
      <c r="C5183" s="15" t="n">
        <v>0.109358610248466</v>
      </c>
      <c r="D5183" s="14" t="n">
        <f aca="false">Summary!$B$5-B5183</f>
        <v>2296.62709524849</v>
      </c>
      <c r="E5183" s="15" t="n">
        <f aca="false">B5183/Summary!$B$5-1</f>
        <v>-0.0229662709524849</v>
      </c>
    </row>
    <row r="5184" customFormat="false" ht="15" hidden="false" customHeight="false" outlineLevel="0" collapsed="false">
      <c r="A5184" s="0" t="n">
        <v>5183</v>
      </c>
      <c r="B5184" s="14" t="n">
        <v>116170.717347754</v>
      </c>
      <c r="C5184" s="15" t="n">
        <v>0.106809585715349</v>
      </c>
      <c r="D5184" s="14" t="n">
        <f aca="false">Summary!$B$5-B5184</f>
        <v>-16170.7173477537</v>
      </c>
      <c r="E5184" s="15" t="n">
        <f aca="false">B5184/Summary!$B$5-1</f>
        <v>0.161707173477537</v>
      </c>
    </row>
    <row r="5185" customFormat="false" ht="15" hidden="false" customHeight="false" outlineLevel="0" collapsed="false">
      <c r="A5185" s="0" t="n">
        <v>5184</v>
      </c>
      <c r="B5185" s="14" t="n">
        <v>133631.003559985</v>
      </c>
      <c r="C5185" s="15" t="n">
        <v>0.0609146866374756</v>
      </c>
      <c r="D5185" s="14" t="n">
        <f aca="false">Summary!$B$5-B5185</f>
        <v>-33631.0035599851</v>
      </c>
      <c r="E5185" s="15" t="n">
        <f aca="false">B5185/Summary!$B$5-1</f>
        <v>0.336310035599851</v>
      </c>
    </row>
    <row r="5186" customFormat="false" ht="15" hidden="false" customHeight="false" outlineLevel="0" collapsed="false">
      <c r="A5186" s="0" t="n">
        <v>5185</v>
      </c>
      <c r="B5186" s="14" t="n">
        <v>122187.898983624</v>
      </c>
      <c r="C5186" s="15" t="n">
        <v>0.0867653141199154</v>
      </c>
      <c r="D5186" s="14" t="n">
        <f aca="false">Summary!$B$5-B5186</f>
        <v>-22187.8989836238</v>
      </c>
      <c r="E5186" s="15" t="n">
        <f aca="false">B5186/Summary!$B$5-1</f>
        <v>0.221878989836238</v>
      </c>
    </row>
    <row r="5187" customFormat="false" ht="15" hidden="false" customHeight="false" outlineLevel="0" collapsed="false">
      <c r="A5187" s="0" t="n">
        <v>5186</v>
      </c>
      <c r="B5187" s="14" t="n">
        <v>121873.231306103</v>
      </c>
      <c r="C5187" s="15" t="n">
        <v>0.0536105686474019</v>
      </c>
      <c r="D5187" s="14" t="n">
        <f aca="false">Summary!$B$5-B5187</f>
        <v>-21873.2313061028</v>
      </c>
      <c r="E5187" s="15" t="n">
        <f aca="false">B5187/Summary!$B$5-1</f>
        <v>0.218732313061028</v>
      </c>
    </row>
    <row r="5188" customFormat="false" ht="15" hidden="false" customHeight="false" outlineLevel="0" collapsed="false">
      <c r="A5188" s="0" t="n">
        <v>5187</v>
      </c>
      <c r="B5188" s="14" t="n">
        <v>102652.915125238</v>
      </c>
      <c r="C5188" s="15" t="n">
        <v>0.125596043469727</v>
      </c>
      <c r="D5188" s="14" t="n">
        <f aca="false">Summary!$B$5-B5188</f>
        <v>-2652.9151252384</v>
      </c>
      <c r="E5188" s="15" t="n">
        <f aca="false">B5188/Summary!$B$5-1</f>
        <v>0.026529151252384</v>
      </c>
    </row>
    <row r="5189" customFormat="false" ht="15" hidden="false" customHeight="false" outlineLevel="0" collapsed="false">
      <c r="A5189" s="0" t="n">
        <v>5188</v>
      </c>
      <c r="B5189" s="14" t="n">
        <v>103957.906742009</v>
      </c>
      <c r="C5189" s="15" t="n">
        <v>0.097210922468831</v>
      </c>
      <c r="D5189" s="14" t="n">
        <f aca="false">Summary!$B$5-B5189</f>
        <v>-3957.90674200941</v>
      </c>
      <c r="E5189" s="15" t="n">
        <f aca="false">B5189/Summary!$B$5-1</f>
        <v>0.039579067420094</v>
      </c>
    </row>
    <row r="5190" customFormat="false" ht="15" hidden="false" customHeight="false" outlineLevel="0" collapsed="false">
      <c r="A5190" s="0" t="n">
        <v>5189</v>
      </c>
      <c r="B5190" s="14" t="n">
        <v>122041.335131651</v>
      </c>
      <c r="C5190" s="15" t="n">
        <v>0.0518663780034456</v>
      </c>
      <c r="D5190" s="14" t="n">
        <f aca="false">Summary!$B$5-B5190</f>
        <v>-22041.3351316511</v>
      </c>
      <c r="E5190" s="15" t="n">
        <f aca="false">B5190/Summary!$B$5-1</f>
        <v>0.220413351316511</v>
      </c>
    </row>
    <row r="5191" customFormat="false" ht="15" hidden="false" customHeight="false" outlineLevel="0" collapsed="false">
      <c r="A5191" s="0" t="n">
        <v>5190</v>
      </c>
      <c r="B5191" s="14" t="n">
        <v>122015.681925581</v>
      </c>
      <c r="C5191" s="15" t="n">
        <v>0.0953480710846698</v>
      </c>
      <c r="D5191" s="14" t="n">
        <f aca="false">Summary!$B$5-B5191</f>
        <v>-22015.6819255811</v>
      </c>
      <c r="E5191" s="15" t="n">
        <f aca="false">B5191/Summary!$B$5-1</f>
        <v>0.220156819255811</v>
      </c>
    </row>
    <row r="5192" customFormat="false" ht="15" hidden="false" customHeight="false" outlineLevel="0" collapsed="false">
      <c r="A5192" s="0" t="n">
        <v>5191</v>
      </c>
      <c r="B5192" s="14" t="n">
        <v>109361.7318665</v>
      </c>
      <c r="C5192" s="15" t="n">
        <v>0.0756041837322615</v>
      </c>
      <c r="D5192" s="14" t="n">
        <f aca="false">Summary!$B$5-B5192</f>
        <v>-9361.7318664997</v>
      </c>
      <c r="E5192" s="15" t="n">
        <f aca="false">B5192/Summary!$B$5-1</f>
        <v>0.0936173186649969</v>
      </c>
    </row>
    <row r="5193" customFormat="false" ht="15" hidden="false" customHeight="false" outlineLevel="0" collapsed="false">
      <c r="A5193" s="0" t="n">
        <v>5192</v>
      </c>
      <c r="B5193" s="14" t="n">
        <v>144355.926260038</v>
      </c>
      <c r="C5193" s="15" t="n">
        <v>0.0525938785479669</v>
      </c>
      <c r="D5193" s="14" t="n">
        <f aca="false">Summary!$B$5-B5193</f>
        <v>-44355.9262600379</v>
      </c>
      <c r="E5193" s="15" t="n">
        <f aca="false">B5193/Summary!$B$5-1</f>
        <v>0.443559262600379</v>
      </c>
    </row>
    <row r="5194" customFormat="false" ht="15" hidden="false" customHeight="false" outlineLevel="0" collapsed="false">
      <c r="A5194" s="0" t="n">
        <v>5193</v>
      </c>
      <c r="B5194" s="14" t="n">
        <v>116226.727375168</v>
      </c>
      <c r="C5194" s="15" t="n">
        <v>0.0826953980987927</v>
      </c>
      <c r="D5194" s="14" t="n">
        <f aca="false">Summary!$B$5-B5194</f>
        <v>-16226.7273751683</v>
      </c>
      <c r="E5194" s="15" t="n">
        <f aca="false">B5194/Summary!$B$5-1</f>
        <v>0.162267273751683</v>
      </c>
    </row>
    <row r="5195" customFormat="false" ht="15" hidden="false" customHeight="false" outlineLevel="0" collapsed="false">
      <c r="A5195" s="0" t="n">
        <v>5194</v>
      </c>
      <c r="B5195" s="14" t="n">
        <v>111221.753946052</v>
      </c>
      <c r="C5195" s="15" t="n">
        <v>0.0912028101967466</v>
      </c>
      <c r="D5195" s="14" t="n">
        <f aca="false">Summary!$B$5-B5195</f>
        <v>-11221.7539460517</v>
      </c>
      <c r="E5195" s="15" t="n">
        <f aca="false">B5195/Summary!$B$5-1</f>
        <v>0.112217539460517</v>
      </c>
    </row>
    <row r="5196" customFormat="false" ht="15" hidden="false" customHeight="false" outlineLevel="0" collapsed="false">
      <c r="A5196" s="0" t="n">
        <v>5195</v>
      </c>
      <c r="B5196" s="14" t="n">
        <v>98737.5107334711</v>
      </c>
      <c r="C5196" s="15" t="n">
        <v>0.115532178578774</v>
      </c>
      <c r="D5196" s="14" t="n">
        <f aca="false">Summary!$B$5-B5196</f>
        <v>1262.48926652886</v>
      </c>
      <c r="E5196" s="15" t="n">
        <f aca="false">B5196/Summary!$B$5-1</f>
        <v>-0.0126248926652887</v>
      </c>
    </row>
    <row r="5197" customFormat="false" ht="15" hidden="false" customHeight="false" outlineLevel="0" collapsed="false">
      <c r="A5197" s="0" t="n">
        <v>5196</v>
      </c>
      <c r="B5197" s="14" t="n">
        <v>103532.199457253</v>
      </c>
      <c r="C5197" s="15" t="n">
        <v>0.131068291233316</v>
      </c>
      <c r="D5197" s="14" t="n">
        <f aca="false">Summary!$B$5-B5197</f>
        <v>-3532.1994572525</v>
      </c>
      <c r="E5197" s="15" t="n">
        <f aca="false">B5197/Summary!$B$5-1</f>
        <v>0.0353219945725249</v>
      </c>
    </row>
    <row r="5198" customFormat="false" ht="15" hidden="false" customHeight="false" outlineLevel="0" collapsed="false">
      <c r="A5198" s="0" t="n">
        <v>5197</v>
      </c>
      <c r="B5198" s="14" t="n">
        <v>100194.672283861</v>
      </c>
      <c r="C5198" s="15" t="n">
        <v>0.10941388092195</v>
      </c>
      <c r="D5198" s="14" t="n">
        <f aca="false">Summary!$B$5-B5198</f>
        <v>-194.672283860898</v>
      </c>
      <c r="E5198" s="15" t="n">
        <f aca="false">B5198/Summary!$B$5-1</f>
        <v>0.00194672283860897</v>
      </c>
    </row>
    <row r="5199" customFormat="false" ht="15" hidden="false" customHeight="false" outlineLevel="0" collapsed="false">
      <c r="A5199" s="0" t="n">
        <v>5198</v>
      </c>
      <c r="B5199" s="14" t="n">
        <v>115215.901920875</v>
      </c>
      <c r="C5199" s="15" t="n">
        <v>0.101346015963515</v>
      </c>
      <c r="D5199" s="14" t="n">
        <f aca="false">Summary!$B$5-B5199</f>
        <v>-15215.901920875</v>
      </c>
      <c r="E5199" s="15" t="n">
        <f aca="false">B5199/Summary!$B$5-1</f>
        <v>0.15215901920875</v>
      </c>
    </row>
    <row r="5200" customFormat="false" ht="15" hidden="false" customHeight="false" outlineLevel="0" collapsed="false">
      <c r="A5200" s="0" t="n">
        <v>5199</v>
      </c>
      <c r="B5200" s="14" t="n">
        <v>108801.446671499</v>
      </c>
      <c r="C5200" s="15" t="n">
        <v>0.0532242546451983</v>
      </c>
      <c r="D5200" s="14" t="n">
        <f aca="false">Summary!$B$5-B5200</f>
        <v>-8801.44667149879</v>
      </c>
      <c r="E5200" s="15" t="n">
        <f aca="false">B5200/Summary!$B$5-1</f>
        <v>0.088014466714988</v>
      </c>
    </row>
    <row r="5201" customFormat="false" ht="15" hidden="false" customHeight="false" outlineLevel="0" collapsed="false">
      <c r="A5201" s="0" t="n">
        <v>5200</v>
      </c>
      <c r="B5201" s="14" t="n">
        <v>94988.2807040607</v>
      </c>
      <c r="C5201" s="15" t="n">
        <v>0.193558820621866</v>
      </c>
      <c r="D5201" s="14" t="n">
        <f aca="false">Summary!$B$5-B5201</f>
        <v>5011.71929593933</v>
      </c>
      <c r="E5201" s="15" t="n">
        <f aca="false">B5201/Summary!$B$5-1</f>
        <v>-0.0501171929593933</v>
      </c>
    </row>
    <row r="5202" customFormat="false" ht="15" hidden="false" customHeight="false" outlineLevel="0" collapsed="false">
      <c r="A5202" s="0" t="n">
        <v>5201</v>
      </c>
      <c r="B5202" s="14" t="n">
        <v>113233.767787319</v>
      </c>
      <c r="C5202" s="15" t="n">
        <v>0.0720965302950144</v>
      </c>
      <c r="D5202" s="14" t="n">
        <f aca="false">Summary!$B$5-B5202</f>
        <v>-13233.7677873186</v>
      </c>
      <c r="E5202" s="15" t="n">
        <f aca="false">B5202/Summary!$B$5-1</f>
        <v>0.132337677873186</v>
      </c>
    </row>
    <row r="5203" customFormat="false" ht="15" hidden="false" customHeight="false" outlineLevel="0" collapsed="false">
      <c r="A5203" s="0" t="n">
        <v>5202</v>
      </c>
      <c r="B5203" s="14" t="n">
        <v>104802.384227766</v>
      </c>
      <c r="C5203" s="15" t="n">
        <v>0.0846601589727141</v>
      </c>
      <c r="D5203" s="14" t="n">
        <f aca="false">Summary!$B$5-B5203</f>
        <v>-4802.3842277662</v>
      </c>
      <c r="E5203" s="15" t="n">
        <f aca="false">B5203/Summary!$B$5-1</f>
        <v>0.048023842277662</v>
      </c>
    </row>
    <row r="5204" customFormat="false" ht="15" hidden="false" customHeight="false" outlineLevel="0" collapsed="false">
      <c r="A5204" s="0" t="n">
        <v>5203</v>
      </c>
      <c r="B5204" s="14" t="n">
        <v>96973.93055346</v>
      </c>
      <c r="C5204" s="15" t="n">
        <v>0.125573502113405</v>
      </c>
      <c r="D5204" s="14" t="n">
        <f aca="false">Summary!$B$5-B5204</f>
        <v>3026.06944654</v>
      </c>
      <c r="E5204" s="15" t="n">
        <f aca="false">B5204/Summary!$B$5-1</f>
        <v>-0.0302606944654</v>
      </c>
    </row>
    <row r="5205" customFormat="false" ht="15" hidden="false" customHeight="false" outlineLevel="0" collapsed="false">
      <c r="A5205" s="0" t="n">
        <v>5204</v>
      </c>
      <c r="B5205" s="14" t="n">
        <v>99250.7040410075</v>
      </c>
      <c r="C5205" s="15" t="n">
        <v>0.0733272511114947</v>
      </c>
      <c r="D5205" s="14" t="n">
        <f aca="false">Summary!$B$5-B5205</f>
        <v>749.29595899253</v>
      </c>
      <c r="E5205" s="15" t="n">
        <f aca="false">B5205/Summary!$B$5-1</f>
        <v>-0.00749295958992535</v>
      </c>
    </row>
    <row r="5206" customFormat="false" ht="15" hidden="false" customHeight="false" outlineLevel="0" collapsed="false">
      <c r="A5206" s="0" t="n">
        <v>5205</v>
      </c>
      <c r="B5206" s="14" t="n">
        <v>111190.568843563</v>
      </c>
      <c r="C5206" s="15" t="n">
        <v>0.0671542827502333</v>
      </c>
      <c r="D5206" s="14" t="n">
        <f aca="false">Summary!$B$5-B5206</f>
        <v>-11190.5688435627</v>
      </c>
      <c r="E5206" s="15" t="n">
        <f aca="false">B5206/Summary!$B$5-1</f>
        <v>0.111905688435627</v>
      </c>
    </row>
    <row r="5207" customFormat="false" ht="15" hidden="false" customHeight="false" outlineLevel="0" collapsed="false">
      <c r="A5207" s="0" t="n">
        <v>5206</v>
      </c>
      <c r="B5207" s="14" t="n">
        <v>99638.9544359372</v>
      </c>
      <c r="C5207" s="15" t="n">
        <v>0.0901051129772055</v>
      </c>
      <c r="D5207" s="14" t="n">
        <f aca="false">Summary!$B$5-B5207</f>
        <v>361.045564062762</v>
      </c>
      <c r="E5207" s="15" t="n">
        <f aca="false">B5207/Summary!$B$5-1</f>
        <v>-0.00361045564062767</v>
      </c>
    </row>
    <row r="5208" customFormat="false" ht="15" hidden="false" customHeight="false" outlineLevel="0" collapsed="false">
      <c r="A5208" s="0" t="n">
        <v>5207</v>
      </c>
      <c r="B5208" s="14" t="n">
        <v>129348.815351036</v>
      </c>
      <c r="C5208" s="15" t="n">
        <v>0.0927511662712598</v>
      </c>
      <c r="D5208" s="14" t="n">
        <f aca="false">Summary!$B$5-B5208</f>
        <v>-29348.8153510356</v>
      </c>
      <c r="E5208" s="15" t="n">
        <f aca="false">B5208/Summary!$B$5-1</f>
        <v>0.293488153510356</v>
      </c>
    </row>
    <row r="5209" customFormat="false" ht="15" hidden="false" customHeight="false" outlineLevel="0" collapsed="false">
      <c r="A5209" s="0" t="n">
        <v>5208</v>
      </c>
      <c r="B5209" s="14" t="n">
        <v>107429.193054352</v>
      </c>
      <c r="C5209" s="15" t="n">
        <v>0.0703044429860815</v>
      </c>
      <c r="D5209" s="14" t="n">
        <f aca="false">Summary!$B$5-B5209</f>
        <v>-7429.193054352</v>
      </c>
      <c r="E5209" s="15" t="n">
        <f aca="false">B5209/Summary!$B$5-1</f>
        <v>0.0742919305435199</v>
      </c>
    </row>
    <row r="5210" customFormat="false" ht="15" hidden="false" customHeight="false" outlineLevel="0" collapsed="false">
      <c r="A5210" s="0" t="n">
        <v>5209</v>
      </c>
      <c r="B5210" s="14" t="n">
        <v>118323.010297993</v>
      </c>
      <c r="C5210" s="15" t="n">
        <v>0.0670036076765161</v>
      </c>
      <c r="D5210" s="14" t="n">
        <f aca="false">Summary!$B$5-B5210</f>
        <v>-18323.0102979928</v>
      </c>
      <c r="E5210" s="15" t="n">
        <f aca="false">B5210/Summary!$B$5-1</f>
        <v>0.183230102979928</v>
      </c>
    </row>
    <row r="5211" customFormat="false" ht="15" hidden="false" customHeight="false" outlineLevel="0" collapsed="false">
      <c r="A5211" s="0" t="n">
        <v>5210</v>
      </c>
      <c r="B5211" s="14" t="n">
        <v>90804.7656537292</v>
      </c>
      <c r="C5211" s="15" t="n">
        <v>0.118315330332877</v>
      </c>
      <c r="D5211" s="14" t="n">
        <f aca="false">Summary!$B$5-B5211</f>
        <v>9195.23434627084</v>
      </c>
      <c r="E5211" s="15" t="n">
        <f aca="false">B5211/Summary!$B$5-1</f>
        <v>-0.0919523434627084</v>
      </c>
    </row>
    <row r="5212" customFormat="false" ht="15" hidden="false" customHeight="false" outlineLevel="0" collapsed="false">
      <c r="A5212" s="0" t="n">
        <v>5211</v>
      </c>
      <c r="B5212" s="14" t="n">
        <v>122709.023303923</v>
      </c>
      <c r="C5212" s="15" t="n">
        <v>0.0897646398464255</v>
      </c>
      <c r="D5212" s="14" t="n">
        <f aca="false">Summary!$B$5-B5212</f>
        <v>-22709.0233039232</v>
      </c>
      <c r="E5212" s="15" t="n">
        <f aca="false">B5212/Summary!$B$5-1</f>
        <v>0.227090233039232</v>
      </c>
    </row>
    <row r="5213" customFormat="false" ht="15" hidden="false" customHeight="false" outlineLevel="0" collapsed="false">
      <c r="A5213" s="0" t="n">
        <v>5212</v>
      </c>
      <c r="B5213" s="14" t="n">
        <v>111589.522890857</v>
      </c>
      <c r="C5213" s="15" t="n">
        <v>0.0750449883652531</v>
      </c>
      <c r="D5213" s="14" t="n">
        <f aca="false">Summary!$B$5-B5213</f>
        <v>-11589.5228908569</v>
      </c>
      <c r="E5213" s="15" t="n">
        <f aca="false">B5213/Summary!$B$5-1</f>
        <v>0.115895228908569</v>
      </c>
    </row>
    <row r="5214" customFormat="false" ht="15" hidden="false" customHeight="false" outlineLevel="0" collapsed="false">
      <c r="A5214" s="0" t="n">
        <v>5213</v>
      </c>
      <c r="B5214" s="14" t="n">
        <v>109241.980247593</v>
      </c>
      <c r="C5214" s="15" t="n">
        <v>0.142225256132199</v>
      </c>
      <c r="D5214" s="14" t="n">
        <f aca="false">Summary!$B$5-B5214</f>
        <v>-9241.9802475933</v>
      </c>
      <c r="E5214" s="15" t="n">
        <f aca="false">B5214/Summary!$B$5-1</f>
        <v>0.0924198024759331</v>
      </c>
    </row>
    <row r="5215" customFormat="false" ht="15" hidden="false" customHeight="false" outlineLevel="0" collapsed="false">
      <c r="A5215" s="0" t="n">
        <v>5214</v>
      </c>
      <c r="B5215" s="14" t="n">
        <v>102366.862467082</v>
      </c>
      <c r="C5215" s="15" t="n">
        <v>0.159754749991959</v>
      </c>
      <c r="D5215" s="14" t="n">
        <f aca="false">Summary!$B$5-B5215</f>
        <v>-2366.86246708241</v>
      </c>
      <c r="E5215" s="15" t="n">
        <f aca="false">B5215/Summary!$B$5-1</f>
        <v>0.023668624670824</v>
      </c>
    </row>
    <row r="5216" customFormat="false" ht="15" hidden="false" customHeight="false" outlineLevel="0" collapsed="false">
      <c r="A5216" s="0" t="n">
        <v>5215</v>
      </c>
      <c r="B5216" s="14" t="n">
        <v>100894.112179242</v>
      </c>
      <c r="C5216" s="15" t="n">
        <v>0.0868248514533678</v>
      </c>
      <c r="D5216" s="14" t="n">
        <f aca="false">Summary!$B$5-B5216</f>
        <v>-894.112179242002</v>
      </c>
      <c r="E5216" s="15" t="n">
        <f aca="false">B5216/Summary!$B$5-1</f>
        <v>0.00894112179242002</v>
      </c>
    </row>
    <row r="5217" customFormat="false" ht="15" hidden="false" customHeight="false" outlineLevel="0" collapsed="false">
      <c r="A5217" s="0" t="n">
        <v>5216</v>
      </c>
      <c r="B5217" s="14" t="n">
        <v>87160.5307413847</v>
      </c>
      <c r="C5217" s="15" t="n">
        <v>0.155475962353305</v>
      </c>
      <c r="D5217" s="14" t="n">
        <f aca="false">Summary!$B$5-B5217</f>
        <v>12839.4692586153</v>
      </c>
      <c r="E5217" s="15" t="n">
        <f aca="false">B5217/Summary!$B$5-1</f>
        <v>-0.128394692586153</v>
      </c>
    </row>
    <row r="5218" customFormat="false" ht="15" hidden="false" customHeight="false" outlineLevel="0" collapsed="false">
      <c r="A5218" s="0" t="n">
        <v>5217</v>
      </c>
      <c r="B5218" s="14" t="n">
        <v>111893.195077596</v>
      </c>
      <c r="C5218" s="15" t="n">
        <v>0.0728012369918846</v>
      </c>
      <c r="D5218" s="14" t="n">
        <f aca="false">Summary!$B$5-B5218</f>
        <v>-11893.1950775956</v>
      </c>
      <c r="E5218" s="15" t="n">
        <f aca="false">B5218/Summary!$B$5-1</f>
        <v>0.118931950775956</v>
      </c>
    </row>
    <row r="5219" customFormat="false" ht="15" hidden="false" customHeight="false" outlineLevel="0" collapsed="false">
      <c r="A5219" s="0" t="n">
        <v>5218</v>
      </c>
      <c r="B5219" s="14" t="n">
        <v>107273.599321663</v>
      </c>
      <c r="C5219" s="15" t="n">
        <v>0.15146624594969</v>
      </c>
      <c r="D5219" s="14" t="n">
        <f aca="false">Summary!$B$5-B5219</f>
        <v>-7273.5993216631</v>
      </c>
      <c r="E5219" s="15" t="n">
        <f aca="false">B5219/Summary!$B$5-1</f>
        <v>0.0727359932166309</v>
      </c>
    </row>
    <row r="5220" customFormat="false" ht="15" hidden="false" customHeight="false" outlineLevel="0" collapsed="false">
      <c r="A5220" s="0" t="n">
        <v>5219</v>
      </c>
      <c r="B5220" s="14" t="n">
        <v>97168.6840109151</v>
      </c>
      <c r="C5220" s="15" t="n">
        <v>0.0895209109636801</v>
      </c>
      <c r="D5220" s="14" t="n">
        <f aca="false">Summary!$B$5-B5220</f>
        <v>2831.31598908493</v>
      </c>
      <c r="E5220" s="15" t="n">
        <f aca="false">B5220/Summary!$B$5-1</f>
        <v>-0.0283131598908494</v>
      </c>
    </row>
    <row r="5221" customFormat="false" ht="15" hidden="false" customHeight="false" outlineLevel="0" collapsed="false">
      <c r="A5221" s="0" t="n">
        <v>5220</v>
      </c>
      <c r="B5221" s="14" t="n">
        <v>161723.194973227</v>
      </c>
      <c r="C5221" s="15" t="n">
        <v>0.0601646389520196</v>
      </c>
      <c r="D5221" s="14" t="n">
        <f aca="false">Summary!$B$5-B5221</f>
        <v>-61723.1949732271</v>
      </c>
      <c r="E5221" s="15" t="n">
        <f aca="false">B5221/Summary!$B$5-1</f>
        <v>0.617231949732271</v>
      </c>
    </row>
    <row r="5222" customFormat="false" ht="15" hidden="false" customHeight="false" outlineLevel="0" collapsed="false">
      <c r="A5222" s="0" t="n">
        <v>5221</v>
      </c>
      <c r="B5222" s="14" t="n">
        <v>112286.575833006</v>
      </c>
      <c r="C5222" s="15" t="n">
        <v>0.0644405271199124</v>
      </c>
      <c r="D5222" s="14" t="n">
        <f aca="false">Summary!$B$5-B5222</f>
        <v>-12286.5758330056</v>
      </c>
      <c r="E5222" s="15" t="n">
        <f aca="false">B5222/Summary!$B$5-1</f>
        <v>0.122865758330056</v>
      </c>
    </row>
    <row r="5223" customFormat="false" ht="15" hidden="false" customHeight="false" outlineLevel="0" collapsed="false">
      <c r="A5223" s="0" t="n">
        <v>5222</v>
      </c>
      <c r="B5223" s="14" t="n">
        <v>110946.315945181</v>
      </c>
      <c r="C5223" s="15" t="n">
        <v>0.111599672848031</v>
      </c>
      <c r="D5223" s="14" t="n">
        <f aca="false">Summary!$B$5-B5223</f>
        <v>-10946.315945181</v>
      </c>
      <c r="E5223" s="15" t="n">
        <f aca="false">B5223/Summary!$B$5-1</f>
        <v>0.10946315945181</v>
      </c>
    </row>
    <row r="5224" customFormat="false" ht="15" hidden="false" customHeight="false" outlineLevel="0" collapsed="false">
      <c r="A5224" s="0" t="n">
        <v>5223</v>
      </c>
      <c r="B5224" s="14" t="n">
        <v>121379.366982945</v>
      </c>
      <c r="C5224" s="15" t="n">
        <v>0.0778226729555689</v>
      </c>
      <c r="D5224" s="14" t="n">
        <f aca="false">Summary!$B$5-B5224</f>
        <v>-21379.3669829445</v>
      </c>
      <c r="E5224" s="15" t="n">
        <f aca="false">B5224/Summary!$B$5-1</f>
        <v>0.213793669829445</v>
      </c>
    </row>
    <row r="5225" customFormat="false" ht="15" hidden="false" customHeight="false" outlineLevel="0" collapsed="false">
      <c r="A5225" s="0" t="n">
        <v>5224</v>
      </c>
      <c r="B5225" s="14" t="n">
        <v>130941.029963958</v>
      </c>
      <c r="C5225" s="15" t="n">
        <v>0.0548332358633613</v>
      </c>
      <c r="D5225" s="14" t="n">
        <f aca="false">Summary!$B$5-B5225</f>
        <v>-30941.029963958</v>
      </c>
      <c r="E5225" s="15" t="n">
        <f aca="false">B5225/Summary!$B$5-1</f>
        <v>0.30941029963958</v>
      </c>
    </row>
    <row r="5226" customFormat="false" ht="15" hidden="false" customHeight="false" outlineLevel="0" collapsed="false">
      <c r="A5226" s="0" t="n">
        <v>5225</v>
      </c>
      <c r="B5226" s="14" t="n">
        <v>113153.482140393</v>
      </c>
      <c r="C5226" s="15" t="n">
        <v>0.0569309112167086</v>
      </c>
      <c r="D5226" s="14" t="n">
        <f aca="false">Summary!$B$5-B5226</f>
        <v>-13153.4821403934</v>
      </c>
      <c r="E5226" s="15" t="n">
        <f aca="false">B5226/Summary!$B$5-1</f>
        <v>0.131534821403934</v>
      </c>
    </row>
    <row r="5227" customFormat="false" ht="15" hidden="false" customHeight="false" outlineLevel="0" collapsed="false">
      <c r="A5227" s="0" t="n">
        <v>5226</v>
      </c>
      <c r="B5227" s="14" t="n">
        <v>107635.075850178</v>
      </c>
      <c r="C5227" s="15" t="n">
        <v>0.0850621143727643</v>
      </c>
      <c r="D5227" s="14" t="n">
        <f aca="false">Summary!$B$5-B5227</f>
        <v>-7635.0758501781</v>
      </c>
      <c r="E5227" s="15" t="n">
        <f aca="false">B5227/Summary!$B$5-1</f>
        <v>0.0763507585017809</v>
      </c>
    </row>
    <row r="5228" customFormat="false" ht="15" hidden="false" customHeight="false" outlineLevel="0" collapsed="false">
      <c r="A5228" s="0" t="n">
        <v>5227</v>
      </c>
      <c r="B5228" s="14" t="n">
        <v>121617.318474248</v>
      </c>
      <c r="C5228" s="15" t="n">
        <v>0.0753775130286856</v>
      </c>
      <c r="D5228" s="14" t="n">
        <f aca="false">Summary!$B$5-B5228</f>
        <v>-21617.3184742476</v>
      </c>
      <c r="E5228" s="15" t="n">
        <f aca="false">B5228/Summary!$B$5-1</f>
        <v>0.216173184742476</v>
      </c>
    </row>
    <row r="5229" customFormat="false" ht="15" hidden="false" customHeight="false" outlineLevel="0" collapsed="false">
      <c r="A5229" s="0" t="n">
        <v>5228</v>
      </c>
      <c r="B5229" s="14" t="n">
        <v>113022.622029834</v>
      </c>
      <c r="C5229" s="15" t="n">
        <v>0.0672086426322998</v>
      </c>
      <c r="D5229" s="14" t="n">
        <f aca="false">Summary!$B$5-B5229</f>
        <v>-13022.6220298335</v>
      </c>
      <c r="E5229" s="15" t="n">
        <f aca="false">B5229/Summary!$B$5-1</f>
        <v>0.130226220298335</v>
      </c>
    </row>
    <row r="5230" customFormat="false" ht="15" hidden="false" customHeight="false" outlineLevel="0" collapsed="false">
      <c r="A5230" s="0" t="n">
        <v>5229</v>
      </c>
      <c r="B5230" s="14" t="n">
        <v>104642.555828347</v>
      </c>
      <c r="C5230" s="15" t="n">
        <v>0.0763100744943662</v>
      </c>
      <c r="D5230" s="14" t="n">
        <f aca="false">Summary!$B$5-B5230</f>
        <v>-4642.5558283469</v>
      </c>
      <c r="E5230" s="15" t="n">
        <f aca="false">B5230/Summary!$B$5-1</f>
        <v>0.046425558283469</v>
      </c>
    </row>
    <row r="5231" customFormat="false" ht="15" hidden="false" customHeight="false" outlineLevel="0" collapsed="false">
      <c r="A5231" s="0" t="n">
        <v>5230</v>
      </c>
      <c r="B5231" s="14" t="n">
        <v>110335.594257832</v>
      </c>
      <c r="C5231" s="15" t="n">
        <v>0.0777763167719445</v>
      </c>
      <c r="D5231" s="14" t="n">
        <f aca="false">Summary!$B$5-B5231</f>
        <v>-10335.5942578318</v>
      </c>
      <c r="E5231" s="15" t="n">
        <f aca="false">B5231/Summary!$B$5-1</f>
        <v>0.103355942578318</v>
      </c>
    </row>
    <row r="5232" customFormat="false" ht="15" hidden="false" customHeight="false" outlineLevel="0" collapsed="false">
      <c r="A5232" s="0" t="n">
        <v>5231</v>
      </c>
      <c r="B5232" s="14" t="n">
        <v>135257.313524692</v>
      </c>
      <c r="C5232" s="15" t="n">
        <v>0.0466536512108002</v>
      </c>
      <c r="D5232" s="14" t="n">
        <f aca="false">Summary!$B$5-B5232</f>
        <v>-35257.3135246921</v>
      </c>
      <c r="E5232" s="15" t="n">
        <f aca="false">B5232/Summary!$B$5-1</f>
        <v>0.352573135246921</v>
      </c>
    </row>
    <row r="5233" customFormat="false" ht="15" hidden="false" customHeight="false" outlineLevel="0" collapsed="false">
      <c r="A5233" s="0" t="n">
        <v>5232</v>
      </c>
      <c r="B5233" s="14" t="n">
        <v>103038.243098288</v>
      </c>
      <c r="C5233" s="15" t="n">
        <v>0.13324813298508</v>
      </c>
      <c r="D5233" s="14" t="n">
        <f aca="false">Summary!$B$5-B5233</f>
        <v>-3038.24309828829</v>
      </c>
      <c r="E5233" s="15" t="n">
        <f aca="false">B5233/Summary!$B$5-1</f>
        <v>0.0303824309828828</v>
      </c>
    </row>
    <row r="5234" customFormat="false" ht="15" hidden="false" customHeight="false" outlineLevel="0" collapsed="false">
      <c r="A5234" s="0" t="n">
        <v>5233</v>
      </c>
      <c r="B5234" s="14" t="n">
        <v>95066.8024908062</v>
      </c>
      <c r="C5234" s="15" t="n">
        <v>0.124296372430143</v>
      </c>
      <c r="D5234" s="14" t="n">
        <f aca="false">Summary!$B$5-B5234</f>
        <v>4933.19750919379</v>
      </c>
      <c r="E5234" s="15" t="n">
        <f aca="false">B5234/Summary!$B$5-1</f>
        <v>-0.0493319750919379</v>
      </c>
    </row>
    <row r="5235" customFormat="false" ht="15" hidden="false" customHeight="false" outlineLevel="0" collapsed="false">
      <c r="A5235" s="0" t="n">
        <v>5234</v>
      </c>
      <c r="B5235" s="14" t="n">
        <v>101313.326412261</v>
      </c>
      <c r="C5235" s="15" t="n">
        <v>0.0935975977066329</v>
      </c>
      <c r="D5235" s="14" t="n">
        <f aca="false">Summary!$B$5-B5235</f>
        <v>-1313.32641226141</v>
      </c>
      <c r="E5235" s="15" t="n">
        <f aca="false">B5235/Summary!$B$5-1</f>
        <v>0.0131332641226141</v>
      </c>
    </row>
    <row r="5236" customFormat="false" ht="15" hidden="false" customHeight="false" outlineLevel="0" collapsed="false">
      <c r="A5236" s="0" t="n">
        <v>5235</v>
      </c>
      <c r="B5236" s="14" t="n">
        <v>104467.318055453</v>
      </c>
      <c r="C5236" s="15" t="n">
        <v>0.0949730690410033</v>
      </c>
      <c r="D5236" s="14" t="n">
        <f aca="false">Summary!$B$5-B5236</f>
        <v>-4467.31805545341</v>
      </c>
      <c r="E5236" s="15" t="n">
        <f aca="false">B5236/Summary!$B$5-1</f>
        <v>0.044673180554534</v>
      </c>
    </row>
    <row r="5237" customFormat="false" ht="15" hidden="false" customHeight="false" outlineLevel="0" collapsed="false">
      <c r="A5237" s="0" t="n">
        <v>5236</v>
      </c>
      <c r="B5237" s="14" t="n">
        <v>122204.894993774</v>
      </c>
      <c r="C5237" s="15" t="n">
        <v>0.0748393884734465</v>
      </c>
      <c r="D5237" s="14" t="n">
        <f aca="false">Summary!$B$5-B5237</f>
        <v>-22204.8949937735</v>
      </c>
      <c r="E5237" s="15" t="n">
        <f aca="false">B5237/Summary!$B$5-1</f>
        <v>0.222048949937735</v>
      </c>
    </row>
    <row r="5238" customFormat="false" ht="15" hidden="false" customHeight="false" outlineLevel="0" collapsed="false">
      <c r="A5238" s="0" t="n">
        <v>5237</v>
      </c>
      <c r="B5238" s="14" t="n">
        <v>130361.103206177</v>
      </c>
      <c r="C5238" s="15" t="n">
        <v>0.103254070817457</v>
      </c>
      <c r="D5238" s="14" t="n">
        <f aca="false">Summary!$B$5-B5238</f>
        <v>-30361.1032061774</v>
      </c>
      <c r="E5238" s="15" t="n">
        <f aca="false">B5238/Summary!$B$5-1</f>
        <v>0.303611032061774</v>
      </c>
    </row>
    <row r="5239" customFormat="false" ht="15" hidden="false" customHeight="false" outlineLevel="0" collapsed="false">
      <c r="A5239" s="0" t="n">
        <v>5238</v>
      </c>
      <c r="B5239" s="14" t="n">
        <v>111442.315624368</v>
      </c>
      <c r="C5239" s="15" t="n">
        <v>0.0715918042673688</v>
      </c>
      <c r="D5239" s="14" t="n">
        <f aca="false">Summary!$B$5-B5239</f>
        <v>-11442.3156243681</v>
      </c>
      <c r="E5239" s="15" t="n">
        <f aca="false">B5239/Summary!$B$5-1</f>
        <v>0.114423156243681</v>
      </c>
    </row>
    <row r="5240" customFormat="false" ht="15" hidden="false" customHeight="false" outlineLevel="0" collapsed="false">
      <c r="A5240" s="0" t="n">
        <v>5239</v>
      </c>
      <c r="B5240" s="14" t="n">
        <v>106042.843236274</v>
      </c>
      <c r="C5240" s="15" t="n">
        <v>0.0813868983956455</v>
      </c>
      <c r="D5240" s="14" t="n">
        <f aca="false">Summary!$B$5-B5240</f>
        <v>-6042.843236274</v>
      </c>
      <c r="E5240" s="15" t="n">
        <f aca="false">B5240/Summary!$B$5-1</f>
        <v>0.06042843236274</v>
      </c>
    </row>
    <row r="5241" customFormat="false" ht="15" hidden="false" customHeight="false" outlineLevel="0" collapsed="false">
      <c r="A5241" s="0" t="n">
        <v>5240</v>
      </c>
      <c r="B5241" s="14" t="n">
        <v>99521.8080819235</v>
      </c>
      <c r="C5241" s="15" t="n">
        <v>0.153243327773868</v>
      </c>
      <c r="D5241" s="14" t="n">
        <f aca="false">Summary!$B$5-B5241</f>
        <v>478.19191807654</v>
      </c>
      <c r="E5241" s="15" t="n">
        <f aca="false">B5241/Summary!$B$5-1</f>
        <v>-0.00478191918076543</v>
      </c>
    </row>
    <row r="5242" customFormat="false" ht="15" hidden="false" customHeight="false" outlineLevel="0" collapsed="false">
      <c r="A5242" s="0" t="n">
        <v>5241</v>
      </c>
      <c r="B5242" s="14" t="n">
        <v>86445.6897689226</v>
      </c>
      <c r="C5242" s="15" t="n">
        <v>0.200160590299958</v>
      </c>
      <c r="D5242" s="14" t="n">
        <f aca="false">Summary!$B$5-B5242</f>
        <v>13554.3102310774</v>
      </c>
      <c r="E5242" s="15" t="n">
        <f aca="false">B5242/Summary!$B$5-1</f>
        <v>-0.135543102310774</v>
      </c>
    </row>
    <row r="5243" customFormat="false" ht="15" hidden="false" customHeight="false" outlineLevel="0" collapsed="false">
      <c r="A5243" s="0" t="n">
        <v>5242</v>
      </c>
      <c r="B5243" s="14" t="n">
        <v>95729.9251143154</v>
      </c>
      <c r="C5243" s="15" t="n">
        <v>0.142126257793137</v>
      </c>
      <c r="D5243" s="14" t="n">
        <f aca="false">Summary!$B$5-B5243</f>
        <v>4270.07488568456</v>
      </c>
      <c r="E5243" s="15" t="n">
        <f aca="false">B5243/Summary!$B$5-1</f>
        <v>-0.0427007488568456</v>
      </c>
    </row>
    <row r="5244" customFormat="false" ht="15" hidden="false" customHeight="false" outlineLevel="0" collapsed="false">
      <c r="A5244" s="0" t="n">
        <v>5243</v>
      </c>
      <c r="B5244" s="14" t="n">
        <v>103464.589691103</v>
      </c>
      <c r="C5244" s="15" t="n">
        <v>0.136355919772097</v>
      </c>
      <c r="D5244" s="14" t="n">
        <f aca="false">Summary!$B$5-B5244</f>
        <v>-3464.58969110269</v>
      </c>
      <c r="E5244" s="15" t="n">
        <f aca="false">B5244/Summary!$B$5-1</f>
        <v>0.034645896911027</v>
      </c>
    </row>
    <row r="5245" customFormat="false" ht="15" hidden="false" customHeight="false" outlineLevel="0" collapsed="false">
      <c r="A5245" s="0" t="n">
        <v>5244</v>
      </c>
      <c r="B5245" s="14" t="n">
        <v>117935.797021685</v>
      </c>
      <c r="C5245" s="15" t="n">
        <v>0.141358804239654</v>
      </c>
      <c r="D5245" s="14" t="n">
        <f aca="false">Summary!$B$5-B5245</f>
        <v>-17935.7970216853</v>
      </c>
      <c r="E5245" s="15" t="n">
        <f aca="false">B5245/Summary!$B$5-1</f>
        <v>0.179357970216853</v>
      </c>
    </row>
    <row r="5246" customFormat="false" ht="15" hidden="false" customHeight="false" outlineLevel="0" collapsed="false">
      <c r="A5246" s="0" t="n">
        <v>5245</v>
      </c>
      <c r="B5246" s="14" t="n">
        <v>134399.762906965</v>
      </c>
      <c r="C5246" s="15" t="n">
        <v>0.076622656571977</v>
      </c>
      <c r="D5246" s="14" t="n">
        <f aca="false">Summary!$B$5-B5246</f>
        <v>-34399.7629069649</v>
      </c>
      <c r="E5246" s="15" t="n">
        <f aca="false">B5246/Summary!$B$5-1</f>
        <v>0.343997629069649</v>
      </c>
    </row>
    <row r="5247" customFormat="false" ht="15" hidden="false" customHeight="false" outlineLevel="0" collapsed="false">
      <c r="A5247" s="0" t="n">
        <v>5246</v>
      </c>
      <c r="B5247" s="14" t="n">
        <v>117286.766327295</v>
      </c>
      <c r="C5247" s="15" t="n">
        <v>0.0618363829501564</v>
      </c>
      <c r="D5247" s="14" t="n">
        <f aca="false">Summary!$B$5-B5247</f>
        <v>-17286.7663272954</v>
      </c>
      <c r="E5247" s="15" t="n">
        <f aca="false">B5247/Summary!$B$5-1</f>
        <v>0.172867663272954</v>
      </c>
    </row>
    <row r="5248" customFormat="false" ht="15" hidden="false" customHeight="false" outlineLevel="0" collapsed="false">
      <c r="A5248" s="0" t="n">
        <v>5247</v>
      </c>
      <c r="B5248" s="14" t="n">
        <v>109775.055693625</v>
      </c>
      <c r="C5248" s="15" t="n">
        <v>0.0712912107206075</v>
      </c>
      <c r="D5248" s="14" t="n">
        <f aca="false">Summary!$B$5-B5248</f>
        <v>-9775.0556936252</v>
      </c>
      <c r="E5248" s="15" t="n">
        <f aca="false">B5248/Summary!$B$5-1</f>
        <v>0.097750556936252</v>
      </c>
    </row>
    <row r="5249" customFormat="false" ht="15" hidden="false" customHeight="false" outlineLevel="0" collapsed="false">
      <c r="A5249" s="0" t="n">
        <v>5248</v>
      </c>
      <c r="B5249" s="14" t="n">
        <v>108979.109550021</v>
      </c>
      <c r="C5249" s="15" t="n">
        <v>0.079478156868225</v>
      </c>
      <c r="D5249" s="14" t="n">
        <f aca="false">Summary!$B$5-B5249</f>
        <v>-8979.10955002109</v>
      </c>
      <c r="E5249" s="15" t="n">
        <f aca="false">B5249/Summary!$B$5-1</f>
        <v>0.089791095500211</v>
      </c>
    </row>
    <row r="5250" customFormat="false" ht="15" hidden="false" customHeight="false" outlineLevel="0" collapsed="false">
      <c r="A5250" s="0" t="n">
        <v>5249</v>
      </c>
      <c r="B5250" s="14" t="n">
        <v>97461.0275370213</v>
      </c>
      <c r="C5250" s="15" t="n">
        <v>0.128733287117907</v>
      </c>
      <c r="D5250" s="14" t="n">
        <f aca="false">Summary!$B$5-B5250</f>
        <v>2538.97246297868</v>
      </c>
      <c r="E5250" s="15" t="n">
        <f aca="false">B5250/Summary!$B$5-1</f>
        <v>-0.0253897246297868</v>
      </c>
    </row>
    <row r="5251" customFormat="false" ht="15" hidden="false" customHeight="false" outlineLevel="0" collapsed="false">
      <c r="A5251" s="0" t="n">
        <v>5250</v>
      </c>
      <c r="B5251" s="14" t="n">
        <v>103115.065008518</v>
      </c>
      <c r="C5251" s="15" t="n">
        <v>0.0906327691088319</v>
      </c>
      <c r="D5251" s="14" t="n">
        <f aca="false">Summary!$B$5-B5251</f>
        <v>-3115.0650085182</v>
      </c>
      <c r="E5251" s="15" t="n">
        <f aca="false">B5251/Summary!$B$5-1</f>
        <v>0.0311506500851819</v>
      </c>
    </row>
    <row r="5252" customFormat="false" ht="15" hidden="false" customHeight="false" outlineLevel="0" collapsed="false">
      <c r="A5252" s="0" t="n">
        <v>5251</v>
      </c>
      <c r="B5252" s="14" t="n">
        <v>105097.235131584</v>
      </c>
      <c r="C5252" s="15" t="n">
        <v>0.106949102209556</v>
      </c>
      <c r="D5252" s="14" t="n">
        <f aca="false">Summary!$B$5-B5252</f>
        <v>-5097.2351315835</v>
      </c>
      <c r="E5252" s="15" t="n">
        <f aca="false">B5252/Summary!$B$5-1</f>
        <v>0.0509723513158349</v>
      </c>
    </row>
    <row r="5253" customFormat="false" ht="15" hidden="false" customHeight="false" outlineLevel="0" collapsed="false">
      <c r="A5253" s="0" t="n">
        <v>5252</v>
      </c>
      <c r="B5253" s="14" t="n">
        <v>108163.950275751</v>
      </c>
      <c r="C5253" s="15" t="n">
        <v>0.0677196953701206</v>
      </c>
      <c r="D5253" s="14" t="n">
        <f aca="false">Summary!$B$5-B5253</f>
        <v>-8163.9502757508</v>
      </c>
      <c r="E5253" s="15" t="n">
        <f aca="false">B5253/Summary!$B$5-1</f>
        <v>0.0816395027575081</v>
      </c>
    </row>
    <row r="5254" customFormat="false" ht="15" hidden="false" customHeight="false" outlineLevel="0" collapsed="false">
      <c r="A5254" s="0" t="n">
        <v>5253</v>
      </c>
      <c r="B5254" s="14" t="n">
        <v>111556.857553282</v>
      </c>
      <c r="C5254" s="15" t="n">
        <v>0.0682721783520092</v>
      </c>
      <c r="D5254" s="14" t="n">
        <f aca="false">Summary!$B$5-B5254</f>
        <v>-11556.8575532819</v>
      </c>
      <c r="E5254" s="15" t="n">
        <f aca="false">B5254/Summary!$B$5-1</f>
        <v>0.115568575532819</v>
      </c>
    </row>
    <row r="5255" customFormat="false" ht="15" hidden="false" customHeight="false" outlineLevel="0" collapsed="false">
      <c r="A5255" s="0" t="n">
        <v>5254</v>
      </c>
      <c r="B5255" s="14" t="n">
        <v>107500.995729444</v>
      </c>
      <c r="C5255" s="15" t="n">
        <v>0.0575148748530574</v>
      </c>
      <c r="D5255" s="14" t="n">
        <f aca="false">Summary!$B$5-B5255</f>
        <v>-7500.9957294443</v>
      </c>
      <c r="E5255" s="15" t="n">
        <f aca="false">B5255/Summary!$B$5-1</f>
        <v>0.0750099572944429</v>
      </c>
    </row>
    <row r="5256" customFormat="false" ht="15" hidden="false" customHeight="false" outlineLevel="0" collapsed="false">
      <c r="A5256" s="0" t="n">
        <v>5255</v>
      </c>
      <c r="B5256" s="14" t="n">
        <v>102360.961612268</v>
      </c>
      <c r="C5256" s="15" t="n">
        <v>0.0739648204471296</v>
      </c>
      <c r="D5256" s="14" t="n">
        <f aca="false">Summary!$B$5-B5256</f>
        <v>-2360.96161226751</v>
      </c>
      <c r="E5256" s="15" t="n">
        <f aca="false">B5256/Summary!$B$5-1</f>
        <v>0.0236096161226751</v>
      </c>
    </row>
    <row r="5257" customFormat="false" ht="15" hidden="false" customHeight="false" outlineLevel="0" collapsed="false">
      <c r="A5257" s="0" t="n">
        <v>5256</v>
      </c>
      <c r="B5257" s="14" t="n">
        <v>131424.319136402</v>
      </c>
      <c r="C5257" s="15" t="n">
        <v>0.0590189416620401</v>
      </c>
      <c r="D5257" s="14" t="n">
        <f aca="false">Summary!$B$5-B5257</f>
        <v>-31424.3191364015</v>
      </c>
      <c r="E5257" s="15" t="n">
        <f aca="false">B5257/Summary!$B$5-1</f>
        <v>0.314243191364015</v>
      </c>
    </row>
    <row r="5258" customFormat="false" ht="15" hidden="false" customHeight="false" outlineLevel="0" collapsed="false">
      <c r="A5258" s="0" t="n">
        <v>5257</v>
      </c>
      <c r="B5258" s="14" t="n">
        <v>104893.742709523</v>
      </c>
      <c r="C5258" s="15" t="n">
        <v>0.0889376695434293</v>
      </c>
      <c r="D5258" s="14" t="n">
        <f aca="false">Summary!$B$5-B5258</f>
        <v>-4893.7427095226</v>
      </c>
      <c r="E5258" s="15" t="n">
        <f aca="false">B5258/Summary!$B$5-1</f>
        <v>0.0489374270952261</v>
      </c>
    </row>
    <row r="5259" customFormat="false" ht="15" hidden="false" customHeight="false" outlineLevel="0" collapsed="false">
      <c r="A5259" s="0" t="n">
        <v>5258</v>
      </c>
      <c r="B5259" s="14" t="n">
        <v>97733.9899411924</v>
      </c>
      <c r="C5259" s="15" t="n">
        <v>0.099625195411423</v>
      </c>
      <c r="D5259" s="14" t="n">
        <f aca="false">Summary!$B$5-B5259</f>
        <v>2266.01005880762</v>
      </c>
      <c r="E5259" s="15" t="n">
        <f aca="false">B5259/Summary!$B$5-1</f>
        <v>-0.0226601005880762</v>
      </c>
    </row>
    <row r="5260" customFormat="false" ht="15" hidden="false" customHeight="false" outlineLevel="0" collapsed="false">
      <c r="A5260" s="0" t="n">
        <v>5259</v>
      </c>
      <c r="B5260" s="14" t="n">
        <v>100589.68511856</v>
      </c>
      <c r="C5260" s="15" t="n">
        <v>0.127548447567167</v>
      </c>
      <c r="D5260" s="14" t="n">
        <f aca="false">Summary!$B$5-B5260</f>
        <v>-589.685118560097</v>
      </c>
      <c r="E5260" s="15" t="n">
        <f aca="false">B5260/Summary!$B$5-1</f>
        <v>0.00589685118560102</v>
      </c>
    </row>
    <row r="5261" customFormat="false" ht="15" hidden="false" customHeight="false" outlineLevel="0" collapsed="false">
      <c r="A5261" s="0" t="n">
        <v>5260</v>
      </c>
      <c r="B5261" s="14" t="n">
        <v>108540.961643492</v>
      </c>
      <c r="C5261" s="15" t="n">
        <v>0.0887629830677797</v>
      </c>
      <c r="D5261" s="14" t="n">
        <f aca="false">Summary!$B$5-B5261</f>
        <v>-8540.96164349229</v>
      </c>
      <c r="E5261" s="15" t="n">
        <f aca="false">B5261/Summary!$B$5-1</f>
        <v>0.085409616434923</v>
      </c>
    </row>
    <row r="5262" customFormat="false" ht="15" hidden="false" customHeight="false" outlineLevel="0" collapsed="false">
      <c r="A5262" s="0" t="n">
        <v>5261</v>
      </c>
      <c r="B5262" s="14" t="n">
        <v>101605.724365386</v>
      </c>
      <c r="C5262" s="15" t="n">
        <v>0.10557679472526</v>
      </c>
      <c r="D5262" s="14" t="n">
        <f aca="false">Summary!$B$5-B5262</f>
        <v>-1605.7243653855</v>
      </c>
      <c r="E5262" s="15" t="n">
        <f aca="false">B5262/Summary!$B$5-1</f>
        <v>0.0160572436538549</v>
      </c>
    </row>
    <row r="5263" customFormat="false" ht="15" hidden="false" customHeight="false" outlineLevel="0" collapsed="false">
      <c r="A5263" s="0" t="n">
        <v>5262</v>
      </c>
      <c r="B5263" s="14" t="n">
        <v>113438.057855846</v>
      </c>
      <c r="C5263" s="15" t="n">
        <v>0.0716784196754572</v>
      </c>
      <c r="D5263" s="14" t="n">
        <f aca="false">Summary!$B$5-B5263</f>
        <v>-13438.0578558458</v>
      </c>
      <c r="E5263" s="15" t="n">
        <f aca="false">B5263/Summary!$B$5-1</f>
        <v>0.134380578558458</v>
      </c>
    </row>
    <row r="5264" customFormat="false" ht="15" hidden="false" customHeight="false" outlineLevel="0" collapsed="false">
      <c r="A5264" s="0" t="n">
        <v>5263</v>
      </c>
      <c r="B5264" s="14" t="n">
        <v>105488.448617325</v>
      </c>
      <c r="C5264" s="15" t="n">
        <v>0.0671967393917755</v>
      </c>
      <c r="D5264" s="14" t="n">
        <f aca="false">Summary!$B$5-B5264</f>
        <v>-5488.448617325</v>
      </c>
      <c r="E5264" s="15" t="n">
        <f aca="false">B5264/Summary!$B$5-1</f>
        <v>0.05488448617325</v>
      </c>
    </row>
    <row r="5265" customFormat="false" ht="15" hidden="false" customHeight="false" outlineLevel="0" collapsed="false">
      <c r="A5265" s="0" t="n">
        <v>5264</v>
      </c>
      <c r="B5265" s="14" t="n">
        <v>102966.774149118</v>
      </c>
      <c r="C5265" s="15" t="n">
        <v>0.0749320824492579</v>
      </c>
      <c r="D5265" s="14" t="n">
        <f aca="false">Summary!$B$5-B5265</f>
        <v>-2966.77414911809</v>
      </c>
      <c r="E5265" s="15" t="n">
        <f aca="false">B5265/Summary!$B$5-1</f>
        <v>0.029667741491181</v>
      </c>
    </row>
    <row r="5266" customFormat="false" ht="15" hidden="false" customHeight="false" outlineLevel="0" collapsed="false">
      <c r="A5266" s="0" t="n">
        <v>5265</v>
      </c>
      <c r="B5266" s="14" t="n">
        <v>102454.436283449</v>
      </c>
      <c r="C5266" s="15" t="n">
        <v>0.0964493039523702</v>
      </c>
      <c r="D5266" s="14" t="n">
        <f aca="false">Summary!$B$5-B5266</f>
        <v>-2454.4362834488</v>
      </c>
      <c r="E5266" s="15" t="n">
        <f aca="false">B5266/Summary!$B$5-1</f>
        <v>0.0245443628344879</v>
      </c>
    </row>
    <row r="5267" customFormat="false" ht="15" hidden="false" customHeight="false" outlineLevel="0" collapsed="false">
      <c r="A5267" s="0" t="n">
        <v>5266</v>
      </c>
      <c r="B5267" s="14" t="n">
        <v>93297.9137427593</v>
      </c>
      <c r="C5267" s="15" t="n">
        <v>0.127142026300267</v>
      </c>
      <c r="D5267" s="14" t="n">
        <f aca="false">Summary!$B$5-B5267</f>
        <v>6702.08625724068</v>
      </c>
      <c r="E5267" s="15" t="n">
        <f aca="false">B5267/Summary!$B$5-1</f>
        <v>-0.0670208625724068</v>
      </c>
    </row>
    <row r="5268" customFormat="false" ht="15" hidden="false" customHeight="false" outlineLevel="0" collapsed="false">
      <c r="A5268" s="0" t="n">
        <v>5267</v>
      </c>
      <c r="B5268" s="14" t="n">
        <v>82779.565729938</v>
      </c>
      <c r="C5268" s="15" t="n">
        <v>0.216204648321691</v>
      </c>
      <c r="D5268" s="14" t="n">
        <f aca="false">Summary!$B$5-B5268</f>
        <v>17220.434270062</v>
      </c>
      <c r="E5268" s="15" t="n">
        <f aca="false">B5268/Summary!$B$5-1</f>
        <v>-0.17220434270062</v>
      </c>
    </row>
    <row r="5269" customFormat="false" ht="15" hidden="false" customHeight="false" outlineLevel="0" collapsed="false">
      <c r="A5269" s="0" t="n">
        <v>5268</v>
      </c>
      <c r="B5269" s="14" t="n">
        <v>122302.675423976</v>
      </c>
      <c r="C5269" s="15" t="n">
        <v>0.0483211035273519</v>
      </c>
      <c r="D5269" s="14" t="n">
        <f aca="false">Summary!$B$5-B5269</f>
        <v>-22302.6754239763</v>
      </c>
      <c r="E5269" s="15" t="n">
        <f aca="false">B5269/Summary!$B$5-1</f>
        <v>0.223026754239763</v>
      </c>
    </row>
    <row r="5270" customFormat="false" ht="15" hidden="false" customHeight="false" outlineLevel="0" collapsed="false">
      <c r="A5270" s="0" t="n">
        <v>5269</v>
      </c>
      <c r="B5270" s="14" t="n">
        <v>99577.3966888213</v>
      </c>
      <c r="C5270" s="15" t="n">
        <v>0.0819508265614648</v>
      </c>
      <c r="D5270" s="14" t="n">
        <f aca="false">Summary!$B$5-B5270</f>
        <v>422.60331117874</v>
      </c>
      <c r="E5270" s="15" t="n">
        <f aca="false">B5270/Summary!$B$5-1</f>
        <v>-0.00422603311178738</v>
      </c>
    </row>
    <row r="5271" customFormat="false" ht="15" hidden="false" customHeight="false" outlineLevel="0" collapsed="false">
      <c r="A5271" s="0" t="n">
        <v>5270</v>
      </c>
      <c r="B5271" s="14" t="n">
        <v>123987.709528692</v>
      </c>
      <c r="C5271" s="15" t="n">
        <v>0.0913917597986592</v>
      </c>
      <c r="D5271" s="14" t="n">
        <f aca="false">Summary!$B$5-B5271</f>
        <v>-23987.7095286915</v>
      </c>
      <c r="E5271" s="15" t="n">
        <f aca="false">B5271/Summary!$B$5-1</f>
        <v>0.239877095286915</v>
      </c>
    </row>
    <row r="5272" customFormat="false" ht="15" hidden="false" customHeight="false" outlineLevel="0" collapsed="false">
      <c r="A5272" s="0" t="n">
        <v>5271</v>
      </c>
      <c r="B5272" s="14" t="n">
        <v>101179.734958182</v>
      </c>
      <c r="C5272" s="15" t="n">
        <v>0.114990752851222</v>
      </c>
      <c r="D5272" s="14" t="n">
        <f aca="false">Summary!$B$5-B5272</f>
        <v>-1179.7349581821</v>
      </c>
      <c r="E5272" s="15" t="n">
        <f aca="false">B5272/Summary!$B$5-1</f>
        <v>0.0117973495818211</v>
      </c>
    </row>
    <row r="5273" customFormat="false" ht="15" hidden="false" customHeight="false" outlineLevel="0" collapsed="false">
      <c r="A5273" s="0" t="n">
        <v>5272</v>
      </c>
      <c r="B5273" s="14" t="n">
        <v>129609.410666874</v>
      </c>
      <c r="C5273" s="15" t="n">
        <v>0.0718793263599543</v>
      </c>
      <c r="D5273" s="14" t="n">
        <f aca="false">Summary!$B$5-B5273</f>
        <v>-29609.4106668742</v>
      </c>
      <c r="E5273" s="15" t="n">
        <f aca="false">B5273/Summary!$B$5-1</f>
        <v>0.296094106668742</v>
      </c>
    </row>
    <row r="5274" customFormat="false" ht="15" hidden="false" customHeight="false" outlineLevel="0" collapsed="false">
      <c r="A5274" s="0" t="n">
        <v>5273</v>
      </c>
      <c r="B5274" s="14" t="n">
        <v>103221.453970835</v>
      </c>
      <c r="C5274" s="15" t="n">
        <v>0.0771216493529313</v>
      </c>
      <c r="D5274" s="14" t="n">
        <f aca="false">Summary!$B$5-B5274</f>
        <v>-3221.45397083501</v>
      </c>
      <c r="E5274" s="15" t="n">
        <f aca="false">B5274/Summary!$B$5-1</f>
        <v>0.03221453970835</v>
      </c>
    </row>
    <row r="5275" customFormat="false" ht="15" hidden="false" customHeight="false" outlineLevel="0" collapsed="false">
      <c r="A5275" s="0" t="n">
        <v>5274</v>
      </c>
      <c r="B5275" s="14" t="n">
        <v>114930.573340082</v>
      </c>
      <c r="C5275" s="15" t="n">
        <v>0.109671851912162</v>
      </c>
      <c r="D5275" s="14" t="n">
        <f aca="false">Summary!$B$5-B5275</f>
        <v>-14930.5733400818</v>
      </c>
      <c r="E5275" s="15" t="n">
        <f aca="false">B5275/Summary!$B$5-1</f>
        <v>0.149305733400818</v>
      </c>
    </row>
    <row r="5276" customFormat="false" ht="15" hidden="false" customHeight="false" outlineLevel="0" collapsed="false">
      <c r="A5276" s="0" t="n">
        <v>5275</v>
      </c>
      <c r="B5276" s="14" t="n">
        <v>118725.799293095</v>
      </c>
      <c r="C5276" s="15" t="n">
        <v>0.0643739453824366</v>
      </c>
      <c r="D5276" s="14" t="n">
        <f aca="false">Summary!$B$5-B5276</f>
        <v>-18725.7992930954</v>
      </c>
      <c r="E5276" s="15" t="n">
        <f aca="false">B5276/Summary!$B$5-1</f>
        <v>0.187257992930954</v>
      </c>
    </row>
    <row r="5277" customFormat="false" ht="15" hidden="false" customHeight="false" outlineLevel="0" collapsed="false">
      <c r="A5277" s="0" t="n">
        <v>5276</v>
      </c>
      <c r="B5277" s="14" t="n">
        <v>111853.233603979</v>
      </c>
      <c r="C5277" s="15" t="n">
        <v>0.0599877000163056</v>
      </c>
      <c r="D5277" s="14" t="n">
        <f aca="false">Summary!$B$5-B5277</f>
        <v>-11853.2336039788</v>
      </c>
      <c r="E5277" s="15" t="n">
        <f aca="false">B5277/Summary!$B$5-1</f>
        <v>0.118532336039788</v>
      </c>
    </row>
    <row r="5278" customFormat="false" ht="15" hidden="false" customHeight="false" outlineLevel="0" collapsed="false">
      <c r="A5278" s="0" t="n">
        <v>5277</v>
      </c>
      <c r="B5278" s="14" t="n">
        <v>95499.5319610044</v>
      </c>
      <c r="C5278" s="15" t="n">
        <v>0.146298834347346</v>
      </c>
      <c r="D5278" s="14" t="n">
        <f aca="false">Summary!$B$5-B5278</f>
        <v>4500.46803899563</v>
      </c>
      <c r="E5278" s="15" t="n">
        <f aca="false">B5278/Summary!$B$5-1</f>
        <v>-0.0450046803899563</v>
      </c>
    </row>
    <row r="5279" customFormat="false" ht="15" hidden="false" customHeight="false" outlineLevel="0" collapsed="false">
      <c r="A5279" s="0" t="n">
        <v>5278</v>
      </c>
      <c r="B5279" s="14" t="n">
        <v>108654.635430536</v>
      </c>
      <c r="C5279" s="15" t="n">
        <v>0.1521599852626</v>
      </c>
      <c r="D5279" s="14" t="n">
        <f aca="false">Summary!$B$5-B5279</f>
        <v>-8654.6354305361</v>
      </c>
      <c r="E5279" s="15" t="n">
        <f aca="false">B5279/Summary!$B$5-1</f>
        <v>0.0865463543053611</v>
      </c>
    </row>
    <row r="5280" customFormat="false" ht="15" hidden="false" customHeight="false" outlineLevel="0" collapsed="false">
      <c r="A5280" s="0" t="n">
        <v>5279</v>
      </c>
      <c r="B5280" s="14" t="n">
        <v>124492.312732201</v>
      </c>
      <c r="C5280" s="15" t="n">
        <v>0.0473941289377452</v>
      </c>
      <c r="D5280" s="14" t="n">
        <f aca="false">Summary!$B$5-B5280</f>
        <v>-24492.3127322006</v>
      </c>
      <c r="E5280" s="15" t="n">
        <f aca="false">B5280/Summary!$B$5-1</f>
        <v>0.244923127322006</v>
      </c>
    </row>
    <row r="5281" customFormat="false" ht="15" hidden="false" customHeight="false" outlineLevel="0" collapsed="false">
      <c r="A5281" s="0" t="n">
        <v>5280</v>
      </c>
      <c r="B5281" s="14" t="n">
        <v>99827.8799492388</v>
      </c>
      <c r="C5281" s="15" t="n">
        <v>0.0898585439479303</v>
      </c>
      <c r="D5281" s="14" t="n">
        <f aca="false">Summary!$B$5-B5281</f>
        <v>172.120050761238</v>
      </c>
      <c r="E5281" s="15" t="n">
        <f aca="false">B5281/Summary!$B$5-1</f>
        <v>-0.00172120050761237</v>
      </c>
    </row>
    <row r="5282" customFormat="false" ht="15" hidden="false" customHeight="false" outlineLevel="0" collapsed="false">
      <c r="A5282" s="0" t="n">
        <v>5281</v>
      </c>
      <c r="B5282" s="14" t="n">
        <v>90456.132034396</v>
      </c>
      <c r="C5282" s="15" t="n">
        <v>0.153930764035153</v>
      </c>
      <c r="D5282" s="14" t="n">
        <f aca="false">Summary!$B$5-B5282</f>
        <v>9543.86796560399</v>
      </c>
      <c r="E5282" s="15" t="n">
        <f aca="false">B5282/Summary!$B$5-1</f>
        <v>-0.0954386796560399</v>
      </c>
    </row>
    <row r="5283" customFormat="false" ht="15" hidden="false" customHeight="false" outlineLevel="0" collapsed="false">
      <c r="A5283" s="0" t="n">
        <v>5282</v>
      </c>
      <c r="B5283" s="14" t="n">
        <v>123483.472399034</v>
      </c>
      <c r="C5283" s="15" t="n">
        <v>0.11421191204231</v>
      </c>
      <c r="D5283" s="14" t="n">
        <f aca="false">Summary!$B$5-B5283</f>
        <v>-23483.4723990337</v>
      </c>
      <c r="E5283" s="15" t="n">
        <f aca="false">B5283/Summary!$B$5-1</f>
        <v>0.234834723990337</v>
      </c>
    </row>
    <row r="5284" customFormat="false" ht="15" hidden="false" customHeight="false" outlineLevel="0" collapsed="false">
      <c r="A5284" s="0" t="n">
        <v>5283</v>
      </c>
      <c r="B5284" s="14" t="n">
        <v>100826.368878932</v>
      </c>
      <c r="C5284" s="15" t="n">
        <v>0.101403937938915</v>
      </c>
      <c r="D5284" s="14" t="n">
        <f aca="false">Summary!$B$5-B5284</f>
        <v>-826.368878932306</v>
      </c>
      <c r="E5284" s="15" t="n">
        <f aca="false">B5284/Summary!$B$5-1</f>
        <v>0.00826368878932304</v>
      </c>
    </row>
    <row r="5285" customFormat="false" ht="15" hidden="false" customHeight="false" outlineLevel="0" collapsed="false">
      <c r="A5285" s="0" t="n">
        <v>5284</v>
      </c>
      <c r="B5285" s="14" t="n">
        <v>110117.284174511</v>
      </c>
      <c r="C5285" s="15" t="n">
        <v>0.0867735292314433</v>
      </c>
      <c r="D5285" s="14" t="n">
        <f aca="false">Summary!$B$5-B5285</f>
        <v>-10117.2841745109</v>
      </c>
      <c r="E5285" s="15" t="n">
        <f aca="false">B5285/Summary!$B$5-1</f>
        <v>0.101172841745109</v>
      </c>
    </row>
    <row r="5286" customFormat="false" ht="15" hidden="false" customHeight="false" outlineLevel="0" collapsed="false">
      <c r="A5286" s="0" t="n">
        <v>5285</v>
      </c>
      <c r="B5286" s="14" t="n">
        <v>107324.164013326</v>
      </c>
      <c r="C5286" s="15" t="n">
        <v>0.0693387172233871</v>
      </c>
      <c r="D5286" s="14" t="n">
        <f aca="false">Summary!$B$5-B5286</f>
        <v>-7324.1640133264</v>
      </c>
      <c r="E5286" s="15" t="n">
        <f aca="false">B5286/Summary!$B$5-1</f>
        <v>0.0732416401332641</v>
      </c>
    </row>
    <row r="5287" customFormat="false" ht="15" hidden="false" customHeight="false" outlineLevel="0" collapsed="false">
      <c r="A5287" s="0" t="n">
        <v>5286</v>
      </c>
      <c r="B5287" s="14" t="n">
        <v>100334.831603859</v>
      </c>
      <c r="C5287" s="15" t="n">
        <v>0.148427927315192</v>
      </c>
      <c r="D5287" s="14" t="n">
        <f aca="false">Summary!$B$5-B5287</f>
        <v>-334.831603858605</v>
      </c>
      <c r="E5287" s="15" t="n">
        <f aca="false">B5287/Summary!$B$5-1</f>
        <v>0.0033483160385861</v>
      </c>
    </row>
    <row r="5288" customFormat="false" ht="15" hidden="false" customHeight="false" outlineLevel="0" collapsed="false">
      <c r="A5288" s="0" t="n">
        <v>5287</v>
      </c>
      <c r="B5288" s="14" t="n">
        <v>126793.416776163</v>
      </c>
      <c r="C5288" s="15" t="n">
        <v>0.0672834088728792</v>
      </c>
      <c r="D5288" s="14" t="n">
        <f aca="false">Summary!$B$5-B5288</f>
        <v>-26793.4167761625</v>
      </c>
      <c r="E5288" s="15" t="n">
        <f aca="false">B5288/Summary!$B$5-1</f>
        <v>0.267934167761625</v>
      </c>
    </row>
    <row r="5289" customFormat="false" ht="15" hidden="false" customHeight="false" outlineLevel="0" collapsed="false">
      <c r="A5289" s="0" t="n">
        <v>5288</v>
      </c>
      <c r="B5289" s="14" t="n">
        <v>101025.855240198</v>
      </c>
      <c r="C5289" s="15" t="n">
        <v>0.113902957340881</v>
      </c>
      <c r="D5289" s="14" t="n">
        <f aca="false">Summary!$B$5-B5289</f>
        <v>-1025.855240198</v>
      </c>
      <c r="E5289" s="15" t="n">
        <f aca="false">B5289/Summary!$B$5-1</f>
        <v>0.01025855240198</v>
      </c>
    </row>
    <row r="5290" customFormat="false" ht="15" hidden="false" customHeight="false" outlineLevel="0" collapsed="false">
      <c r="A5290" s="0" t="n">
        <v>5289</v>
      </c>
      <c r="B5290" s="14" t="n">
        <v>126092.625022847</v>
      </c>
      <c r="C5290" s="15" t="n">
        <v>0.108244206347266</v>
      </c>
      <c r="D5290" s="14" t="n">
        <f aca="false">Summary!$B$5-B5290</f>
        <v>-26092.6250228474</v>
      </c>
      <c r="E5290" s="15" t="n">
        <f aca="false">B5290/Summary!$B$5-1</f>
        <v>0.260926250228474</v>
      </c>
    </row>
    <row r="5291" customFormat="false" ht="15" hidden="false" customHeight="false" outlineLevel="0" collapsed="false">
      <c r="A5291" s="0" t="n">
        <v>5290</v>
      </c>
      <c r="B5291" s="14" t="n">
        <v>119964.027393745</v>
      </c>
      <c r="C5291" s="15" t="n">
        <v>0.0750683746426653</v>
      </c>
      <c r="D5291" s="14" t="n">
        <f aca="false">Summary!$B$5-B5291</f>
        <v>-19964.0273937452</v>
      </c>
      <c r="E5291" s="15" t="n">
        <f aca="false">B5291/Summary!$B$5-1</f>
        <v>0.199640273937452</v>
      </c>
    </row>
    <row r="5292" customFormat="false" ht="15" hidden="false" customHeight="false" outlineLevel="0" collapsed="false">
      <c r="A5292" s="0" t="n">
        <v>5291</v>
      </c>
      <c r="B5292" s="14" t="n">
        <v>119318.976170456</v>
      </c>
      <c r="C5292" s="15" t="n">
        <v>0.0850822174197505</v>
      </c>
      <c r="D5292" s="14" t="n">
        <f aca="false">Summary!$B$5-B5292</f>
        <v>-19318.9761704558</v>
      </c>
      <c r="E5292" s="15" t="n">
        <f aca="false">B5292/Summary!$B$5-1</f>
        <v>0.193189761704558</v>
      </c>
    </row>
    <row r="5293" customFormat="false" ht="15" hidden="false" customHeight="false" outlineLevel="0" collapsed="false">
      <c r="A5293" s="0" t="n">
        <v>5292</v>
      </c>
      <c r="B5293" s="14" t="n">
        <v>107584.505962333</v>
      </c>
      <c r="C5293" s="15" t="n">
        <v>0.129667650259865</v>
      </c>
      <c r="D5293" s="14" t="n">
        <f aca="false">Summary!$B$5-B5293</f>
        <v>-7584.5059623331</v>
      </c>
      <c r="E5293" s="15" t="n">
        <f aca="false">B5293/Summary!$B$5-1</f>
        <v>0.0758450596233311</v>
      </c>
    </row>
    <row r="5294" customFormat="false" ht="15" hidden="false" customHeight="false" outlineLevel="0" collapsed="false">
      <c r="A5294" s="0" t="n">
        <v>5293</v>
      </c>
      <c r="B5294" s="14" t="n">
        <v>110253.298489138</v>
      </c>
      <c r="C5294" s="15" t="n">
        <v>0.0767728956272734</v>
      </c>
      <c r="D5294" s="14" t="n">
        <f aca="false">Summary!$B$5-B5294</f>
        <v>-10253.2984891379</v>
      </c>
      <c r="E5294" s="15" t="n">
        <f aca="false">B5294/Summary!$B$5-1</f>
        <v>0.102532984891379</v>
      </c>
    </row>
    <row r="5295" customFormat="false" ht="15" hidden="false" customHeight="false" outlineLevel="0" collapsed="false">
      <c r="A5295" s="0" t="n">
        <v>5294</v>
      </c>
      <c r="B5295" s="14" t="n">
        <v>105162.822691466</v>
      </c>
      <c r="C5295" s="15" t="n">
        <v>0.0925730890337101</v>
      </c>
      <c r="D5295" s="14" t="n">
        <f aca="false">Summary!$B$5-B5295</f>
        <v>-5162.82269146611</v>
      </c>
      <c r="E5295" s="15" t="n">
        <f aca="false">B5295/Summary!$B$5-1</f>
        <v>0.0516282269146611</v>
      </c>
    </row>
    <row r="5296" customFormat="false" ht="15" hidden="false" customHeight="false" outlineLevel="0" collapsed="false">
      <c r="A5296" s="0" t="n">
        <v>5295</v>
      </c>
      <c r="B5296" s="14" t="n">
        <v>89315.6926369665</v>
      </c>
      <c r="C5296" s="15" t="n">
        <v>0.138247266072522</v>
      </c>
      <c r="D5296" s="14" t="n">
        <f aca="false">Summary!$B$5-B5296</f>
        <v>10684.3073630335</v>
      </c>
      <c r="E5296" s="15" t="n">
        <f aca="false">B5296/Summary!$B$5-1</f>
        <v>-0.106843073630335</v>
      </c>
    </row>
    <row r="5297" customFormat="false" ht="15" hidden="false" customHeight="false" outlineLevel="0" collapsed="false">
      <c r="A5297" s="0" t="n">
        <v>5296</v>
      </c>
      <c r="B5297" s="14" t="n">
        <v>107189.467704412</v>
      </c>
      <c r="C5297" s="15" t="n">
        <v>0.0644977828977192</v>
      </c>
      <c r="D5297" s="14" t="n">
        <f aca="false">Summary!$B$5-B5297</f>
        <v>-7189.46770441211</v>
      </c>
      <c r="E5297" s="15" t="n">
        <f aca="false">B5297/Summary!$B$5-1</f>
        <v>0.0718946770441211</v>
      </c>
    </row>
    <row r="5298" customFormat="false" ht="15" hidden="false" customHeight="false" outlineLevel="0" collapsed="false">
      <c r="A5298" s="0" t="n">
        <v>5297</v>
      </c>
      <c r="B5298" s="14" t="n">
        <v>114447.082953264</v>
      </c>
      <c r="C5298" s="15" t="n">
        <v>0.0735415456918086</v>
      </c>
      <c r="D5298" s="14" t="n">
        <f aca="false">Summary!$B$5-B5298</f>
        <v>-14447.0829532637</v>
      </c>
      <c r="E5298" s="15" t="n">
        <f aca="false">B5298/Summary!$B$5-1</f>
        <v>0.144470829532637</v>
      </c>
    </row>
    <row r="5299" customFormat="false" ht="15" hidden="false" customHeight="false" outlineLevel="0" collapsed="false">
      <c r="A5299" s="0" t="n">
        <v>5298</v>
      </c>
      <c r="B5299" s="14" t="n">
        <v>114180.018433227</v>
      </c>
      <c r="C5299" s="15" t="n">
        <v>0.0647493855967858</v>
      </c>
      <c r="D5299" s="14" t="n">
        <f aca="false">Summary!$B$5-B5299</f>
        <v>-14180.0184332272</v>
      </c>
      <c r="E5299" s="15" t="n">
        <f aca="false">B5299/Summary!$B$5-1</f>
        <v>0.141800184332272</v>
      </c>
    </row>
    <row r="5300" customFormat="false" ht="15" hidden="false" customHeight="false" outlineLevel="0" collapsed="false">
      <c r="A5300" s="0" t="n">
        <v>5299</v>
      </c>
      <c r="B5300" s="14" t="n">
        <v>90894.383038458</v>
      </c>
      <c r="C5300" s="15" t="n">
        <v>0.137663749964985</v>
      </c>
      <c r="D5300" s="14" t="n">
        <f aca="false">Summary!$B$5-B5300</f>
        <v>9105.61696154205</v>
      </c>
      <c r="E5300" s="15" t="n">
        <f aca="false">B5300/Summary!$B$5-1</f>
        <v>-0.0910561696154205</v>
      </c>
    </row>
    <row r="5301" customFormat="false" ht="15" hidden="false" customHeight="false" outlineLevel="0" collapsed="false">
      <c r="A5301" s="0" t="n">
        <v>5300</v>
      </c>
      <c r="B5301" s="14" t="n">
        <v>117517.892041967</v>
      </c>
      <c r="C5301" s="15" t="n">
        <v>0.0732865910633035</v>
      </c>
      <c r="D5301" s="14" t="n">
        <f aca="false">Summary!$B$5-B5301</f>
        <v>-17517.892041967</v>
      </c>
      <c r="E5301" s="15" t="n">
        <f aca="false">B5301/Summary!$B$5-1</f>
        <v>0.17517892041967</v>
      </c>
    </row>
    <row r="5302" customFormat="false" ht="15" hidden="false" customHeight="false" outlineLevel="0" collapsed="false">
      <c r="A5302" s="0" t="n">
        <v>5301</v>
      </c>
      <c r="B5302" s="14" t="n">
        <v>98649.7891908375</v>
      </c>
      <c r="C5302" s="15" t="n">
        <v>0.137813998381286</v>
      </c>
      <c r="D5302" s="14" t="n">
        <f aca="false">Summary!$B$5-B5302</f>
        <v>1350.21080916253</v>
      </c>
      <c r="E5302" s="15" t="n">
        <f aca="false">B5302/Summary!$B$5-1</f>
        <v>-0.0135021080916252</v>
      </c>
    </row>
    <row r="5303" customFormat="false" ht="15" hidden="false" customHeight="false" outlineLevel="0" collapsed="false">
      <c r="A5303" s="0" t="n">
        <v>5302</v>
      </c>
      <c r="B5303" s="14" t="n">
        <v>106896.753626444</v>
      </c>
      <c r="C5303" s="15" t="n">
        <v>0.128988054886594</v>
      </c>
      <c r="D5303" s="14" t="n">
        <f aca="false">Summary!$B$5-B5303</f>
        <v>-6896.75362644369</v>
      </c>
      <c r="E5303" s="15" t="n">
        <f aca="false">B5303/Summary!$B$5-1</f>
        <v>0.0689675362644369</v>
      </c>
    </row>
    <row r="5304" customFormat="false" ht="15" hidden="false" customHeight="false" outlineLevel="0" collapsed="false">
      <c r="A5304" s="0" t="n">
        <v>5303</v>
      </c>
      <c r="B5304" s="14" t="n">
        <v>104126.484244242</v>
      </c>
      <c r="C5304" s="15" t="n">
        <v>0.130603977210203</v>
      </c>
      <c r="D5304" s="14" t="n">
        <f aca="false">Summary!$B$5-B5304</f>
        <v>-4126.4842442417</v>
      </c>
      <c r="E5304" s="15" t="n">
        <f aca="false">B5304/Summary!$B$5-1</f>
        <v>0.0412648424424169</v>
      </c>
    </row>
    <row r="5305" customFormat="false" ht="15" hidden="false" customHeight="false" outlineLevel="0" collapsed="false">
      <c r="A5305" s="0" t="n">
        <v>5304</v>
      </c>
      <c r="B5305" s="14" t="n">
        <v>98685.3045649026</v>
      </c>
      <c r="C5305" s="15" t="n">
        <v>0.131779255061653</v>
      </c>
      <c r="D5305" s="14" t="n">
        <f aca="false">Summary!$B$5-B5305</f>
        <v>1314.69543509743</v>
      </c>
      <c r="E5305" s="15" t="n">
        <f aca="false">B5305/Summary!$B$5-1</f>
        <v>-0.0131469543509742</v>
      </c>
    </row>
    <row r="5306" customFormat="false" ht="15" hidden="false" customHeight="false" outlineLevel="0" collapsed="false">
      <c r="A5306" s="0" t="n">
        <v>5305</v>
      </c>
      <c r="B5306" s="14" t="n">
        <v>109181.402930577</v>
      </c>
      <c r="C5306" s="15" t="n">
        <v>0.0724426441331616</v>
      </c>
      <c r="D5306" s="14" t="n">
        <f aca="false">Summary!$B$5-B5306</f>
        <v>-9181.402930577</v>
      </c>
      <c r="E5306" s="15" t="n">
        <f aca="false">B5306/Summary!$B$5-1</f>
        <v>0.0918140293057699</v>
      </c>
    </row>
    <row r="5307" customFormat="false" ht="15" hidden="false" customHeight="false" outlineLevel="0" collapsed="false">
      <c r="A5307" s="0" t="n">
        <v>5306</v>
      </c>
      <c r="B5307" s="14" t="n">
        <v>105736.610746018</v>
      </c>
      <c r="C5307" s="15" t="n">
        <v>0.0626793048815016</v>
      </c>
      <c r="D5307" s="14" t="n">
        <f aca="false">Summary!$B$5-B5307</f>
        <v>-5736.6107460178</v>
      </c>
      <c r="E5307" s="15" t="n">
        <f aca="false">B5307/Summary!$B$5-1</f>
        <v>0.0573661074601781</v>
      </c>
    </row>
    <row r="5308" customFormat="false" ht="15" hidden="false" customHeight="false" outlineLevel="0" collapsed="false">
      <c r="A5308" s="0" t="n">
        <v>5307</v>
      </c>
      <c r="B5308" s="14" t="n">
        <v>104571.428530803</v>
      </c>
      <c r="C5308" s="15" t="n">
        <v>0.138009713329065</v>
      </c>
      <c r="D5308" s="14" t="n">
        <f aca="false">Summary!$B$5-B5308</f>
        <v>-4571.4285308026</v>
      </c>
      <c r="E5308" s="15" t="n">
        <f aca="false">B5308/Summary!$B$5-1</f>
        <v>0.0457142853080259</v>
      </c>
    </row>
    <row r="5309" customFormat="false" ht="15" hidden="false" customHeight="false" outlineLevel="0" collapsed="false">
      <c r="A5309" s="0" t="n">
        <v>5308</v>
      </c>
      <c r="B5309" s="14" t="n">
        <v>85988.8782891426</v>
      </c>
      <c r="C5309" s="15" t="n">
        <v>0.176625338483741</v>
      </c>
      <c r="D5309" s="14" t="n">
        <f aca="false">Summary!$B$5-B5309</f>
        <v>14011.1217108574</v>
      </c>
      <c r="E5309" s="15" t="n">
        <f aca="false">B5309/Summary!$B$5-1</f>
        <v>-0.140111217108574</v>
      </c>
    </row>
    <row r="5310" customFormat="false" ht="15" hidden="false" customHeight="false" outlineLevel="0" collapsed="false">
      <c r="A5310" s="0" t="n">
        <v>5309</v>
      </c>
      <c r="B5310" s="14" t="n">
        <v>101522.075680659</v>
      </c>
      <c r="C5310" s="15" t="n">
        <v>0.152421484424386</v>
      </c>
      <c r="D5310" s="14" t="n">
        <f aca="false">Summary!$B$5-B5310</f>
        <v>-1522.07568065891</v>
      </c>
      <c r="E5310" s="15" t="n">
        <f aca="false">B5310/Summary!$B$5-1</f>
        <v>0.015220756806589</v>
      </c>
    </row>
    <row r="5311" customFormat="false" ht="15" hidden="false" customHeight="false" outlineLevel="0" collapsed="false">
      <c r="A5311" s="0" t="n">
        <v>5310</v>
      </c>
      <c r="B5311" s="14" t="n">
        <v>112993.890705613</v>
      </c>
      <c r="C5311" s="15" t="n">
        <v>0.0809458755615939</v>
      </c>
      <c r="D5311" s="14" t="n">
        <f aca="false">Summary!$B$5-B5311</f>
        <v>-12993.8907056129</v>
      </c>
      <c r="E5311" s="15" t="n">
        <f aca="false">B5311/Summary!$B$5-1</f>
        <v>0.129938907056129</v>
      </c>
    </row>
    <row r="5312" customFormat="false" ht="15" hidden="false" customHeight="false" outlineLevel="0" collapsed="false">
      <c r="A5312" s="0" t="n">
        <v>5311</v>
      </c>
      <c r="B5312" s="14" t="n">
        <v>95707.3107322289</v>
      </c>
      <c r="C5312" s="15" t="n">
        <v>0.179496944426154</v>
      </c>
      <c r="D5312" s="14" t="n">
        <f aca="false">Summary!$B$5-B5312</f>
        <v>4292.68926777109</v>
      </c>
      <c r="E5312" s="15" t="n">
        <f aca="false">B5312/Summary!$B$5-1</f>
        <v>-0.0429268926777109</v>
      </c>
    </row>
    <row r="5313" customFormat="false" ht="15" hidden="false" customHeight="false" outlineLevel="0" collapsed="false">
      <c r="A5313" s="0" t="n">
        <v>5312</v>
      </c>
      <c r="B5313" s="14" t="n">
        <v>112533.843211567</v>
      </c>
      <c r="C5313" s="15" t="n">
        <v>0.148389906816375</v>
      </c>
      <c r="D5313" s="14" t="n">
        <f aca="false">Summary!$B$5-B5313</f>
        <v>-12533.8432115665</v>
      </c>
      <c r="E5313" s="15" t="n">
        <f aca="false">B5313/Summary!$B$5-1</f>
        <v>0.125338432115665</v>
      </c>
    </row>
    <row r="5314" customFormat="false" ht="15" hidden="false" customHeight="false" outlineLevel="0" collapsed="false">
      <c r="A5314" s="0" t="n">
        <v>5313</v>
      </c>
      <c r="B5314" s="14" t="n">
        <v>111010.095498281</v>
      </c>
      <c r="C5314" s="15" t="n">
        <v>0.112069310671526</v>
      </c>
      <c r="D5314" s="14" t="n">
        <f aca="false">Summary!$B$5-B5314</f>
        <v>-11010.0954982812</v>
      </c>
      <c r="E5314" s="15" t="n">
        <f aca="false">B5314/Summary!$B$5-1</f>
        <v>0.110100954982812</v>
      </c>
    </row>
    <row r="5315" customFormat="false" ht="15" hidden="false" customHeight="false" outlineLevel="0" collapsed="false">
      <c r="A5315" s="0" t="n">
        <v>5314</v>
      </c>
      <c r="B5315" s="14" t="n">
        <v>92855.2254853743</v>
      </c>
      <c r="C5315" s="15" t="n">
        <v>0.15801769266195</v>
      </c>
      <c r="D5315" s="14" t="n">
        <f aca="false">Summary!$B$5-B5315</f>
        <v>7144.77451462575</v>
      </c>
      <c r="E5315" s="15" t="n">
        <f aca="false">B5315/Summary!$B$5-1</f>
        <v>-0.0714477451462575</v>
      </c>
    </row>
    <row r="5316" customFormat="false" ht="15" hidden="false" customHeight="false" outlineLevel="0" collapsed="false">
      <c r="A5316" s="0" t="n">
        <v>5315</v>
      </c>
      <c r="B5316" s="14" t="n">
        <v>115340.151678283</v>
      </c>
      <c r="C5316" s="15" t="n">
        <v>0.0884928330090508</v>
      </c>
      <c r="D5316" s="14" t="n">
        <f aca="false">Summary!$B$5-B5316</f>
        <v>-15340.151678283</v>
      </c>
      <c r="E5316" s="15" t="n">
        <f aca="false">B5316/Summary!$B$5-1</f>
        <v>0.15340151678283</v>
      </c>
    </row>
    <row r="5317" customFormat="false" ht="15" hidden="false" customHeight="false" outlineLevel="0" collapsed="false">
      <c r="A5317" s="0" t="n">
        <v>5316</v>
      </c>
      <c r="B5317" s="14" t="n">
        <v>104787.987771684</v>
      </c>
      <c r="C5317" s="15" t="n">
        <v>0.085334448704768</v>
      </c>
      <c r="D5317" s="14" t="n">
        <f aca="false">Summary!$B$5-B5317</f>
        <v>-4787.9877716838</v>
      </c>
      <c r="E5317" s="15" t="n">
        <f aca="false">B5317/Summary!$B$5-1</f>
        <v>0.0478798777168379</v>
      </c>
    </row>
    <row r="5318" customFormat="false" ht="15" hidden="false" customHeight="false" outlineLevel="0" collapsed="false">
      <c r="A5318" s="0" t="n">
        <v>5317</v>
      </c>
      <c r="B5318" s="14" t="n">
        <v>120168.795879349</v>
      </c>
      <c r="C5318" s="15" t="n">
        <v>0.0800245436718623</v>
      </c>
      <c r="D5318" s="14" t="n">
        <f aca="false">Summary!$B$5-B5318</f>
        <v>-20168.7958793491</v>
      </c>
      <c r="E5318" s="15" t="n">
        <f aca="false">B5318/Summary!$B$5-1</f>
        <v>0.201687958793491</v>
      </c>
    </row>
    <row r="5319" customFormat="false" ht="15" hidden="false" customHeight="false" outlineLevel="0" collapsed="false">
      <c r="A5319" s="0" t="n">
        <v>5318</v>
      </c>
      <c r="B5319" s="14" t="n">
        <v>117150.786987261</v>
      </c>
      <c r="C5319" s="15" t="n">
        <v>0.0670424982923461</v>
      </c>
      <c r="D5319" s="14" t="n">
        <f aca="false">Summary!$B$5-B5319</f>
        <v>-17150.7869872605</v>
      </c>
      <c r="E5319" s="15" t="n">
        <f aca="false">B5319/Summary!$B$5-1</f>
        <v>0.171507869872605</v>
      </c>
    </row>
    <row r="5320" customFormat="false" ht="15" hidden="false" customHeight="false" outlineLevel="0" collapsed="false">
      <c r="A5320" s="0" t="n">
        <v>5319</v>
      </c>
      <c r="B5320" s="14" t="n">
        <v>104797.61548844</v>
      </c>
      <c r="C5320" s="15" t="n">
        <v>0.0950830092686126</v>
      </c>
      <c r="D5320" s="14" t="n">
        <f aca="false">Summary!$B$5-B5320</f>
        <v>-4797.61548844</v>
      </c>
      <c r="E5320" s="15" t="n">
        <f aca="false">B5320/Summary!$B$5-1</f>
        <v>0.0479761548844</v>
      </c>
    </row>
    <row r="5321" customFormat="false" ht="15" hidden="false" customHeight="false" outlineLevel="0" collapsed="false">
      <c r="A5321" s="0" t="n">
        <v>5320</v>
      </c>
      <c r="B5321" s="14" t="n">
        <v>98674.7159086447</v>
      </c>
      <c r="C5321" s="15" t="n">
        <v>0.114269603196732</v>
      </c>
      <c r="D5321" s="14" t="n">
        <f aca="false">Summary!$B$5-B5321</f>
        <v>1325.28409135531</v>
      </c>
      <c r="E5321" s="15" t="n">
        <f aca="false">B5321/Summary!$B$5-1</f>
        <v>-0.0132528409135531</v>
      </c>
    </row>
    <row r="5322" customFormat="false" ht="15" hidden="false" customHeight="false" outlineLevel="0" collapsed="false">
      <c r="A5322" s="0" t="n">
        <v>5321</v>
      </c>
      <c r="B5322" s="14" t="n">
        <v>128701.454543449</v>
      </c>
      <c r="C5322" s="15" t="n">
        <v>0.081894907747585</v>
      </c>
      <c r="D5322" s="14" t="n">
        <f aca="false">Summary!$B$5-B5322</f>
        <v>-28701.4545434486</v>
      </c>
      <c r="E5322" s="15" t="n">
        <f aca="false">B5322/Summary!$B$5-1</f>
        <v>0.287014545434486</v>
      </c>
    </row>
    <row r="5323" customFormat="false" ht="15" hidden="false" customHeight="false" outlineLevel="0" collapsed="false">
      <c r="A5323" s="0" t="n">
        <v>5322</v>
      </c>
      <c r="B5323" s="14" t="n">
        <v>125778.969252224</v>
      </c>
      <c r="C5323" s="15" t="n">
        <v>0.0695520777225706</v>
      </c>
      <c r="D5323" s="14" t="n">
        <f aca="false">Summary!$B$5-B5323</f>
        <v>-25778.9692522239</v>
      </c>
      <c r="E5323" s="15" t="n">
        <f aca="false">B5323/Summary!$B$5-1</f>
        <v>0.257789692522239</v>
      </c>
    </row>
    <row r="5324" customFormat="false" ht="15" hidden="false" customHeight="false" outlineLevel="0" collapsed="false">
      <c r="A5324" s="0" t="n">
        <v>5323</v>
      </c>
      <c r="B5324" s="14" t="n">
        <v>94775.6832618762</v>
      </c>
      <c r="C5324" s="15" t="n">
        <v>0.122833544034778</v>
      </c>
      <c r="D5324" s="14" t="n">
        <f aca="false">Summary!$B$5-B5324</f>
        <v>5224.31673812377</v>
      </c>
      <c r="E5324" s="15" t="n">
        <f aca="false">B5324/Summary!$B$5-1</f>
        <v>-0.0522431673812377</v>
      </c>
    </row>
    <row r="5325" customFormat="false" ht="15" hidden="false" customHeight="false" outlineLevel="0" collapsed="false">
      <c r="A5325" s="0" t="n">
        <v>5324</v>
      </c>
      <c r="B5325" s="14" t="n">
        <v>120216.771381134</v>
      </c>
      <c r="C5325" s="15" t="n">
        <v>0.0532218518592871</v>
      </c>
      <c r="D5325" s="14" t="n">
        <f aca="false">Summary!$B$5-B5325</f>
        <v>-20216.7713811335</v>
      </c>
      <c r="E5325" s="15" t="n">
        <f aca="false">B5325/Summary!$B$5-1</f>
        <v>0.202167713811335</v>
      </c>
    </row>
    <row r="5326" customFormat="false" ht="15" hidden="false" customHeight="false" outlineLevel="0" collapsed="false">
      <c r="A5326" s="0" t="n">
        <v>5325</v>
      </c>
      <c r="B5326" s="14" t="n">
        <v>102023.863547137</v>
      </c>
      <c r="C5326" s="15" t="n">
        <v>0.0749318383264285</v>
      </c>
      <c r="D5326" s="14" t="n">
        <f aca="false">Summary!$B$5-B5326</f>
        <v>-2023.86354713691</v>
      </c>
      <c r="E5326" s="15" t="n">
        <f aca="false">B5326/Summary!$B$5-1</f>
        <v>0.0202386354713691</v>
      </c>
    </row>
    <row r="5327" customFormat="false" ht="15" hidden="false" customHeight="false" outlineLevel="0" collapsed="false">
      <c r="A5327" s="0" t="n">
        <v>5326</v>
      </c>
      <c r="B5327" s="14" t="n">
        <v>95215.0471318575</v>
      </c>
      <c r="C5327" s="15" t="n">
        <v>0.117534473845945</v>
      </c>
      <c r="D5327" s="14" t="n">
        <f aca="false">Summary!$B$5-B5327</f>
        <v>4784.95286814253</v>
      </c>
      <c r="E5327" s="15" t="n">
        <f aca="false">B5327/Summary!$B$5-1</f>
        <v>-0.0478495286814253</v>
      </c>
    </row>
    <row r="5328" customFormat="false" ht="15" hidden="false" customHeight="false" outlineLevel="0" collapsed="false">
      <c r="A5328" s="0" t="n">
        <v>5327</v>
      </c>
      <c r="B5328" s="14" t="n">
        <v>119687.811818108</v>
      </c>
      <c r="C5328" s="15" t="n">
        <v>0.0804013710539944</v>
      </c>
      <c r="D5328" s="14" t="n">
        <f aca="false">Summary!$B$5-B5328</f>
        <v>-19687.8118181078</v>
      </c>
      <c r="E5328" s="15" t="n">
        <f aca="false">B5328/Summary!$B$5-1</f>
        <v>0.196878118181078</v>
      </c>
    </row>
    <row r="5329" customFormat="false" ht="15" hidden="false" customHeight="false" outlineLevel="0" collapsed="false">
      <c r="A5329" s="0" t="n">
        <v>5328</v>
      </c>
      <c r="B5329" s="14" t="n">
        <v>94179.65435003</v>
      </c>
      <c r="C5329" s="15" t="n">
        <v>0.142863778981005</v>
      </c>
      <c r="D5329" s="14" t="n">
        <f aca="false">Summary!$B$5-B5329</f>
        <v>5820.34564996997</v>
      </c>
      <c r="E5329" s="15" t="n">
        <f aca="false">B5329/Summary!$B$5-1</f>
        <v>-0.0582034564996997</v>
      </c>
    </row>
    <row r="5330" customFormat="false" ht="15" hidden="false" customHeight="false" outlineLevel="0" collapsed="false">
      <c r="A5330" s="0" t="n">
        <v>5329</v>
      </c>
      <c r="B5330" s="14" t="n">
        <v>96528.1852497264</v>
      </c>
      <c r="C5330" s="15" t="n">
        <v>0.0669582234091264</v>
      </c>
      <c r="D5330" s="14" t="n">
        <f aca="false">Summary!$B$5-B5330</f>
        <v>3471.81475027357</v>
      </c>
      <c r="E5330" s="15" t="n">
        <f aca="false">B5330/Summary!$B$5-1</f>
        <v>-0.0347181475027357</v>
      </c>
    </row>
    <row r="5331" customFormat="false" ht="15" hidden="false" customHeight="false" outlineLevel="0" collapsed="false">
      <c r="A5331" s="0" t="n">
        <v>5330</v>
      </c>
      <c r="B5331" s="14" t="n">
        <v>111272.725628166</v>
      </c>
      <c r="C5331" s="15" t="n">
        <v>0.147241429480081</v>
      </c>
      <c r="D5331" s="14" t="n">
        <f aca="false">Summary!$B$5-B5331</f>
        <v>-11272.7256281661</v>
      </c>
      <c r="E5331" s="15" t="n">
        <f aca="false">B5331/Summary!$B$5-1</f>
        <v>0.112727256281661</v>
      </c>
    </row>
    <row r="5332" customFormat="false" ht="15" hidden="false" customHeight="false" outlineLevel="0" collapsed="false">
      <c r="A5332" s="0" t="n">
        <v>5331</v>
      </c>
      <c r="B5332" s="14" t="n">
        <v>113279.905320999</v>
      </c>
      <c r="C5332" s="15" t="n">
        <v>0.100646394942941</v>
      </c>
      <c r="D5332" s="14" t="n">
        <f aca="false">Summary!$B$5-B5332</f>
        <v>-13279.905320999</v>
      </c>
      <c r="E5332" s="15" t="n">
        <f aca="false">B5332/Summary!$B$5-1</f>
        <v>0.13279905320999</v>
      </c>
    </row>
    <row r="5333" customFormat="false" ht="15" hidden="false" customHeight="false" outlineLevel="0" collapsed="false">
      <c r="A5333" s="0" t="n">
        <v>5332</v>
      </c>
      <c r="B5333" s="14" t="n">
        <v>99784.2393702642</v>
      </c>
      <c r="C5333" s="15" t="n">
        <v>0.164634563507779</v>
      </c>
      <c r="D5333" s="14" t="n">
        <f aca="false">Summary!$B$5-B5333</f>
        <v>215.760629735785</v>
      </c>
      <c r="E5333" s="15" t="n">
        <f aca="false">B5333/Summary!$B$5-1</f>
        <v>-0.00215760629735784</v>
      </c>
    </row>
    <row r="5334" customFormat="false" ht="15" hidden="false" customHeight="false" outlineLevel="0" collapsed="false">
      <c r="A5334" s="0" t="n">
        <v>5333</v>
      </c>
      <c r="B5334" s="14" t="n">
        <v>115465.354427357</v>
      </c>
      <c r="C5334" s="15" t="n">
        <v>0.0513424146241116</v>
      </c>
      <c r="D5334" s="14" t="n">
        <f aca="false">Summary!$B$5-B5334</f>
        <v>-15465.3544273567</v>
      </c>
      <c r="E5334" s="15" t="n">
        <f aca="false">B5334/Summary!$B$5-1</f>
        <v>0.154653544273567</v>
      </c>
    </row>
    <row r="5335" customFormat="false" ht="15" hidden="false" customHeight="false" outlineLevel="0" collapsed="false">
      <c r="A5335" s="0" t="n">
        <v>5334</v>
      </c>
      <c r="B5335" s="14" t="n">
        <v>101344.817039633</v>
      </c>
      <c r="C5335" s="15" t="n">
        <v>0.131148332606978</v>
      </c>
      <c r="D5335" s="14" t="n">
        <f aca="false">Summary!$B$5-B5335</f>
        <v>-1344.81703963281</v>
      </c>
      <c r="E5335" s="15" t="n">
        <f aca="false">B5335/Summary!$B$5-1</f>
        <v>0.0134481703963281</v>
      </c>
    </row>
    <row r="5336" customFormat="false" ht="15" hidden="false" customHeight="false" outlineLevel="0" collapsed="false">
      <c r="A5336" s="0" t="n">
        <v>5335</v>
      </c>
      <c r="B5336" s="14" t="n">
        <v>104172.33355235</v>
      </c>
      <c r="C5336" s="15" t="n">
        <v>0.0828881063297681</v>
      </c>
      <c r="D5336" s="14" t="n">
        <f aca="false">Summary!$B$5-B5336</f>
        <v>-4172.33355234961</v>
      </c>
      <c r="E5336" s="15" t="n">
        <f aca="false">B5336/Summary!$B$5-1</f>
        <v>0.0417233355234961</v>
      </c>
    </row>
    <row r="5337" customFormat="false" ht="15" hidden="false" customHeight="false" outlineLevel="0" collapsed="false">
      <c r="A5337" s="0" t="n">
        <v>5336</v>
      </c>
      <c r="B5337" s="14" t="n">
        <v>113435.747320168</v>
      </c>
      <c r="C5337" s="15" t="n">
        <v>0.156965767188607</v>
      </c>
      <c r="D5337" s="14" t="n">
        <f aca="false">Summary!$B$5-B5337</f>
        <v>-13435.7473201684</v>
      </c>
      <c r="E5337" s="15" t="n">
        <f aca="false">B5337/Summary!$B$5-1</f>
        <v>0.134357473201684</v>
      </c>
    </row>
    <row r="5338" customFormat="false" ht="15" hidden="false" customHeight="false" outlineLevel="0" collapsed="false">
      <c r="A5338" s="0" t="n">
        <v>5337</v>
      </c>
      <c r="B5338" s="14" t="n">
        <v>98273.2974675504</v>
      </c>
      <c r="C5338" s="15" t="n">
        <v>0.178765099415483</v>
      </c>
      <c r="D5338" s="14" t="n">
        <f aca="false">Summary!$B$5-B5338</f>
        <v>1726.70253244965</v>
      </c>
      <c r="E5338" s="15" t="n">
        <f aca="false">B5338/Summary!$B$5-1</f>
        <v>-0.0172670253244965</v>
      </c>
    </row>
    <row r="5339" customFormat="false" ht="15" hidden="false" customHeight="false" outlineLevel="0" collapsed="false">
      <c r="A5339" s="0" t="n">
        <v>5338</v>
      </c>
      <c r="B5339" s="14" t="n">
        <v>83461.8562084455</v>
      </c>
      <c r="C5339" s="15" t="n">
        <v>0.208755285666159</v>
      </c>
      <c r="D5339" s="14" t="n">
        <f aca="false">Summary!$B$5-B5339</f>
        <v>16538.1437915545</v>
      </c>
      <c r="E5339" s="15" t="n">
        <f aca="false">B5339/Summary!$B$5-1</f>
        <v>-0.165381437915545</v>
      </c>
    </row>
    <row r="5340" customFormat="false" ht="15" hidden="false" customHeight="false" outlineLevel="0" collapsed="false">
      <c r="A5340" s="0" t="n">
        <v>5339</v>
      </c>
      <c r="B5340" s="14" t="n">
        <v>110937.621082277</v>
      </c>
      <c r="C5340" s="15" t="n">
        <v>0.173532454132949</v>
      </c>
      <c r="D5340" s="14" t="n">
        <f aca="false">Summary!$B$5-B5340</f>
        <v>-10937.6210822768</v>
      </c>
      <c r="E5340" s="15" t="n">
        <f aca="false">B5340/Summary!$B$5-1</f>
        <v>0.109376210822768</v>
      </c>
    </row>
    <row r="5341" customFormat="false" ht="15" hidden="false" customHeight="false" outlineLevel="0" collapsed="false">
      <c r="A5341" s="0" t="n">
        <v>5340</v>
      </c>
      <c r="B5341" s="14" t="n">
        <v>99861.8652507811</v>
      </c>
      <c r="C5341" s="15" t="n">
        <v>0.146127943018824</v>
      </c>
      <c r="D5341" s="14" t="n">
        <f aca="false">Summary!$B$5-B5341</f>
        <v>138.13474921888</v>
      </c>
      <c r="E5341" s="15" t="n">
        <f aca="false">B5341/Summary!$B$5-1</f>
        <v>-0.00138134749218877</v>
      </c>
    </row>
    <row r="5342" customFormat="false" ht="15" hidden="false" customHeight="false" outlineLevel="0" collapsed="false">
      <c r="A5342" s="0" t="n">
        <v>5341</v>
      </c>
      <c r="B5342" s="14" t="n">
        <v>113543.946806207</v>
      </c>
      <c r="C5342" s="15" t="n">
        <v>0.0877936866941474</v>
      </c>
      <c r="D5342" s="14" t="n">
        <f aca="false">Summary!$B$5-B5342</f>
        <v>-13543.9468062072</v>
      </c>
      <c r="E5342" s="15" t="n">
        <f aca="false">B5342/Summary!$B$5-1</f>
        <v>0.135439468062072</v>
      </c>
    </row>
    <row r="5343" customFormat="false" ht="15" hidden="false" customHeight="false" outlineLevel="0" collapsed="false">
      <c r="A5343" s="0" t="n">
        <v>5342</v>
      </c>
      <c r="B5343" s="14" t="n">
        <v>103724.237570117</v>
      </c>
      <c r="C5343" s="15" t="n">
        <v>0.114615107919304</v>
      </c>
      <c r="D5343" s="14" t="n">
        <f aca="false">Summary!$B$5-B5343</f>
        <v>-3724.2375701166</v>
      </c>
      <c r="E5343" s="15" t="n">
        <f aca="false">B5343/Summary!$B$5-1</f>
        <v>0.037242375701166</v>
      </c>
    </row>
    <row r="5344" customFormat="false" ht="15" hidden="false" customHeight="false" outlineLevel="0" collapsed="false">
      <c r="A5344" s="0" t="n">
        <v>5343</v>
      </c>
      <c r="B5344" s="14" t="n">
        <v>108673.969130433</v>
      </c>
      <c r="C5344" s="15" t="n">
        <v>0.0938551939925137</v>
      </c>
      <c r="D5344" s="14" t="n">
        <f aca="false">Summary!$B$5-B5344</f>
        <v>-8673.9691304329</v>
      </c>
      <c r="E5344" s="15" t="n">
        <f aca="false">B5344/Summary!$B$5-1</f>
        <v>0.086739691304329</v>
      </c>
    </row>
    <row r="5345" customFormat="false" ht="15" hidden="false" customHeight="false" outlineLevel="0" collapsed="false">
      <c r="A5345" s="0" t="n">
        <v>5344</v>
      </c>
      <c r="B5345" s="14" t="n">
        <v>117870.811968496</v>
      </c>
      <c r="C5345" s="15" t="n">
        <v>0.074878977307188</v>
      </c>
      <c r="D5345" s="14" t="n">
        <f aca="false">Summary!$B$5-B5345</f>
        <v>-17870.8119684957</v>
      </c>
      <c r="E5345" s="15" t="n">
        <f aca="false">B5345/Summary!$B$5-1</f>
        <v>0.178708119684957</v>
      </c>
    </row>
    <row r="5346" customFormat="false" ht="15" hidden="false" customHeight="false" outlineLevel="0" collapsed="false">
      <c r="A5346" s="0" t="n">
        <v>5345</v>
      </c>
      <c r="B5346" s="14" t="n">
        <v>108021.144738535</v>
      </c>
      <c r="C5346" s="15" t="n">
        <v>0.0861743864659168</v>
      </c>
      <c r="D5346" s="14" t="n">
        <f aca="false">Summary!$B$5-B5346</f>
        <v>-8021.1447385348</v>
      </c>
      <c r="E5346" s="15" t="n">
        <f aca="false">B5346/Summary!$B$5-1</f>
        <v>0.0802114473853479</v>
      </c>
    </row>
    <row r="5347" customFormat="false" ht="15" hidden="false" customHeight="false" outlineLevel="0" collapsed="false">
      <c r="A5347" s="0" t="n">
        <v>5346</v>
      </c>
      <c r="B5347" s="14" t="n">
        <v>83478.9858053571</v>
      </c>
      <c r="C5347" s="15" t="n">
        <v>0.185077532376742</v>
      </c>
      <c r="D5347" s="14" t="n">
        <f aca="false">Summary!$B$5-B5347</f>
        <v>16521.0141946429</v>
      </c>
      <c r="E5347" s="15" t="n">
        <f aca="false">B5347/Summary!$B$5-1</f>
        <v>-0.165210141946429</v>
      </c>
    </row>
    <row r="5348" customFormat="false" ht="15" hidden="false" customHeight="false" outlineLevel="0" collapsed="false">
      <c r="A5348" s="0" t="n">
        <v>5347</v>
      </c>
      <c r="B5348" s="14" t="n">
        <v>116466.542626311</v>
      </c>
      <c r="C5348" s="15" t="n">
        <v>0.0596771895209757</v>
      </c>
      <c r="D5348" s="14" t="n">
        <f aca="false">Summary!$B$5-B5348</f>
        <v>-16466.5426263114</v>
      </c>
      <c r="E5348" s="15" t="n">
        <f aca="false">B5348/Summary!$B$5-1</f>
        <v>0.164665426263114</v>
      </c>
    </row>
    <row r="5349" customFormat="false" ht="15" hidden="false" customHeight="false" outlineLevel="0" collapsed="false">
      <c r="A5349" s="0" t="n">
        <v>5348</v>
      </c>
      <c r="B5349" s="14" t="n">
        <v>110858.372796099</v>
      </c>
      <c r="C5349" s="15" t="n">
        <v>0.08774111809941</v>
      </c>
      <c r="D5349" s="14" t="n">
        <f aca="false">Summary!$B$5-B5349</f>
        <v>-10858.3727960991</v>
      </c>
      <c r="E5349" s="15" t="n">
        <f aca="false">B5349/Summary!$B$5-1</f>
        <v>0.108583727960991</v>
      </c>
    </row>
    <row r="5350" customFormat="false" ht="15" hidden="false" customHeight="false" outlineLevel="0" collapsed="false">
      <c r="A5350" s="0" t="n">
        <v>5349</v>
      </c>
      <c r="B5350" s="14" t="n">
        <v>128376.022308877</v>
      </c>
      <c r="C5350" s="15" t="n">
        <v>0.0411307655114547</v>
      </c>
      <c r="D5350" s="14" t="n">
        <f aca="false">Summary!$B$5-B5350</f>
        <v>-28376.0223088771</v>
      </c>
      <c r="E5350" s="15" t="n">
        <f aca="false">B5350/Summary!$B$5-1</f>
        <v>0.283760223088771</v>
      </c>
    </row>
    <row r="5351" customFormat="false" ht="15" hidden="false" customHeight="false" outlineLevel="0" collapsed="false">
      <c r="A5351" s="0" t="n">
        <v>5350</v>
      </c>
      <c r="B5351" s="14" t="n">
        <v>119316.661862809</v>
      </c>
      <c r="C5351" s="15" t="n">
        <v>0.0693248898281322</v>
      </c>
      <c r="D5351" s="14" t="n">
        <f aca="false">Summary!$B$5-B5351</f>
        <v>-19316.6618628088</v>
      </c>
      <c r="E5351" s="15" t="n">
        <f aca="false">B5351/Summary!$B$5-1</f>
        <v>0.193166618628088</v>
      </c>
    </row>
    <row r="5352" customFormat="false" ht="15" hidden="false" customHeight="false" outlineLevel="0" collapsed="false">
      <c r="A5352" s="0" t="n">
        <v>5351</v>
      </c>
      <c r="B5352" s="14" t="n">
        <v>102174.612173608</v>
      </c>
      <c r="C5352" s="15" t="n">
        <v>0.0990658158039039</v>
      </c>
      <c r="D5352" s="14" t="n">
        <f aca="false">Summary!$B$5-B5352</f>
        <v>-2174.61217360781</v>
      </c>
      <c r="E5352" s="15" t="n">
        <f aca="false">B5352/Summary!$B$5-1</f>
        <v>0.0217461217360782</v>
      </c>
    </row>
    <row r="5353" customFormat="false" ht="15" hidden="false" customHeight="false" outlineLevel="0" collapsed="false">
      <c r="A5353" s="0" t="n">
        <v>5352</v>
      </c>
      <c r="B5353" s="14" t="n">
        <v>97666.6257874512</v>
      </c>
      <c r="C5353" s="15" t="n">
        <v>0.150920650635118</v>
      </c>
      <c r="D5353" s="14" t="n">
        <f aca="false">Summary!$B$5-B5353</f>
        <v>2333.37421254881</v>
      </c>
      <c r="E5353" s="15" t="n">
        <f aca="false">B5353/Summary!$B$5-1</f>
        <v>-0.0233337421254881</v>
      </c>
    </row>
    <row r="5354" customFormat="false" ht="15" hidden="false" customHeight="false" outlineLevel="0" collapsed="false">
      <c r="A5354" s="0" t="n">
        <v>5353</v>
      </c>
      <c r="B5354" s="14" t="n">
        <v>111915.463168997</v>
      </c>
      <c r="C5354" s="15" t="n">
        <v>0.101673082013248</v>
      </c>
      <c r="D5354" s="14" t="n">
        <f aca="false">Summary!$B$5-B5354</f>
        <v>-11915.4631689965</v>
      </c>
      <c r="E5354" s="15" t="n">
        <f aca="false">B5354/Summary!$B$5-1</f>
        <v>0.119154631689965</v>
      </c>
    </row>
    <row r="5355" customFormat="false" ht="15" hidden="false" customHeight="false" outlineLevel="0" collapsed="false">
      <c r="A5355" s="0" t="n">
        <v>5354</v>
      </c>
      <c r="B5355" s="14" t="n">
        <v>133827.515368465</v>
      </c>
      <c r="C5355" s="15" t="n">
        <v>0.0676306329768733</v>
      </c>
      <c r="D5355" s="14" t="n">
        <f aca="false">Summary!$B$5-B5355</f>
        <v>-33827.5153684648</v>
      </c>
      <c r="E5355" s="15" t="n">
        <f aca="false">B5355/Summary!$B$5-1</f>
        <v>0.338275153684648</v>
      </c>
    </row>
    <row r="5356" customFormat="false" ht="15" hidden="false" customHeight="false" outlineLevel="0" collapsed="false">
      <c r="A5356" s="0" t="n">
        <v>5355</v>
      </c>
      <c r="B5356" s="14" t="n">
        <v>114379.281383381</v>
      </c>
      <c r="C5356" s="15" t="n">
        <v>0.0971168377308628</v>
      </c>
      <c r="D5356" s="14" t="n">
        <f aca="false">Summary!$B$5-B5356</f>
        <v>-14379.2813833814</v>
      </c>
      <c r="E5356" s="15" t="n">
        <f aca="false">B5356/Summary!$B$5-1</f>
        <v>0.143792813833814</v>
      </c>
    </row>
    <row r="5357" customFormat="false" ht="15" hidden="false" customHeight="false" outlineLevel="0" collapsed="false">
      <c r="A5357" s="0" t="n">
        <v>5356</v>
      </c>
      <c r="B5357" s="14" t="n">
        <v>116502.020189231</v>
      </c>
      <c r="C5357" s="15" t="n">
        <v>0.0873218277680642</v>
      </c>
      <c r="D5357" s="14" t="n">
        <f aca="false">Summary!$B$5-B5357</f>
        <v>-16502.0201892305</v>
      </c>
      <c r="E5357" s="15" t="n">
        <f aca="false">B5357/Summary!$B$5-1</f>
        <v>0.165020201892305</v>
      </c>
    </row>
    <row r="5358" customFormat="false" ht="15" hidden="false" customHeight="false" outlineLevel="0" collapsed="false">
      <c r="A5358" s="0" t="n">
        <v>5357</v>
      </c>
      <c r="B5358" s="14" t="n">
        <v>112545.461250666</v>
      </c>
      <c r="C5358" s="15" t="n">
        <v>0.0828780539319435</v>
      </c>
      <c r="D5358" s="14" t="n">
        <f aca="false">Summary!$B$5-B5358</f>
        <v>-12545.4612506655</v>
      </c>
      <c r="E5358" s="15" t="n">
        <f aca="false">B5358/Summary!$B$5-1</f>
        <v>0.125454612506655</v>
      </c>
    </row>
    <row r="5359" customFormat="false" ht="15" hidden="false" customHeight="false" outlineLevel="0" collapsed="false">
      <c r="A5359" s="0" t="n">
        <v>5358</v>
      </c>
      <c r="B5359" s="14" t="n">
        <v>112067.329757341</v>
      </c>
      <c r="C5359" s="15" t="n">
        <v>0.0828755975757565</v>
      </c>
      <c r="D5359" s="14" t="n">
        <f aca="false">Summary!$B$5-B5359</f>
        <v>-12067.3297573406</v>
      </c>
      <c r="E5359" s="15" t="n">
        <f aca="false">B5359/Summary!$B$5-1</f>
        <v>0.120673297573406</v>
      </c>
    </row>
    <row r="5360" customFormat="false" ht="15" hidden="false" customHeight="false" outlineLevel="0" collapsed="false">
      <c r="A5360" s="0" t="n">
        <v>5359</v>
      </c>
      <c r="B5360" s="14" t="n">
        <v>131540.312404924</v>
      </c>
      <c r="C5360" s="15" t="n">
        <v>0.0501745838915315</v>
      </c>
      <c r="D5360" s="14" t="n">
        <f aca="false">Summary!$B$5-B5360</f>
        <v>-31540.3124049237</v>
      </c>
      <c r="E5360" s="15" t="n">
        <f aca="false">B5360/Summary!$B$5-1</f>
        <v>0.315403124049237</v>
      </c>
    </row>
    <row r="5361" customFormat="false" ht="15" hidden="false" customHeight="false" outlineLevel="0" collapsed="false">
      <c r="A5361" s="0" t="n">
        <v>5360</v>
      </c>
      <c r="B5361" s="14" t="n">
        <v>145725.589011877</v>
      </c>
      <c r="C5361" s="15" t="n">
        <v>0.0745314944777454</v>
      </c>
      <c r="D5361" s="14" t="n">
        <f aca="false">Summary!$B$5-B5361</f>
        <v>-45725.5890118766</v>
      </c>
      <c r="E5361" s="15" t="n">
        <f aca="false">B5361/Summary!$B$5-1</f>
        <v>0.457255890118766</v>
      </c>
    </row>
    <row r="5362" customFormat="false" ht="15" hidden="false" customHeight="false" outlineLevel="0" collapsed="false">
      <c r="A5362" s="0" t="n">
        <v>5361</v>
      </c>
      <c r="B5362" s="14" t="n">
        <v>115290.328432793</v>
      </c>
      <c r="C5362" s="15" t="n">
        <v>0.105279010622118</v>
      </c>
      <c r="D5362" s="14" t="n">
        <f aca="false">Summary!$B$5-B5362</f>
        <v>-15290.3284327934</v>
      </c>
      <c r="E5362" s="15" t="n">
        <f aca="false">B5362/Summary!$B$5-1</f>
        <v>0.152903284327934</v>
      </c>
    </row>
    <row r="5363" customFormat="false" ht="15" hidden="false" customHeight="false" outlineLevel="0" collapsed="false">
      <c r="A5363" s="0" t="n">
        <v>5362</v>
      </c>
      <c r="B5363" s="14" t="n">
        <v>128792.701361496</v>
      </c>
      <c r="C5363" s="15" t="n">
        <v>0.0656090980245464</v>
      </c>
      <c r="D5363" s="14" t="n">
        <f aca="false">Summary!$B$5-B5363</f>
        <v>-28792.7013614956</v>
      </c>
      <c r="E5363" s="15" t="n">
        <f aca="false">B5363/Summary!$B$5-1</f>
        <v>0.287927013614956</v>
      </c>
    </row>
    <row r="5364" customFormat="false" ht="15" hidden="false" customHeight="false" outlineLevel="0" collapsed="false">
      <c r="A5364" s="0" t="n">
        <v>5363</v>
      </c>
      <c r="B5364" s="14" t="n">
        <v>98180.3881681675</v>
      </c>
      <c r="C5364" s="15" t="n">
        <v>0.0882230048214456</v>
      </c>
      <c r="D5364" s="14" t="n">
        <f aca="false">Summary!$B$5-B5364</f>
        <v>1819.61183183253</v>
      </c>
      <c r="E5364" s="15" t="n">
        <f aca="false">B5364/Summary!$B$5-1</f>
        <v>-0.0181961183183254</v>
      </c>
    </row>
    <row r="5365" customFormat="false" ht="15" hidden="false" customHeight="false" outlineLevel="0" collapsed="false">
      <c r="A5365" s="0" t="n">
        <v>5364</v>
      </c>
      <c r="B5365" s="14" t="n">
        <v>92055.5451260343</v>
      </c>
      <c r="C5365" s="15" t="n">
        <v>0.111035685733493</v>
      </c>
      <c r="D5365" s="14" t="n">
        <f aca="false">Summary!$B$5-B5365</f>
        <v>7944.4548739657</v>
      </c>
      <c r="E5365" s="15" t="n">
        <f aca="false">B5365/Summary!$B$5-1</f>
        <v>-0.079444548739657</v>
      </c>
    </row>
    <row r="5366" customFormat="false" ht="15" hidden="false" customHeight="false" outlineLevel="0" collapsed="false">
      <c r="A5366" s="0" t="n">
        <v>5365</v>
      </c>
      <c r="B5366" s="14" t="n">
        <v>128103.632053794</v>
      </c>
      <c r="C5366" s="15" t="n">
        <v>0.130094864858103</v>
      </c>
      <c r="D5366" s="14" t="n">
        <f aca="false">Summary!$B$5-B5366</f>
        <v>-28103.6320537943</v>
      </c>
      <c r="E5366" s="15" t="n">
        <f aca="false">B5366/Summary!$B$5-1</f>
        <v>0.281036320537943</v>
      </c>
    </row>
    <row r="5367" customFormat="false" ht="15" hidden="false" customHeight="false" outlineLevel="0" collapsed="false">
      <c r="A5367" s="0" t="n">
        <v>5366</v>
      </c>
      <c r="B5367" s="14" t="n">
        <v>107270.107098781</v>
      </c>
      <c r="C5367" s="15" t="n">
        <v>0.0753824114695451</v>
      </c>
      <c r="D5367" s="14" t="n">
        <f aca="false">Summary!$B$5-B5367</f>
        <v>-7270.1070987813</v>
      </c>
      <c r="E5367" s="15" t="n">
        <f aca="false">B5367/Summary!$B$5-1</f>
        <v>0.0727010709878131</v>
      </c>
    </row>
    <row r="5368" customFormat="false" ht="15" hidden="false" customHeight="false" outlineLevel="0" collapsed="false">
      <c r="A5368" s="0" t="n">
        <v>5367</v>
      </c>
      <c r="B5368" s="14" t="n">
        <v>99440.1242393909</v>
      </c>
      <c r="C5368" s="15" t="n">
        <v>0.126163467744732</v>
      </c>
      <c r="D5368" s="14" t="n">
        <f aca="false">Summary!$B$5-B5368</f>
        <v>559.87576060908</v>
      </c>
      <c r="E5368" s="15" t="n">
        <f aca="false">B5368/Summary!$B$5-1</f>
        <v>-0.00559875760609085</v>
      </c>
    </row>
    <row r="5369" customFormat="false" ht="15" hidden="false" customHeight="false" outlineLevel="0" collapsed="false">
      <c r="A5369" s="0" t="n">
        <v>5368</v>
      </c>
      <c r="B5369" s="14" t="n">
        <v>113014.269902542</v>
      </c>
      <c r="C5369" s="15" t="n">
        <v>0.10723662020265</v>
      </c>
      <c r="D5369" s="14" t="n">
        <f aca="false">Summary!$B$5-B5369</f>
        <v>-13014.2699025417</v>
      </c>
      <c r="E5369" s="15" t="n">
        <f aca="false">B5369/Summary!$B$5-1</f>
        <v>0.130142699025417</v>
      </c>
    </row>
    <row r="5370" customFormat="false" ht="15" hidden="false" customHeight="false" outlineLevel="0" collapsed="false">
      <c r="A5370" s="0" t="n">
        <v>5369</v>
      </c>
      <c r="B5370" s="14" t="n">
        <v>116269.960563003</v>
      </c>
      <c r="C5370" s="15" t="n">
        <v>0.0669215689648587</v>
      </c>
      <c r="D5370" s="14" t="n">
        <f aca="false">Summary!$B$5-B5370</f>
        <v>-16269.9605630025</v>
      </c>
      <c r="E5370" s="15" t="n">
        <f aca="false">B5370/Summary!$B$5-1</f>
        <v>0.162699605630025</v>
      </c>
    </row>
    <row r="5371" customFormat="false" ht="15" hidden="false" customHeight="false" outlineLevel="0" collapsed="false">
      <c r="A5371" s="0" t="n">
        <v>5370</v>
      </c>
      <c r="B5371" s="14" t="n">
        <v>95149.2803923986</v>
      </c>
      <c r="C5371" s="15" t="n">
        <v>0.0854264046227068</v>
      </c>
      <c r="D5371" s="14" t="n">
        <f aca="false">Summary!$B$5-B5371</f>
        <v>4850.71960760144</v>
      </c>
      <c r="E5371" s="15" t="n">
        <f aca="false">B5371/Summary!$B$5-1</f>
        <v>-0.0485071960760144</v>
      </c>
    </row>
    <row r="5372" customFormat="false" ht="15" hidden="false" customHeight="false" outlineLevel="0" collapsed="false">
      <c r="A5372" s="0" t="n">
        <v>5371</v>
      </c>
      <c r="B5372" s="14" t="n">
        <v>86543.4104732545</v>
      </c>
      <c r="C5372" s="15" t="n">
        <v>0.16477649889054</v>
      </c>
      <c r="D5372" s="14" t="n">
        <f aca="false">Summary!$B$5-B5372</f>
        <v>13456.5895267455</v>
      </c>
      <c r="E5372" s="15" t="n">
        <f aca="false">B5372/Summary!$B$5-1</f>
        <v>-0.134565895267455</v>
      </c>
    </row>
    <row r="5373" customFormat="false" ht="15" hidden="false" customHeight="false" outlineLevel="0" collapsed="false">
      <c r="A5373" s="0" t="n">
        <v>5372</v>
      </c>
      <c r="B5373" s="14" t="n">
        <v>100907.607519779</v>
      </c>
      <c r="C5373" s="15" t="n">
        <v>0.076529493523548</v>
      </c>
      <c r="D5373" s="14" t="n">
        <f aca="false">Summary!$B$5-B5373</f>
        <v>-907.607519779296</v>
      </c>
      <c r="E5373" s="15" t="n">
        <f aca="false">B5373/Summary!$B$5-1</f>
        <v>0.00907607519779297</v>
      </c>
    </row>
    <row r="5374" customFormat="false" ht="15" hidden="false" customHeight="false" outlineLevel="0" collapsed="false">
      <c r="A5374" s="0" t="n">
        <v>5373</v>
      </c>
      <c r="B5374" s="14" t="n">
        <v>106720.030352895</v>
      </c>
      <c r="C5374" s="15" t="n">
        <v>0.131798220520921</v>
      </c>
      <c r="D5374" s="14" t="n">
        <f aca="false">Summary!$B$5-B5374</f>
        <v>-6720.0303528951</v>
      </c>
      <c r="E5374" s="15" t="n">
        <f aca="false">B5374/Summary!$B$5-1</f>
        <v>0.067200303528951</v>
      </c>
    </row>
    <row r="5375" customFormat="false" ht="15" hidden="false" customHeight="false" outlineLevel="0" collapsed="false">
      <c r="A5375" s="0" t="n">
        <v>5374</v>
      </c>
      <c r="B5375" s="14" t="n">
        <v>99909.5875789895</v>
      </c>
      <c r="C5375" s="15" t="n">
        <v>0.125202359664725</v>
      </c>
      <c r="D5375" s="14" t="n">
        <f aca="false">Summary!$B$5-B5375</f>
        <v>90.4124210105219</v>
      </c>
      <c r="E5375" s="15" t="n">
        <f aca="false">B5375/Summary!$B$5-1</f>
        <v>-0.000904124210105217</v>
      </c>
    </row>
    <row r="5376" customFormat="false" ht="15" hidden="false" customHeight="false" outlineLevel="0" collapsed="false">
      <c r="A5376" s="0" t="n">
        <v>5375</v>
      </c>
      <c r="B5376" s="14" t="n">
        <v>96239.3063117642</v>
      </c>
      <c r="C5376" s="15" t="n">
        <v>0.150466949568636</v>
      </c>
      <c r="D5376" s="14" t="n">
        <f aca="false">Summary!$B$5-B5376</f>
        <v>3760.69368823583</v>
      </c>
      <c r="E5376" s="15" t="n">
        <f aca="false">B5376/Summary!$B$5-1</f>
        <v>-0.0376069368823583</v>
      </c>
    </row>
    <row r="5377" customFormat="false" ht="15" hidden="false" customHeight="false" outlineLevel="0" collapsed="false">
      <c r="A5377" s="0" t="n">
        <v>5376</v>
      </c>
      <c r="B5377" s="14" t="n">
        <v>95522.0556481624</v>
      </c>
      <c r="C5377" s="15" t="n">
        <v>0.0982193689934979</v>
      </c>
      <c r="D5377" s="14" t="n">
        <f aca="false">Summary!$B$5-B5377</f>
        <v>4477.94435183762</v>
      </c>
      <c r="E5377" s="15" t="n">
        <f aca="false">B5377/Summary!$B$5-1</f>
        <v>-0.0447794435183763</v>
      </c>
    </row>
    <row r="5378" customFormat="false" ht="15" hidden="false" customHeight="false" outlineLevel="0" collapsed="false">
      <c r="A5378" s="0" t="n">
        <v>5377</v>
      </c>
      <c r="B5378" s="14" t="n">
        <v>113032.04198758</v>
      </c>
      <c r="C5378" s="15" t="n">
        <v>0.123373213107215</v>
      </c>
      <c r="D5378" s="14" t="n">
        <f aca="false">Summary!$B$5-B5378</f>
        <v>-13032.04198758</v>
      </c>
      <c r="E5378" s="15" t="n">
        <f aca="false">B5378/Summary!$B$5-1</f>
        <v>0.1303204198758</v>
      </c>
    </row>
    <row r="5379" customFormat="false" ht="15" hidden="false" customHeight="false" outlineLevel="0" collapsed="false">
      <c r="A5379" s="0" t="n">
        <v>5378</v>
      </c>
      <c r="B5379" s="14" t="n">
        <v>99247.0127069606</v>
      </c>
      <c r="C5379" s="15" t="n">
        <v>0.104035200570034</v>
      </c>
      <c r="D5379" s="14" t="n">
        <f aca="false">Summary!$B$5-B5379</f>
        <v>752.98729303942</v>
      </c>
      <c r="E5379" s="15" t="n">
        <f aca="false">B5379/Summary!$B$5-1</f>
        <v>-0.0075298729303942</v>
      </c>
    </row>
    <row r="5380" customFormat="false" ht="15" hidden="false" customHeight="false" outlineLevel="0" collapsed="false">
      <c r="A5380" s="0" t="n">
        <v>5379</v>
      </c>
      <c r="B5380" s="14" t="n">
        <v>98613.4092881489</v>
      </c>
      <c r="C5380" s="15" t="n">
        <v>0.136110562826749</v>
      </c>
      <c r="D5380" s="14" t="n">
        <f aca="false">Summary!$B$5-B5380</f>
        <v>1386.59071185108</v>
      </c>
      <c r="E5380" s="15" t="n">
        <f aca="false">B5380/Summary!$B$5-1</f>
        <v>-0.0138659071185108</v>
      </c>
    </row>
    <row r="5381" customFormat="false" ht="15" hidden="false" customHeight="false" outlineLevel="0" collapsed="false">
      <c r="A5381" s="0" t="n">
        <v>5380</v>
      </c>
      <c r="B5381" s="14" t="n">
        <v>150885.292240936</v>
      </c>
      <c r="C5381" s="15" t="n">
        <v>0.0533927421652346</v>
      </c>
      <c r="D5381" s="14" t="n">
        <f aca="false">Summary!$B$5-B5381</f>
        <v>-50885.2922409362</v>
      </c>
      <c r="E5381" s="15" t="n">
        <f aca="false">B5381/Summary!$B$5-1</f>
        <v>0.508852922409362</v>
      </c>
    </row>
    <row r="5382" customFormat="false" ht="15" hidden="false" customHeight="false" outlineLevel="0" collapsed="false">
      <c r="A5382" s="0" t="n">
        <v>5381</v>
      </c>
      <c r="B5382" s="14" t="n">
        <v>117233.386068534</v>
      </c>
      <c r="C5382" s="15" t="n">
        <v>0.078775628356868</v>
      </c>
      <c r="D5382" s="14" t="n">
        <f aca="false">Summary!$B$5-B5382</f>
        <v>-17233.3860685344</v>
      </c>
      <c r="E5382" s="15" t="n">
        <f aca="false">B5382/Summary!$B$5-1</f>
        <v>0.172333860685344</v>
      </c>
    </row>
    <row r="5383" customFormat="false" ht="15" hidden="false" customHeight="false" outlineLevel="0" collapsed="false">
      <c r="A5383" s="0" t="n">
        <v>5382</v>
      </c>
      <c r="B5383" s="14" t="n">
        <v>134620.220264806</v>
      </c>
      <c r="C5383" s="15" t="n">
        <v>0.0574576893032434</v>
      </c>
      <c r="D5383" s="14" t="n">
        <f aca="false">Summary!$B$5-B5383</f>
        <v>-34620.2202648057</v>
      </c>
      <c r="E5383" s="15" t="n">
        <f aca="false">B5383/Summary!$B$5-1</f>
        <v>0.346202202648057</v>
      </c>
    </row>
    <row r="5384" customFormat="false" ht="15" hidden="false" customHeight="false" outlineLevel="0" collapsed="false">
      <c r="A5384" s="0" t="n">
        <v>5383</v>
      </c>
      <c r="B5384" s="14" t="n">
        <v>135911.246500965</v>
      </c>
      <c r="C5384" s="15" t="n">
        <v>0.0952436756069285</v>
      </c>
      <c r="D5384" s="14" t="n">
        <f aca="false">Summary!$B$5-B5384</f>
        <v>-35911.2465009653</v>
      </c>
      <c r="E5384" s="15" t="n">
        <f aca="false">B5384/Summary!$B$5-1</f>
        <v>0.359112465009653</v>
      </c>
    </row>
    <row r="5385" customFormat="false" ht="15" hidden="false" customHeight="false" outlineLevel="0" collapsed="false">
      <c r="A5385" s="0" t="n">
        <v>5384</v>
      </c>
      <c r="B5385" s="14" t="n">
        <v>91501.70180336</v>
      </c>
      <c r="C5385" s="15" t="n">
        <v>0.148880566025202</v>
      </c>
      <c r="D5385" s="14" t="n">
        <f aca="false">Summary!$B$5-B5385</f>
        <v>8498.29819664004</v>
      </c>
      <c r="E5385" s="15" t="n">
        <f aca="false">B5385/Summary!$B$5-1</f>
        <v>-0.0849829819664004</v>
      </c>
    </row>
    <row r="5386" customFormat="false" ht="15" hidden="false" customHeight="false" outlineLevel="0" collapsed="false">
      <c r="A5386" s="0" t="n">
        <v>5385</v>
      </c>
      <c r="B5386" s="14" t="n">
        <v>102369.621977068</v>
      </c>
      <c r="C5386" s="15" t="n">
        <v>0.135831946115718</v>
      </c>
      <c r="D5386" s="14" t="n">
        <f aca="false">Summary!$B$5-B5386</f>
        <v>-2369.6219770677</v>
      </c>
      <c r="E5386" s="15" t="n">
        <f aca="false">B5386/Summary!$B$5-1</f>
        <v>0.0236962197706769</v>
      </c>
    </row>
    <row r="5387" customFormat="false" ht="15" hidden="false" customHeight="false" outlineLevel="0" collapsed="false">
      <c r="A5387" s="0" t="n">
        <v>5386</v>
      </c>
      <c r="B5387" s="14" t="n">
        <v>98240.432858867</v>
      </c>
      <c r="C5387" s="15" t="n">
        <v>0.150683663828812</v>
      </c>
      <c r="D5387" s="14" t="n">
        <f aca="false">Summary!$B$5-B5387</f>
        <v>1759.56714113301</v>
      </c>
      <c r="E5387" s="15" t="n">
        <f aca="false">B5387/Summary!$B$5-1</f>
        <v>-0.0175956714113301</v>
      </c>
    </row>
    <row r="5388" customFormat="false" ht="15" hidden="false" customHeight="false" outlineLevel="0" collapsed="false">
      <c r="A5388" s="0" t="n">
        <v>5387</v>
      </c>
      <c r="B5388" s="14" t="n">
        <v>113726.172203522</v>
      </c>
      <c r="C5388" s="15" t="n">
        <v>0.124620228787912</v>
      </c>
      <c r="D5388" s="14" t="n">
        <f aca="false">Summary!$B$5-B5388</f>
        <v>-13726.1722035217</v>
      </c>
      <c r="E5388" s="15" t="n">
        <f aca="false">B5388/Summary!$B$5-1</f>
        <v>0.137261722035217</v>
      </c>
    </row>
    <row r="5389" customFormat="false" ht="15" hidden="false" customHeight="false" outlineLevel="0" collapsed="false">
      <c r="A5389" s="0" t="n">
        <v>5388</v>
      </c>
      <c r="B5389" s="14" t="n">
        <v>121381.420581104</v>
      </c>
      <c r="C5389" s="15" t="n">
        <v>0.065371421174775</v>
      </c>
      <c r="D5389" s="14" t="n">
        <f aca="false">Summary!$B$5-B5389</f>
        <v>-21381.420581104</v>
      </c>
      <c r="E5389" s="15" t="n">
        <f aca="false">B5389/Summary!$B$5-1</f>
        <v>0.21381420581104</v>
      </c>
    </row>
    <row r="5390" customFormat="false" ht="15" hidden="false" customHeight="false" outlineLevel="0" collapsed="false">
      <c r="A5390" s="0" t="n">
        <v>5389</v>
      </c>
      <c r="B5390" s="14" t="n">
        <v>112933.163453321</v>
      </c>
      <c r="C5390" s="15" t="n">
        <v>0.0623874379665418</v>
      </c>
      <c r="D5390" s="14" t="n">
        <f aca="false">Summary!$B$5-B5390</f>
        <v>-12933.1634533208</v>
      </c>
      <c r="E5390" s="15" t="n">
        <f aca="false">B5390/Summary!$B$5-1</f>
        <v>0.129331634533208</v>
      </c>
    </row>
    <row r="5391" customFormat="false" ht="15" hidden="false" customHeight="false" outlineLevel="0" collapsed="false">
      <c r="A5391" s="0" t="n">
        <v>5390</v>
      </c>
      <c r="B5391" s="14" t="n">
        <v>105480.864726802</v>
      </c>
      <c r="C5391" s="15" t="n">
        <v>0.116239541288126</v>
      </c>
      <c r="D5391" s="14" t="n">
        <f aca="false">Summary!$B$5-B5391</f>
        <v>-5480.86472680241</v>
      </c>
      <c r="E5391" s="15" t="n">
        <f aca="false">B5391/Summary!$B$5-1</f>
        <v>0.054808647268024</v>
      </c>
    </row>
    <row r="5392" customFormat="false" ht="15" hidden="false" customHeight="false" outlineLevel="0" collapsed="false">
      <c r="A5392" s="0" t="n">
        <v>5391</v>
      </c>
      <c r="B5392" s="14" t="n">
        <v>99192.5026487442</v>
      </c>
      <c r="C5392" s="15" t="n">
        <v>0.0897986218892664</v>
      </c>
      <c r="D5392" s="14" t="n">
        <f aca="false">Summary!$B$5-B5392</f>
        <v>807.497351255763</v>
      </c>
      <c r="E5392" s="15" t="n">
        <f aca="false">B5392/Summary!$B$5-1</f>
        <v>-0.00807497351255759</v>
      </c>
    </row>
    <row r="5393" customFormat="false" ht="15" hidden="false" customHeight="false" outlineLevel="0" collapsed="false">
      <c r="A5393" s="0" t="n">
        <v>5392</v>
      </c>
      <c r="B5393" s="14" t="n">
        <v>89480.530889902</v>
      </c>
      <c r="C5393" s="15" t="n">
        <v>0.183044532184114</v>
      </c>
      <c r="D5393" s="14" t="n">
        <f aca="false">Summary!$B$5-B5393</f>
        <v>10519.469110098</v>
      </c>
      <c r="E5393" s="15" t="n">
        <f aca="false">B5393/Summary!$B$5-1</f>
        <v>-0.10519469110098</v>
      </c>
    </row>
    <row r="5394" customFormat="false" ht="15" hidden="false" customHeight="false" outlineLevel="0" collapsed="false">
      <c r="A5394" s="0" t="n">
        <v>5393</v>
      </c>
      <c r="B5394" s="14" t="n">
        <v>112861.676074049</v>
      </c>
      <c r="C5394" s="15" t="n">
        <v>0.0592892425256082</v>
      </c>
      <c r="D5394" s="14" t="n">
        <f aca="false">Summary!$B$5-B5394</f>
        <v>-12861.6760740489</v>
      </c>
      <c r="E5394" s="15" t="n">
        <f aca="false">B5394/Summary!$B$5-1</f>
        <v>0.128616760740489</v>
      </c>
    </row>
    <row r="5395" customFormat="false" ht="15" hidden="false" customHeight="false" outlineLevel="0" collapsed="false">
      <c r="A5395" s="0" t="n">
        <v>5394</v>
      </c>
      <c r="B5395" s="14" t="n">
        <v>120036.276687783</v>
      </c>
      <c r="C5395" s="15" t="n">
        <v>0.0888180208565015</v>
      </c>
      <c r="D5395" s="14" t="n">
        <f aca="false">Summary!$B$5-B5395</f>
        <v>-20036.2766877825</v>
      </c>
      <c r="E5395" s="15" t="n">
        <f aca="false">B5395/Summary!$B$5-1</f>
        <v>0.200362766877825</v>
      </c>
    </row>
    <row r="5396" customFormat="false" ht="15" hidden="false" customHeight="false" outlineLevel="0" collapsed="false">
      <c r="A5396" s="0" t="n">
        <v>5395</v>
      </c>
      <c r="B5396" s="14" t="n">
        <v>127464.083385249</v>
      </c>
      <c r="C5396" s="15" t="n">
        <v>0.0430224366235608</v>
      </c>
      <c r="D5396" s="14" t="n">
        <f aca="false">Summary!$B$5-B5396</f>
        <v>-27464.0833852485</v>
      </c>
      <c r="E5396" s="15" t="n">
        <f aca="false">B5396/Summary!$B$5-1</f>
        <v>0.274640833852485</v>
      </c>
    </row>
    <row r="5397" customFormat="false" ht="15" hidden="false" customHeight="false" outlineLevel="0" collapsed="false">
      <c r="A5397" s="0" t="n">
        <v>5396</v>
      </c>
      <c r="B5397" s="14" t="n">
        <v>102573.690574173</v>
      </c>
      <c r="C5397" s="15" t="n">
        <v>0.0835513271270282</v>
      </c>
      <c r="D5397" s="14" t="n">
        <f aca="false">Summary!$B$5-B5397</f>
        <v>-2573.6905741729</v>
      </c>
      <c r="E5397" s="15" t="n">
        <f aca="false">B5397/Summary!$B$5-1</f>
        <v>0.0257369057417289</v>
      </c>
    </row>
    <row r="5398" customFormat="false" ht="15" hidden="false" customHeight="false" outlineLevel="0" collapsed="false">
      <c r="A5398" s="0" t="n">
        <v>5397</v>
      </c>
      <c r="B5398" s="14" t="n">
        <v>106610.175189638</v>
      </c>
      <c r="C5398" s="15" t="n">
        <v>0.0908865113939932</v>
      </c>
      <c r="D5398" s="14" t="n">
        <f aca="false">Summary!$B$5-B5398</f>
        <v>-6610.175189638</v>
      </c>
      <c r="E5398" s="15" t="n">
        <f aca="false">B5398/Summary!$B$5-1</f>
        <v>0.06610175189638</v>
      </c>
    </row>
    <row r="5399" customFormat="false" ht="15" hidden="false" customHeight="false" outlineLevel="0" collapsed="false">
      <c r="A5399" s="0" t="n">
        <v>5398</v>
      </c>
      <c r="B5399" s="14" t="n">
        <v>107361.089999324</v>
      </c>
      <c r="C5399" s="15" t="n">
        <v>0.0548054737202851</v>
      </c>
      <c r="D5399" s="14" t="n">
        <f aca="false">Summary!$B$5-B5399</f>
        <v>-7361.0899993239</v>
      </c>
      <c r="E5399" s="15" t="n">
        <f aca="false">B5399/Summary!$B$5-1</f>
        <v>0.073610899993239</v>
      </c>
    </row>
    <row r="5400" customFormat="false" ht="15" hidden="false" customHeight="false" outlineLevel="0" collapsed="false">
      <c r="A5400" s="0" t="n">
        <v>5399</v>
      </c>
      <c r="B5400" s="14" t="n">
        <v>114324.469764309</v>
      </c>
      <c r="C5400" s="15" t="n">
        <v>0.169402334276017</v>
      </c>
      <c r="D5400" s="14" t="n">
        <f aca="false">Summary!$B$5-B5400</f>
        <v>-14324.4697643091</v>
      </c>
      <c r="E5400" s="15" t="n">
        <f aca="false">B5400/Summary!$B$5-1</f>
        <v>0.143244697643091</v>
      </c>
    </row>
    <row r="5401" customFormat="false" ht="15" hidden="false" customHeight="false" outlineLevel="0" collapsed="false">
      <c r="A5401" s="0" t="n">
        <v>5400</v>
      </c>
      <c r="B5401" s="14" t="n">
        <v>122855.393775367</v>
      </c>
      <c r="C5401" s="15" t="n">
        <v>0.0753789672940768</v>
      </c>
      <c r="D5401" s="14" t="n">
        <f aca="false">Summary!$B$5-B5401</f>
        <v>-22855.3937753666</v>
      </c>
      <c r="E5401" s="15" t="n">
        <f aca="false">B5401/Summary!$B$5-1</f>
        <v>0.228553937753666</v>
      </c>
    </row>
    <row r="5402" customFormat="false" ht="15" hidden="false" customHeight="false" outlineLevel="0" collapsed="false">
      <c r="A5402" s="0" t="n">
        <v>5401</v>
      </c>
      <c r="B5402" s="14" t="n">
        <v>115762.931460393</v>
      </c>
      <c r="C5402" s="15" t="n">
        <v>0.0716675900138637</v>
      </c>
      <c r="D5402" s="14" t="n">
        <f aca="false">Summary!$B$5-B5402</f>
        <v>-15762.9314603925</v>
      </c>
      <c r="E5402" s="15" t="n">
        <f aca="false">B5402/Summary!$B$5-1</f>
        <v>0.157629314603925</v>
      </c>
    </row>
    <row r="5403" customFormat="false" ht="15" hidden="false" customHeight="false" outlineLevel="0" collapsed="false">
      <c r="A5403" s="0" t="n">
        <v>5402</v>
      </c>
      <c r="B5403" s="14" t="n">
        <v>114961.295488092</v>
      </c>
      <c r="C5403" s="15" t="n">
        <v>0.091106922205159</v>
      </c>
      <c r="D5403" s="14" t="n">
        <f aca="false">Summary!$B$5-B5403</f>
        <v>-14961.2954880918</v>
      </c>
      <c r="E5403" s="15" t="n">
        <f aca="false">B5403/Summary!$B$5-1</f>
        <v>0.149612954880918</v>
      </c>
    </row>
    <row r="5404" customFormat="false" ht="15" hidden="false" customHeight="false" outlineLevel="0" collapsed="false">
      <c r="A5404" s="0" t="n">
        <v>5403</v>
      </c>
      <c r="B5404" s="14" t="n">
        <v>112114.928744569</v>
      </c>
      <c r="C5404" s="15" t="n">
        <v>0.142823395951633</v>
      </c>
      <c r="D5404" s="14" t="n">
        <f aca="false">Summary!$B$5-B5404</f>
        <v>-12114.9287445694</v>
      </c>
      <c r="E5404" s="15" t="n">
        <f aca="false">B5404/Summary!$B$5-1</f>
        <v>0.121149287445694</v>
      </c>
    </row>
    <row r="5405" customFormat="false" ht="15" hidden="false" customHeight="false" outlineLevel="0" collapsed="false">
      <c r="A5405" s="0" t="n">
        <v>5404</v>
      </c>
      <c r="B5405" s="14" t="n">
        <v>122775.941258566</v>
      </c>
      <c r="C5405" s="15" t="n">
        <v>0.0940587339393947</v>
      </c>
      <c r="D5405" s="14" t="n">
        <f aca="false">Summary!$B$5-B5405</f>
        <v>-22775.941258566</v>
      </c>
      <c r="E5405" s="15" t="n">
        <f aca="false">B5405/Summary!$B$5-1</f>
        <v>0.22775941258566</v>
      </c>
    </row>
    <row r="5406" customFormat="false" ht="15" hidden="false" customHeight="false" outlineLevel="0" collapsed="false">
      <c r="A5406" s="0" t="n">
        <v>5405</v>
      </c>
      <c r="B5406" s="14" t="n">
        <v>115651.57603845</v>
      </c>
      <c r="C5406" s="15" t="n">
        <v>0.0906958823380502</v>
      </c>
      <c r="D5406" s="14" t="n">
        <f aca="false">Summary!$B$5-B5406</f>
        <v>-15651.5760384503</v>
      </c>
      <c r="E5406" s="15" t="n">
        <f aca="false">B5406/Summary!$B$5-1</f>
        <v>0.156515760384503</v>
      </c>
    </row>
    <row r="5407" customFormat="false" ht="15" hidden="false" customHeight="false" outlineLevel="0" collapsed="false">
      <c r="A5407" s="0" t="n">
        <v>5406</v>
      </c>
      <c r="B5407" s="14" t="n">
        <v>98323.1546165202</v>
      </c>
      <c r="C5407" s="15" t="n">
        <v>0.078907824194778</v>
      </c>
      <c r="D5407" s="14" t="n">
        <f aca="false">Summary!$B$5-B5407</f>
        <v>1676.84538347977</v>
      </c>
      <c r="E5407" s="15" t="n">
        <f aca="false">B5407/Summary!$B$5-1</f>
        <v>-0.0167684538347977</v>
      </c>
    </row>
    <row r="5408" customFormat="false" ht="15" hidden="false" customHeight="false" outlineLevel="0" collapsed="false">
      <c r="A5408" s="0" t="n">
        <v>5407</v>
      </c>
      <c r="B5408" s="14" t="n">
        <v>113344.645268821</v>
      </c>
      <c r="C5408" s="15" t="n">
        <v>0.0761715158159497</v>
      </c>
      <c r="D5408" s="14" t="n">
        <f aca="false">Summary!$B$5-B5408</f>
        <v>-13344.6452688208</v>
      </c>
      <c r="E5408" s="15" t="n">
        <f aca="false">B5408/Summary!$B$5-1</f>
        <v>0.133446452688208</v>
      </c>
    </row>
    <row r="5409" customFormat="false" ht="15" hidden="false" customHeight="false" outlineLevel="0" collapsed="false">
      <c r="A5409" s="0" t="n">
        <v>5408</v>
      </c>
      <c r="B5409" s="14" t="n">
        <v>105548.386017628</v>
      </c>
      <c r="C5409" s="15" t="n">
        <v>0.13059651752999</v>
      </c>
      <c r="D5409" s="14" t="n">
        <f aca="false">Summary!$B$5-B5409</f>
        <v>-5548.38601762761</v>
      </c>
      <c r="E5409" s="15" t="n">
        <f aca="false">B5409/Summary!$B$5-1</f>
        <v>0.0554838601762762</v>
      </c>
    </row>
    <row r="5410" customFormat="false" ht="15" hidden="false" customHeight="false" outlineLevel="0" collapsed="false">
      <c r="A5410" s="0" t="n">
        <v>5409</v>
      </c>
      <c r="B5410" s="14" t="n">
        <v>103497.665518671</v>
      </c>
      <c r="C5410" s="15" t="n">
        <v>0.0625447185149983</v>
      </c>
      <c r="D5410" s="14" t="n">
        <f aca="false">Summary!$B$5-B5410</f>
        <v>-3497.66551867141</v>
      </c>
      <c r="E5410" s="15" t="n">
        <f aca="false">B5410/Summary!$B$5-1</f>
        <v>0.0349766551867141</v>
      </c>
    </row>
    <row r="5411" customFormat="false" ht="15" hidden="false" customHeight="false" outlineLevel="0" collapsed="false">
      <c r="A5411" s="0" t="n">
        <v>5410</v>
      </c>
      <c r="B5411" s="14" t="n">
        <v>121604.39719136</v>
      </c>
      <c r="C5411" s="15" t="n">
        <v>0.0511366948578111</v>
      </c>
      <c r="D5411" s="14" t="n">
        <f aca="false">Summary!$B$5-B5411</f>
        <v>-21604.3971913603</v>
      </c>
      <c r="E5411" s="15" t="n">
        <f aca="false">B5411/Summary!$B$5-1</f>
        <v>0.216043971913603</v>
      </c>
    </row>
    <row r="5412" customFormat="false" ht="15" hidden="false" customHeight="false" outlineLevel="0" collapsed="false">
      <c r="A5412" s="0" t="n">
        <v>5411</v>
      </c>
      <c r="B5412" s="14" t="n">
        <v>124298.360788386</v>
      </c>
      <c r="C5412" s="15" t="n">
        <v>0.0926910041604502</v>
      </c>
      <c r="D5412" s="14" t="n">
        <f aca="false">Summary!$B$5-B5412</f>
        <v>-24298.3607883858</v>
      </c>
      <c r="E5412" s="15" t="n">
        <f aca="false">B5412/Summary!$B$5-1</f>
        <v>0.242983607883858</v>
      </c>
    </row>
    <row r="5413" customFormat="false" ht="15" hidden="false" customHeight="false" outlineLevel="0" collapsed="false">
      <c r="A5413" s="0" t="n">
        <v>5412</v>
      </c>
      <c r="B5413" s="14" t="n">
        <v>92105.1137955677</v>
      </c>
      <c r="C5413" s="15" t="n">
        <v>0.110574091946496</v>
      </c>
      <c r="D5413" s="14" t="n">
        <f aca="false">Summary!$B$5-B5413</f>
        <v>7894.88620443232</v>
      </c>
      <c r="E5413" s="15" t="n">
        <f aca="false">B5413/Summary!$B$5-1</f>
        <v>-0.0789488620443232</v>
      </c>
    </row>
    <row r="5414" customFormat="false" ht="15" hidden="false" customHeight="false" outlineLevel="0" collapsed="false">
      <c r="A5414" s="0" t="n">
        <v>5413</v>
      </c>
      <c r="B5414" s="14" t="n">
        <v>122551.729886913</v>
      </c>
      <c r="C5414" s="15" t="n">
        <v>0.0944544038964041</v>
      </c>
      <c r="D5414" s="14" t="n">
        <f aca="false">Summary!$B$5-B5414</f>
        <v>-22551.729886913</v>
      </c>
      <c r="E5414" s="15" t="n">
        <f aca="false">B5414/Summary!$B$5-1</f>
        <v>0.22551729886913</v>
      </c>
    </row>
    <row r="5415" customFormat="false" ht="15" hidden="false" customHeight="false" outlineLevel="0" collapsed="false">
      <c r="A5415" s="0" t="n">
        <v>5414</v>
      </c>
      <c r="B5415" s="14" t="n">
        <v>106904.247445486</v>
      </c>
      <c r="C5415" s="15" t="n">
        <v>0.101403640251124</v>
      </c>
      <c r="D5415" s="14" t="n">
        <f aca="false">Summary!$B$5-B5415</f>
        <v>-6904.2474454863</v>
      </c>
      <c r="E5415" s="15" t="n">
        <f aca="false">B5415/Summary!$B$5-1</f>
        <v>0.069042474454863</v>
      </c>
    </row>
    <row r="5416" customFormat="false" ht="15" hidden="false" customHeight="false" outlineLevel="0" collapsed="false">
      <c r="A5416" s="0" t="n">
        <v>5415</v>
      </c>
      <c r="B5416" s="14" t="n">
        <v>91520.5571828864</v>
      </c>
      <c r="C5416" s="15" t="n">
        <v>0.180707265716122</v>
      </c>
      <c r="D5416" s="14" t="n">
        <f aca="false">Summary!$B$5-B5416</f>
        <v>8479.4428171136</v>
      </c>
      <c r="E5416" s="15" t="n">
        <f aca="false">B5416/Summary!$B$5-1</f>
        <v>-0.0847944281711359</v>
      </c>
    </row>
    <row r="5417" customFormat="false" ht="15" hidden="false" customHeight="false" outlineLevel="0" collapsed="false">
      <c r="A5417" s="0" t="n">
        <v>5416</v>
      </c>
      <c r="B5417" s="14" t="n">
        <v>102850.503636323</v>
      </c>
      <c r="C5417" s="15" t="n">
        <v>0.0575768119239279</v>
      </c>
      <c r="D5417" s="14" t="n">
        <f aca="false">Summary!$B$5-B5417</f>
        <v>-2850.503636323</v>
      </c>
      <c r="E5417" s="15" t="n">
        <f aca="false">B5417/Summary!$B$5-1</f>
        <v>0.02850503636323</v>
      </c>
    </row>
    <row r="5418" customFormat="false" ht="15" hidden="false" customHeight="false" outlineLevel="0" collapsed="false">
      <c r="A5418" s="0" t="n">
        <v>5417</v>
      </c>
      <c r="B5418" s="14" t="n">
        <v>126589.314856486</v>
      </c>
      <c r="C5418" s="15" t="n">
        <v>0.0568844413651913</v>
      </c>
      <c r="D5418" s="14" t="n">
        <f aca="false">Summary!$B$5-B5418</f>
        <v>-26589.3148564858</v>
      </c>
      <c r="E5418" s="15" t="n">
        <f aca="false">B5418/Summary!$B$5-1</f>
        <v>0.265893148564858</v>
      </c>
    </row>
    <row r="5419" customFormat="false" ht="15" hidden="false" customHeight="false" outlineLevel="0" collapsed="false">
      <c r="A5419" s="0" t="n">
        <v>5418</v>
      </c>
      <c r="B5419" s="14" t="n">
        <v>111226.215183642</v>
      </c>
      <c r="C5419" s="15" t="n">
        <v>0.0890169387806046</v>
      </c>
      <c r="D5419" s="14" t="n">
        <f aca="false">Summary!$B$5-B5419</f>
        <v>-11226.2151836424</v>
      </c>
      <c r="E5419" s="15" t="n">
        <f aca="false">B5419/Summary!$B$5-1</f>
        <v>0.112262151836424</v>
      </c>
    </row>
    <row r="5420" customFormat="false" ht="15" hidden="false" customHeight="false" outlineLevel="0" collapsed="false">
      <c r="A5420" s="0" t="n">
        <v>5419</v>
      </c>
      <c r="B5420" s="14" t="n">
        <v>114818.858754269</v>
      </c>
      <c r="C5420" s="15" t="n">
        <v>0.0657386730386522</v>
      </c>
      <c r="D5420" s="14" t="n">
        <f aca="false">Summary!$B$5-B5420</f>
        <v>-14818.8587542686</v>
      </c>
      <c r="E5420" s="15" t="n">
        <f aca="false">B5420/Summary!$B$5-1</f>
        <v>0.148188587542686</v>
      </c>
    </row>
    <row r="5421" customFormat="false" ht="15" hidden="false" customHeight="false" outlineLevel="0" collapsed="false">
      <c r="A5421" s="0" t="n">
        <v>5420</v>
      </c>
      <c r="B5421" s="14" t="n">
        <v>110432.820991954</v>
      </c>
      <c r="C5421" s="15" t="n">
        <v>0.0713428729954172</v>
      </c>
      <c r="D5421" s="14" t="n">
        <f aca="false">Summary!$B$5-B5421</f>
        <v>-10432.8209919541</v>
      </c>
      <c r="E5421" s="15" t="n">
        <f aca="false">B5421/Summary!$B$5-1</f>
        <v>0.104328209919541</v>
      </c>
    </row>
    <row r="5422" customFormat="false" ht="15" hidden="false" customHeight="false" outlineLevel="0" collapsed="false">
      <c r="A5422" s="0" t="n">
        <v>5421</v>
      </c>
      <c r="B5422" s="14" t="n">
        <v>119704.992603968</v>
      </c>
      <c r="C5422" s="15" t="n">
        <v>0.116528000339955</v>
      </c>
      <c r="D5422" s="14" t="n">
        <f aca="false">Summary!$B$5-B5422</f>
        <v>-19704.992603968</v>
      </c>
      <c r="E5422" s="15" t="n">
        <f aca="false">B5422/Summary!$B$5-1</f>
        <v>0.19704992603968</v>
      </c>
    </row>
    <row r="5423" customFormat="false" ht="15" hidden="false" customHeight="false" outlineLevel="0" collapsed="false">
      <c r="A5423" s="0" t="n">
        <v>5422</v>
      </c>
      <c r="B5423" s="14" t="n">
        <v>103945.65931362</v>
      </c>
      <c r="C5423" s="15" t="n">
        <v>0.1590946954989</v>
      </c>
      <c r="D5423" s="14" t="n">
        <f aca="false">Summary!$B$5-B5423</f>
        <v>-3945.6593136195</v>
      </c>
      <c r="E5423" s="15" t="n">
        <f aca="false">B5423/Summary!$B$5-1</f>
        <v>0.039456593136195</v>
      </c>
    </row>
    <row r="5424" customFormat="false" ht="15" hidden="false" customHeight="false" outlineLevel="0" collapsed="false">
      <c r="A5424" s="0" t="n">
        <v>5423</v>
      </c>
      <c r="B5424" s="14" t="n">
        <v>112268.028889495</v>
      </c>
      <c r="C5424" s="15" t="n">
        <v>0.101971380604703</v>
      </c>
      <c r="D5424" s="14" t="n">
        <f aca="false">Summary!$B$5-B5424</f>
        <v>-12268.0288894953</v>
      </c>
      <c r="E5424" s="15" t="n">
        <f aca="false">B5424/Summary!$B$5-1</f>
        <v>0.122680288894953</v>
      </c>
    </row>
    <row r="5425" customFormat="false" ht="15" hidden="false" customHeight="false" outlineLevel="0" collapsed="false">
      <c r="A5425" s="0" t="n">
        <v>5424</v>
      </c>
      <c r="B5425" s="14" t="n">
        <v>120674.846815648</v>
      </c>
      <c r="C5425" s="15" t="n">
        <v>0.0723220245799809</v>
      </c>
      <c r="D5425" s="14" t="n">
        <f aca="false">Summary!$B$5-B5425</f>
        <v>-20674.8468156475</v>
      </c>
      <c r="E5425" s="15" t="n">
        <f aca="false">B5425/Summary!$B$5-1</f>
        <v>0.206748468156475</v>
      </c>
    </row>
    <row r="5426" customFormat="false" ht="15" hidden="false" customHeight="false" outlineLevel="0" collapsed="false">
      <c r="A5426" s="0" t="n">
        <v>5425</v>
      </c>
      <c r="B5426" s="14" t="n">
        <v>130998.745406956</v>
      </c>
      <c r="C5426" s="15" t="n">
        <v>0.0900572936483</v>
      </c>
      <c r="D5426" s="14" t="n">
        <f aca="false">Summary!$B$5-B5426</f>
        <v>-30998.7454069561</v>
      </c>
      <c r="E5426" s="15" t="n">
        <f aca="false">B5426/Summary!$B$5-1</f>
        <v>0.309987454069561</v>
      </c>
    </row>
    <row r="5427" customFormat="false" ht="15" hidden="false" customHeight="false" outlineLevel="0" collapsed="false">
      <c r="A5427" s="0" t="n">
        <v>5426</v>
      </c>
      <c r="B5427" s="14" t="n">
        <v>130271.46104332</v>
      </c>
      <c r="C5427" s="15" t="n">
        <v>0.0954901848183505</v>
      </c>
      <c r="D5427" s="14" t="n">
        <f aca="false">Summary!$B$5-B5427</f>
        <v>-30271.4610433201</v>
      </c>
      <c r="E5427" s="15" t="n">
        <f aca="false">B5427/Summary!$B$5-1</f>
        <v>0.302714610433201</v>
      </c>
    </row>
    <row r="5428" customFormat="false" ht="15" hidden="false" customHeight="false" outlineLevel="0" collapsed="false">
      <c r="A5428" s="0" t="n">
        <v>5427</v>
      </c>
      <c r="B5428" s="14" t="n">
        <v>104980.845626021</v>
      </c>
      <c r="C5428" s="15" t="n">
        <v>0.126314363257689</v>
      </c>
      <c r="D5428" s="14" t="n">
        <f aca="false">Summary!$B$5-B5428</f>
        <v>-4980.84562602099</v>
      </c>
      <c r="E5428" s="15" t="n">
        <f aca="false">B5428/Summary!$B$5-1</f>
        <v>0.0498084562602099</v>
      </c>
    </row>
    <row r="5429" customFormat="false" ht="15" hidden="false" customHeight="false" outlineLevel="0" collapsed="false">
      <c r="A5429" s="0" t="n">
        <v>5428</v>
      </c>
      <c r="B5429" s="14" t="n">
        <v>97091.7616643546</v>
      </c>
      <c r="C5429" s="15" t="n">
        <v>0.114680508713798</v>
      </c>
      <c r="D5429" s="14" t="n">
        <f aca="false">Summary!$B$5-B5429</f>
        <v>2908.23833564538</v>
      </c>
      <c r="E5429" s="15" t="n">
        <f aca="false">B5429/Summary!$B$5-1</f>
        <v>-0.0290823833564537</v>
      </c>
    </row>
    <row r="5430" customFormat="false" ht="15" hidden="false" customHeight="false" outlineLevel="0" collapsed="false">
      <c r="A5430" s="0" t="n">
        <v>5429</v>
      </c>
      <c r="B5430" s="14" t="n">
        <v>117693.435740736</v>
      </c>
      <c r="C5430" s="15" t="n">
        <v>0.0854317312983913</v>
      </c>
      <c r="D5430" s="14" t="n">
        <f aca="false">Summary!$B$5-B5430</f>
        <v>-17693.4357407362</v>
      </c>
      <c r="E5430" s="15" t="n">
        <f aca="false">B5430/Summary!$B$5-1</f>
        <v>0.176934357407362</v>
      </c>
    </row>
    <row r="5431" customFormat="false" ht="15" hidden="false" customHeight="false" outlineLevel="0" collapsed="false">
      <c r="A5431" s="0" t="n">
        <v>5430</v>
      </c>
      <c r="B5431" s="14" t="n">
        <v>128568.259955192</v>
      </c>
      <c r="C5431" s="15" t="n">
        <v>0.0888563067482857</v>
      </c>
      <c r="D5431" s="14" t="n">
        <f aca="false">Summary!$B$5-B5431</f>
        <v>-28568.2599551918</v>
      </c>
      <c r="E5431" s="15" t="n">
        <f aca="false">B5431/Summary!$B$5-1</f>
        <v>0.285682599551918</v>
      </c>
    </row>
    <row r="5432" customFormat="false" ht="15" hidden="false" customHeight="false" outlineLevel="0" collapsed="false">
      <c r="A5432" s="0" t="n">
        <v>5431</v>
      </c>
      <c r="B5432" s="14" t="n">
        <v>98602.4136438243</v>
      </c>
      <c r="C5432" s="15" t="n">
        <v>0.108363206336063</v>
      </c>
      <c r="D5432" s="14" t="n">
        <f aca="false">Summary!$B$5-B5432</f>
        <v>1397.58635617566</v>
      </c>
      <c r="E5432" s="15" t="n">
        <f aca="false">B5432/Summary!$B$5-1</f>
        <v>-0.0139758635617565</v>
      </c>
    </row>
    <row r="5433" customFormat="false" ht="15" hidden="false" customHeight="false" outlineLevel="0" collapsed="false">
      <c r="A5433" s="0" t="n">
        <v>5432</v>
      </c>
      <c r="B5433" s="14" t="n">
        <v>111177.456635632</v>
      </c>
      <c r="C5433" s="15" t="n">
        <v>0.0977353169069566</v>
      </c>
      <c r="D5433" s="14" t="n">
        <f aca="false">Summary!$B$5-B5433</f>
        <v>-11177.456635632</v>
      </c>
      <c r="E5433" s="15" t="n">
        <f aca="false">B5433/Summary!$B$5-1</f>
        <v>0.11177456635632</v>
      </c>
    </row>
    <row r="5434" customFormat="false" ht="15" hidden="false" customHeight="false" outlineLevel="0" collapsed="false">
      <c r="A5434" s="0" t="n">
        <v>5433</v>
      </c>
      <c r="B5434" s="14" t="n">
        <v>98000.1379618945</v>
      </c>
      <c r="C5434" s="15" t="n">
        <v>0.101237271232185</v>
      </c>
      <c r="D5434" s="14" t="n">
        <f aca="false">Summary!$B$5-B5434</f>
        <v>1999.86203810549</v>
      </c>
      <c r="E5434" s="15" t="n">
        <f aca="false">B5434/Summary!$B$5-1</f>
        <v>-0.0199986203810549</v>
      </c>
    </row>
    <row r="5435" customFormat="false" ht="15" hidden="false" customHeight="false" outlineLevel="0" collapsed="false">
      <c r="A5435" s="0" t="n">
        <v>5434</v>
      </c>
      <c r="B5435" s="14" t="n">
        <v>168810.107179591</v>
      </c>
      <c r="C5435" s="15" t="n">
        <v>0.0369688626511335</v>
      </c>
      <c r="D5435" s="14" t="n">
        <f aca="false">Summary!$B$5-B5435</f>
        <v>-68810.107179591</v>
      </c>
      <c r="E5435" s="15" t="n">
        <f aca="false">B5435/Summary!$B$5-1</f>
        <v>0.68810107179591</v>
      </c>
    </row>
    <row r="5436" customFormat="false" ht="15" hidden="false" customHeight="false" outlineLevel="0" collapsed="false">
      <c r="A5436" s="0" t="n">
        <v>5435</v>
      </c>
      <c r="B5436" s="14" t="n">
        <v>107872.743025043</v>
      </c>
      <c r="C5436" s="15" t="n">
        <v>0.0762790866200492</v>
      </c>
      <c r="D5436" s="14" t="n">
        <f aca="false">Summary!$B$5-B5436</f>
        <v>-7872.743025043</v>
      </c>
      <c r="E5436" s="15" t="n">
        <f aca="false">B5436/Summary!$B$5-1</f>
        <v>0.0787274302504299</v>
      </c>
    </row>
    <row r="5437" customFormat="false" ht="15" hidden="false" customHeight="false" outlineLevel="0" collapsed="false">
      <c r="A5437" s="0" t="n">
        <v>5436</v>
      </c>
      <c r="B5437" s="14" t="n">
        <v>107951.73489129</v>
      </c>
      <c r="C5437" s="15" t="n">
        <v>0.0886958297640769</v>
      </c>
      <c r="D5437" s="14" t="n">
        <f aca="false">Summary!$B$5-B5437</f>
        <v>-7951.7348912896</v>
      </c>
      <c r="E5437" s="15" t="n">
        <f aca="false">B5437/Summary!$B$5-1</f>
        <v>0.079517348912896</v>
      </c>
    </row>
    <row r="5438" customFormat="false" ht="15" hidden="false" customHeight="false" outlineLevel="0" collapsed="false">
      <c r="A5438" s="0" t="n">
        <v>5437</v>
      </c>
      <c r="B5438" s="14" t="n">
        <v>111018.711903702</v>
      </c>
      <c r="C5438" s="15" t="n">
        <v>0.0829644984978111</v>
      </c>
      <c r="D5438" s="14" t="n">
        <f aca="false">Summary!$B$5-B5438</f>
        <v>-11018.7119037018</v>
      </c>
      <c r="E5438" s="15" t="n">
        <f aca="false">B5438/Summary!$B$5-1</f>
        <v>0.110187119037018</v>
      </c>
    </row>
    <row r="5439" customFormat="false" ht="15" hidden="false" customHeight="false" outlineLevel="0" collapsed="false">
      <c r="A5439" s="0" t="n">
        <v>5438</v>
      </c>
      <c r="B5439" s="14" t="n">
        <v>122028.35293873</v>
      </c>
      <c r="C5439" s="15" t="n">
        <v>0.0684013074689039</v>
      </c>
      <c r="D5439" s="14" t="n">
        <f aca="false">Summary!$B$5-B5439</f>
        <v>-22028.3529387299</v>
      </c>
      <c r="E5439" s="15" t="n">
        <f aca="false">B5439/Summary!$B$5-1</f>
        <v>0.220283529387299</v>
      </c>
    </row>
    <row r="5440" customFormat="false" ht="15" hidden="false" customHeight="false" outlineLevel="0" collapsed="false">
      <c r="A5440" s="0" t="n">
        <v>5439</v>
      </c>
      <c r="B5440" s="14" t="n">
        <v>98097.3819093176</v>
      </c>
      <c r="C5440" s="15" t="n">
        <v>0.105401120211863</v>
      </c>
      <c r="D5440" s="14" t="n">
        <f aca="false">Summary!$B$5-B5440</f>
        <v>1902.61809068237</v>
      </c>
      <c r="E5440" s="15" t="n">
        <f aca="false">B5440/Summary!$B$5-1</f>
        <v>-0.0190261809068237</v>
      </c>
    </row>
    <row r="5441" customFormat="false" ht="15" hidden="false" customHeight="false" outlineLevel="0" collapsed="false">
      <c r="A5441" s="0" t="n">
        <v>5440</v>
      </c>
      <c r="B5441" s="14" t="n">
        <v>103376.530594375</v>
      </c>
      <c r="C5441" s="15" t="n">
        <v>0.104503724618466</v>
      </c>
      <c r="D5441" s="14" t="n">
        <f aca="false">Summary!$B$5-B5441</f>
        <v>-3376.53059437541</v>
      </c>
      <c r="E5441" s="15" t="n">
        <f aca="false">B5441/Summary!$B$5-1</f>
        <v>0.0337653059437542</v>
      </c>
    </row>
    <row r="5442" customFormat="false" ht="15" hidden="false" customHeight="false" outlineLevel="0" collapsed="false">
      <c r="A5442" s="0" t="n">
        <v>5441</v>
      </c>
      <c r="B5442" s="14" t="n">
        <v>143956.76956921</v>
      </c>
      <c r="C5442" s="15" t="n">
        <v>0.0436211661189941</v>
      </c>
      <c r="D5442" s="14" t="n">
        <f aca="false">Summary!$B$5-B5442</f>
        <v>-43956.7695692095</v>
      </c>
      <c r="E5442" s="15" t="n">
        <f aca="false">B5442/Summary!$B$5-1</f>
        <v>0.439567695692095</v>
      </c>
    </row>
    <row r="5443" customFormat="false" ht="15" hidden="false" customHeight="false" outlineLevel="0" collapsed="false">
      <c r="A5443" s="0" t="n">
        <v>5442</v>
      </c>
      <c r="B5443" s="14" t="n">
        <v>107372.382539732</v>
      </c>
      <c r="C5443" s="15" t="n">
        <v>0.0917980779487141</v>
      </c>
      <c r="D5443" s="14" t="n">
        <f aca="false">Summary!$B$5-B5443</f>
        <v>-7372.382539732</v>
      </c>
      <c r="E5443" s="15" t="n">
        <f aca="false">B5443/Summary!$B$5-1</f>
        <v>0.07372382539732</v>
      </c>
    </row>
    <row r="5444" customFormat="false" ht="15" hidden="false" customHeight="false" outlineLevel="0" collapsed="false">
      <c r="A5444" s="0" t="n">
        <v>5443</v>
      </c>
      <c r="B5444" s="14" t="n">
        <v>132024.087576138</v>
      </c>
      <c r="C5444" s="15" t="n">
        <v>0.0763273265656977</v>
      </c>
      <c r="D5444" s="14" t="n">
        <f aca="false">Summary!$B$5-B5444</f>
        <v>-32024.087576138</v>
      </c>
      <c r="E5444" s="15" t="n">
        <f aca="false">B5444/Summary!$B$5-1</f>
        <v>0.32024087576138</v>
      </c>
    </row>
    <row r="5445" customFormat="false" ht="15" hidden="false" customHeight="false" outlineLevel="0" collapsed="false">
      <c r="A5445" s="0" t="n">
        <v>5444</v>
      </c>
      <c r="B5445" s="14" t="n">
        <v>116009.957336156</v>
      </c>
      <c r="C5445" s="15" t="n">
        <v>0.0590673242283184</v>
      </c>
      <c r="D5445" s="14" t="n">
        <f aca="false">Summary!$B$5-B5445</f>
        <v>-16009.9573361559</v>
      </c>
      <c r="E5445" s="15" t="n">
        <f aca="false">B5445/Summary!$B$5-1</f>
        <v>0.160099573361559</v>
      </c>
    </row>
    <row r="5446" customFormat="false" ht="15" hidden="false" customHeight="false" outlineLevel="0" collapsed="false">
      <c r="A5446" s="0" t="n">
        <v>5445</v>
      </c>
      <c r="B5446" s="14" t="n">
        <v>110578.276624053</v>
      </c>
      <c r="C5446" s="15" t="n">
        <v>0.0940187688458435</v>
      </c>
      <c r="D5446" s="14" t="n">
        <f aca="false">Summary!$B$5-B5446</f>
        <v>-10578.2766240533</v>
      </c>
      <c r="E5446" s="15" t="n">
        <f aca="false">B5446/Summary!$B$5-1</f>
        <v>0.105782766240533</v>
      </c>
    </row>
    <row r="5447" customFormat="false" ht="15" hidden="false" customHeight="false" outlineLevel="0" collapsed="false">
      <c r="A5447" s="0" t="n">
        <v>5446</v>
      </c>
      <c r="B5447" s="14" t="n">
        <v>109822.833223336</v>
      </c>
      <c r="C5447" s="15" t="n">
        <v>0.078508649372482</v>
      </c>
      <c r="D5447" s="14" t="n">
        <f aca="false">Summary!$B$5-B5447</f>
        <v>-9822.8332233359</v>
      </c>
      <c r="E5447" s="15" t="n">
        <f aca="false">B5447/Summary!$B$5-1</f>
        <v>0.098228332233359</v>
      </c>
    </row>
    <row r="5448" customFormat="false" ht="15" hidden="false" customHeight="false" outlineLevel="0" collapsed="false">
      <c r="A5448" s="0" t="n">
        <v>5447</v>
      </c>
      <c r="B5448" s="14" t="n">
        <v>115242.053232144</v>
      </c>
      <c r="C5448" s="15" t="n">
        <v>0.0693493712025066</v>
      </c>
      <c r="D5448" s="14" t="n">
        <f aca="false">Summary!$B$5-B5448</f>
        <v>-15242.0532321436</v>
      </c>
      <c r="E5448" s="15" t="n">
        <f aca="false">B5448/Summary!$B$5-1</f>
        <v>0.152420532321436</v>
      </c>
    </row>
    <row r="5449" customFormat="false" ht="15" hidden="false" customHeight="false" outlineLevel="0" collapsed="false">
      <c r="A5449" s="0" t="n">
        <v>5448</v>
      </c>
      <c r="B5449" s="14" t="n">
        <v>105957.943454442</v>
      </c>
      <c r="C5449" s="15" t="n">
        <v>0.0925339601904903</v>
      </c>
      <c r="D5449" s="14" t="n">
        <f aca="false">Summary!$B$5-B5449</f>
        <v>-5957.9434544424</v>
      </c>
      <c r="E5449" s="15" t="n">
        <f aca="false">B5449/Summary!$B$5-1</f>
        <v>0.0595794345444241</v>
      </c>
    </row>
    <row r="5450" customFormat="false" ht="15" hidden="false" customHeight="false" outlineLevel="0" collapsed="false">
      <c r="A5450" s="0" t="n">
        <v>5449</v>
      </c>
      <c r="B5450" s="14" t="n">
        <v>115068.420678651</v>
      </c>
      <c r="C5450" s="15" t="n">
        <v>0.153160955807262</v>
      </c>
      <c r="D5450" s="14" t="n">
        <f aca="false">Summary!$B$5-B5450</f>
        <v>-15068.4206786511</v>
      </c>
      <c r="E5450" s="15" t="n">
        <f aca="false">B5450/Summary!$B$5-1</f>
        <v>0.150684206786511</v>
      </c>
    </row>
    <row r="5451" customFormat="false" ht="15" hidden="false" customHeight="false" outlineLevel="0" collapsed="false">
      <c r="A5451" s="0" t="n">
        <v>5450</v>
      </c>
      <c r="B5451" s="14" t="n">
        <v>122027.98870231</v>
      </c>
      <c r="C5451" s="15" t="n">
        <v>0.0483768886507295</v>
      </c>
      <c r="D5451" s="14" t="n">
        <f aca="false">Summary!$B$5-B5451</f>
        <v>-22027.9887023104</v>
      </c>
      <c r="E5451" s="15" t="n">
        <f aca="false">B5451/Summary!$B$5-1</f>
        <v>0.220279887023104</v>
      </c>
    </row>
    <row r="5452" customFormat="false" ht="15" hidden="false" customHeight="false" outlineLevel="0" collapsed="false">
      <c r="A5452" s="0" t="n">
        <v>5451</v>
      </c>
      <c r="B5452" s="14" t="n">
        <v>132192.29698575</v>
      </c>
      <c r="C5452" s="15" t="n">
        <v>0.0729300459281415</v>
      </c>
      <c r="D5452" s="14" t="n">
        <f aca="false">Summary!$B$5-B5452</f>
        <v>-32192.2969857503</v>
      </c>
      <c r="E5452" s="15" t="n">
        <f aca="false">B5452/Summary!$B$5-1</f>
        <v>0.321922969857503</v>
      </c>
    </row>
    <row r="5453" customFormat="false" ht="15" hidden="false" customHeight="false" outlineLevel="0" collapsed="false">
      <c r="A5453" s="0" t="n">
        <v>5452</v>
      </c>
      <c r="B5453" s="14" t="n">
        <v>128694.240516516</v>
      </c>
      <c r="C5453" s="15" t="n">
        <v>0.065940183110912</v>
      </c>
      <c r="D5453" s="14" t="n">
        <f aca="false">Summary!$B$5-B5453</f>
        <v>-28694.2405165155</v>
      </c>
      <c r="E5453" s="15" t="n">
        <f aca="false">B5453/Summary!$B$5-1</f>
        <v>0.286942405165155</v>
      </c>
    </row>
    <row r="5454" customFormat="false" ht="15" hidden="false" customHeight="false" outlineLevel="0" collapsed="false">
      <c r="A5454" s="0" t="n">
        <v>5453</v>
      </c>
      <c r="B5454" s="14" t="n">
        <v>111757.982967937</v>
      </c>
      <c r="C5454" s="15" t="n">
        <v>0.124684711343272</v>
      </c>
      <c r="D5454" s="14" t="n">
        <f aca="false">Summary!$B$5-B5454</f>
        <v>-11757.9829679366</v>
      </c>
      <c r="E5454" s="15" t="n">
        <f aca="false">B5454/Summary!$B$5-1</f>
        <v>0.117579829679366</v>
      </c>
    </row>
    <row r="5455" customFormat="false" ht="15" hidden="false" customHeight="false" outlineLevel="0" collapsed="false">
      <c r="A5455" s="0" t="n">
        <v>5454</v>
      </c>
      <c r="B5455" s="14" t="n">
        <v>90347.3533753845</v>
      </c>
      <c r="C5455" s="15" t="n">
        <v>0.143521113774696</v>
      </c>
      <c r="D5455" s="14" t="n">
        <f aca="false">Summary!$B$5-B5455</f>
        <v>9652.64662461555</v>
      </c>
      <c r="E5455" s="15" t="n">
        <f aca="false">B5455/Summary!$B$5-1</f>
        <v>-0.0965264662461555</v>
      </c>
    </row>
    <row r="5456" customFormat="false" ht="15" hidden="false" customHeight="false" outlineLevel="0" collapsed="false">
      <c r="A5456" s="0" t="n">
        <v>5455</v>
      </c>
      <c r="B5456" s="14" t="n">
        <v>108781.614773323</v>
      </c>
      <c r="C5456" s="15" t="n">
        <v>0.101298845701914</v>
      </c>
      <c r="D5456" s="14" t="n">
        <f aca="false">Summary!$B$5-B5456</f>
        <v>-8781.614773323</v>
      </c>
      <c r="E5456" s="15" t="n">
        <f aca="false">B5456/Summary!$B$5-1</f>
        <v>0.08781614773323</v>
      </c>
    </row>
    <row r="5457" customFormat="false" ht="15" hidden="false" customHeight="false" outlineLevel="0" collapsed="false">
      <c r="A5457" s="0" t="n">
        <v>5456</v>
      </c>
      <c r="B5457" s="14" t="n">
        <v>126629.778641797</v>
      </c>
      <c r="C5457" s="15" t="n">
        <v>0.0954166208320219</v>
      </c>
      <c r="D5457" s="14" t="n">
        <f aca="false">Summary!$B$5-B5457</f>
        <v>-26629.7786417966</v>
      </c>
      <c r="E5457" s="15" t="n">
        <f aca="false">B5457/Summary!$B$5-1</f>
        <v>0.266297786417966</v>
      </c>
    </row>
    <row r="5458" customFormat="false" ht="15" hidden="false" customHeight="false" outlineLevel="0" collapsed="false">
      <c r="A5458" s="0" t="n">
        <v>5457</v>
      </c>
      <c r="B5458" s="14" t="n">
        <v>119053.866241611</v>
      </c>
      <c r="C5458" s="15" t="n">
        <v>0.0506816922351328</v>
      </c>
      <c r="D5458" s="14" t="n">
        <f aca="false">Summary!$B$5-B5458</f>
        <v>-19053.8662416108</v>
      </c>
      <c r="E5458" s="15" t="n">
        <f aca="false">B5458/Summary!$B$5-1</f>
        <v>0.190538662416108</v>
      </c>
    </row>
    <row r="5459" customFormat="false" ht="15" hidden="false" customHeight="false" outlineLevel="0" collapsed="false">
      <c r="A5459" s="0" t="n">
        <v>5458</v>
      </c>
      <c r="B5459" s="14" t="n">
        <v>113387.739115424</v>
      </c>
      <c r="C5459" s="15" t="n">
        <v>0.0779313073636407</v>
      </c>
      <c r="D5459" s="14" t="n">
        <f aca="false">Summary!$B$5-B5459</f>
        <v>-13387.7391154237</v>
      </c>
      <c r="E5459" s="15" t="n">
        <f aca="false">B5459/Summary!$B$5-1</f>
        <v>0.133877391154237</v>
      </c>
    </row>
    <row r="5460" customFormat="false" ht="15" hidden="false" customHeight="false" outlineLevel="0" collapsed="false">
      <c r="A5460" s="0" t="n">
        <v>5459</v>
      </c>
      <c r="B5460" s="14" t="n">
        <v>102894.775203191</v>
      </c>
      <c r="C5460" s="15" t="n">
        <v>0.152849409650395</v>
      </c>
      <c r="D5460" s="14" t="n">
        <f aca="false">Summary!$B$5-B5460</f>
        <v>-2894.7752031913</v>
      </c>
      <c r="E5460" s="15" t="n">
        <f aca="false">B5460/Summary!$B$5-1</f>
        <v>0.028947752031913</v>
      </c>
    </row>
    <row r="5461" customFormat="false" ht="15" hidden="false" customHeight="false" outlineLevel="0" collapsed="false">
      <c r="A5461" s="0" t="n">
        <v>5460</v>
      </c>
      <c r="B5461" s="14" t="n">
        <v>99549.4010461304</v>
      </c>
      <c r="C5461" s="15" t="n">
        <v>0.086036030479986</v>
      </c>
      <c r="D5461" s="14" t="n">
        <f aca="false">Summary!$B$5-B5461</f>
        <v>450.598953869572</v>
      </c>
      <c r="E5461" s="15" t="n">
        <f aca="false">B5461/Summary!$B$5-1</f>
        <v>-0.00450598953869574</v>
      </c>
    </row>
    <row r="5462" customFormat="false" ht="15" hidden="false" customHeight="false" outlineLevel="0" collapsed="false">
      <c r="A5462" s="0" t="n">
        <v>5461</v>
      </c>
      <c r="B5462" s="14" t="n">
        <v>110987.662385671</v>
      </c>
      <c r="C5462" s="15" t="n">
        <v>0.108594225228978</v>
      </c>
      <c r="D5462" s="14" t="n">
        <f aca="false">Summary!$B$5-B5462</f>
        <v>-10987.6623856714</v>
      </c>
      <c r="E5462" s="15" t="n">
        <f aca="false">B5462/Summary!$B$5-1</f>
        <v>0.109876623856714</v>
      </c>
    </row>
    <row r="5463" customFormat="false" ht="15" hidden="false" customHeight="false" outlineLevel="0" collapsed="false">
      <c r="A5463" s="0" t="n">
        <v>5462</v>
      </c>
      <c r="B5463" s="14" t="n">
        <v>132221.654847131</v>
      </c>
      <c r="C5463" s="15" t="n">
        <v>0.0641802888331526</v>
      </c>
      <c r="D5463" s="14" t="n">
        <f aca="false">Summary!$B$5-B5463</f>
        <v>-32221.6548471306</v>
      </c>
      <c r="E5463" s="15" t="n">
        <f aca="false">B5463/Summary!$B$5-1</f>
        <v>0.322216548471306</v>
      </c>
    </row>
    <row r="5464" customFormat="false" ht="15" hidden="false" customHeight="false" outlineLevel="0" collapsed="false">
      <c r="A5464" s="0" t="n">
        <v>5463</v>
      </c>
      <c r="B5464" s="14" t="n">
        <v>122538.881311052</v>
      </c>
      <c r="C5464" s="15" t="n">
        <v>0.0948394594092784</v>
      </c>
      <c r="D5464" s="14" t="n">
        <f aca="false">Summary!$B$5-B5464</f>
        <v>-22538.8813110516</v>
      </c>
      <c r="E5464" s="15" t="n">
        <f aca="false">B5464/Summary!$B$5-1</f>
        <v>0.225388813110516</v>
      </c>
    </row>
    <row r="5465" customFormat="false" ht="15" hidden="false" customHeight="false" outlineLevel="0" collapsed="false">
      <c r="A5465" s="0" t="n">
        <v>5464</v>
      </c>
      <c r="B5465" s="14" t="n">
        <v>95820.5413135741</v>
      </c>
      <c r="C5465" s="15" t="n">
        <v>0.126370478675489</v>
      </c>
      <c r="D5465" s="14" t="n">
        <f aca="false">Summary!$B$5-B5465</f>
        <v>4179.45868642589</v>
      </c>
      <c r="E5465" s="15" t="n">
        <f aca="false">B5465/Summary!$B$5-1</f>
        <v>-0.0417945868642589</v>
      </c>
    </row>
    <row r="5466" customFormat="false" ht="15" hidden="false" customHeight="false" outlineLevel="0" collapsed="false">
      <c r="A5466" s="0" t="n">
        <v>5465</v>
      </c>
      <c r="B5466" s="14" t="n">
        <v>102586.041903498</v>
      </c>
      <c r="C5466" s="15" t="n">
        <v>0.095205366489714</v>
      </c>
      <c r="D5466" s="14" t="n">
        <f aca="false">Summary!$B$5-B5466</f>
        <v>-2586.04190349839</v>
      </c>
      <c r="E5466" s="15" t="n">
        <f aca="false">B5466/Summary!$B$5-1</f>
        <v>0.025860419034984</v>
      </c>
    </row>
    <row r="5467" customFormat="false" ht="15" hidden="false" customHeight="false" outlineLevel="0" collapsed="false">
      <c r="A5467" s="0" t="n">
        <v>5466</v>
      </c>
      <c r="B5467" s="14" t="n">
        <v>133492.316817185</v>
      </c>
      <c r="C5467" s="15" t="n">
        <v>0.0460630378948613</v>
      </c>
      <c r="D5467" s="14" t="n">
        <f aca="false">Summary!$B$5-B5467</f>
        <v>-33492.316817185</v>
      </c>
      <c r="E5467" s="15" t="n">
        <f aca="false">B5467/Summary!$B$5-1</f>
        <v>0.33492316817185</v>
      </c>
    </row>
    <row r="5468" customFormat="false" ht="15" hidden="false" customHeight="false" outlineLevel="0" collapsed="false">
      <c r="A5468" s="0" t="n">
        <v>5467</v>
      </c>
      <c r="B5468" s="14" t="n">
        <v>102019.247944983</v>
      </c>
      <c r="C5468" s="15" t="n">
        <v>0.101177540883437</v>
      </c>
      <c r="D5468" s="14" t="n">
        <f aca="false">Summary!$B$5-B5468</f>
        <v>-2019.2479449828</v>
      </c>
      <c r="E5468" s="15" t="n">
        <f aca="false">B5468/Summary!$B$5-1</f>
        <v>0.0201924794498281</v>
      </c>
    </row>
    <row r="5469" customFormat="false" ht="15" hidden="false" customHeight="false" outlineLevel="0" collapsed="false">
      <c r="A5469" s="0" t="n">
        <v>5468</v>
      </c>
      <c r="B5469" s="14" t="n">
        <v>96561.8762540154</v>
      </c>
      <c r="C5469" s="15" t="n">
        <v>0.14407779889653</v>
      </c>
      <c r="D5469" s="14" t="n">
        <f aca="false">Summary!$B$5-B5469</f>
        <v>3438.12374598459</v>
      </c>
      <c r="E5469" s="15" t="n">
        <f aca="false">B5469/Summary!$B$5-1</f>
        <v>-0.0343812374598459</v>
      </c>
    </row>
    <row r="5470" customFormat="false" ht="15" hidden="false" customHeight="false" outlineLevel="0" collapsed="false">
      <c r="A5470" s="0" t="n">
        <v>5469</v>
      </c>
      <c r="B5470" s="14" t="n">
        <v>117440.24393644</v>
      </c>
      <c r="C5470" s="15" t="n">
        <v>0.0953179551239763</v>
      </c>
      <c r="D5470" s="14" t="n">
        <f aca="false">Summary!$B$5-B5470</f>
        <v>-17440.2439364404</v>
      </c>
      <c r="E5470" s="15" t="n">
        <f aca="false">B5470/Summary!$B$5-1</f>
        <v>0.174402439364404</v>
      </c>
    </row>
    <row r="5471" customFormat="false" ht="15" hidden="false" customHeight="false" outlineLevel="0" collapsed="false">
      <c r="A5471" s="0" t="n">
        <v>5470</v>
      </c>
      <c r="B5471" s="14" t="n">
        <v>101419.20881187</v>
      </c>
      <c r="C5471" s="15" t="n">
        <v>0.0731630522076099</v>
      </c>
      <c r="D5471" s="14" t="n">
        <f aca="false">Summary!$B$5-B5471</f>
        <v>-1419.2088118697</v>
      </c>
      <c r="E5471" s="15" t="n">
        <f aca="false">B5471/Summary!$B$5-1</f>
        <v>0.014192088118697</v>
      </c>
    </row>
    <row r="5472" customFormat="false" ht="15" hidden="false" customHeight="false" outlineLevel="0" collapsed="false">
      <c r="A5472" s="0" t="n">
        <v>5471</v>
      </c>
      <c r="B5472" s="14" t="n">
        <v>110123.383232127</v>
      </c>
      <c r="C5472" s="15" t="n">
        <v>0.0666671534733567</v>
      </c>
      <c r="D5472" s="14" t="n">
        <f aca="false">Summary!$B$5-B5472</f>
        <v>-10123.3832321271</v>
      </c>
      <c r="E5472" s="15" t="n">
        <f aca="false">B5472/Summary!$B$5-1</f>
        <v>0.101233832321271</v>
      </c>
    </row>
    <row r="5473" customFormat="false" ht="15" hidden="false" customHeight="false" outlineLevel="0" collapsed="false">
      <c r="A5473" s="0" t="n">
        <v>5472</v>
      </c>
      <c r="B5473" s="14" t="n">
        <v>105168.424905695</v>
      </c>
      <c r="C5473" s="15" t="n">
        <v>0.105578138002098</v>
      </c>
      <c r="D5473" s="14" t="n">
        <f aca="false">Summary!$B$5-B5473</f>
        <v>-5168.4249056948</v>
      </c>
      <c r="E5473" s="15" t="n">
        <f aca="false">B5473/Summary!$B$5-1</f>
        <v>0.051684249056948</v>
      </c>
    </row>
    <row r="5474" customFormat="false" ht="15" hidden="false" customHeight="false" outlineLevel="0" collapsed="false">
      <c r="A5474" s="0" t="n">
        <v>5473</v>
      </c>
      <c r="B5474" s="14" t="n">
        <v>123752.392510126</v>
      </c>
      <c r="C5474" s="15" t="n">
        <v>0.06493997374548</v>
      </c>
      <c r="D5474" s="14" t="n">
        <f aca="false">Summary!$B$5-B5474</f>
        <v>-23752.392510126</v>
      </c>
      <c r="E5474" s="15" t="n">
        <f aca="false">B5474/Summary!$B$5-1</f>
        <v>0.23752392510126</v>
      </c>
    </row>
    <row r="5475" customFormat="false" ht="15" hidden="false" customHeight="false" outlineLevel="0" collapsed="false">
      <c r="A5475" s="0" t="n">
        <v>5474</v>
      </c>
      <c r="B5475" s="14" t="n">
        <v>105063.795991535</v>
      </c>
      <c r="C5475" s="15" t="n">
        <v>0.197732801915608</v>
      </c>
      <c r="D5475" s="14" t="n">
        <f aca="false">Summary!$B$5-B5475</f>
        <v>-5063.79599153491</v>
      </c>
      <c r="E5475" s="15" t="n">
        <f aca="false">B5475/Summary!$B$5-1</f>
        <v>0.050637959915349</v>
      </c>
    </row>
    <row r="5476" customFormat="false" ht="15" hidden="false" customHeight="false" outlineLevel="0" collapsed="false">
      <c r="A5476" s="0" t="n">
        <v>5475</v>
      </c>
      <c r="B5476" s="14" t="n">
        <v>107299.999839747</v>
      </c>
      <c r="C5476" s="15" t="n">
        <v>0.109893148096155</v>
      </c>
      <c r="D5476" s="14" t="n">
        <f aca="false">Summary!$B$5-B5476</f>
        <v>-7299.9998397467</v>
      </c>
      <c r="E5476" s="15" t="n">
        <f aca="false">B5476/Summary!$B$5-1</f>
        <v>0.072999998397467</v>
      </c>
    </row>
    <row r="5477" customFormat="false" ht="15" hidden="false" customHeight="false" outlineLevel="0" collapsed="false">
      <c r="A5477" s="0" t="n">
        <v>5476</v>
      </c>
      <c r="B5477" s="14" t="n">
        <v>107380.693631448</v>
      </c>
      <c r="C5477" s="15" t="n">
        <v>0.148667877831554</v>
      </c>
      <c r="D5477" s="14" t="n">
        <f aca="false">Summary!$B$5-B5477</f>
        <v>-7380.69363144779</v>
      </c>
      <c r="E5477" s="15" t="n">
        <f aca="false">B5477/Summary!$B$5-1</f>
        <v>0.073806936314478</v>
      </c>
    </row>
    <row r="5478" customFormat="false" ht="15" hidden="false" customHeight="false" outlineLevel="0" collapsed="false">
      <c r="A5478" s="0" t="n">
        <v>5477</v>
      </c>
      <c r="B5478" s="14" t="n">
        <v>100697.878874045</v>
      </c>
      <c r="C5478" s="15" t="n">
        <v>0.081401952783968</v>
      </c>
      <c r="D5478" s="14" t="n">
        <f aca="false">Summary!$B$5-B5478</f>
        <v>-697.878874044502</v>
      </c>
      <c r="E5478" s="15" t="n">
        <f aca="false">B5478/Summary!$B$5-1</f>
        <v>0.00697878874044511</v>
      </c>
    </row>
    <row r="5479" customFormat="false" ht="15" hidden="false" customHeight="false" outlineLevel="0" collapsed="false">
      <c r="A5479" s="0" t="n">
        <v>5478</v>
      </c>
      <c r="B5479" s="14" t="n">
        <v>100798.574391851</v>
      </c>
      <c r="C5479" s="15" t="n">
        <v>0.118763551212466</v>
      </c>
      <c r="D5479" s="14" t="n">
        <f aca="false">Summary!$B$5-B5479</f>
        <v>-798.574391850707</v>
      </c>
      <c r="E5479" s="15" t="n">
        <f aca="false">B5479/Summary!$B$5-1</f>
        <v>0.00798574391850715</v>
      </c>
    </row>
    <row r="5480" customFormat="false" ht="15" hidden="false" customHeight="false" outlineLevel="0" collapsed="false">
      <c r="A5480" s="0" t="n">
        <v>5479</v>
      </c>
      <c r="B5480" s="14" t="n">
        <v>103460.763999472</v>
      </c>
      <c r="C5480" s="15" t="n">
        <v>0.130317181856416</v>
      </c>
      <c r="D5480" s="14" t="n">
        <f aca="false">Summary!$B$5-B5480</f>
        <v>-3460.7639994724</v>
      </c>
      <c r="E5480" s="15" t="n">
        <f aca="false">B5480/Summary!$B$5-1</f>
        <v>0.0346076399947239</v>
      </c>
    </row>
    <row r="5481" customFormat="false" ht="15" hidden="false" customHeight="false" outlineLevel="0" collapsed="false">
      <c r="A5481" s="0" t="n">
        <v>5480</v>
      </c>
      <c r="B5481" s="14" t="n">
        <v>85581.0269175175</v>
      </c>
      <c r="C5481" s="15" t="n">
        <v>0.190058448305542</v>
      </c>
      <c r="D5481" s="14" t="n">
        <f aca="false">Summary!$B$5-B5481</f>
        <v>14418.9730824826</v>
      </c>
      <c r="E5481" s="15" t="n">
        <f aca="false">B5481/Summary!$B$5-1</f>
        <v>-0.144189730824826</v>
      </c>
    </row>
    <row r="5482" customFormat="false" ht="15" hidden="false" customHeight="false" outlineLevel="0" collapsed="false">
      <c r="A5482" s="0" t="n">
        <v>5481</v>
      </c>
      <c r="B5482" s="14" t="n">
        <v>120942.418749211</v>
      </c>
      <c r="C5482" s="15" t="n">
        <v>0.046950552076905</v>
      </c>
      <c r="D5482" s="14" t="n">
        <f aca="false">Summary!$B$5-B5482</f>
        <v>-20942.4187492109</v>
      </c>
      <c r="E5482" s="15" t="n">
        <f aca="false">B5482/Summary!$B$5-1</f>
        <v>0.209424187492109</v>
      </c>
    </row>
    <row r="5483" customFormat="false" ht="15" hidden="false" customHeight="false" outlineLevel="0" collapsed="false">
      <c r="A5483" s="0" t="n">
        <v>5482</v>
      </c>
      <c r="B5483" s="14" t="n">
        <v>109694.576647271</v>
      </c>
      <c r="C5483" s="15" t="n">
        <v>0.109194934648748</v>
      </c>
      <c r="D5483" s="14" t="n">
        <f aca="false">Summary!$B$5-B5483</f>
        <v>-9694.57664727089</v>
      </c>
      <c r="E5483" s="15" t="n">
        <f aca="false">B5483/Summary!$B$5-1</f>
        <v>0.0969457664727089</v>
      </c>
    </row>
    <row r="5484" customFormat="false" ht="15" hidden="false" customHeight="false" outlineLevel="0" collapsed="false">
      <c r="A5484" s="0" t="n">
        <v>5483</v>
      </c>
      <c r="B5484" s="14" t="n">
        <v>105485.081524129</v>
      </c>
      <c r="C5484" s="15" t="n">
        <v>0.0829991712217938</v>
      </c>
      <c r="D5484" s="14" t="n">
        <f aca="false">Summary!$B$5-B5484</f>
        <v>-5485.0815241294</v>
      </c>
      <c r="E5484" s="15" t="n">
        <f aca="false">B5484/Summary!$B$5-1</f>
        <v>0.0548508152412941</v>
      </c>
    </row>
    <row r="5485" customFormat="false" ht="15" hidden="false" customHeight="false" outlineLevel="0" collapsed="false">
      <c r="A5485" s="0" t="n">
        <v>5484</v>
      </c>
      <c r="B5485" s="14" t="n">
        <v>124496.357636496</v>
      </c>
      <c r="C5485" s="15" t="n">
        <v>0.0618797876604109</v>
      </c>
      <c r="D5485" s="14" t="n">
        <f aca="false">Summary!$B$5-B5485</f>
        <v>-24496.3576364955</v>
      </c>
      <c r="E5485" s="15" t="n">
        <f aca="false">B5485/Summary!$B$5-1</f>
        <v>0.244963576364955</v>
      </c>
    </row>
    <row r="5486" customFormat="false" ht="15" hidden="false" customHeight="false" outlineLevel="0" collapsed="false">
      <c r="A5486" s="0" t="n">
        <v>5485</v>
      </c>
      <c r="B5486" s="14" t="n">
        <v>112242.245782548</v>
      </c>
      <c r="C5486" s="15" t="n">
        <v>0.0756513049253804</v>
      </c>
      <c r="D5486" s="14" t="n">
        <f aca="false">Summary!$B$5-B5486</f>
        <v>-12242.2457825477</v>
      </c>
      <c r="E5486" s="15" t="n">
        <f aca="false">B5486/Summary!$B$5-1</f>
        <v>0.122422457825477</v>
      </c>
    </row>
    <row r="5487" customFormat="false" ht="15" hidden="false" customHeight="false" outlineLevel="0" collapsed="false">
      <c r="A5487" s="0" t="n">
        <v>5486</v>
      </c>
      <c r="B5487" s="14" t="n">
        <v>88734.0094718913</v>
      </c>
      <c r="C5487" s="15" t="n">
        <v>0.169676058463884</v>
      </c>
      <c r="D5487" s="14" t="n">
        <f aca="false">Summary!$B$5-B5487</f>
        <v>11265.9905281087</v>
      </c>
      <c r="E5487" s="15" t="n">
        <f aca="false">B5487/Summary!$B$5-1</f>
        <v>-0.112659905281087</v>
      </c>
    </row>
    <row r="5488" customFormat="false" ht="15" hidden="false" customHeight="false" outlineLevel="0" collapsed="false">
      <c r="A5488" s="0" t="n">
        <v>5487</v>
      </c>
      <c r="B5488" s="14" t="n">
        <v>124226.668628454</v>
      </c>
      <c r="C5488" s="15" t="n">
        <v>0.0648662103634602</v>
      </c>
      <c r="D5488" s="14" t="n">
        <f aca="false">Summary!$B$5-B5488</f>
        <v>-24226.6686284544</v>
      </c>
      <c r="E5488" s="15" t="n">
        <f aca="false">B5488/Summary!$B$5-1</f>
        <v>0.242266686284544</v>
      </c>
    </row>
    <row r="5489" customFormat="false" ht="15" hidden="false" customHeight="false" outlineLevel="0" collapsed="false">
      <c r="A5489" s="0" t="n">
        <v>5488</v>
      </c>
      <c r="B5489" s="14" t="n">
        <v>92678.0788184058</v>
      </c>
      <c r="C5489" s="15" t="n">
        <v>0.137085691245333</v>
      </c>
      <c r="D5489" s="14" t="n">
        <f aca="false">Summary!$B$5-B5489</f>
        <v>7321.9211815942</v>
      </c>
      <c r="E5489" s="15" t="n">
        <f aca="false">B5489/Summary!$B$5-1</f>
        <v>-0.0732192118159419</v>
      </c>
    </row>
    <row r="5490" customFormat="false" ht="15" hidden="false" customHeight="false" outlineLevel="0" collapsed="false">
      <c r="A5490" s="0" t="n">
        <v>5489</v>
      </c>
      <c r="B5490" s="14" t="n">
        <v>115182.185480242</v>
      </c>
      <c r="C5490" s="15" t="n">
        <v>0.128987350573736</v>
      </c>
      <c r="D5490" s="14" t="n">
        <f aca="false">Summary!$B$5-B5490</f>
        <v>-15182.1854802415</v>
      </c>
      <c r="E5490" s="15" t="n">
        <f aca="false">B5490/Summary!$B$5-1</f>
        <v>0.151821854802415</v>
      </c>
    </row>
    <row r="5491" customFormat="false" ht="15" hidden="false" customHeight="false" outlineLevel="0" collapsed="false">
      <c r="A5491" s="0" t="n">
        <v>5490</v>
      </c>
      <c r="B5491" s="14" t="n">
        <v>112402.782293321</v>
      </c>
      <c r="C5491" s="15" t="n">
        <v>0.0680721213681298</v>
      </c>
      <c r="D5491" s="14" t="n">
        <f aca="false">Summary!$B$5-B5491</f>
        <v>-12402.7822933214</v>
      </c>
      <c r="E5491" s="15" t="n">
        <f aca="false">B5491/Summary!$B$5-1</f>
        <v>0.124027822933214</v>
      </c>
    </row>
    <row r="5492" customFormat="false" ht="15" hidden="false" customHeight="false" outlineLevel="0" collapsed="false">
      <c r="A5492" s="0" t="n">
        <v>5491</v>
      </c>
      <c r="B5492" s="14" t="n">
        <v>91165.6621363157</v>
      </c>
      <c r="C5492" s="15" t="n">
        <v>0.171689322690125</v>
      </c>
      <c r="D5492" s="14" t="n">
        <f aca="false">Summary!$B$5-B5492</f>
        <v>8834.33786368431</v>
      </c>
      <c r="E5492" s="15" t="n">
        <f aca="false">B5492/Summary!$B$5-1</f>
        <v>-0.0883433786368432</v>
      </c>
    </row>
    <row r="5493" customFormat="false" ht="15" hidden="false" customHeight="false" outlineLevel="0" collapsed="false">
      <c r="A5493" s="0" t="n">
        <v>5492</v>
      </c>
      <c r="B5493" s="14" t="n">
        <v>92155.7810982382</v>
      </c>
      <c r="C5493" s="15" t="n">
        <v>0.198680542434028</v>
      </c>
      <c r="D5493" s="14" t="n">
        <f aca="false">Summary!$B$5-B5493</f>
        <v>7844.21890176184</v>
      </c>
      <c r="E5493" s="15" t="n">
        <f aca="false">B5493/Summary!$B$5-1</f>
        <v>-0.0784421890176184</v>
      </c>
    </row>
    <row r="5494" customFormat="false" ht="15" hidden="false" customHeight="false" outlineLevel="0" collapsed="false">
      <c r="A5494" s="0" t="n">
        <v>5493</v>
      </c>
      <c r="B5494" s="14" t="n">
        <v>102428.504320651</v>
      </c>
      <c r="C5494" s="15" t="n">
        <v>0.113830027474143</v>
      </c>
      <c r="D5494" s="14" t="n">
        <f aca="false">Summary!$B$5-B5494</f>
        <v>-2428.50432065059</v>
      </c>
      <c r="E5494" s="15" t="n">
        <f aca="false">B5494/Summary!$B$5-1</f>
        <v>0.024285043206506</v>
      </c>
    </row>
    <row r="5495" customFormat="false" ht="15" hidden="false" customHeight="false" outlineLevel="0" collapsed="false">
      <c r="A5495" s="0" t="n">
        <v>5494</v>
      </c>
      <c r="B5495" s="14" t="n">
        <v>113079.960230841</v>
      </c>
      <c r="C5495" s="15" t="n">
        <v>0.0919419824284899</v>
      </c>
      <c r="D5495" s="14" t="n">
        <f aca="false">Summary!$B$5-B5495</f>
        <v>-13079.9602308407</v>
      </c>
      <c r="E5495" s="15" t="n">
        <f aca="false">B5495/Summary!$B$5-1</f>
        <v>0.130799602308407</v>
      </c>
    </row>
    <row r="5496" customFormat="false" ht="15" hidden="false" customHeight="false" outlineLevel="0" collapsed="false">
      <c r="A5496" s="0" t="n">
        <v>5495</v>
      </c>
      <c r="B5496" s="14" t="n">
        <v>128689.293104641</v>
      </c>
      <c r="C5496" s="15" t="n">
        <v>0.0770368529291856</v>
      </c>
      <c r="D5496" s="14" t="n">
        <f aca="false">Summary!$B$5-B5496</f>
        <v>-28689.2931046413</v>
      </c>
      <c r="E5496" s="15" t="n">
        <f aca="false">B5496/Summary!$B$5-1</f>
        <v>0.286892931046413</v>
      </c>
    </row>
    <row r="5497" customFormat="false" ht="15" hidden="false" customHeight="false" outlineLevel="0" collapsed="false">
      <c r="A5497" s="0" t="n">
        <v>5496</v>
      </c>
      <c r="B5497" s="14" t="n">
        <v>98945.8783031358</v>
      </c>
      <c r="C5497" s="15" t="n">
        <v>0.0696936266946284</v>
      </c>
      <c r="D5497" s="14" t="n">
        <f aca="false">Summary!$B$5-B5497</f>
        <v>1054.12169686417</v>
      </c>
      <c r="E5497" s="15" t="n">
        <f aca="false">B5497/Summary!$B$5-1</f>
        <v>-0.0105412169686416</v>
      </c>
    </row>
    <row r="5498" customFormat="false" ht="15" hidden="false" customHeight="false" outlineLevel="0" collapsed="false">
      <c r="A5498" s="0" t="n">
        <v>5497</v>
      </c>
      <c r="B5498" s="14" t="n">
        <v>99441.637576329</v>
      </c>
      <c r="C5498" s="15" t="n">
        <v>0.130371727754474</v>
      </c>
      <c r="D5498" s="14" t="n">
        <f aca="false">Summary!$B$5-B5498</f>
        <v>558.362423671002</v>
      </c>
      <c r="E5498" s="15" t="n">
        <f aca="false">B5498/Summary!$B$5-1</f>
        <v>-0.00558362423670999</v>
      </c>
    </row>
    <row r="5499" customFormat="false" ht="15" hidden="false" customHeight="false" outlineLevel="0" collapsed="false">
      <c r="A5499" s="0" t="n">
        <v>5498</v>
      </c>
      <c r="B5499" s="14" t="n">
        <v>86880.3951298267</v>
      </c>
      <c r="C5499" s="15" t="n">
        <v>0.191345393230569</v>
      </c>
      <c r="D5499" s="14" t="n">
        <f aca="false">Summary!$B$5-B5499</f>
        <v>13119.6048701733</v>
      </c>
      <c r="E5499" s="15" t="n">
        <f aca="false">B5499/Summary!$B$5-1</f>
        <v>-0.131196048701733</v>
      </c>
    </row>
    <row r="5500" customFormat="false" ht="15" hidden="false" customHeight="false" outlineLevel="0" collapsed="false">
      <c r="A5500" s="0" t="n">
        <v>5499</v>
      </c>
      <c r="B5500" s="14" t="n">
        <v>108452.615272039</v>
      </c>
      <c r="C5500" s="15" t="n">
        <v>0.0833936764499029</v>
      </c>
      <c r="D5500" s="14" t="n">
        <f aca="false">Summary!$B$5-B5500</f>
        <v>-8452.6152720392</v>
      </c>
      <c r="E5500" s="15" t="n">
        <f aca="false">B5500/Summary!$B$5-1</f>
        <v>0.084526152720392</v>
      </c>
    </row>
    <row r="5501" customFormat="false" ht="15" hidden="false" customHeight="false" outlineLevel="0" collapsed="false">
      <c r="A5501" s="0" t="n">
        <v>5500</v>
      </c>
      <c r="B5501" s="14" t="n">
        <v>102739.768476323</v>
      </c>
      <c r="C5501" s="15" t="n">
        <v>0.0887112306970537</v>
      </c>
      <c r="D5501" s="14" t="n">
        <f aca="false">Summary!$B$5-B5501</f>
        <v>-2739.7684763228</v>
      </c>
      <c r="E5501" s="15" t="n">
        <f aca="false">B5501/Summary!$B$5-1</f>
        <v>0.027397684763228</v>
      </c>
    </row>
    <row r="5502" customFormat="false" ht="15" hidden="false" customHeight="false" outlineLevel="0" collapsed="false">
      <c r="A5502" s="0" t="n">
        <v>5501</v>
      </c>
      <c r="B5502" s="14" t="n">
        <v>105705.800039055</v>
      </c>
      <c r="C5502" s="15" t="n">
        <v>0.112969090875861</v>
      </c>
      <c r="D5502" s="14" t="n">
        <f aca="false">Summary!$B$5-B5502</f>
        <v>-5705.800039055</v>
      </c>
      <c r="E5502" s="15" t="n">
        <f aca="false">B5502/Summary!$B$5-1</f>
        <v>0.0570580003905501</v>
      </c>
    </row>
    <row r="5503" customFormat="false" ht="15" hidden="false" customHeight="false" outlineLevel="0" collapsed="false">
      <c r="A5503" s="0" t="n">
        <v>5502</v>
      </c>
      <c r="B5503" s="14" t="n">
        <v>106105.032166113</v>
      </c>
      <c r="C5503" s="15" t="n">
        <v>0.0657617392491386</v>
      </c>
      <c r="D5503" s="14" t="n">
        <f aca="false">Summary!$B$5-B5503</f>
        <v>-6105.03216611269</v>
      </c>
      <c r="E5503" s="15" t="n">
        <f aca="false">B5503/Summary!$B$5-1</f>
        <v>0.0610503216611269</v>
      </c>
    </row>
    <row r="5504" customFormat="false" ht="15" hidden="false" customHeight="false" outlineLevel="0" collapsed="false">
      <c r="A5504" s="0" t="n">
        <v>5503</v>
      </c>
      <c r="B5504" s="14" t="n">
        <v>95400.1560137237</v>
      </c>
      <c r="C5504" s="15" t="n">
        <v>0.11175207678837</v>
      </c>
      <c r="D5504" s="14" t="n">
        <f aca="false">Summary!$B$5-B5504</f>
        <v>4599.84398627626</v>
      </c>
      <c r="E5504" s="15" t="n">
        <f aca="false">B5504/Summary!$B$5-1</f>
        <v>-0.0459984398627626</v>
      </c>
    </row>
    <row r="5505" customFormat="false" ht="15" hidden="false" customHeight="false" outlineLevel="0" collapsed="false">
      <c r="A5505" s="0" t="n">
        <v>5504</v>
      </c>
      <c r="B5505" s="14" t="n">
        <v>99135.168935913</v>
      </c>
      <c r="C5505" s="15" t="n">
        <v>0.146538825559474</v>
      </c>
      <c r="D5505" s="14" t="n">
        <f aca="false">Summary!$B$5-B5505</f>
        <v>864.831064087048</v>
      </c>
      <c r="E5505" s="15" t="n">
        <f aca="false">B5505/Summary!$B$5-1</f>
        <v>-0.00864831064087046</v>
      </c>
    </row>
    <row r="5506" customFormat="false" ht="15" hidden="false" customHeight="false" outlineLevel="0" collapsed="false">
      <c r="A5506" s="0" t="n">
        <v>5505</v>
      </c>
      <c r="B5506" s="14" t="n">
        <v>136986.765968919</v>
      </c>
      <c r="C5506" s="15" t="n">
        <v>0.0361637866922099</v>
      </c>
      <c r="D5506" s="14" t="n">
        <f aca="false">Summary!$B$5-B5506</f>
        <v>-36986.765968919</v>
      </c>
      <c r="E5506" s="15" t="n">
        <f aca="false">B5506/Summary!$B$5-1</f>
        <v>0.36986765968919</v>
      </c>
    </row>
    <row r="5507" customFormat="false" ht="15" hidden="false" customHeight="false" outlineLevel="0" collapsed="false">
      <c r="A5507" s="0" t="n">
        <v>5506</v>
      </c>
      <c r="B5507" s="14" t="n">
        <v>115006.741937044</v>
      </c>
      <c r="C5507" s="15" t="n">
        <v>0.0772937980070556</v>
      </c>
      <c r="D5507" s="14" t="n">
        <f aca="false">Summary!$B$5-B5507</f>
        <v>-15006.7419370435</v>
      </c>
      <c r="E5507" s="15" t="n">
        <f aca="false">B5507/Summary!$B$5-1</f>
        <v>0.150067419370435</v>
      </c>
    </row>
    <row r="5508" customFormat="false" ht="15" hidden="false" customHeight="false" outlineLevel="0" collapsed="false">
      <c r="A5508" s="0" t="n">
        <v>5507</v>
      </c>
      <c r="B5508" s="14" t="n">
        <v>99095.8670993775</v>
      </c>
      <c r="C5508" s="15" t="n">
        <v>0.128283918075991</v>
      </c>
      <c r="D5508" s="14" t="n">
        <f aca="false">Summary!$B$5-B5508</f>
        <v>904.132900622499</v>
      </c>
      <c r="E5508" s="15" t="n">
        <f aca="false">B5508/Summary!$B$5-1</f>
        <v>-0.00904132900622501</v>
      </c>
    </row>
    <row r="5509" customFormat="false" ht="15" hidden="false" customHeight="false" outlineLevel="0" collapsed="false">
      <c r="A5509" s="0" t="n">
        <v>5508</v>
      </c>
      <c r="B5509" s="14" t="n">
        <v>85127.2014612932</v>
      </c>
      <c r="C5509" s="15" t="n">
        <v>0.18822454045331</v>
      </c>
      <c r="D5509" s="14" t="n">
        <f aca="false">Summary!$B$5-B5509</f>
        <v>14872.7985387068</v>
      </c>
      <c r="E5509" s="15" t="n">
        <f aca="false">B5509/Summary!$B$5-1</f>
        <v>-0.148727985387068</v>
      </c>
    </row>
    <row r="5510" customFormat="false" ht="15" hidden="false" customHeight="false" outlineLevel="0" collapsed="false">
      <c r="A5510" s="0" t="n">
        <v>5509</v>
      </c>
      <c r="B5510" s="14" t="n">
        <v>118745.096760935</v>
      </c>
      <c r="C5510" s="15" t="n">
        <v>0.110029115282452</v>
      </c>
      <c r="D5510" s="14" t="n">
        <f aca="false">Summary!$B$5-B5510</f>
        <v>-18745.0967609352</v>
      </c>
      <c r="E5510" s="15" t="n">
        <f aca="false">B5510/Summary!$B$5-1</f>
        <v>0.187450967609352</v>
      </c>
    </row>
    <row r="5511" customFormat="false" ht="15" hidden="false" customHeight="false" outlineLevel="0" collapsed="false">
      <c r="A5511" s="0" t="n">
        <v>5510</v>
      </c>
      <c r="B5511" s="14" t="n">
        <v>101253.877287524</v>
      </c>
      <c r="C5511" s="15" t="n">
        <v>0.0914636459001909</v>
      </c>
      <c r="D5511" s="14" t="n">
        <f aca="false">Summary!$B$5-B5511</f>
        <v>-1253.8772875243</v>
      </c>
      <c r="E5511" s="15" t="n">
        <f aca="false">B5511/Summary!$B$5-1</f>
        <v>0.0125387728752431</v>
      </c>
    </row>
    <row r="5512" customFormat="false" ht="15" hidden="false" customHeight="false" outlineLevel="0" collapsed="false">
      <c r="A5512" s="0" t="n">
        <v>5511</v>
      </c>
      <c r="B5512" s="14" t="n">
        <v>89533.0642110334</v>
      </c>
      <c r="C5512" s="15" t="n">
        <v>0.14702798977572</v>
      </c>
      <c r="D5512" s="14" t="n">
        <f aca="false">Summary!$B$5-B5512</f>
        <v>10466.9357889666</v>
      </c>
      <c r="E5512" s="15" t="n">
        <f aca="false">B5512/Summary!$B$5-1</f>
        <v>-0.104669357889666</v>
      </c>
    </row>
    <row r="5513" customFormat="false" ht="15" hidden="false" customHeight="false" outlineLevel="0" collapsed="false">
      <c r="A5513" s="0" t="n">
        <v>5512</v>
      </c>
      <c r="B5513" s="14" t="n">
        <v>118628.246423718</v>
      </c>
      <c r="C5513" s="15" t="n">
        <v>0.0702305322552382</v>
      </c>
      <c r="D5513" s="14" t="n">
        <f aca="false">Summary!$B$5-B5513</f>
        <v>-18628.2464237178</v>
      </c>
      <c r="E5513" s="15" t="n">
        <f aca="false">B5513/Summary!$B$5-1</f>
        <v>0.186282464237178</v>
      </c>
    </row>
    <row r="5514" customFormat="false" ht="15" hidden="false" customHeight="false" outlineLevel="0" collapsed="false">
      <c r="A5514" s="0" t="n">
        <v>5513</v>
      </c>
      <c r="B5514" s="14" t="n">
        <v>108099.781218432</v>
      </c>
      <c r="C5514" s="15" t="n">
        <v>0.0721225714386766</v>
      </c>
      <c r="D5514" s="14" t="n">
        <f aca="false">Summary!$B$5-B5514</f>
        <v>-8099.78121843191</v>
      </c>
      <c r="E5514" s="15" t="n">
        <f aca="false">B5514/Summary!$B$5-1</f>
        <v>0.0809978121843191</v>
      </c>
    </row>
    <row r="5515" customFormat="false" ht="15" hidden="false" customHeight="false" outlineLevel="0" collapsed="false">
      <c r="A5515" s="0" t="n">
        <v>5514</v>
      </c>
      <c r="B5515" s="14" t="n">
        <v>103275.994606411</v>
      </c>
      <c r="C5515" s="15" t="n">
        <v>0.120703156685282</v>
      </c>
      <c r="D5515" s="14" t="n">
        <f aca="false">Summary!$B$5-B5515</f>
        <v>-3275.99460641071</v>
      </c>
      <c r="E5515" s="15" t="n">
        <f aca="false">B5515/Summary!$B$5-1</f>
        <v>0.032759946064107</v>
      </c>
    </row>
    <row r="5516" customFormat="false" ht="15" hidden="false" customHeight="false" outlineLevel="0" collapsed="false">
      <c r="A5516" s="0" t="n">
        <v>5515</v>
      </c>
      <c r="B5516" s="14" t="n">
        <v>119645.982186687</v>
      </c>
      <c r="C5516" s="15" t="n">
        <v>0.106136114619867</v>
      </c>
      <c r="D5516" s="14" t="n">
        <f aca="false">Summary!$B$5-B5516</f>
        <v>-19645.9821866873</v>
      </c>
      <c r="E5516" s="15" t="n">
        <f aca="false">B5516/Summary!$B$5-1</f>
        <v>0.196459821866873</v>
      </c>
    </row>
    <row r="5517" customFormat="false" ht="15" hidden="false" customHeight="false" outlineLevel="0" collapsed="false">
      <c r="A5517" s="0" t="n">
        <v>5516</v>
      </c>
      <c r="B5517" s="14" t="n">
        <v>97330.0204883328</v>
      </c>
      <c r="C5517" s="15" t="n">
        <v>0.0885604112620272</v>
      </c>
      <c r="D5517" s="14" t="n">
        <f aca="false">Summary!$B$5-B5517</f>
        <v>2669.97951166725</v>
      </c>
      <c r="E5517" s="15" t="n">
        <f aca="false">B5517/Summary!$B$5-1</f>
        <v>-0.0266997951166724</v>
      </c>
    </row>
    <row r="5518" customFormat="false" ht="15" hidden="false" customHeight="false" outlineLevel="0" collapsed="false">
      <c r="A5518" s="0" t="n">
        <v>5517</v>
      </c>
      <c r="B5518" s="14" t="n">
        <v>74648.5956374743</v>
      </c>
      <c r="C5518" s="15" t="n">
        <v>0.274271998704555</v>
      </c>
      <c r="D5518" s="14" t="n">
        <f aca="false">Summary!$B$5-B5518</f>
        <v>25351.4043625257</v>
      </c>
      <c r="E5518" s="15" t="n">
        <f aca="false">B5518/Summary!$B$5-1</f>
        <v>-0.253514043625257</v>
      </c>
    </row>
    <row r="5519" customFormat="false" ht="15" hidden="false" customHeight="false" outlineLevel="0" collapsed="false">
      <c r="A5519" s="0" t="n">
        <v>5518</v>
      </c>
      <c r="B5519" s="14" t="n">
        <v>108284.176487627</v>
      </c>
      <c r="C5519" s="15" t="n">
        <v>0.13234145017142</v>
      </c>
      <c r="D5519" s="14" t="n">
        <f aca="false">Summary!$B$5-B5519</f>
        <v>-8284.1764876266</v>
      </c>
      <c r="E5519" s="15" t="n">
        <f aca="false">B5519/Summary!$B$5-1</f>
        <v>0.082841764876266</v>
      </c>
    </row>
    <row r="5520" customFormat="false" ht="15" hidden="false" customHeight="false" outlineLevel="0" collapsed="false">
      <c r="A5520" s="0" t="n">
        <v>5519</v>
      </c>
      <c r="B5520" s="14" t="n">
        <v>121282.366417955</v>
      </c>
      <c r="C5520" s="15" t="n">
        <v>0.0560080056028867</v>
      </c>
      <c r="D5520" s="14" t="n">
        <f aca="false">Summary!$B$5-B5520</f>
        <v>-21282.366417955</v>
      </c>
      <c r="E5520" s="15" t="n">
        <f aca="false">B5520/Summary!$B$5-1</f>
        <v>0.21282366417955</v>
      </c>
    </row>
    <row r="5521" customFormat="false" ht="15" hidden="false" customHeight="false" outlineLevel="0" collapsed="false">
      <c r="A5521" s="0" t="n">
        <v>5520</v>
      </c>
      <c r="B5521" s="14" t="n">
        <v>99935.7275490266</v>
      </c>
      <c r="C5521" s="15" t="n">
        <v>0.131024703012926</v>
      </c>
      <c r="D5521" s="14" t="n">
        <f aca="false">Summary!$B$5-B5521</f>
        <v>64.2724509734399</v>
      </c>
      <c r="E5521" s="15" t="n">
        <f aca="false">B5521/Summary!$B$5-1</f>
        <v>-0.000642724509734349</v>
      </c>
    </row>
    <row r="5522" customFormat="false" ht="15" hidden="false" customHeight="false" outlineLevel="0" collapsed="false">
      <c r="A5522" s="0" t="n">
        <v>5521</v>
      </c>
      <c r="B5522" s="14" t="n">
        <v>88684.4887650559</v>
      </c>
      <c r="C5522" s="15" t="n">
        <v>0.124309688733389</v>
      </c>
      <c r="D5522" s="14" t="n">
        <f aca="false">Summary!$B$5-B5522</f>
        <v>11315.5112349441</v>
      </c>
      <c r="E5522" s="15" t="n">
        <f aca="false">B5522/Summary!$B$5-1</f>
        <v>-0.113155112349441</v>
      </c>
    </row>
    <row r="5523" customFormat="false" ht="15" hidden="false" customHeight="false" outlineLevel="0" collapsed="false">
      <c r="A5523" s="0" t="n">
        <v>5522</v>
      </c>
      <c r="B5523" s="14" t="n">
        <v>145375.743831844</v>
      </c>
      <c r="C5523" s="15" t="n">
        <v>0.0473536869729692</v>
      </c>
      <c r="D5523" s="14" t="n">
        <f aca="false">Summary!$B$5-B5523</f>
        <v>-45375.7438318438</v>
      </c>
      <c r="E5523" s="15" t="n">
        <f aca="false">B5523/Summary!$B$5-1</f>
        <v>0.453757438318438</v>
      </c>
    </row>
    <row r="5524" customFormat="false" ht="15" hidden="false" customHeight="false" outlineLevel="0" collapsed="false">
      <c r="A5524" s="0" t="n">
        <v>5523</v>
      </c>
      <c r="B5524" s="14" t="n">
        <v>124280.720981271</v>
      </c>
      <c r="C5524" s="15" t="n">
        <v>0.101401067967936</v>
      </c>
      <c r="D5524" s="14" t="n">
        <f aca="false">Summary!$B$5-B5524</f>
        <v>-24280.7209812712</v>
      </c>
      <c r="E5524" s="15" t="n">
        <f aca="false">B5524/Summary!$B$5-1</f>
        <v>0.242807209812712</v>
      </c>
    </row>
    <row r="5525" customFormat="false" ht="15" hidden="false" customHeight="false" outlineLevel="0" collapsed="false">
      <c r="A5525" s="0" t="n">
        <v>5524</v>
      </c>
      <c r="B5525" s="14" t="n">
        <v>110320.994294579</v>
      </c>
      <c r="C5525" s="15" t="n">
        <v>0.0944292023811483</v>
      </c>
      <c r="D5525" s="14" t="n">
        <f aca="false">Summary!$B$5-B5525</f>
        <v>-10320.9942945786</v>
      </c>
      <c r="E5525" s="15" t="n">
        <f aca="false">B5525/Summary!$B$5-1</f>
        <v>0.103209942945786</v>
      </c>
    </row>
    <row r="5526" customFormat="false" ht="15" hidden="false" customHeight="false" outlineLevel="0" collapsed="false">
      <c r="A5526" s="0" t="n">
        <v>5525</v>
      </c>
      <c r="B5526" s="14" t="n">
        <v>102655.230650006</v>
      </c>
      <c r="C5526" s="15" t="n">
        <v>0.163812567041375</v>
      </c>
      <c r="D5526" s="14" t="n">
        <f aca="false">Summary!$B$5-B5526</f>
        <v>-2655.23065000599</v>
      </c>
      <c r="E5526" s="15" t="n">
        <f aca="false">B5526/Summary!$B$5-1</f>
        <v>0.0265523065000599</v>
      </c>
    </row>
    <row r="5527" customFormat="false" ht="15" hidden="false" customHeight="false" outlineLevel="0" collapsed="false">
      <c r="A5527" s="0" t="n">
        <v>5526</v>
      </c>
      <c r="B5527" s="14" t="n">
        <v>105343.602367555</v>
      </c>
      <c r="C5527" s="15" t="n">
        <v>0.0887391450792868</v>
      </c>
      <c r="D5527" s="14" t="n">
        <f aca="false">Summary!$B$5-B5527</f>
        <v>-5343.6023675554</v>
      </c>
      <c r="E5527" s="15" t="n">
        <f aca="false">B5527/Summary!$B$5-1</f>
        <v>0.053436023675554</v>
      </c>
    </row>
    <row r="5528" customFormat="false" ht="15" hidden="false" customHeight="false" outlineLevel="0" collapsed="false">
      <c r="A5528" s="0" t="n">
        <v>5527</v>
      </c>
      <c r="B5528" s="14" t="n">
        <v>107650.06449235</v>
      </c>
      <c r="C5528" s="15" t="n">
        <v>0.0849126035532998</v>
      </c>
      <c r="D5528" s="14" t="n">
        <f aca="false">Summary!$B$5-B5528</f>
        <v>-7650.0644923495</v>
      </c>
      <c r="E5528" s="15" t="n">
        <f aca="false">B5528/Summary!$B$5-1</f>
        <v>0.0765006449234951</v>
      </c>
    </row>
    <row r="5529" customFormat="false" ht="15" hidden="false" customHeight="false" outlineLevel="0" collapsed="false">
      <c r="A5529" s="0" t="n">
        <v>5528</v>
      </c>
      <c r="B5529" s="14" t="n">
        <v>112413.380695619</v>
      </c>
      <c r="C5529" s="15" t="n">
        <v>0.050560332988429</v>
      </c>
      <c r="D5529" s="14" t="n">
        <f aca="false">Summary!$B$5-B5529</f>
        <v>-12413.380695619</v>
      </c>
      <c r="E5529" s="15" t="n">
        <f aca="false">B5529/Summary!$B$5-1</f>
        <v>0.12413380695619</v>
      </c>
    </row>
    <row r="5530" customFormat="false" ht="15" hidden="false" customHeight="false" outlineLevel="0" collapsed="false">
      <c r="A5530" s="0" t="n">
        <v>5529</v>
      </c>
      <c r="B5530" s="14" t="n">
        <v>124412.031564394</v>
      </c>
      <c r="C5530" s="15" t="n">
        <v>0.0369731008089541</v>
      </c>
      <c r="D5530" s="14" t="n">
        <f aca="false">Summary!$B$5-B5530</f>
        <v>-24412.0315643936</v>
      </c>
      <c r="E5530" s="15" t="n">
        <f aca="false">B5530/Summary!$B$5-1</f>
        <v>0.244120315643936</v>
      </c>
    </row>
    <row r="5531" customFormat="false" ht="15" hidden="false" customHeight="false" outlineLevel="0" collapsed="false">
      <c r="A5531" s="0" t="n">
        <v>5530</v>
      </c>
      <c r="B5531" s="14" t="n">
        <v>95597.6628058064</v>
      </c>
      <c r="C5531" s="15" t="n">
        <v>0.103723030859406</v>
      </c>
      <c r="D5531" s="14" t="n">
        <f aca="false">Summary!$B$5-B5531</f>
        <v>4402.33719419359</v>
      </c>
      <c r="E5531" s="15" t="n">
        <f aca="false">B5531/Summary!$B$5-1</f>
        <v>-0.044023371941936</v>
      </c>
    </row>
    <row r="5532" customFormat="false" ht="15" hidden="false" customHeight="false" outlineLevel="0" collapsed="false">
      <c r="A5532" s="0" t="n">
        <v>5531</v>
      </c>
      <c r="B5532" s="14" t="n">
        <v>141265.465229431</v>
      </c>
      <c r="C5532" s="15" t="n">
        <v>0.0585993953719641</v>
      </c>
      <c r="D5532" s="14" t="n">
        <f aca="false">Summary!$B$5-B5532</f>
        <v>-41265.4652294311</v>
      </c>
      <c r="E5532" s="15" t="n">
        <f aca="false">B5532/Summary!$B$5-1</f>
        <v>0.412654652294311</v>
      </c>
    </row>
    <row r="5533" customFormat="false" ht="15" hidden="false" customHeight="false" outlineLevel="0" collapsed="false">
      <c r="A5533" s="0" t="n">
        <v>5532</v>
      </c>
      <c r="B5533" s="14" t="n">
        <v>111911.218032459</v>
      </c>
      <c r="C5533" s="15" t="n">
        <v>0.0499606093741163</v>
      </c>
      <c r="D5533" s="14" t="n">
        <f aca="false">Summary!$B$5-B5533</f>
        <v>-11911.2180324585</v>
      </c>
      <c r="E5533" s="15" t="n">
        <f aca="false">B5533/Summary!$B$5-1</f>
        <v>0.119112180324585</v>
      </c>
    </row>
    <row r="5534" customFormat="false" ht="15" hidden="false" customHeight="false" outlineLevel="0" collapsed="false">
      <c r="A5534" s="0" t="n">
        <v>5533</v>
      </c>
      <c r="B5534" s="14" t="n">
        <v>106507.418671168</v>
      </c>
      <c r="C5534" s="15" t="n">
        <v>0.0766198616495206</v>
      </c>
      <c r="D5534" s="14" t="n">
        <f aca="false">Summary!$B$5-B5534</f>
        <v>-6507.4186711676</v>
      </c>
      <c r="E5534" s="15" t="n">
        <f aca="false">B5534/Summary!$B$5-1</f>
        <v>0.065074186711676</v>
      </c>
    </row>
    <row r="5535" customFormat="false" ht="15" hidden="false" customHeight="false" outlineLevel="0" collapsed="false">
      <c r="A5535" s="0" t="n">
        <v>5534</v>
      </c>
      <c r="B5535" s="14" t="n">
        <v>85132.7649295765</v>
      </c>
      <c r="C5535" s="15" t="n">
        <v>0.228878438644636</v>
      </c>
      <c r="D5535" s="14" t="n">
        <f aca="false">Summary!$B$5-B5535</f>
        <v>14867.2350704235</v>
      </c>
      <c r="E5535" s="15" t="n">
        <f aca="false">B5535/Summary!$B$5-1</f>
        <v>-0.148672350704235</v>
      </c>
    </row>
    <row r="5536" customFormat="false" ht="15" hidden="false" customHeight="false" outlineLevel="0" collapsed="false">
      <c r="A5536" s="0" t="n">
        <v>5535</v>
      </c>
      <c r="B5536" s="14" t="n">
        <v>127058.465759236</v>
      </c>
      <c r="C5536" s="15" t="n">
        <v>0.059837378906232</v>
      </c>
      <c r="D5536" s="14" t="n">
        <f aca="false">Summary!$B$5-B5536</f>
        <v>-27058.4657592359</v>
      </c>
      <c r="E5536" s="15" t="n">
        <f aca="false">B5536/Summary!$B$5-1</f>
        <v>0.270584657592359</v>
      </c>
    </row>
    <row r="5537" customFormat="false" ht="15" hidden="false" customHeight="false" outlineLevel="0" collapsed="false">
      <c r="A5537" s="0" t="n">
        <v>5536</v>
      </c>
      <c r="B5537" s="14" t="n">
        <v>133394.318037856</v>
      </c>
      <c r="C5537" s="15" t="n">
        <v>0.0626131290005856</v>
      </c>
      <c r="D5537" s="14" t="n">
        <f aca="false">Summary!$B$5-B5537</f>
        <v>-33394.3180378562</v>
      </c>
      <c r="E5537" s="15" t="n">
        <f aca="false">B5537/Summary!$B$5-1</f>
        <v>0.333943180378562</v>
      </c>
    </row>
    <row r="5538" customFormat="false" ht="15" hidden="false" customHeight="false" outlineLevel="0" collapsed="false">
      <c r="A5538" s="0" t="n">
        <v>5537</v>
      </c>
      <c r="B5538" s="14" t="n">
        <v>107171.094383038</v>
      </c>
      <c r="C5538" s="15" t="n">
        <v>0.106841781641806</v>
      </c>
      <c r="D5538" s="14" t="n">
        <f aca="false">Summary!$B$5-B5538</f>
        <v>-7171.09438303841</v>
      </c>
      <c r="E5538" s="15" t="n">
        <f aca="false">B5538/Summary!$B$5-1</f>
        <v>0.071710943830384</v>
      </c>
    </row>
    <row r="5539" customFormat="false" ht="15" hidden="false" customHeight="false" outlineLevel="0" collapsed="false">
      <c r="A5539" s="0" t="n">
        <v>5538</v>
      </c>
      <c r="B5539" s="14" t="n">
        <v>102978.605172784</v>
      </c>
      <c r="C5539" s="15" t="n">
        <v>0.0727755953713997</v>
      </c>
      <c r="D5539" s="14" t="n">
        <f aca="false">Summary!$B$5-B5539</f>
        <v>-2978.6051727837</v>
      </c>
      <c r="E5539" s="15" t="n">
        <f aca="false">B5539/Summary!$B$5-1</f>
        <v>0.029786051727837</v>
      </c>
    </row>
    <row r="5540" customFormat="false" ht="15" hidden="false" customHeight="false" outlineLevel="0" collapsed="false">
      <c r="A5540" s="0" t="n">
        <v>5539</v>
      </c>
      <c r="B5540" s="14" t="n">
        <v>106882.877934011</v>
      </c>
      <c r="C5540" s="15" t="n">
        <v>0.110830149800813</v>
      </c>
      <c r="D5540" s="14" t="n">
        <f aca="false">Summary!$B$5-B5540</f>
        <v>-6882.87793401119</v>
      </c>
      <c r="E5540" s="15" t="n">
        <f aca="false">B5540/Summary!$B$5-1</f>
        <v>0.0688287793401119</v>
      </c>
    </row>
    <row r="5541" customFormat="false" ht="15" hidden="false" customHeight="false" outlineLevel="0" collapsed="false">
      <c r="A5541" s="0" t="n">
        <v>5540</v>
      </c>
      <c r="B5541" s="14" t="n">
        <v>103171.98990346</v>
      </c>
      <c r="C5541" s="15" t="n">
        <v>0.125410495720195</v>
      </c>
      <c r="D5541" s="14" t="n">
        <f aca="false">Summary!$B$5-B5541</f>
        <v>-3171.9899034596</v>
      </c>
      <c r="E5541" s="15" t="n">
        <f aca="false">B5541/Summary!$B$5-1</f>
        <v>0.0317198990345959</v>
      </c>
    </row>
    <row r="5542" customFormat="false" ht="15" hidden="false" customHeight="false" outlineLevel="0" collapsed="false">
      <c r="A5542" s="0" t="n">
        <v>5541</v>
      </c>
      <c r="B5542" s="14" t="n">
        <v>122702.506190027</v>
      </c>
      <c r="C5542" s="15" t="n">
        <v>0.0847807696923333</v>
      </c>
      <c r="D5542" s="14" t="n">
        <f aca="false">Summary!$B$5-B5542</f>
        <v>-22702.5061900265</v>
      </c>
      <c r="E5542" s="15" t="n">
        <f aca="false">B5542/Summary!$B$5-1</f>
        <v>0.227025061900265</v>
      </c>
    </row>
    <row r="5543" customFormat="false" ht="15" hidden="false" customHeight="false" outlineLevel="0" collapsed="false">
      <c r="A5543" s="0" t="n">
        <v>5542</v>
      </c>
      <c r="B5543" s="14" t="n">
        <v>102178.197574532</v>
      </c>
      <c r="C5543" s="15" t="n">
        <v>0.146099349141792</v>
      </c>
      <c r="D5543" s="14" t="n">
        <f aca="false">Summary!$B$5-B5543</f>
        <v>-2178.1975745321</v>
      </c>
      <c r="E5543" s="15" t="n">
        <f aca="false">B5543/Summary!$B$5-1</f>
        <v>0.021781975745321</v>
      </c>
    </row>
    <row r="5544" customFormat="false" ht="15" hidden="false" customHeight="false" outlineLevel="0" collapsed="false">
      <c r="A5544" s="0" t="n">
        <v>5543</v>
      </c>
      <c r="B5544" s="14" t="n">
        <v>110935.49744876</v>
      </c>
      <c r="C5544" s="15" t="n">
        <v>0.0634625752854998</v>
      </c>
      <c r="D5544" s="14" t="n">
        <f aca="false">Summary!$B$5-B5544</f>
        <v>-10935.4974487604</v>
      </c>
      <c r="E5544" s="15" t="n">
        <f aca="false">B5544/Summary!$B$5-1</f>
        <v>0.109354974487604</v>
      </c>
    </row>
    <row r="5545" customFormat="false" ht="15" hidden="false" customHeight="false" outlineLevel="0" collapsed="false">
      <c r="A5545" s="0" t="n">
        <v>5544</v>
      </c>
      <c r="B5545" s="14" t="n">
        <v>107421.820482285</v>
      </c>
      <c r="C5545" s="15" t="n">
        <v>0.148360103925733</v>
      </c>
      <c r="D5545" s="14" t="n">
        <f aca="false">Summary!$B$5-B5545</f>
        <v>-7421.8204822846</v>
      </c>
      <c r="E5545" s="15" t="n">
        <f aca="false">B5545/Summary!$B$5-1</f>
        <v>0.0742182048228459</v>
      </c>
    </row>
    <row r="5546" customFormat="false" ht="15" hidden="false" customHeight="false" outlineLevel="0" collapsed="false">
      <c r="A5546" s="0" t="n">
        <v>5545</v>
      </c>
      <c r="B5546" s="14" t="n">
        <v>100072.999399427</v>
      </c>
      <c r="C5546" s="15" t="n">
        <v>0.0663488019980548</v>
      </c>
      <c r="D5546" s="14" t="n">
        <f aca="false">Summary!$B$5-B5546</f>
        <v>-72.9993994266988</v>
      </c>
      <c r="E5546" s="15" t="n">
        <f aca="false">B5546/Summary!$B$5-1</f>
        <v>0.000729993994267097</v>
      </c>
    </row>
    <row r="5547" customFormat="false" ht="15" hidden="false" customHeight="false" outlineLevel="0" collapsed="false">
      <c r="A5547" s="0" t="n">
        <v>5546</v>
      </c>
      <c r="B5547" s="14" t="n">
        <v>101152.471387491</v>
      </c>
      <c r="C5547" s="15" t="n">
        <v>0.0964338231463794</v>
      </c>
      <c r="D5547" s="14" t="n">
        <f aca="false">Summary!$B$5-B5547</f>
        <v>-1152.47138749091</v>
      </c>
      <c r="E5547" s="15" t="n">
        <f aca="false">B5547/Summary!$B$5-1</f>
        <v>0.0115247138749091</v>
      </c>
    </row>
    <row r="5548" customFormat="false" ht="15" hidden="false" customHeight="false" outlineLevel="0" collapsed="false">
      <c r="A5548" s="0" t="n">
        <v>5547</v>
      </c>
      <c r="B5548" s="14" t="n">
        <v>96692.1929885727</v>
      </c>
      <c r="C5548" s="15" t="n">
        <v>0.112139330096295</v>
      </c>
      <c r="D5548" s="14" t="n">
        <f aca="false">Summary!$B$5-B5548</f>
        <v>3307.8070114273</v>
      </c>
      <c r="E5548" s="15" t="n">
        <f aca="false">B5548/Summary!$B$5-1</f>
        <v>-0.033078070114273</v>
      </c>
    </row>
    <row r="5549" customFormat="false" ht="15" hidden="false" customHeight="false" outlineLevel="0" collapsed="false">
      <c r="A5549" s="0" t="n">
        <v>5548</v>
      </c>
      <c r="B5549" s="14" t="n">
        <v>108630.170217296</v>
      </c>
      <c r="C5549" s="15" t="n">
        <v>0.0785772962375412</v>
      </c>
      <c r="D5549" s="14" t="n">
        <f aca="false">Summary!$B$5-B5549</f>
        <v>-8630.1702172963</v>
      </c>
      <c r="E5549" s="15" t="n">
        <f aca="false">B5549/Summary!$B$5-1</f>
        <v>0.0863017021729631</v>
      </c>
    </row>
    <row r="5550" customFormat="false" ht="15" hidden="false" customHeight="false" outlineLevel="0" collapsed="false">
      <c r="A5550" s="0" t="n">
        <v>5549</v>
      </c>
      <c r="B5550" s="14" t="n">
        <v>106675.992265219</v>
      </c>
      <c r="C5550" s="15" t="n">
        <v>0.0937635207926331</v>
      </c>
      <c r="D5550" s="14" t="n">
        <f aca="false">Summary!$B$5-B5550</f>
        <v>-6675.99226521851</v>
      </c>
      <c r="E5550" s="15" t="n">
        <f aca="false">B5550/Summary!$B$5-1</f>
        <v>0.0667599226521851</v>
      </c>
    </row>
    <row r="5551" customFormat="false" ht="15" hidden="false" customHeight="false" outlineLevel="0" collapsed="false">
      <c r="A5551" s="0" t="n">
        <v>5550</v>
      </c>
      <c r="B5551" s="14" t="n">
        <v>136389.559567295</v>
      </c>
      <c r="C5551" s="15" t="n">
        <v>0.051543555187467</v>
      </c>
      <c r="D5551" s="14" t="n">
        <f aca="false">Summary!$B$5-B5551</f>
        <v>-36389.5595672952</v>
      </c>
      <c r="E5551" s="15" t="n">
        <f aca="false">B5551/Summary!$B$5-1</f>
        <v>0.363895595672952</v>
      </c>
    </row>
    <row r="5552" customFormat="false" ht="15" hidden="false" customHeight="false" outlineLevel="0" collapsed="false">
      <c r="A5552" s="0" t="n">
        <v>5551</v>
      </c>
      <c r="B5552" s="14" t="n">
        <v>111076.283698103</v>
      </c>
      <c r="C5552" s="15" t="n">
        <v>0.071052813219507</v>
      </c>
      <c r="D5552" s="14" t="n">
        <f aca="false">Summary!$B$5-B5552</f>
        <v>-11076.2836981034</v>
      </c>
      <c r="E5552" s="15" t="n">
        <f aca="false">B5552/Summary!$B$5-1</f>
        <v>0.110762836981034</v>
      </c>
    </row>
    <row r="5553" customFormat="false" ht="15" hidden="false" customHeight="false" outlineLevel="0" collapsed="false">
      <c r="A5553" s="0" t="n">
        <v>5552</v>
      </c>
      <c r="B5553" s="14" t="n">
        <v>112852.750299857</v>
      </c>
      <c r="C5553" s="15" t="n">
        <v>0.104124250738721</v>
      </c>
      <c r="D5553" s="14" t="n">
        <f aca="false">Summary!$B$5-B5553</f>
        <v>-12852.7502998571</v>
      </c>
      <c r="E5553" s="15" t="n">
        <f aca="false">B5553/Summary!$B$5-1</f>
        <v>0.128527502998571</v>
      </c>
    </row>
    <row r="5554" customFormat="false" ht="15" hidden="false" customHeight="false" outlineLevel="0" collapsed="false">
      <c r="A5554" s="0" t="n">
        <v>5553</v>
      </c>
      <c r="B5554" s="14" t="n">
        <v>121367.762598114</v>
      </c>
      <c r="C5554" s="15" t="n">
        <v>0.0724435382383128</v>
      </c>
      <c r="D5554" s="14" t="n">
        <f aca="false">Summary!$B$5-B5554</f>
        <v>-21367.7625981141</v>
      </c>
      <c r="E5554" s="15" t="n">
        <f aca="false">B5554/Summary!$B$5-1</f>
        <v>0.213677625981141</v>
      </c>
    </row>
    <row r="5555" customFormat="false" ht="15" hidden="false" customHeight="false" outlineLevel="0" collapsed="false">
      <c r="A5555" s="0" t="n">
        <v>5554</v>
      </c>
      <c r="B5555" s="14" t="n">
        <v>95793.9005358195</v>
      </c>
      <c r="C5555" s="15" t="n">
        <v>0.210900026427291</v>
      </c>
      <c r="D5555" s="14" t="n">
        <f aca="false">Summary!$B$5-B5555</f>
        <v>4206.09946418052</v>
      </c>
      <c r="E5555" s="15" t="n">
        <f aca="false">B5555/Summary!$B$5-1</f>
        <v>-0.0420609946418051</v>
      </c>
    </row>
    <row r="5556" customFormat="false" ht="15" hidden="false" customHeight="false" outlineLevel="0" collapsed="false">
      <c r="A5556" s="0" t="n">
        <v>5555</v>
      </c>
      <c r="B5556" s="14" t="n">
        <v>137988.166955829</v>
      </c>
      <c r="C5556" s="15" t="n">
        <v>0.0401564211478152</v>
      </c>
      <c r="D5556" s="14" t="n">
        <f aca="false">Summary!$B$5-B5556</f>
        <v>-37988.1669558286</v>
      </c>
      <c r="E5556" s="15" t="n">
        <f aca="false">B5556/Summary!$B$5-1</f>
        <v>0.379881669558286</v>
      </c>
    </row>
    <row r="5557" customFormat="false" ht="15" hidden="false" customHeight="false" outlineLevel="0" collapsed="false">
      <c r="A5557" s="0" t="n">
        <v>5556</v>
      </c>
      <c r="B5557" s="14" t="n">
        <v>99862.8520908405</v>
      </c>
      <c r="C5557" s="15" t="n">
        <v>0.101982597474157</v>
      </c>
      <c r="D5557" s="14" t="n">
        <f aca="false">Summary!$B$5-B5557</f>
        <v>137.14790915951</v>
      </c>
      <c r="E5557" s="15" t="n">
        <f aca="false">B5557/Summary!$B$5-1</f>
        <v>-0.00137147909159507</v>
      </c>
    </row>
    <row r="5558" customFormat="false" ht="15" hidden="false" customHeight="false" outlineLevel="0" collapsed="false">
      <c r="A5558" s="0" t="n">
        <v>5557</v>
      </c>
      <c r="B5558" s="14" t="n">
        <v>108106.234058388</v>
      </c>
      <c r="C5558" s="15" t="n">
        <v>0.090977510889269</v>
      </c>
      <c r="D5558" s="14" t="n">
        <f aca="false">Summary!$B$5-B5558</f>
        <v>-8106.2340583879</v>
      </c>
      <c r="E5558" s="15" t="n">
        <f aca="false">B5558/Summary!$B$5-1</f>
        <v>0.0810623405838791</v>
      </c>
    </row>
    <row r="5559" customFormat="false" ht="15" hidden="false" customHeight="false" outlineLevel="0" collapsed="false">
      <c r="A5559" s="0" t="n">
        <v>5558</v>
      </c>
      <c r="B5559" s="14" t="n">
        <v>106806.132782802</v>
      </c>
      <c r="C5559" s="15" t="n">
        <v>0.112560068390812</v>
      </c>
      <c r="D5559" s="14" t="n">
        <f aca="false">Summary!$B$5-B5559</f>
        <v>-6806.13278280239</v>
      </c>
      <c r="E5559" s="15" t="n">
        <f aca="false">B5559/Summary!$B$5-1</f>
        <v>0.068061327828024</v>
      </c>
    </row>
    <row r="5560" customFormat="false" ht="15" hidden="false" customHeight="false" outlineLevel="0" collapsed="false">
      <c r="A5560" s="0" t="n">
        <v>5559</v>
      </c>
      <c r="B5560" s="14" t="n">
        <v>116374.741265518</v>
      </c>
      <c r="C5560" s="15" t="n">
        <v>0.0844911693006841</v>
      </c>
      <c r="D5560" s="14" t="n">
        <f aca="false">Summary!$B$5-B5560</f>
        <v>-16374.7412655184</v>
      </c>
      <c r="E5560" s="15" t="n">
        <f aca="false">B5560/Summary!$B$5-1</f>
        <v>0.163747412655184</v>
      </c>
    </row>
    <row r="5561" customFormat="false" ht="15" hidden="false" customHeight="false" outlineLevel="0" collapsed="false">
      <c r="A5561" s="0" t="n">
        <v>5560</v>
      </c>
      <c r="B5561" s="14" t="n">
        <v>106721.047687748</v>
      </c>
      <c r="C5561" s="15" t="n">
        <v>0.0808520250381875</v>
      </c>
      <c r="D5561" s="14" t="n">
        <f aca="false">Summary!$B$5-B5561</f>
        <v>-6721.0476877484</v>
      </c>
      <c r="E5561" s="15" t="n">
        <f aca="false">B5561/Summary!$B$5-1</f>
        <v>0.0672104768774839</v>
      </c>
    </row>
    <row r="5562" customFormat="false" ht="15" hidden="false" customHeight="false" outlineLevel="0" collapsed="false">
      <c r="A5562" s="0" t="n">
        <v>5561</v>
      </c>
      <c r="B5562" s="14" t="n">
        <v>109998.358269259</v>
      </c>
      <c r="C5562" s="15" t="n">
        <v>0.102711131756967</v>
      </c>
      <c r="D5562" s="14" t="n">
        <f aca="false">Summary!$B$5-B5562</f>
        <v>-9998.3582692589</v>
      </c>
      <c r="E5562" s="15" t="n">
        <f aca="false">B5562/Summary!$B$5-1</f>
        <v>0.099983582692589</v>
      </c>
    </row>
    <row r="5563" customFormat="false" ht="15" hidden="false" customHeight="false" outlineLevel="0" collapsed="false">
      <c r="A5563" s="0" t="n">
        <v>5562</v>
      </c>
      <c r="B5563" s="14" t="n">
        <v>98560.6898141256</v>
      </c>
      <c r="C5563" s="15" t="n">
        <v>0.110753943358694</v>
      </c>
      <c r="D5563" s="14" t="n">
        <f aca="false">Summary!$B$5-B5563</f>
        <v>1439.31018587438</v>
      </c>
      <c r="E5563" s="15" t="n">
        <f aca="false">B5563/Summary!$B$5-1</f>
        <v>-0.0143931018587438</v>
      </c>
    </row>
    <row r="5564" customFormat="false" ht="15" hidden="false" customHeight="false" outlineLevel="0" collapsed="false">
      <c r="A5564" s="0" t="n">
        <v>5563</v>
      </c>
      <c r="B5564" s="14" t="n">
        <v>95165.2365026853</v>
      </c>
      <c r="C5564" s="15" t="n">
        <v>0.193969127574875</v>
      </c>
      <c r="D5564" s="14" t="n">
        <f aca="false">Summary!$B$5-B5564</f>
        <v>4834.76349731474</v>
      </c>
      <c r="E5564" s="15" t="n">
        <f aca="false">B5564/Summary!$B$5-1</f>
        <v>-0.0483476349731473</v>
      </c>
    </row>
    <row r="5565" customFormat="false" ht="15" hidden="false" customHeight="false" outlineLevel="0" collapsed="false">
      <c r="A5565" s="0" t="n">
        <v>5564</v>
      </c>
      <c r="B5565" s="14" t="n">
        <v>84118.8142031805</v>
      </c>
      <c r="C5565" s="15" t="n">
        <v>0.172499340609116</v>
      </c>
      <c r="D5565" s="14" t="n">
        <f aca="false">Summary!$B$5-B5565</f>
        <v>15881.1857968195</v>
      </c>
      <c r="E5565" s="15" t="n">
        <f aca="false">B5565/Summary!$B$5-1</f>
        <v>-0.158811857968195</v>
      </c>
    </row>
    <row r="5566" customFormat="false" ht="15" hidden="false" customHeight="false" outlineLevel="0" collapsed="false">
      <c r="A5566" s="0" t="n">
        <v>5565</v>
      </c>
      <c r="B5566" s="14" t="n">
        <v>132949.001541629</v>
      </c>
      <c r="C5566" s="15" t="n">
        <v>0.0714051251677443</v>
      </c>
      <c r="D5566" s="14" t="n">
        <f aca="false">Summary!$B$5-B5566</f>
        <v>-32949.0015416288</v>
      </c>
      <c r="E5566" s="15" t="n">
        <f aca="false">B5566/Summary!$B$5-1</f>
        <v>0.329490015416288</v>
      </c>
    </row>
    <row r="5567" customFormat="false" ht="15" hidden="false" customHeight="false" outlineLevel="0" collapsed="false">
      <c r="A5567" s="0" t="n">
        <v>5566</v>
      </c>
      <c r="B5567" s="14" t="n">
        <v>121347.094004185</v>
      </c>
      <c r="C5567" s="15" t="n">
        <v>0.0854455869556171</v>
      </c>
      <c r="D5567" s="14" t="n">
        <f aca="false">Summary!$B$5-B5567</f>
        <v>-21347.0940041849</v>
      </c>
      <c r="E5567" s="15" t="n">
        <f aca="false">B5567/Summary!$B$5-1</f>
        <v>0.213470940041849</v>
      </c>
    </row>
    <row r="5568" customFormat="false" ht="15" hidden="false" customHeight="false" outlineLevel="0" collapsed="false">
      <c r="A5568" s="0" t="n">
        <v>5567</v>
      </c>
      <c r="B5568" s="14" t="n">
        <v>115952.217263537</v>
      </c>
      <c r="C5568" s="15" t="n">
        <v>0.0744239153966924</v>
      </c>
      <c r="D5568" s="14" t="n">
        <f aca="false">Summary!$B$5-B5568</f>
        <v>-15952.2172635365</v>
      </c>
      <c r="E5568" s="15" t="n">
        <f aca="false">B5568/Summary!$B$5-1</f>
        <v>0.159522172635365</v>
      </c>
    </row>
    <row r="5569" customFormat="false" ht="15" hidden="false" customHeight="false" outlineLevel="0" collapsed="false">
      <c r="A5569" s="0" t="n">
        <v>5568</v>
      </c>
      <c r="B5569" s="14" t="n">
        <v>124856.848659389</v>
      </c>
      <c r="C5569" s="15" t="n">
        <v>0.071173610950457</v>
      </c>
      <c r="D5569" s="14" t="n">
        <f aca="false">Summary!$B$5-B5569</f>
        <v>-24856.848659389</v>
      </c>
      <c r="E5569" s="15" t="n">
        <f aca="false">B5569/Summary!$B$5-1</f>
        <v>0.24856848659389</v>
      </c>
    </row>
    <row r="5570" customFormat="false" ht="15" hidden="false" customHeight="false" outlineLevel="0" collapsed="false">
      <c r="A5570" s="0" t="n">
        <v>5569</v>
      </c>
      <c r="B5570" s="14" t="n">
        <v>95077.0400547734</v>
      </c>
      <c r="C5570" s="15" t="n">
        <v>0.138789680930387</v>
      </c>
      <c r="D5570" s="14" t="n">
        <f aca="false">Summary!$B$5-B5570</f>
        <v>4922.95994522661</v>
      </c>
      <c r="E5570" s="15" t="n">
        <f aca="false">B5570/Summary!$B$5-1</f>
        <v>-0.0492295994522661</v>
      </c>
    </row>
    <row r="5571" customFormat="false" ht="15" hidden="false" customHeight="false" outlineLevel="0" collapsed="false">
      <c r="A5571" s="0" t="n">
        <v>5570</v>
      </c>
      <c r="B5571" s="14" t="n">
        <v>110015.574031093</v>
      </c>
      <c r="C5571" s="15" t="n">
        <v>0.0633888687497525</v>
      </c>
      <c r="D5571" s="14" t="n">
        <f aca="false">Summary!$B$5-B5571</f>
        <v>-10015.5740310926</v>
      </c>
      <c r="E5571" s="15" t="n">
        <f aca="false">B5571/Summary!$B$5-1</f>
        <v>0.100155740310926</v>
      </c>
    </row>
    <row r="5572" customFormat="false" ht="15" hidden="false" customHeight="false" outlineLevel="0" collapsed="false">
      <c r="A5572" s="0" t="n">
        <v>5571</v>
      </c>
      <c r="B5572" s="14" t="n">
        <v>96436.1576318523</v>
      </c>
      <c r="C5572" s="15" t="n">
        <v>0.0946969636504654</v>
      </c>
      <c r="D5572" s="14" t="n">
        <f aca="false">Summary!$B$5-B5572</f>
        <v>3563.84236814771</v>
      </c>
      <c r="E5572" s="15" t="n">
        <f aca="false">B5572/Summary!$B$5-1</f>
        <v>-0.0356384236814772</v>
      </c>
    </row>
    <row r="5573" customFormat="false" ht="15" hidden="false" customHeight="false" outlineLevel="0" collapsed="false">
      <c r="A5573" s="0" t="n">
        <v>5572</v>
      </c>
      <c r="B5573" s="14" t="n">
        <v>111742.118238897</v>
      </c>
      <c r="C5573" s="15" t="n">
        <v>0.0842560310675433</v>
      </c>
      <c r="D5573" s="14" t="n">
        <f aca="false">Summary!$B$5-B5573</f>
        <v>-11742.1182388966</v>
      </c>
      <c r="E5573" s="15" t="n">
        <f aca="false">B5573/Summary!$B$5-1</f>
        <v>0.117421182388966</v>
      </c>
    </row>
    <row r="5574" customFormat="false" ht="15" hidden="false" customHeight="false" outlineLevel="0" collapsed="false">
      <c r="A5574" s="0" t="n">
        <v>5573</v>
      </c>
      <c r="B5574" s="14" t="n">
        <v>113741.418785176</v>
      </c>
      <c r="C5574" s="15" t="n">
        <v>0.0809781084113025</v>
      </c>
      <c r="D5574" s="14" t="n">
        <f aca="false">Summary!$B$5-B5574</f>
        <v>-13741.418785176</v>
      </c>
      <c r="E5574" s="15" t="n">
        <f aca="false">B5574/Summary!$B$5-1</f>
        <v>0.13741418785176</v>
      </c>
    </row>
    <row r="5575" customFormat="false" ht="15" hidden="false" customHeight="false" outlineLevel="0" collapsed="false">
      <c r="A5575" s="0" t="n">
        <v>5574</v>
      </c>
      <c r="B5575" s="14" t="n">
        <v>96590.9330947737</v>
      </c>
      <c r="C5575" s="15" t="n">
        <v>0.182936844558036</v>
      </c>
      <c r="D5575" s="14" t="n">
        <f aca="false">Summary!$B$5-B5575</f>
        <v>3409.06690522633</v>
      </c>
      <c r="E5575" s="15" t="n">
        <f aca="false">B5575/Summary!$B$5-1</f>
        <v>-0.0340906690522632</v>
      </c>
    </row>
    <row r="5576" customFormat="false" ht="15" hidden="false" customHeight="false" outlineLevel="0" collapsed="false">
      <c r="A5576" s="0" t="n">
        <v>5575</v>
      </c>
      <c r="B5576" s="14" t="n">
        <v>114099.733897908</v>
      </c>
      <c r="C5576" s="15" t="n">
        <v>0.0753790006543378</v>
      </c>
      <c r="D5576" s="14" t="n">
        <f aca="false">Summary!$B$5-B5576</f>
        <v>-14099.7338979077</v>
      </c>
      <c r="E5576" s="15" t="n">
        <f aca="false">B5576/Summary!$B$5-1</f>
        <v>0.140997338979077</v>
      </c>
    </row>
    <row r="5577" customFormat="false" ht="15" hidden="false" customHeight="false" outlineLevel="0" collapsed="false">
      <c r="A5577" s="0" t="n">
        <v>5576</v>
      </c>
      <c r="B5577" s="14" t="n">
        <v>107593.072625981</v>
      </c>
      <c r="C5577" s="15" t="n">
        <v>0.0818607878784832</v>
      </c>
      <c r="D5577" s="14" t="n">
        <f aca="false">Summary!$B$5-B5577</f>
        <v>-7593.0726259813</v>
      </c>
      <c r="E5577" s="15" t="n">
        <f aca="false">B5577/Summary!$B$5-1</f>
        <v>0.075930726259813</v>
      </c>
    </row>
    <row r="5578" customFormat="false" ht="15" hidden="false" customHeight="false" outlineLevel="0" collapsed="false">
      <c r="A5578" s="0" t="n">
        <v>5577</v>
      </c>
      <c r="B5578" s="14" t="n">
        <v>121365.605218596</v>
      </c>
      <c r="C5578" s="15" t="n">
        <v>0.075969289055064</v>
      </c>
      <c r="D5578" s="14" t="n">
        <f aca="false">Summary!$B$5-B5578</f>
        <v>-21365.605218596</v>
      </c>
      <c r="E5578" s="15" t="n">
        <f aca="false">B5578/Summary!$B$5-1</f>
        <v>0.21365605218596</v>
      </c>
    </row>
    <row r="5579" customFormat="false" ht="15" hidden="false" customHeight="false" outlineLevel="0" collapsed="false">
      <c r="A5579" s="0" t="n">
        <v>5578</v>
      </c>
      <c r="B5579" s="14" t="n">
        <v>94623.6162111848</v>
      </c>
      <c r="C5579" s="15" t="n">
        <v>0.18905979187742</v>
      </c>
      <c r="D5579" s="14" t="n">
        <f aca="false">Summary!$B$5-B5579</f>
        <v>5376.38378881523</v>
      </c>
      <c r="E5579" s="15" t="n">
        <f aca="false">B5579/Summary!$B$5-1</f>
        <v>-0.0537638378881523</v>
      </c>
    </row>
    <row r="5580" customFormat="false" ht="15" hidden="false" customHeight="false" outlineLevel="0" collapsed="false">
      <c r="A5580" s="0" t="n">
        <v>5579</v>
      </c>
      <c r="B5580" s="14" t="n">
        <v>103453.010991565</v>
      </c>
      <c r="C5580" s="15" t="n">
        <v>0.0866872009895727</v>
      </c>
      <c r="D5580" s="14" t="n">
        <f aca="false">Summary!$B$5-B5580</f>
        <v>-3453.010991565</v>
      </c>
      <c r="E5580" s="15" t="n">
        <f aca="false">B5580/Summary!$B$5-1</f>
        <v>0.0345301099156499</v>
      </c>
    </row>
    <row r="5581" customFormat="false" ht="15" hidden="false" customHeight="false" outlineLevel="0" collapsed="false">
      <c r="A5581" s="0" t="n">
        <v>5580</v>
      </c>
      <c r="B5581" s="14" t="n">
        <v>114174.555314641</v>
      </c>
      <c r="C5581" s="15" t="n">
        <v>0.0683102504416767</v>
      </c>
      <c r="D5581" s="14" t="n">
        <f aca="false">Summary!$B$5-B5581</f>
        <v>-14174.5553146411</v>
      </c>
      <c r="E5581" s="15" t="n">
        <f aca="false">B5581/Summary!$B$5-1</f>
        <v>0.141745553146411</v>
      </c>
    </row>
    <row r="5582" customFormat="false" ht="15" hidden="false" customHeight="false" outlineLevel="0" collapsed="false">
      <c r="A5582" s="0" t="n">
        <v>5581</v>
      </c>
      <c r="B5582" s="14" t="n">
        <v>97789.0824217333</v>
      </c>
      <c r="C5582" s="15" t="n">
        <v>0.118710678178338</v>
      </c>
      <c r="D5582" s="14" t="n">
        <f aca="false">Summary!$B$5-B5582</f>
        <v>2210.91757826667</v>
      </c>
      <c r="E5582" s="15" t="n">
        <f aca="false">B5582/Summary!$B$5-1</f>
        <v>-0.0221091757826667</v>
      </c>
    </row>
    <row r="5583" customFormat="false" ht="15" hidden="false" customHeight="false" outlineLevel="0" collapsed="false">
      <c r="A5583" s="0" t="n">
        <v>5582</v>
      </c>
      <c r="B5583" s="14" t="n">
        <v>94754.9287503434</v>
      </c>
      <c r="C5583" s="15" t="n">
        <v>0.198718205356389</v>
      </c>
      <c r="D5583" s="14" t="n">
        <f aca="false">Summary!$B$5-B5583</f>
        <v>5245.07124965661</v>
      </c>
      <c r="E5583" s="15" t="n">
        <f aca="false">B5583/Summary!$B$5-1</f>
        <v>-0.0524507124965661</v>
      </c>
    </row>
    <row r="5584" customFormat="false" ht="15" hidden="false" customHeight="false" outlineLevel="0" collapsed="false">
      <c r="A5584" s="0" t="n">
        <v>5583</v>
      </c>
      <c r="B5584" s="14" t="n">
        <v>129638.611157608</v>
      </c>
      <c r="C5584" s="15" t="n">
        <v>0.0600288101231782</v>
      </c>
      <c r="D5584" s="14" t="n">
        <f aca="false">Summary!$B$5-B5584</f>
        <v>-29638.6111576083</v>
      </c>
      <c r="E5584" s="15" t="n">
        <f aca="false">B5584/Summary!$B$5-1</f>
        <v>0.296386111576083</v>
      </c>
    </row>
    <row r="5585" customFormat="false" ht="15" hidden="false" customHeight="false" outlineLevel="0" collapsed="false">
      <c r="A5585" s="0" t="n">
        <v>5584</v>
      </c>
      <c r="B5585" s="14" t="n">
        <v>116567.514500143</v>
      </c>
      <c r="C5585" s="15" t="n">
        <v>0.0809826065812683</v>
      </c>
      <c r="D5585" s="14" t="n">
        <f aca="false">Summary!$B$5-B5585</f>
        <v>-16567.5145001431</v>
      </c>
      <c r="E5585" s="15" t="n">
        <f aca="false">B5585/Summary!$B$5-1</f>
        <v>0.165675145001431</v>
      </c>
    </row>
    <row r="5586" customFormat="false" ht="15" hidden="false" customHeight="false" outlineLevel="0" collapsed="false">
      <c r="A5586" s="0" t="n">
        <v>5585</v>
      </c>
      <c r="B5586" s="14" t="n">
        <v>91086.8302219541</v>
      </c>
      <c r="C5586" s="15" t="n">
        <v>0.129641737000593</v>
      </c>
      <c r="D5586" s="14" t="n">
        <f aca="false">Summary!$B$5-B5586</f>
        <v>8913.16977804591</v>
      </c>
      <c r="E5586" s="15" t="n">
        <f aca="false">B5586/Summary!$B$5-1</f>
        <v>-0.089131697780459</v>
      </c>
    </row>
    <row r="5587" customFormat="false" ht="15" hidden="false" customHeight="false" outlineLevel="0" collapsed="false">
      <c r="A5587" s="0" t="n">
        <v>5586</v>
      </c>
      <c r="B5587" s="14" t="n">
        <v>93576.9851265155</v>
      </c>
      <c r="C5587" s="15" t="n">
        <v>0.088164364948065</v>
      </c>
      <c r="D5587" s="14" t="n">
        <f aca="false">Summary!$B$5-B5587</f>
        <v>6423.01487348453</v>
      </c>
      <c r="E5587" s="15" t="n">
        <f aca="false">B5587/Summary!$B$5-1</f>
        <v>-0.0642301487348452</v>
      </c>
    </row>
    <row r="5588" customFormat="false" ht="15" hidden="false" customHeight="false" outlineLevel="0" collapsed="false">
      <c r="A5588" s="0" t="n">
        <v>5587</v>
      </c>
      <c r="B5588" s="14" t="n">
        <v>126396.109533407</v>
      </c>
      <c r="C5588" s="15" t="n">
        <v>0.0435105116116928</v>
      </c>
      <c r="D5588" s="14" t="n">
        <f aca="false">Summary!$B$5-B5588</f>
        <v>-26396.1095334066</v>
      </c>
      <c r="E5588" s="15" t="n">
        <f aca="false">B5588/Summary!$B$5-1</f>
        <v>0.263961095334066</v>
      </c>
    </row>
    <row r="5589" customFormat="false" ht="15" hidden="false" customHeight="false" outlineLevel="0" collapsed="false">
      <c r="A5589" s="0" t="n">
        <v>5588</v>
      </c>
      <c r="B5589" s="14" t="n">
        <v>131229.301479582</v>
      </c>
      <c r="C5589" s="15" t="n">
        <v>0.0568249746776288</v>
      </c>
      <c r="D5589" s="14" t="n">
        <f aca="false">Summary!$B$5-B5589</f>
        <v>-31229.3014795819</v>
      </c>
      <c r="E5589" s="15" t="n">
        <f aca="false">B5589/Summary!$B$5-1</f>
        <v>0.312293014795819</v>
      </c>
    </row>
    <row r="5590" customFormat="false" ht="15" hidden="false" customHeight="false" outlineLevel="0" collapsed="false">
      <c r="A5590" s="0" t="n">
        <v>5589</v>
      </c>
      <c r="B5590" s="14" t="n">
        <v>110535.977975954</v>
      </c>
      <c r="C5590" s="15" t="n">
        <v>0.116260400933159</v>
      </c>
      <c r="D5590" s="14" t="n">
        <f aca="false">Summary!$B$5-B5590</f>
        <v>-10535.9779759542</v>
      </c>
      <c r="E5590" s="15" t="n">
        <f aca="false">B5590/Summary!$B$5-1</f>
        <v>0.105359779759542</v>
      </c>
    </row>
    <row r="5591" customFormat="false" ht="15" hidden="false" customHeight="false" outlineLevel="0" collapsed="false">
      <c r="A5591" s="0" t="n">
        <v>5590</v>
      </c>
      <c r="B5591" s="14" t="n">
        <v>104851.924236567</v>
      </c>
      <c r="C5591" s="15" t="n">
        <v>0.0687667723163609</v>
      </c>
      <c r="D5591" s="14" t="n">
        <f aca="false">Summary!$B$5-B5591</f>
        <v>-4851.92423656709</v>
      </c>
      <c r="E5591" s="15" t="n">
        <f aca="false">B5591/Summary!$B$5-1</f>
        <v>0.0485192423656708</v>
      </c>
    </row>
    <row r="5592" customFormat="false" ht="15" hidden="false" customHeight="false" outlineLevel="0" collapsed="false">
      <c r="A5592" s="0" t="n">
        <v>5591</v>
      </c>
      <c r="B5592" s="14" t="n">
        <v>95659.6411985592</v>
      </c>
      <c r="C5592" s="15" t="n">
        <v>0.110068158525591</v>
      </c>
      <c r="D5592" s="14" t="n">
        <f aca="false">Summary!$B$5-B5592</f>
        <v>4340.3588014408</v>
      </c>
      <c r="E5592" s="15" t="n">
        <f aca="false">B5592/Summary!$B$5-1</f>
        <v>-0.043403588014408</v>
      </c>
    </row>
    <row r="5593" customFormat="false" ht="15" hidden="false" customHeight="false" outlineLevel="0" collapsed="false">
      <c r="A5593" s="0" t="n">
        <v>5592</v>
      </c>
      <c r="B5593" s="14" t="n">
        <v>121709.663116338</v>
      </c>
      <c r="C5593" s="15" t="n">
        <v>0.0713725310544867</v>
      </c>
      <c r="D5593" s="14" t="n">
        <f aca="false">Summary!$B$5-B5593</f>
        <v>-21709.6631163375</v>
      </c>
      <c r="E5593" s="15" t="n">
        <f aca="false">B5593/Summary!$B$5-1</f>
        <v>0.217096631163375</v>
      </c>
    </row>
    <row r="5594" customFormat="false" ht="15" hidden="false" customHeight="false" outlineLevel="0" collapsed="false">
      <c r="A5594" s="0" t="n">
        <v>5593</v>
      </c>
      <c r="B5594" s="14" t="n">
        <v>101631.939137018</v>
      </c>
      <c r="C5594" s="15" t="n">
        <v>0.10600824192534</v>
      </c>
      <c r="D5594" s="14" t="n">
        <f aca="false">Summary!$B$5-B5594</f>
        <v>-1631.9391370181</v>
      </c>
      <c r="E5594" s="15" t="n">
        <f aca="false">B5594/Summary!$B$5-1</f>
        <v>0.0163193913701809</v>
      </c>
    </row>
    <row r="5595" customFormat="false" ht="15" hidden="false" customHeight="false" outlineLevel="0" collapsed="false">
      <c r="A5595" s="0" t="n">
        <v>5594</v>
      </c>
      <c r="B5595" s="14" t="n">
        <v>112138.154062947</v>
      </c>
      <c r="C5595" s="15" t="n">
        <v>0.108197300560562</v>
      </c>
      <c r="D5595" s="14" t="n">
        <f aca="false">Summary!$B$5-B5595</f>
        <v>-12138.1540629468</v>
      </c>
      <c r="E5595" s="15" t="n">
        <f aca="false">B5595/Summary!$B$5-1</f>
        <v>0.121381540629468</v>
      </c>
    </row>
    <row r="5596" customFormat="false" ht="15" hidden="false" customHeight="false" outlineLevel="0" collapsed="false">
      <c r="A5596" s="0" t="n">
        <v>5595</v>
      </c>
      <c r="B5596" s="14" t="n">
        <v>103587.425668154</v>
      </c>
      <c r="C5596" s="15" t="n">
        <v>0.0913873180136884</v>
      </c>
      <c r="D5596" s="14" t="n">
        <f aca="false">Summary!$B$5-B5596</f>
        <v>-3587.4256681542</v>
      </c>
      <c r="E5596" s="15" t="n">
        <f aca="false">B5596/Summary!$B$5-1</f>
        <v>0.035874256681542</v>
      </c>
    </row>
    <row r="5597" customFormat="false" ht="15" hidden="false" customHeight="false" outlineLevel="0" collapsed="false">
      <c r="A5597" s="0" t="n">
        <v>5596</v>
      </c>
      <c r="B5597" s="14" t="n">
        <v>108425.112922793</v>
      </c>
      <c r="C5597" s="15" t="n">
        <v>0.0689859900293437</v>
      </c>
      <c r="D5597" s="14" t="n">
        <f aca="false">Summary!$B$5-B5597</f>
        <v>-8425.1129227927</v>
      </c>
      <c r="E5597" s="15" t="n">
        <f aca="false">B5597/Summary!$B$5-1</f>
        <v>0.0842511292279271</v>
      </c>
    </row>
    <row r="5598" customFormat="false" ht="15" hidden="false" customHeight="false" outlineLevel="0" collapsed="false">
      <c r="A5598" s="0" t="n">
        <v>5597</v>
      </c>
      <c r="B5598" s="14" t="n">
        <v>117918.960773358</v>
      </c>
      <c r="C5598" s="15" t="n">
        <v>0.0524987382220202</v>
      </c>
      <c r="D5598" s="14" t="n">
        <f aca="false">Summary!$B$5-B5598</f>
        <v>-17918.9607733579</v>
      </c>
      <c r="E5598" s="15" t="n">
        <f aca="false">B5598/Summary!$B$5-1</f>
        <v>0.179189607733579</v>
      </c>
    </row>
    <row r="5599" customFormat="false" ht="15" hidden="false" customHeight="false" outlineLevel="0" collapsed="false">
      <c r="A5599" s="0" t="n">
        <v>5598</v>
      </c>
      <c r="B5599" s="14" t="n">
        <v>99167.8358220046</v>
      </c>
      <c r="C5599" s="15" t="n">
        <v>0.102875652336528</v>
      </c>
      <c r="D5599" s="14" t="n">
        <f aca="false">Summary!$B$5-B5599</f>
        <v>832.164177995452</v>
      </c>
      <c r="E5599" s="15" t="n">
        <f aca="false">B5599/Summary!$B$5-1</f>
        <v>-0.00832164177995454</v>
      </c>
    </row>
    <row r="5600" customFormat="false" ht="15" hidden="false" customHeight="false" outlineLevel="0" collapsed="false">
      <c r="A5600" s="0" t="n">
        <v>5599</v>
      </c>
      <c r="B5600" s="14" t="n">
        <v>99858.5923294187</v>
      </c>
      <c r="C5600" s="15" t="n">
        <v>0.0923141471401267</v>
      </c>
      <c r="D5600" s="14" t="n">
        <f aca="false">Summary!$B$5-B5600</f>
        <v>141.407670581306</v>
      </c>
      <c r="E5600" s="15" t="n">
        <f aca="false">B5600/Summary!$B$5-1</f>
        <v>-0.00141407670581306</v>
      </c>
    </row>
    <row r="5601" customFormat="false" ht="15" hidden="false" customHeight="false" outlineLevel="0" collapsed="false">
      <c r="A5601" s="0" t="n">
        <v>5600</v>
      </c>
      <c r="B5601" s="14" t="n">
        <v>118432.831572058</v>
      </c>
      <c r="C5601" s="15" t="n">
        <v>0.0892153189268331</v>
      </c>
      <c r="D5601" s="14" t="n">
        <f aca="false">Summary!$B$5-B5601</f>
        <v>-18432.8315720581</v>
      </c>
      <c r="E5601" s="15" t="n">
        <f aca="false">B5601/Summary!$B$5-1</f>
        <v>0.184328315720581</v>
      </c>
    </row>
    <row r="5602" customFormat="false" ht="15" hidden="false" customHeight="false" outlineLevel="0" collapsed="false">
      <c r="A5602" s="0" t="n">
        <v>5601</v>
      </c>
      <c r="B5602" s="14" t="n">
        <v>101041.328288482</v>
      </c>
      <c r="C5602" s="15" t="n">
        <v>0.0814184849161049</v>
      </c>
      <c r="D5602" s="14" t="n">
        <f aca="false">Summary!$B$5-B5602</f>
        <v>-1041.3282884818</v>
      </c>
      <c r="E5602" s="15" t="n">
        <f aca="false">B5602/Summary!$B$5-1</f>
        <v>0.010413282884818</v>
      </c>
    </row>
    <row r="5603" customFormat="false" ht="15" hidden="false" customHeight="false" outlineLevel="0" collapsed="false">
      <c r="A5603" s="0" t="n">
        <v>5602</v>
      </c>
      <c r="B5603" s="14" t="n">
        <v>93470.1004605163</v>
      </c>
      <c r="C5603" s="15" t="n">
        <v>0.134522069250094</v>
      </c>
      <c r="D5603" s="14" t="n">
        <f aca="false">Summary!$B$5-B5603</f>
        <v>6529.89953948371</v>
      </c>
      <c r="E5603" s="15" t="n">
        <f aca="false">B5603/Summary!$B$5-1</f>
        <v>-0.0652989953948371</v>
      </c>
    </row>
    <row r="5604" customFormat="false" ht="15" hidden="false" customHeight="false" outlineLevel="0" collapsed="false">
      <c r="A5604" s="0" t="n">
        <v>5603</v>
      </c>
      <c r="B5604" s="14" t="n">
        <v>104205.023363681</v>
      </c>
      <c r="C5604" s="15" t="n">
        <v>0.0939467375522444</v>
      </c>
      <c r="D5604" s="14" t="n">
        <f aca="false">Summary!$B$5-B5604</f>
        <v>-4205.023363681</v>
      </c>
      <c r="E5604" s="15" t="n">
        <f aca="false">B5604/Summary!$B$5-1</f>
        <v>0.04205023363681</v>
      </c>
    </row>
    <row r="5605" customFormat="false" ht="15" hidden="false" customHeight="false" outlineLevel="0" collapsed="false">
      <c r="A5605" s="0" t="n">
        <v>5604</v>
      </c>
      <c r="B5605" s="14" t="n">
        <v>100639.103621301</v>
      </c>
      <c r="C5605" s="15" t="n">
        <v>0.103745827680158</v>
      </c>
      <c r="D5605" s="14" t="n">
        <f aca="false">Summary!$B$5-B5605</f>
        <v>-639.103621301198</v>
      </c>
      <c r="E5605" s="15" t="n">
        <f aca="false">B5605/Summary!$B$5-1</f>
        <v>0.00639103621301196</v>
      </c>
    </row>
    <row r="5606" customFormat="false" ht="15" hidden="false" customHeight="false" outlineLevel="0" collapsed="false">
      <c r="A5606" s="0" t="n">
        <v>5605</v>
      </c>
      <c r="B5606" s="14" t="n">
        <v>108889.789540086</v>
      </c>
      <c r="C5606" s="15" t="n">
        <v>0.0635974816377799</v>
      </c>
      <c r="D5606" s="14" t="n">
        <f aca="false">Summary!$B$5-B5606</f>
        <v>-8889.789540086</v>
      </c>
      <c r="E5606" s="15" t="n">
        <f aca="false">B5606/Summary!$B$5-1</f>
        <v>0.0888978954008599</v>
      </c>
    </row>
    <row r="5607" customFormat="false" ht="15" hidden="false" customHeight="false" outlineLevel="0" collapsed="false">
      <c r="A5607" s="0" t="n">
        <v>5606</v>
      </c>
      <c r="B5607" s="14" t="n">
        <v>94914.2333476484</v>
      </c>
      <c r="C5607" s="15" t="n">
        <v>0.181024550926049</v>
      </c>
      <c r="D5607" s="14" t="n">
        <f aca="false">Summary!$B$5-B5607</f>
        <v>5085.76665235165</v>
      </c>
      <c r="E5607" s="15" t="n">
        <f aca="false">B5607/Summary!$B$5-1</f>
        <v>-0.0508576665235165</v>
      </c>
    </row>
    <row r="5608" customFormat="false" ht="15" hidden="false" customHeight="false" outlineLevel="0" collapsed="false">
      <c r="A5608" s="0" t="n">
        <v>5607</v>
      </c>
      <c r="B5608" s="14" t="n">
        <v>89502.1057791289</v>
      </c>
      <c r="C5608" s="15" t="n">
        <v>0.127551144740176</v>
      </c>
      <c r="D5608" s="14" t="n">
        <f aca="false">Summary!$B$5-B5608</f>
        <v>10497.8942208711</v>
      </c>
      <c r="E5608" s="15" t="n">
        <f aca="false">B5608/Summary!$B$5-1</f>
        <v>-0.104978942208711</v>
      </c>
    </row>
    <row r="5609" customFormat="false" ht="15" hidden="false" customHeight="false" outlineLevel="0" collapsed="false">
      <c r="A5609" s="0" t="n">
        <v>5608</v>
      </c>
      <c r="B5609" s="14" t="n">
        <v>98446.2534987974</v>
      </c>
      <c r="C5609" s="15" t="n">
        <v>0.0760199552977252</v>
      </c>
      <c r="D5609" s="14" t="n">
        <f aca="false">Summary!$B$5-B5609</f>
        <v>1553.74650120258</v>
      </c>
      <c r="E5609" s="15" t="n">
        <f aca="false">B5609/Summary!$B$5-1</f>
        <v>-0.0155374650120258</v>
      </c>
    </row>
    <row r="5610" customFormat="false" ht="15" hidden="false" customHeight="false" outlineLevel="0" collapsed="false">
      <c r="A5610" s="0" t="n">
        <v>5609</v>
      </c>
      <c r="B5610" s="14" t="n">
        <v>135228.305587943</v>
      </c>
      <c r="C5610" s="15" t="n">
        <v>0.0621791215069063</v>
      </c>
      <c r="D5610" s="14" t="n">
        <f aca="false">Summary!$B$5-B5610</f>
        <v>-35228.3055879426</v>
      </c>
      <c r="E5610" s="15" t="n">
        <f aca="false">B5610/Summary!$B$5-1</f>
        <v>0.352283055879426</v>
      </c>
    </row>
    <row r="5611" customFormat="false" ht="15" hidden="false" customHeight="false" outlineLevel="0" collapsed="false">
      <c r="A5611" s="0" t="n">
        <v>5610</v>
      </c>
      <c r="B5611" s="14" t="n">
        <v>119390.346621176</v>
      </c>
      <c r="C5611" s="15" t="n">
        <v>0.0842596062578436</v>
      </c>
      <c r="D5611" s="14" t="n">
        <f aca="false">Summary!$B$5-B5611</f>
        <v>-19390.3466211764</v>
      </c>
      <c r="E5611" s="15" t="n">
        <f aca="false">B5611/Summary!$B$5-1</f>
        <v>0.193903466211764</v>
      </c>
    </row>
    <row r="5612" customFormat="false" ht="15" hidden="false" customHeight="false" outlineLevel="0" collapsed="false">
      <c r="A5612" s="0" t="n">
        <v>5611</v>
      </c>
      <c r="B5612" s="14" t="n">
        <v>122095.769351018</v>
      </c>
      <c r="C5612" s="15" t="n">
        <v>0.0602562909666772</v>
      </c>
      <c r="D5612" s="14" t="n">
        <f aca="false">Summary!$B$5-B5612</f>
        <v>-22095.769351018</v>
      </c>
      <c r="E5612" s="15" t="n">
        <f aca="false">B5612/Summary!$B$5-1</f>
        <v>0.22095769351018</v>
      </c>
    </row>
    <row r="5613" customFormat="false" ht="15" hidden="false" customHeight="false" outlineLevel="0" collapsed="false">
      <c r="A5613" s="0" t="n">
        <v>5612</v>
      </c>
      <c r="B5613" s="14" t="n">
        <v>98624.5481038729</v>
      </c>
      <c r="C5613" s="15" t="n">
        <v>0.175860397684943</v>
      </c>
      <c r="D5613" s="14" t="n">
        <f aca="false">Summary!$B$5-B5613</f>
        <v>1375.45189612712</v>
      </c>
      <c r="E5613" s="15" t="n">
        <f aca="false">B5613/Summary!$B$5-1</f>
        <v>-0.0137545189612712</v>
      </c>
    </row>
    <row r="5614" customFormat="false" ht="15" hidden="false" customHeight="false" outlineLevel="0" collapsed="false">
      <c r="A5614" s="0" t="n">
        <v>5613</v>
      </c>
      <c r="B5614" s="14" t="n">
        <v>88043.0756349386</v>
      </c>
      <c r="C5614" s="15" t="n">
        <v>0.184730735687226</v>
      </c>
      <c r="D5614" s="14" t="n">
        <f aca="false">Summary!$B$5-B5614</f>
        <v>11956.9243650614</v>
      </c>
      <c r="E5614" s="15" t="n">
        <f aca="false">B5614/Summary!$B$5-1</f>
        <v>-0.119569243650614</v>
      </c>
    </row>
    <row r="5615" customFormat="false" ht="15" hidden="false" customHeight="false" outlineLevel="0" collapsed="false">
      <c r="A5615" s="0" t="n">
        <v>5614</v>
      </c>
      <c r="B5615" s="14" t="n">
        <v>99740.9156521919</v>
      </c>
      <c r="C5615" s="15" t="n">
        <v>0.17521886585899</v>
      </c>
      <c r="D5615" s="14" t="n">
        <f aca="false">Summary!$B$5-B5615</f>
        <v>259.084347808064</v>
      </c>
      <c r="E5615" s="15" t="n">
        <f aca="false">B5615/Summary!$B$5-1</f>
        <v>-0.0025908434780807</v>
      </c>
    </row>
    <row r="5616" customFormat="false" ht="15" hidden="false" customHeight="false" outlineLevel="0" collapsed="false">
      <c r="A5616" s="0" t="n">
        <v>5615</v>
      </c>
      <c r="B5616" s="14" t="n">
        <v>102225.58876263</v>
      </c>
      <c r="C5616" s="15" t="n">
        <v>0.106986579108884</v>
      </c>
      <c r="D5616" s="14" t="n">
        <f aca="false">Summary!$B$5-B5616</f>
        <v>-2225.58876262989</v>
      </c>
      <c r="E5616" s="15" t="n">
        <f aca="false">B5616/Summary!$B$5-1</f>
        <v>0.022255887626299</v>
      </c>
    </row>
    <row r="5617" customFormat="false" ht="15" hidden="false" customHeight="false" outlineLevel="0" collapsed="false">
      <c r="A5617" s="0" t="n">
        <v>5616</v>
      </c>
      <c r="B5617" s="14" t="n">
        <v>133301.338727541</v>
      </c>
      <c r="C5617" s="15" t="n">
        <v>0.0631335373583492</v>
      </c>
      <c r="D5617" s="14" t="n">
        <f aca="false">Summary!$B$5-B5617</f>
        <v>-33301.3387275405</v>
      </c>
      <c r="E5617" s="15" t="n">
        <f aca="false">B5617/Summary!$B$5-1</f>
        <v>0.333013387275405</v>
      </c>
    </row>
    <row r="5618" customFormat="false" ht="15" hidden="false" customHeight="false" outlineLevel="0" collapsed="false">
      <c r="A5618" s="0" t="n">
        <v>5617</v>
      </c>
      <c r="B5618" s="14" t="n">
        <v>80937.5817077399</v>
      </c>
      <c r="C5618" s="15" t="n">
        <v>0.206638275571992</v>
      </c>
      <c r="D5618" s="14" t="n">
        <f aca="false">Summary!$B$5-B5618</f>
        <v>19062.4182922601</v>
      </c>
      <c r="E5618" s="15" t="n">
        <f aca="false">B5618/Summary!$B$5-1</f>
        <v>-0.190624182922601</v>
      </c>
    </row>
    <row r="5619" customFormat="false" ht="15" hidden="false" customHeight="false" outlineLevel="0" collapsed="false">
      <c r="A5619" s="0" t="n">
        <v>5618</v>
      </c>
      <c r="B5619" s="14" t="n">
        <v>93056.3142878213</v>
      </c>
      <c r="C5619" s="15" t="n">
        <v>0.145799872934393</v>
      </c>
      <c r="D5619" s="14" t="n">
        <f aca="false">Summary!$B$5-B5619</f>
        <v>6943.68571217873</v>
      </c>
      <c r="E5619" s="15" t="n">
        <f aca="false">B5619/Summary!$B$5-1</f>
        <v>-0.0694368571217874</v>
      </c>
    </row>
    <row r="5620" customFormat="false" ht="15" hidden="false" customHeight="false" outlineLevel="0" collapsed="false">
      <c r="A5620" s="0" t="n">
        <v>5619</v>
      </c>
      <c r="B5620" s="14" t="n">
        <v>110790.510326787</v>
      </c>
      <c r="C5620" s="15" t="n">
        <v>0.126395834752021</v>
      </c>
      <c r="D5620" s="14" t="n">
        <f aca="false">Summary!$B$5-B5620</f>
        <v>-10790.5103267865</v>
      </c>
      <c r="E5620" s="15" t="n">
        <f aca="false">B5620/Summary!$B$5-1</f>
        <v>0.107905103267865</v>
      </c>
    </row>
    <row r="5621" customFormat="false" ht="15" hidden="false" customHeight="false" outlineLevel="0" collapsed="false">
      <c r="A5621" s="0" t="n">
        <v>5620</v>
      </c>
      <c r="B5621" s="14" t="n">
        <v>94525.5524059763</v>
      </c>
      <c r="C5621" s="15" t="n">
        <v>0.181469491671804</v>
      </c>
      <c r="D5621" s="14" t="n">
        <f aca="false">Summary!$B$5-B5621</f>
        <v>5474.44759402375</v>
      </c>
      <c r="E5621" s="15" t="n">
        <f aca="false">B5621/Summary!$B$5-1</f>
        <v>-0.0547444759402375</v>
      </c>
    </row>
    <row r="5622" customFormat="false" ht="15" hidden="false" customHeight="false" outlineLevel="0" collapsed="false">
      <c r="A5622" s="0" t="n">
        <v>5621</v>
      </c>
      <c r="B5622" s="14" t="n">
        <v>125558.356564167</v>
      </c>
      <c r="C5622" s="15" t="n">
        <v>0.0464814222222217</v>
      </c>
      <c r="D5622" s="14" t="n">
        <f aca="false">Summary!$B$5-B5622</f>
        <v>-25558.3565641671</v>
      </c>
      <c r="E5622" s="15" t="n">
        <f aca="false">B5622/Summary!$B$5-1</f>
        <v>0.255583565641671</v>
      </c>
    </row>
    <row r="5623" customFormat="false" ht="15" hidden="false" customHeight="false" outlineLevel="0" collapsed="false">
      <c r="A5623" s="0" t="n">
        <v>5622</v>
      </c>
      <c r="B5623" s="14" t="n">
        <v>96820.7493999402</v>
      </c>
      <c r="C5623" s="15" t="n">
        <v>0.0839507434303336</v>
      </c>
      <c r="D5623" s="14" t="n">
        <f aca="false">Summary!$B$5-B5623</f>
        <v>3179.25060005981</v>
      </c>
      <c r="E5623" s="15" t="n">
        <f aca="false">B5623/Summary!$B$5-1</f>
        <v>-0.0317925060005981</v>
      </c>
    </row>
    <row r="5624" customFormat="false" ht="15" hidden="false" customHeight="false" outlineLevel="0" collapsed="false">
      <c r="A5624" s="0" t="n">
        <v>5623</v>
      </c>
      <c r="B5624" s="14" t="n">
        <v>128418.058994321</v>
      </c>
      <c r="C5624" s="15" t="n">
        <v>0.078787779404882</v>
      </c>
      <c r="D5624" s="14" t="n">
        <f aca="false">Summary!$B$5-B5624</f>
        <v>-28418.0589943211</v>
      </c>
      <c r="E5624" s="15" t="n">
        <f aca="false">B5624/Summary!$B$5-1</f>
        <v>0.284180589943211</v>
      </c>
    </row>
    <row r="5625" customFormat="false" ht="15" hidden="false" customHeight="false" outlineLevel="0" collapsed="false">
      <c r="A5625" s="0" t="n">
        <v>5624</v>
      </c>
      <c r="B5625" s="14" t="n">
        <v>92448.8634778583</v>
      </c>
      <c r="C5625" s="15" t="n">
        <v>0.172270020877355</v>
      </c>
      <c r="D5625" s="14" t="n">
        <f aca="false">Summary!$B$5-B5625</f>
        <v>7551.13652214166</v>
      </c>
      <c r="E5625" s="15" t="n">
        <f aca="false">B5625/Summary!$B$5-1</f>
        <v>-0.0755113652214167</v>
      </c>
    </row>
    <row r="5626" customFormat="false" ht="15" hidden="false" customHeight="false" outlineLevel="0" collapsed="false">
      <c r="A5626" s="0" t="n">
        <v>5625</v>
      </c>
      <c r="B5626" s="14" t="n">
        <v>120376.332880888</v>
      </c>
      <c r="C5626" s="15" t="n">
        <v>0.0633534158059257</v>
      </c>
      <c r="D5626" s="14" t="n">
        <f aca="false">Summary!$B$5-B5626</f>
        <v>-20376.3328808876</v>
      </c>
      <c r="E5626" s="15" t="n">
        <f aca="false">B5626/Summary!$B$5-1</f>
        <v>0.203763328808876</v>
      </c>
    </row>
    <row r="5627" customFormat="false" ht="15" hidden="false" customHeight="false" outlineLevel="0" collapsed="false">
      <c r="A5627" s="0" t="n">
        <v>5626</v>
      </c>
      <c r="B5627" s="14" t="n">
        <v>103181.76897614</v>
      </c>
      <c r="C5627" s="15" t="n">
        <v>0.083744753875831</v>
      </c>
      <c r="D5627" s="14" t="n">
        <f aca="false">Summary!$B$5-B5627</f>
        <v>-3181.76897613971</v>
      </c>
      <c r="E5627" s="15" t="n">
        <f aca="false">B5627/Summary!$B$5-1</f>
        <v>0.0318176897613971</v>
      </c>
    </row>
    <row r="5628" customFormat="false" ht="15" hidden="false" customHeight="false" outlineLevel="0" collapsed="false">
      <c r="A5628" s="0" t="n">
        <v>5627</v>
      </c>
      <c r="B5628" s="14" t="n">
        <v>119057.026356524</v>
      </c>
      <c r="C5628" s="15" t="n">
        <v>0.0485691566874766</v>
      </c>
      <c r="D5628" s="14" t="n">
        <f aca="false">Summary!$B$5-B5628</f>
        <v>-19057.0263565236</v>
      </c>
      <c r="E5628" s="15" t="n">
        <f aca="false">B5628/Summary!$B$5-1</f>
        <v>0.190570263565236</v>
      </c>
    </row>
    <row r="5629" customFormat="false" ht="15" hidden="false" customHeight="false" outlineLevel="0" collapsed="false">
      <c r="A5629" s="0" t="n">
        <v>5628</v>
      </c>
      <c r="B5629" s="14" t="n">
        <v>103060.827191156</v>
      </c>
      <c r="C5629" s="15" t="n">
        <v>0.133170364461028</v>
      </c>
      <c r="D5629" s="14" t="n">
        <f aca="false">Summary!$B$5-B5629</f>
        <v>-3060.827191156</v>
      </c>
      <c r="E5629" s="15" t="n">
        <f aca="false">B5629/Summary!$B$5-1</f>
        <v>0.0306082719115599</v>
      </c>
    </row>
    <row r="5630" customFormat="false" ht="15" hidden="false" customHeight="false" outlineLevel="0" collapsed="false">
      <c r="A5630" s="0" t="n">
        <v>5629</v>
      </c>
      <c r="B5630" s="14" t="n">
        <v>102073.346791925</v>
      </c>
      <c r="C5630" s="15" t="n">
        <v>0.104638858487047</v>
      </c>
      <c r="D5630" s="14" t="n">
        <f aca="false">Summary!$B$5-B5630</f>
        <v>-2073.3467919251</v>
      </c>
      <c r="E5630" s="15" t="n">
        <f aca="false">B5630/Summary!$B$5-1</f>
        <v>0.020733467919251</v>
      </c>
    </row>
    <row r="5631" customFormat="false" ht="15" hidden="false" customHeight="false" outlineLevel="0" collapsed="false">
      <c r="A5631" s="0" t="n">
        <v>5630</v>
      </c>
      <c r="B5631" s="14" t="n">
        <v>124788.678621433</v>
      </c>
      <c r="C5631" s="15" t="n">
        <v>0.0858944584506026</v>
      </c>
      <c r="D5631" s="14" t="n">
        <f aca="false">Summary!$B$5-B5631</f>
        <v>-24788.6786214329</v>
      </c>
      <c r="E5631" s="15" t="n">
        <f aca="false">B5631/Summary!$B$5-1</f>
        <v>0.247886786214329</v>
      </c>
    </row>
    <row r="5632" customFormat="false" ht="15" hidden="false" customHeight="false" outlineLevel="0" collapsed="false">
      <c r="A5632" s="0" t="n">
        <v>5631</v>
      </c>
      <c r="B5632" s="14" t="n">
        <v>114015.83377828</v>
      </c>
      <c r="C5632" s="15" t="n">
        <v>0.108603401829849</v>
      </c>
      <c r="D5632" s="14" t="n">
        <f aca="false">Summary!$B$5-B5632</f>
        <v>-14015.8337782804</v>
      </c>
      <c r="E5632" s="15" t="n">
        <f aca="false">B5632/Summary!$B$5-1</f>
        <v>0.140158337782804</v>
      </c>
    </row>
    <row r="5633" customFormat="false" ht="15" hidden="false" customHeight="false" outlineLevel="0" collapsed="false">
      <c r="A5633" s="0" t="n">
        <v>5632</v>
      </c>
      <c r="B5633" s="14" t="n">
        <v>118856.739554972</v>
      </c>
      <c r="C5633" s="15" t="n">
        <v>0.0809480064364688</v>
      </c>
      <c r="D5633" s="14" t="n">
        <f aca="false">Summary!$B$5-B5633</f>
        <v>-18856.7395549715</v>
      </c>
      <c r="E5633" s="15" t="n">
        <f aca="false">B5633/Summary!$B$5-1</f>
        <v>0.188567395549715</v>
      </c>
    </row>
    <row r="5634" customFormat="false" ht="15" hidden="false" customHeight="false" outlineLevel="0" collapsed="false">
      <c r="A5634" s="0" t="n">
        <v>5633</v>
      </c>
      <c r="B5634" s="14" t="n">
        <v>101335.909260146</v>
      </c>
      <c r="C5634" s="15" t="n">
        <v>0.157759642779638</v>
      </c>
      <c r="D5634" s="14" t="n">
        <f aca="false">Summary!$B$5-B5634</f>
        <v>-1335.9092601462</v>
      </c>
      <c r="E5634" s="15" t="n">
        <f aca="false">B5634/Summary!$B$5-1</f>
        <v>0.013359092601462</v>
      </c>
    </row>
    <row r="5635" customFormat="false" ht="15" hidden="false" customHeight="false" outlineLevel="0" collapsed="false">
      <c r="A5635" s="0" t="n">
        <v>5634</v>
      </c>
      <c r="B5635" s="14" t="n">
        <v>106213.870295078</v>
      </c>
      <c r="C5635" s="15" t="n">
        <v>0.071087224694439</v>
      </c>
      <c r="D5635" s="14" t="n">
        <f aca="false">Summary!$B$5-B5635</f>
        <v>-6213.8702950779</v>
      </c>
      <c r="E5635" s="15" t="n">
        <f aca="false">B5635/Summary!$B$5-1</f>
        <v>0.0621387029507789</v>
      </c>
    </row>
    <row r="5636" customFormat="false" ht="15" hidden="false" customHeight="false" outlineLevel="0" collapsed="false">
      <c r="A5636" s="0" t="n">
        <v>5635</v>
      </c>
      <c r="B5636" s="14" t="n">
        <v>90996.3906399939</v>
      </c>
      <c r="C5636" s="15" t="n">
        <v>0.140615255051044</v>
      </c>
      <c r="D5636" s="14" t="n">
        <f aca="false">Summary!$B$5-B5636</f>
        <v>9003.60936000606</v>
      </c>
      <c r="E5636" s="15" t="n">
        <f aca="false">B5636/Summary!$B$5-1</f>
        <v>-0.0900360936000606</v>
      </c>
    </row>
    <row r="5637" customFormat="false" ht="15" hidden="false" customHeight="false" outlineLevel="0" collapsed="false">
      <c r="A5637" s="0" t="n">
        <v>5636</v>
      </c>
      <c r="B5637" s="14" t="n">
        <v>109751.89441202</v>
      </c>
      <c r="C5637" s="15" t="n">
        <v>0.0553148820740349</v>
      </c>
      <c r="D5637" s="14" t="n">
        <f aca="false">Summary!$B$5-B5637</f>
        <v>-9751.8944120198</v>
      </c>
      <c r="E5637" s="15" t="n">
        <f aca="false">B5637/Summary!$B$5-1</f>
        <v>0.097518944120198</v>
      </c>
    </row>
    <row r="5638" customFormat="false" ht="15" hidden="false" customHeight="false" outlineLevel="0" collapsed="false">
      <c r="A5638" s="0" t="n">
        <v>5637</v>
      </c>
      <c r="B5638" s="14" t="n">
        <v>87472.3971711819</v>
      </c>
      <c r="C5638" s="15" t="n">
        <v>0.154004771192975</v>
      </c>
      <c r="D5638" s="14" t="n">
        <f aca="false">Summary!$B$5-B5638</f>
        <v>12527.6028288181</v>
      </c>
      <c r="E5638" s="15" t="n">
        <f aca="false">B5638/Summary!$B$5-1</f>
        <v>-0.125276028288181</v>
      </c>
    </row>
    <row r="5639" customFormat="false" ht="15" hidden="false" customHeight="false" outlineLevel="0" collapsed="false">
      <c r="A5639" s="0" t="n">
        <v>5638</v>
      </c>
      <c r="B5639" s="14" t="n">
        <v>100862.199503709</v>
      </c>
      <c r="C5639" s="15" t="n">
        <v>0.112626922402868</v>
      </c>
      <c r="D5639" s="14" t="n">
        <f aca="false">Summary!$B$5-B5639</f>
        <v>-862.199503709198</v>
      </c>
      <c r="E5639" s="15" t="n">
        <f aca="false">B5639/Summary!$B$5-1</f>
        <v>0.00862199503709205</v>
      </c>
    </row>
    <row r="5640" customFormat="false" ht="15" hidden="false" customHeight="false" outlineLevel="0" collapsed="false">
      <c r="A5640" s="0" t="n">
        <v>5639</v>
      </c>
      <c r="B5640" s="14" t="n">
        <v>106790.6395466</v>
      </c>
      <c r="C5640" s="15" t="n">
        <v>0.082366829471052</v>
      </c>
      <c r="D5640" s="14" t="n">
        <f aca="false">Summary!$B$5-B5640</f>
        <v>-6790.6395465996</v>
      </c>
      <c r="E5640" s="15" t="n">
        <f aca="false">B5640/Summary!$B$5-1</f>
        <v>0.067906395465996</v>
      </c>
    </row>
    <row r="5641" customFormat="false" ht="15" hidden="false" customHeight="false" outlineLevel="0" collapsed="false">
      <c r="A5641" s="0" t="n">
        <v>5640</v>
      </c>
      <c r="B5641" s="14" t="n">
        <v>109722.230835157</v>
      </c>
      <c r="C5641" s="15" t="n">
        <v>0.144155531733772</v>
      </c>
      <c r="D5641" s="14" t="n">
        <f aca="false">Summary!$B$5-B5641</f>
        <v>-9722.23083515681</v>
      </c>
      <c r="E5641" s="15" t="n">
        <f aca="false">B5641/Summary!$B$5-1</f>
        <v>0.097222308351568</v>
      </c>
    </row>
    <row r="5642" customFormat="false" ht="15" hidden="false" customHeight="false" outlineLevel="0" collapsed="false">
      <c r="A5642" s="0" t="n">
        <v>5641</v>
      </c>
      <c r="B5642" s="14" t="n">
        <v>103598.005721934</v>
      </c>
      <c r="C5642" s="15" t="n">
        <v>0.131753015715507</v>
      </c>
      <c r="D5642" s="14" t="n">
        <f aca="false">Summary!$B$5-B5642</f>
        <v>-3598.0057219343</v>
      </c>
      <c r="E5642" s="15" t="n">
        <f aca="false">B5642/Summary!$B$5-1</f>
        <v>0.0359800572193429</v>
      </c>
    </row>
    <row r="5643" customFormat="false" ht="15" hidden="false" customHeight="false" outlineLevel="0" collapsed="false">
      <c r="A5643" s="0" t="n">
        <v>5642</v>
      </c>
      <c r="B5643" s="14" t="n">
        <v>130337.464333389</v>
      </c>
      <c r="C5643" s="15" t="n">
        <v>0.0802508255358618</v>
      </c>
      <c r="D5643" s="14" t="n">
        <f aca="false">Summary!$B$5-B5643</f>
        <v>-30337.4643333892</v>
      </c>
      <c r="E5643" s="15" t="n">
        <f aca="false">B5643/Summary!$B$5-1</f>
        <v>0.303374643333892</v>
      </c>
    </row>
    <row r="5644" customFormat="false" ht="15" hidden="false" customHeight="false" outlineLevel="0" collapsed="false">
      <c r="A5644" s="0" t="n">
        <v>5643</v>
      </c>
      <c r="B5644" s="14" t="n">
        <v>105586.146283473</v>
      </c>
      <c r="C5644" s="15" t="n">
        <v>0.11192012684584</v>
      </c>
      <c r="D5644" s="14" t="n">
        <f aca="false">Summary!$B$5-B5644</f>
        <v>-5586.1462834733</v>
      </c>
      <c r="E5644" s="15" t="n">
        <f aca="false">B5644/Summary!$B$5-1</f>
        <v>0.0558614628347329</v>
      </c>
    </row>
    <row r="5645" customFormat="false" ht="15" hidden="false" customHeight="false" outlineLevel="0" collapsed="false">
      <c r="A5645" s="0" t="n">
        <v>5644</v>
      </c>
      <c r="B5645" s="14" t="n">
        <v>104780.625852377</v>
      </c>
      <c r="C5645" s="15" t="n">
        <v>0.161818648085493</v>
      </c>
      <c r="D5645" s="14" t="n">
        <f aca="false">Summary!$B$5-B5645</f>
        <v>-4780.6258523771</v>
      </c>
      <c r="E5645" s="15" t="n">
        <f aca="false">B5645/Summary!$B$5-1</f>
        <v>0.0478062585237709</v>
      </c>
    </row>
    <row r="5646" customFormat="false" ht="15" hidden="false" customHeight="false" outlineLevel="0" collapsed="false">
      <c r="A5646" s="0" t="n">
        <v>5645</v>
      </c>
      <c r="B5646" s="14" t="n">
        <v>105362.538533397</v>
      </c>
      <c r="C5646" s="15" t="n">
        <v>0.0938158340354653</v>
      </c>
      <c r="D5646" s="14" t="n">
        <f aca="false">Summary!$B$5-B5646</f>
        <v>-5362.5385333967</v>
      </c>
      <c r="E5646" s="15" t="n">
        <f aca="false">B5646/Summary!$B$5-1</f>
        <v>0.053625385333967</v>
      </c>
    </row>
    <row r="5647" customFormat="false" ht="15" hidden="false" customHeight="false" outlineLevel="0" collapsed="false">
      <c r="A5647" s="0" t="n">
        <v>5646</v>
      </c>
      <c r="B5647" s="14" t="n">
        <v>105993.270141407</v>
      </c>
      <c r="C5647" s="15" t="n">
        <v>0.105890387975105</v>
      </c>
      <c r="D5647" s="14" t="n">
        <f aca="false">Summary!$B$5-B5647</f>
        <v>-5993.27014140711</v>
      </c>
      <c r="E5647" s="15" t="n">
        <f aca="false">B5647/Summary!$B$5-1</f>
        <v>0.0599327014140711</v>
      </c>
    </row>
    <row r="5648" customFormat="false" ht="15" hidden="false" customHeight="false" outlineLevel="0" collapsed="false">
      <c r="A5648" s="0" t="n">
        <v>5647</v>
      </c>
      <c r="B5648" s="14" t="n">
        <v>100868.974575681</v>
      </c>
      <c r="C5648" s="15" t="n">
        <v>0.0606360524487352</v>
      </c>
      <c r="D5648" s="14" t="n">
        <f aca="false">Summary!$B$5-B5648</f>
        <v>-868.974575680899</v>
      </c>
      <c r="E5648" s="15" t="n">
        <f aca="false">B5648/Summary!$B$5-1</f>
        <v>0.00868974575680892</v>
      </c>
    </row>
    <row r="5649" customFormat="false" ht="15" hidden="false" customHeight="false" outlineLevel="0" collapsed="false">
      <c r="A5649" s="0" t="n">
        <v>5648</v>
      </c>
      <c r="B5649" s="14" t="n">
        <v>113094.78576721</v>
      </c>
      <c r="C5649" s="15" t="n">
        <v>0.0662823295663981</v>
      </c>
      <c r="D5649" s="14" t="n">
        <f aca="false">Summary!$B$5-B5649</f>
        <v>-13094.7857672095</v>
      </c>
      <c r="E5649" s="15" t="n">
        <f aca="false">B5649/Summary!$B$5-1</f>
        <v>0.130947857672095</v>
      </c>
    </row>
    <row r="5650" customFormat="false" ht="15" hidden="false" customHeight="false" outlineLevel="0" collapsed="false">
      <c r="A5650" s="0" t="n">
        <v>5649</v>
      </c>
      <c r="B5650" s="14" t="n">
        <v>90927.6500115896</v>
      </c>
      <c r="C5650" s="15" t="n">
        <v>0.214521912654729</v>
      </c>
      <c r="D5650" s="14" t="n">
        <f aca="false">Summary!$B$5-B5650</f>
        <v>9072.34998841037</v>
      </c>
      <c r="E5650" s="15" t="n">
        <f aca="false">B5650/Summary!$B$5-1</f>
        <v>-0.0907234998841037</v>
      </c>
    </row>
    <row r="5651" customFormat="false" ht="15" hidden="false" customHeight="false" outlineLevel="0" collapsed="false">
      <c r="A5651" s="0" t="n">
        <v>5650</v>
      </c>
      <c r="B5651" s="14" t="n">
        <v>113796.621300453</v>
      </c>
      <c r="C5651" s="15" t="n">
        <v>0.0797590119851734</v>
      </c>
      <c r="D5651" s="14" t="n">
        <f aca="false">Summary!$B$5-B5651</f>
        <v>-13796.6213004532</v>
      </c>
      <c r="E5651" s="15" t="n">
        <f aca="false">B5651/Summary!$B$5-1</f>
        <v>0.137966213004532</v>
      </c>
    </row>
    <row r="5652" customFormat="false" ht="15" hidden="false" customHeight="false" outlineLevel="0" collapsed="false">
      <c r="A5652" s="0" t="n">
        <v>5651</v>
      </c>
      <c r="B5652" s="14" t="n">
        <v>145334.523262441</v>
      </c>
      <c r="C5652" s="15" t="n">
        <v>0.0501250393423897</v>
      </c>
      <c r="D5652" s="14" t="n">
        <f aca="false">Summary!$B$5-B5652</f>
        <v>-45334.5232624406</v>
      </c>
      <c r="E5652" s="15" t="n">
        <f aca="false">B5652/Summary!$B$5-1</f>
        <v>0.453345232624406</v>
      </c>
    </row>
    <row r="5653" customFormat="false" ht="15" hidden="false" customHeight="false" outlineLevel="0" collapsed="false">
      <c r="A5653" s="0" t="n">
        <v>5652</v>
      </c>
      <c r="B5653" s="14" t="n">
        <v>120841.408230064</v>
      </c>
      <c r="C5653" s="15" t="n">
        <v>0.0602477015138925</v>
      </c>
      <c r="D5653" s="14" t="n">
        <f aca="false">Summary!$B$5-B5653</f>
        <v>-20841.4082300644</v>
      </c>
      <c r="E5653" s="15" t="n">
        <f aca="false">B5653/Summary!$B$5-1</f>
        <v>0.208414082300644</v>
      </c>
    </row>
    <row r="5654" customFormat="false" ht="15" hidden="false" customHeight="false" outlineLevel="0" collapsed="false">
      <c r="A5654" s="0" t="n">
        <v>5653</v>
      </c>
      <c r="B5654" s="14" t="n">
        <v>101623.317309988</v>
      </c>
      <c r="C5654" s="15" t="n">
        <v>0.109855321502901</v>
      </c>
      <c r="D5654" s="14" t="n">
        <f aca="false">Summary!$B$5-B5654</f>
        <v>-1623.3173099881</v>
      </c>
      <c r="E5654" s="15" t="n">
        <f aca="false">B5654/Summary!$B$5-1</f>
        <v>0.016233173099881</v>
      </c>
    </row>
    <row r="5655" customFormat="false" ht="15" hidden="false" customHeight="false" outlineLevel="0" collapsed="false">
      <c r="A5655" s="0" t="n">
        <v>5654</v>
      </c>
      <c r="B5655" s="14" t="n">
        <v>112768.97151811</v>
      </c>
      <c r="C5655" s="15" t="n">
        <v>0.108064409070422</v>
      </c>
      <c r="D5655" s="14" t="n">
        <f aca="false">Summary!$B$5-B5655</f>
        <v>-12768.9715181101</v>
      </c>
      <c r="E5655" s="15" t="n">
        <f aca="false">B5655/Summary!$B$5-1</f>
        <v>0.127689715181101</v>
      </c>
    </row>
    <row r="5656" customFormat="false" ht="15" hidden="false" customHeight="false" outlineLevel="0" collapsed="false">
      <c r="A5656" s="0" t="n">
        <v>5655</v>
      </c>
      <c r="B5656" s="14" t="n">
        <v>106516.15501787</v>
      </c>
      <c r="C5656" s="15" t="n">
        <v>0.0990792810571971</v>
      </c>
      <c r="D5656" s="14" t="n">
        <f aca="false">Summary!$B$5-B5656</f>
        <v>-6516.1550178699</v>
      </c>
      <c r="E5656" s="15" t="n">
        <f aca="false">B5656/Summary!$B$5-1</f>
        <v>0.0651615501786991</v>
      </c>
    </row>
    <row r="5657" customFormat="false" ht="15" hidden="false" customHeight="false" outlineLevel="0" collapsed="false">
      <c r="A5657" s="0" t="n">
        <v>5656</v>
      </c>
      <c r="B5657" s="14" t="n">
        <v>100595.179648175</v>
      </c>
      <c r="C5657" s="15" t="n">
        <v>0.1195197315417</v>
      </c>
      <c r="D5657" s="14" t="n">
        <f aca="false">Summary!$B$5-B5657</f>
        <v>-595.179648174904</v>
      </c>
      <c r="E5657" s="15" t="n">
        <f aca="false">B5657/Summary!$B$5-1</f>
        <v>0.00595179648174904</v>
      </c>
    </row>
    <row r="5658" customFormat="false" ht="15" hidden="false" customHeight="false" outlineLevel="0" collapsed="false">
      <c r="A5658" s="0" t="n">
        <v>5657</v>
      </c>
      <c r="B5658" s="14" t="n">
        <v>122262.806899526</v>
      </c>
      <c r="C5658" s="15" t="n">
        <v>0.0654086078816172</v>
      </c>
      <c r="D5658" s="14" t="n">
        <f aca="false">Summary!$B$5-B5658</f>
        <v>-22262.8068995257</v>
      </c>
      <c r="E5658" s="15" t="n">
        <f aca="false">B5658/Summary!$B$5-1</f>
        <v>0.222628068995257</v>
      </c>
    </row>
    <row r="5659" customFormat="false" ht="15" hidden="false" customHeight="false" outlineLevel="0" collapsed="false">
      <c r="A5659" s="0" t="n">
        <v>5658</v>
      </c>
      <c r="B5659" s="14" t="n">
        <v>97185.4107486092</v>
      </c>
      <c r="C5659" s="15" t="n">
        <v>0.0995159012899887</v>
      </c>
      <c r="D5659" s="14" t="n">
        <f aca="false">Summary!$B$5-B5659</f>
        <v>2814.58925139077</v>
      </c>
      <c r="E5659" s="15" t="n">
        <f aca="false">B5659/Summary!$B$5-1</f>
        <v>-0.0281458925139078</v>
      </c>
    </row>
    <row r="5660" customFormat="false" ht="15" hidden="false" customHeight="false" outlineLevel="0" collapsed="false">
      <c r="A5660" s="0" t="n">
        <v>5659</v>
      </c>
      <c r="B5660" s="14" t="n">
        <v>92658.8264054036</v>
      </c>
      <c r="C5660" s="15" t="n">
        <v>0.126788517014548</v>
      </c>
      <c r="D5660" s="14" t="n">
        <f aca="false">Summary!$B$5-B5660</f>
        <v>7341.17359459639</v>
      </c>
      <c r="E5660" s="15" t="n">
        <f aca="false">B5660/Summary!$B$5-1</f>
        <v>-0.0734117359459638</v>
      </c>
    </row>
    <row r="5661" customFormat="false" ht="15" hidden="false" customHeight="false" outlineLevel="0" collapsed="false">
      <c r="A5661" s="0" t="n">
        <v>5660</v>
      </c>
      <c r="B5661" s="14" t="n">
        <v>84299.7894074988</v>
      </c>
      <c r="C5661" s="15" t="n">
        <v>0.20835587761873</v>
      </c>
      <c r="D5661" s="14" t="n">
        <f aca="false">Summary!$B$5-B5661</f>
        <v>15700.2105925012</v>
      </c>
      <c r="E5661" s="15" t="n">
        <f aca="false">B5661/Summary!$B$5-1</f>
        <v>-0.157002105925012</v>
      </c>
    </row>
    <row r="5662" customFormat="false" ht="15" hidden="false" customHeight="false" outlineLevel="0" collapsed="false">
      <c r="A5662" s="0" t="n">
        <v>5661</v>
      </c>
      <c r="B5662" s="14" t="n">
        <v>112716.222076341</v>
      </c>
      <c r="C5662" s="15" t="n">
        <v>0.0862324435621087</v>
      </c>
      <c r="D5662" s="14" t="n">
        <f aca="false">Summary!$B$5-B5662</f>
        <v>-12716.2220763411</v>
      </c>
      <c r="E5662" s="15" t="n">
        <f aca="false">B5662/Summary!$B$5-1</f>
        <v>0.127162220763411</v>
      </c>
    </row>
    <row r="5663" customFormat="false" ht="15" hidden="false" customHeight="false" outlineLevel="0" collapsed="false">
      <c r="A5663" s="0" t="n">
        <v>5662</v>
      </c>
      <c r="B5663" s="14" t="n">
        <v>92038.9845583288</v>
      </c>
      <c r="C5663" s="15" t="n">
        <v>0.131693646652415</v>
      </c>
      <c r="D5663" s="14" t="n">
        <f aca="false">Summary!$B$5-B5663</f>
        <v>7961.01544167122</v>
      </c>
      <c r="E5663" s="15" t="n">
        <f aca="false">B5663/Summary!$B$5-1</f>
        <v>-0.0796101544167122</v>
      </c>
    </row>
    <row r="5664" customFormat="false" ht="15" hidden="false" customHeight="false" outlineLevel="0" collapsed="false">
      <c r="A5664" s="0" t="n">
        <v>5663</v>
      </c>
      <c r="B5664" s="14" t="n">
        <v>116308.872073349</v>
      </c>
      <c r="C5664" s="15" t="n">
        <v>0.0737129881070843</v>
      </c>
      <c r="D5664" s="14" t="n">
        <f aca="false">Summary!$B$5-B5664</f>
        <v>-16308.8720733492</v>
      </c>
      <c r="E5664" s="15" t="n">
        <f aca="false">B5664/Summary!$B$5-1</f>
        <v>0.163088720733492</v>
      </c>
    </row>
    <row r="5665" customFormat="false" ht="15" hidden="false" customHeight="false" outlineLevel="0" collapsed="false">
      <c r="A5665" s="0" t="n">
        <v>5664</v>
      </c>
      <c r="B5665" s="14" t="n">
        <v>106200.167370177</v>
      </c>
      <c r="C5665" s="15" t="n">
        <v>0.0778172234661472</v>
      </c>
      <c r="D5665" s="14" t="n">
        <f aca="false">Summary!$B$5-B5665</f>
        <v>-6200.1673701769</v>
      </c>
      <c r="E5665" s="15" t="n">
        <f aca="false">B5665/Summary!$B$5-1</f>
        <v>0.062001673701769</v>
      </c>
    </row>
    <row r="5666" customFormat="false" ht="15" hidden="false" customHeight="false" outlineLevel="0" collapsed="false">
      <c r="A5666" s="0" t="n">
        <v>5665</v>
      </c>
      <c r="B5666" s="14" t="n">
        <v>115044.963884436</v>
      </c>
      <c r="C5666" s="15" t="n">
        <v>0.0794882119110321</v>
      </c>
      <c r="D5666" s="14" t="n">
        <f aca="false">Summary!$B$5-B5666</f>
        <v>-15044.9638844362</v>
      </c>
      <c r="E5666" s="15" t="n">
        <f aca="false">B5666/Summary!$B$5-1</f>
        <v>0.150449638844362</v>
      </c>
    </row>
    <row r="5667" customFormat="false" ht="15" hidden="false" customHeight="false" outlineLevel="0" collapsed="false">
      <c r="A5667" s="0" t="n">
        <v>5666</v>
      </c>
      <c r="B5667" s="14" t="n">
        <v>108103.942138891</v>
      </c>
      <c r="C5667" s="15" t="n">
        <v>0.0697972778403146</v>
      </c>
      <c r="D5667" s="14" t="n">
        <f aca="false">Summary!$B$5-B5667</f>
        <v>-8103.9421388913</v>
      </c>
      <c r="E5667" s="15" t="n">
        <f aca="false">B5667/Summary!$B$5-1</f>
        <v>0.081039421388913</v>
      </c>
    </row>
    <row r="5668" customFormat="false" ht="15" hidden="false" customHeight="false" outlineLevel="0" collapsed="false">
      <c r="A5668" s="0" t="n">
        <v>5667</v>
      </c>
      <c r="B5668" s="14" t="n">
        <v>128840.282977624</v>
      </c>
      <c r="C5668" s="15" t="n">
        <v>0.0587403018657683</v>
      </c>
      <c r="D5668" s="14" t="n">
        <f aca="false">Summary!$B$5-B5668</f>
        <v>-28840.2829776242</v>
      </c>
      <c r="E5668" s="15" t="n">
        <f aca="false">B5668/Summary!$B$5-1</f>
        <v>0.288402829776242</v>
      </c>
    </row>
    <row r="5669" customFormat="false" ht="15" hidden="false" customHeight="false" outlineLevel="0" collapsed="false">
      <c r="A5669" s="0" t="n">
        <v>5668</v>
      </c>
      <c r="B5669" s="14" t="n">
        <v>99870.1179735274</v>
      </c>
      <c r="C5669" s="15" t="n">
        <v>0.0797958957841362</v>
      </c>
      <c r="D5669" s="14" t="n">
        <f aca="false">Summary!$B$5-B5669</f>
        <v>129.882026472595</v>
      </c>
      <c r="E5669" s="15" t="n">
        <f aca="false">B5669/Summary!$B$5-1</f>
        <v>-0.00129882026472594</v>
      </c>
    </row>
    <row r="5670" customFormat="false" ht="15" hidden="false" customHeight="false" outlineLevel="0" collapsed="false">
      <c r="A5670" s="0" t="n">
        <v>5669</v>
      </c>
      <c r="B5670" s="14" t="n">
        <v>102303.491726501</v>
      </c>
      <c r="C5670" s="15" t="n">
        <v>0.125232925292353</v>
      </c>
      <c r="D5670" s="14" t="n">
        <f aca="false">Summary!$B$5-B5670</f>
        <v>-2303.49172650059</v>
      </c>
      <c r="E5670" s="15" t="n">
        <f aca="false">B5670/Summary!$B$5-1</f>
        <v>0.023034917265006</v>
      </c>
    </row>
    <row r="5671" customFormat="false" ht="15" hidden="false" customHeight="false" outlineLevel="0" collapsed="false">
      <c r="A5671" s="0" t="n">
        <v>5670</v>
      </c>
      <c r="B5671" s="14" t="n">
        <v>94810.8915292171</v>
      </c>
      <c r="C5671" s="15" t="n">
        <v>0.133580397593781</v>
      </c>
      <c r="D5671" s="14" t="n">
        <f aca="false">Summary!$B$5-B5671</f>
        <v>5189.10847078293</v>
      </c>
      <c r="E5671" s="15" t="n">
        <f aca="false">B5671/Summary!$B$5-1</f>
        <v>-0.0518910847078293</v>
      </c>
    </row>
    <row r="5672" customFormat="false" ht="15" hidden="false" customHeight="false" outlineLevel="0" collapsed="false">
      <c r="A5672" s="0" t="n">
        <v>5671</v>
      </c>
      <c r="B5672" s="14" t="n">
        <v>105044.349909838</v>
      </c>
      <c r="C5672" s="15" t="n">
        <v>0.0785795891394988</v>
      </c>
      <c r="D5672" s="14" t="n">
        <f aca="false">Summary!$B$5-B5672</f>
        <v>-5044.3499098383</v>
      </c>
      <c r="E5672" s="15" t="n">
        <f aca="false">B5672/Summary!$B$5-1</f>
        <v>0.0504434990983831</v>
      </c>
    </row>
    <row r="5673" customFormat="false" ht="15" hidden="false" customHeight="false" outlineLevel="0" collapsed="false">
      <c r="A5673" s="0" t="n">
        <v>5672</v>
      </c>
      <c r="B5673" s="14" t="n">
        <v>132264.019405547</v>
      </c>
      <c r="C5673" s="15" t="n">
        <v>0.0338545415975605</v>
      </c>
      <c r="D5673" s="14" t="n">
        <f aca="false">Summary!$B$5-B5673</f>
        <v>-32264.0194055472</v>
      </c>
      <c r="E5673" s="15" t="n">
        <f aca="false">B5673/Summary!$B$5-1</f>
        <v>0.322640194055472</v>
      </c>
    </row>
    <row r="5674" customFormat="false" ht="15" hidden="false" customHeight="false" outlineLevel="0" collapsed="false">
      <c r="A5674" s="0" t="n">
        <v>5673</v>
      </c>
      <c r="B5674" s="14" t="n">
        <v>87739.0840868361</v>
      </c>
      <c r="C5674" s="15" t="n">
        <v>0.13137913305211</v>
      </c>
      <c r="D5674" s="14" t="n">
        <f aca="false">Summary!$B$5-B5674</f>
        <v>12260.9159131639</v>
      </c>
      <c r="E5674" s="15" t="n">
        <f aca="false">B5674/Summary!$B$5-1</f>
        <v>-0.122609159131639</v>
      </c>
    </row>
    <row r="5675" customFormat="false" ht="15" hidden="false" customHeight="false" outlineLevel="0" collapsed="false">
      <c r="A5675" s="0" t="n">
        <v>5674</v>
      </c>
      <c r="B5675" s="14" t="n">
        <v>126421.390073821</v>
      </c>
      <c r="C5675" s="15" t="n">
        <v>0.0586933156970292</v>
      </c>
      <c r="D5675" s="14" t="n">
        <f aca="false">Summary!$B$5-B5675</f>
        <v>-26421.3900738208</v>
      </c>
      <c r="E5675" s="15" t="n">
        <f aca="false">B5675/Summary!$B$5-1</f>
        <v>0.264213900738208</v>
      </c>
    </row>
    <row r="5676" customFormat="false" ht="15" hidden="false" customHeight="false" outlineLevel="0" collapsed="false">
      <c r="A5676" s="0" t="n">
        <v>5675</v>
      </c>
      <c r="B5676" s="14" t="n">
        <v>114151.196384741</v>
      </c>
      <c r="C5676" s="15" t="n">
        <v>0.0980875118975896</v>
      </c>
      <c r="D5676" s="14" t="n">
        <f aca="false">Summary!$B$5-B5676</f>
        <v>-14151.1963847408</v>
      </c>
      <c r="E5676" s="15" t="n">
        <f aca="false">B5676/Summary!$B$5-1</f>
        <v>0.141511963847408</v>
      </c>
    </row>
    <row r="5677" customFormat="false" ht="15" hidden="false" customHeight="false" outlineLevel="0" collapsed="false">
      <c r="A5677" s="0" t="n">
        <v>5676</v>
      </c>
      <c r="B5677" s="14" t="n">
        <v>104241.44009332</v>
      </c>
      <c r="C5677" s="15" t="n">
        <v>0.0836588321203394</v>
      </c>
      <c r="D5677" s="14" t="n">
        <f aca="false">Summary!$B$5-B5677</f>
        <v>-4241.4400933203</v>
      </c>
      <c r="E5677" s="15" t="n">
        <f aca="false">B5677/Summary!$B$5-1</f>
        <v>0.042414400933203</v>
      </c>
    </row>
    <row r="5678" customFormat="false" ht="15" hidden="false" customHeight="false" outlineLevel="0" collapsed="false">
      <c r="A5678" s="0" t="n">
        <v>5677</v>
      </c>
      <c r="B5678" s="14" t="n">
        <v>104523.349489289</v>
      </c>
      <c r="C5678" s="15" t="n">
        <v>0.0792400583102773</v>
      </c>
      <c r="D5678" s="14" t="n">
        <f aca="false">Summary!$B$5-B5678</f>
        <v>-4523.3494892887</v>
      </c>
      <c r="E5678" s="15" t="n">
        <f aca="false">B5678/Summary!$B$5-1</f>
        <v>0.045233494892887</v>
      </c>
    </row>
    <row r="5679" customFormat="false" ht="15" hidden="false" customHeight="false" outlineLevel="0" collapsed="false">
      <c r="A5679" s="0" t="n">
        <v>5678</v>
      </c>
      <c r="B5679" s="14" t="n">
        <v>87686.6131436474</v>
      </c>
      <c r="C5679" s="15" t="n">
        <v>0.14335098575418</v>
      </c>
      <c r="D5679" s="14" t="n">
        <f aca="false">Summary!$B$5-B5679</f>
        <v>12313.3868563526</v>
      </c>
      <c r="E5679" s="15" t="n">
        <f aca="false">B5679/Summary!$B$5-1</f>
        <v>-0.123133868563526</v>
      </c>
    </row>
    <row r="5680" customFormat="false" ht="15" hidden="false" customHeight="false" outlineLevel="0" collapsed="false">
      <c r="A5680" s="0" t="n">
        <v>5679</v>
      </c>
      <c r="B5680" s="14" t="n">
        <v>123978.181603105</v>
      </c>
      <c r="C5680" s="15" t="n">
        <v>0.0490372008588972</v>
      </c>
      <c r="D5680" s="14" t="n">
        <f aca="false">Summary!$B$5-B5680</f>
        <v>-23978.1816031045</v>
      </c>
      <c r="E5680" s="15" t="n">
        <f aca="false">B5680/Summary!$B$5-1</f>
        <v>0.239781816031045</v>
      </c>
    </row>
    <row r="5681" customFormat="false" ht="15" hidden="false" customHeight="false" outlineLevel="0" collapsed="false">
      <c r="A5681" s="0" t="n">
        <v>5680</v>
      </c>
      <c r="B5681" s="14" t="n">
        <v>126932.096390915</v>
      </c>
      <c r="C5681" s="15" t="n">
        <v>0.0825851431526751</v>
      </c>
      <c r="D5681" s="14" t="n">
        <f aca="false">Summary!$B$5-B5681</f>
        <v>-26932.0963909145</v>
      </c>
      <c r="E5681" s="15" t="n">
        <f aca="false">B5681/Summary!$B$5-1</f>
        <v>0.269320963909145</v>
      </c>
    </row>
    <row r="5682" customFormat="false" ht="15" hidden="false" customHeight="false" outlineLevel="0" collapsed="false">
      <c r="A5682" s="0" t="n">
        <v>5681</v>
      </c>
      <c r="B5682" s="14" t="n">
        <v>116246.957659324</v>
      </c>
      <c r="C5682" s="15" t="n">
        <v>0.0815079987986808</v>
      </c>
      <c r="D5682" s="14" t="n">
        <f aca="false">Summary!$B$5-B5682</f>
        <v>-16246.9576593239</v>
      </c>
      <c r="E5682" s="15" t="n">
        <f aca="false">B5682/Summary!$B$5-1</f>
        <v>0.162469576593239</v>
      </c>
    </row>
    <row r="5683" customFormat="false" ht="15" hidden="false" customHeight="false" outlineLevel="0" collapsed="false">
      <c r="A5683" s="0" t="n">
        <v>5682</v>
      </c>
      <c r="B5683" s="14" t="n">
        <v>121592.493590144</v>
      </c>
      <c r="C5683" s="15" t="n">
        <v>0.0683098276856239</v>
      </c>
      <c r="D5683" s="14" t="n">
        <f aca="false">Summary!$B$5-B5683</f>
        <v>-21592.4935901441</v>
      </c>
      <c r="E5683" s="15" t="n">
        <f aca="false">B5683/Summary!$B$5-1</f>
        <v>0.215924935901441</v>
      </c>
    </row>
    <row r="5684" customFormat="false" ht="15" hidden="false" customHeight="false" outlineLevel="0" collapsed="false">
      <c r="A5684" s="0" t="n">
        <v>5683</v>
      </c>
      <c r="B5684" s="14" t="n">
        <v>89439.7935772246</v>
      </c>
      <c r="C5684" s="15" t="n">
        <v>0.119850865165283</v>
      </c>
      <c r="D5684" s="14" t="n">
        <f aca="false">Summary!$B$5-B5684</f>
        <v>10560.2064227754</v>
      </c>
      <c r="E5684" s="15" t="n">
        <f aca="false">B5684/Summary!$B$5-1</f>
        <v>-0.105602064227754</v>
      </c>
    </row>
    <row r="5685" customFormat="false" ht="15" hidden="false" customHeight="false" outlineLevel="0" collapsed="false">
      <c r="A5685" s="0" t="n">
        <v>5684</v>
      </c>
      <c r="B5685" s="14" t="n">
        <v>113518.539670713</v>
      </c>
      <c r="C5685" s="15" t="n">
        <v>0.0878702049204233</v>
      </c>
      <c r="D5685" s="14" t="n">
        <f aca="false">Summary!$B$5-B5685</f>
        <v>-13518.5396707133</v>
      </c>
      <c r="E5685" s="15" t="n">
        <f aca="false">B5685/Summary!$B$5-1</f>
        <v>0.135185396707133</v>
      </c>
    </row>
    <row r="5686" customFormat="false" ht="15" hidden="false" customHeight="false" outlineLevel="0" collapsed="false">
      <c r="A5686" s="0" t="n">
        <v>5685</v>
      </c>
      <c r="B5686" s="14" t="n">
        <v>114824.627646582</v>
      </c>
      <c r="C5686" s="15" t="n">
        <v>0.0960765009394358</v>
      </c>
      <c r="D5686" s="14" t="n">
        <f aca="false">Summary!$B$5-B5686</f>
        <v>-14824.6276465815</v>
      </c>
      <c r="E5686" s="15" t="n">
        <f aca="false">B5686/Summary!$B$5-1</f>
        <v>0.148246276465815</v>
      </c>
    </row>
    <row r="5687" customFormat="false" ht="15" hidden="false" customHeight="false" outlineLevel="0" collapsed="false">
      <c r="A5687" s="0" t="n">
        <v>5686</v>
      </c>
      <c r="B5687" s="14" t="n">
        <v>129439.367349529</v>
      </c>
      <c r="C5687" s="15" t="n">
        <v>0.0875342094623824</v>
      </c>
      <c r="D5687" s="14" t="n">
        <f aca="false">Summary!$B$5-B5687</f>
        <v>-29439.3673495294</v>
      </c>
      <c r="E5687" s="15" t="n">
        <f aca="false">B5687/Summary!$B$5-1</f>
        <v>0.294393673495294</v>
      </c>
    </row>
    <row r="5688" customFormat="false" ht="15" hidden="false" customHeight="false" outlineLevel="0" collapsed="false">
      <c r="A5688" s="0" t="n">
        <v>5687</v>
      </c>
      <c r="B5688" s="14" t="n">
        <v>101115.786390099</v>
      </c>
      <c r="C5688" s="15" t="n">
        <v>0.0936423364045975</v>
      </c>
      <c r="D5688" s="14" t="n">
        <f aca="false">Summary!$B$5-B5688</f>
        <v>-1115.7863900994</v>
      </c>
      <c r="E5688" s="15" t="n">
        <f aca="false">B5688/Summary!$B$5-1</f>
        <v>0.0111578639009939</v>
      </c>
    </row>
    <row r="5689" customFormat="false" ht="15" hidden="false" customHeight="false" outlineLevel="0" collapsed="false">
      <c r="A5689" s="0" t="n">
        <v>5688</v>
      </c>
      <c r="B5689" s="14" t="n">
        <v>104638.813914283</v>
      </c>
      <c r="C5689" s="15" t="n">
        <v>0.0741153452855866</v>
      </c>
      <c r="D5689" s="14" t="n">
        <f aca="false">Summary!$B$5-B5689</f>
        <v>-4638.8139142829</v>
      </c>
      <c r="E5689" s="15" t="n">
        <f aca="false">B5689/Summary!$B$5-1</f>
        <v>0.0463881391428291</v>
      </c>
    </row>
    <row r="5690" customFormat="false" ht="15" hidden="false" customHeight="false" outlineLevel="0" collapsed="false">
      <c r="A5690" s="0" t="n">
        <v>5689</v>
      </c>
      <c r="B5690" s="14" t="n">
        <v>105364.467590349</v>
      </c>
      <c r="C5690" s="15" t="n">
        <v>0.0664900861900261</v>
      </c>
      <c r="D5690" s="14" t="n">
        <f aca="false">Summary!$B$5-B5690</f>
        <v>-5364.46759034941</v>
      </c>
      <c r="E5690" s="15" t="n">
        <f aca="false">B5690/Summary!$B$5-1</f>
        <v>0.0536446759034941</v>
      </c>
    </row>
    <row r="5691" customFormat="false" ht="15" hidden="false" customHeight="false" outlineLevel="0" collapsed="false">
      <c r="A5691" s="0" t="n">
        <v>5690</v>
      </c>
      <c r="B5691" s="14" t="n">
        <v>115493.529913596</v>
      </c>
      <c r="C5691" s="15" t="n">
        <v>0.0556582608234451</v>
      </c>
      <c r="D5691" s="14" t="n">
        <f aca="false">Summary!$B$5-B5691</f>
        <v>-15493.529913596</v>
      </c>
      <c r="E5691" s="15" t="n">
        <f aca="false">B5691/Summary!$B$5-1</f>
        <v>0.15493529913596</v>
      </c>
    </row>
    <row r="5692" customFormat="false" ht="15" hidden="false" customHeight="false" outlineLevel="0" collapsed="false">
      <c r="A5692" s="0" t="n">
        <v>5691</v>
      </c>
      <c r="B5692" s="14" t="n">
        <v>121137.78931166</v>
      </c>
      <c r="C5692" s="15" t="n">
        <v>0.0695596469567176</v>
      </c>
      <c r="D5692" s="14" t="n">
        <f aca="false">Summary!$B$5-B5692</f>
        <v>-21137.7893116599</v>
      </c>
      <c r="E5692" s="15" t="n">
        <f aca="false">B5692/Summary!$B$5-1</f>
        <v>0.211377893116599</v>
      </c>
    </row>
    <row r="5693" customFormat="false" ht="15" hidden="false" customHeight="false" outlineLevel="0" collapsed="false">
      <c r="A5693" s="0" t="n">
        <v>5692</v>
      </c>
      <c r="B5693" s="14" t="n">
        <v>103772.670860648</v>
      </c>
      <c r="C5693" s="15" t="n">
        <v>0.108042208738616</v>
      </c>
      <c r="D5693" s="14" t="n">
        <f aca="false">Summary!$B$5-B5693</f>
        <v>-3772.6708606481</v>
      </c>
      <c r="E5693" s="15" t="n">
        <f aca="false">B5693/Summary!$B$5-1</f>
        <v>0.037726708606481</v>
      </c>
    </row>
    <row r="5694" customFormat="false" ht="15" hidden="false" customHeight="false" outlineLevel="0" collapsed="false">
      <c r="A5694" s="0" t="n">
        <v>5693</v>
      </c>
      <c r="B5694" s="14" t="n">
        <v>129467.384867787</v>
      </c>
      <c r="C5694" s="15" t="n">
        <v>0.0468650710623257</v>
      </c>
      <c r="D5694" s="14" t="n">
        <f aca="false">Summary!$B$5-B5694</f>
        <v>-29467.3848677869</v>
      </c>
      <c r="E5694" s="15" t="n">
        <f aca="false">B5694/Summary!$B$5-1</f>
        <v>0.294673848677869</v>
      </c>
    </row>
    <row r="5695" customFormat="false" ht="15" hidden="false" customHeight="false" outlineLevel="0" collapsed="false">
      <c r="A5695" s="0" t="n">
        <v>5694</v>
      </c>
      <c r="B5695" s="14" t="n">
        <v>117659.762084954</v>
      </c>
      <c r="C5695" s="15" t="n">
        <v>0.0528419641349823</v>
      </c>
      <c r="D5695" s="14" t="n">
        <f aca="false">Summary!$B$5-B5695</f>
        <v>-17659.7620849536</v>
      </c>
      <c r="E5695" s="15" t="n">
        <f aca="false">B5695/Summary!$B$5-1</f>
        <v>0.176597620849536</v>
      </c>
    </row>
    <row r="5696" customFormat="false" ht="15" hidden="false" customHeight="false" outlineLevel="0" collapsed="false">
      <c r="A5696" s="0" t="n">
        <v>5695</v>
      </c>
      <c r="B5696" s="14" t="n">
        <v>108302.514362414</v>
      </c>
      <c r="C5696" s="15" t="n">
        <v>0.109241920297688</v>
      </c>
      <c r="D5696" s="14" t="n">
        <f aca="false">Summary!$B$5-B5696</f>
        <v>-8302.5143624143</v>
      </c>
      <c r="E5696" s="15" t="n">
        <f aca="false">B5696/Summary!$B$5-1</f>
        <v>0.0830251436241429</v>
      </c>
    </row>
    <row r="5697" customFormat="false" ht="15" hidden="false" customHeight="false" outlineLevel="0" collapsed="false">
      <c r="A5697" s="0" t="n">
        <v>5696</v>
      </c>
      <c r="B5697" s="14" t="n">
        <v>100957.460292435</v>
      </c>
      <c r="C5697" s="15" t="n">
        <v>0.140831361599127</v>
      </c>
      <c r="D5697" s="14" t="n">
        <f aca="false">Summary!$B$5-B5697</f>
        <v>-957.460292435004</v>
      </c>
      <c r="E5697" s="15" t="n">
        <f aca="false">B5697/Summary!$B$5-1</f>
        <v>0.00957460292434997</v>
      </c>
    </row>
    <row r="5698" customFormat="false" ht="15" hidden="false" customHeight="false" outlineLevel="0" collapsed="false">
      <c r="A5698" s="0" t="n">
        <v>5697</v>
      </c>
      <c r="B5698" s="14" t="n">
        <v>106183.21791498</v>
      </c>
      <c r="C5698" s="15" t="n">
        <v>0.105021374104789</v>
      </c>
      <c r="D5698" s="14" t="n">
        <f aca="false">Summary!$B$5-B5698</f>
        <v>-6183.2179149798</v>
      </c>
      <c r="E5698" s="15" t="n">
        <f aca="false">B5698/Summary!$B$5-1</f>
        <v>0.061832179149798</v>
      </c>
    </row>
    <row r="5699" customFormat="false" ht="15" hidden="false" customHeight="false" outlineLevel="0" collapsed="false">
      <c r="A5699" s="0" t="n">
        <v>5698</v>
      </c>
      <c r="B5699" s="14" t="n">
        <v>107805.54921576</v>
      </c>
      <c r="C5699" s="15" t="n">
        <v>0.0798064491732414</v>
      </c>
      <c r="D5699" s="14" t="n">
        <f aca="false">Summary!$B$5-B5699</f>
        <v>-7805.54921576</v>
      </c>
      <c r="E5699" s="15" t="n">
        <f aca="false">B5699/Summary!$B$5-1</f>
        <v>0.0780554921576</v>
      </c>
    </row>
    <row r="5700" customFormat="false" ht="15" hidden="false" customHeight="false" outlineLevel="0" collapsed="false">
      <c r="A5700" s="0" t="n">
        <v>5699</v>
      </c>
      <c r="B5700" s="14" t="n">
        <v>101271.172583842</v>
      </c>
      <c r="C5700" s="15" t="n">
        <v>0.0804224593071461</v>
      </c>
      <c r="D5700" s="14" t="n">
        <f aca="false">Summary!$B$5-B5700</f>
        <v>-1271.1725838424</v>
      </c>
      <c r="E5700" s="15" t="n">
        <f aca="false">B5700/Summary!$B$5-1</f>
        <v>0.0127117258384239</v>
      </c>
    </row>
    <row r="5701" customFormat="false" ht="15" hidden="false" customHeight="false" outlineLevel="0" collapsed="false">
      <c r="A5701" s="0" t="n">
        <v>5700</v>
      </c>
      <c r="B5701" s="14" t="n">
        <v>122422.13510127</v>
      </c>
      <c r="C5701" s="15" t="n">
        <v>0.0658142509600853</v>
      </c>
      <c r="D5701" s="14" t="n">
        <f aca="false">Summary!$B$5-B5701</f>
        <v>-22422.1351012699</v>
      </c>
      <c r="E5701" s="15" t="n">
        <f aca="false">B5701/Summary!$B$5-1</f>
        <v>0.224221351012699</v>
      </c>
    </row>
    <row r="5702" customFormat="false" ht="15" hidden="false" customHeight="false" outlineLevel="0" collapsed="false">
      <c r="A5702" s="0" t="n">
        <v>5701</v>
      </c>
      <c r="B5702" s="14" t="n">
        <v>118457.726923678</v>
      </c>
      <c r="C5702" s="15" t="n">
        <v>0.120661950566533</v>
      </c>
      <c r="D5702" s="14" t="n">
        <f aca="false">Summary!$B$5-B5702</f>
        <v>-18457.7269236781</v>
      </c>
      <c r="E5702" s="15" t="n">
        <f aca="false">B5702/Summary!$B$5-1</f>
        <v>0.184577269236781</v>
      </c>
    </row>
    <row r="5703" customFormat="false" ht="15" hidden="false" customHeight="false" outlineLevel="0" collapsed="false">
      <c r="A5703" s="0" t="n">
        <v>5702</v>
      </c>
      <c r="B5703" s="14" t="n">
        <v>112629.52694336</v>
      </c>
      <c r="C5703" s="15" t="n">
        <v>0.0724519053688557</v>
      </c>
      <c r="D5703" s="14" t="n">
        <f aca="false">Summary!$B$5-B5703</f>
        <v>-12629.5269433597</v>
      </c>
      <c r="E5703" s="15" t="n">
        <f aca="false">B5703/Summary!$B$5-1</f>
        <v>0.126295269433597</v>
      </c>
    </row>
    <row r="5704" customFormat="false" ht="15" hidden="false" customHeight="false" outlineLevel="0" collapsed="false">
      <c r="A5704" s="0" t="n">
        <v>5703</v>
      </c>
      <c r="B5704" s="14" t="n">
        <v>101364.693080267</v>
      </c>
      <c r="C5704" s="15" t="n">
        <v>0.100882457533604</v>
      </c>
      <c r="D5704" s="14" t="n">
        <f aca="false">Summary!$B$5-B5704</f>
        <v>-1364.6930802665</v>
      </c>
      <c r="E5704" s="15" t="n">
        <f aca="false">B5704/Summary!$B$5-1</f>
        <v>0.013646930802665</v>
      </c>
    </row>
    <row r="5705" customFormat="false" ht="15" hidden="false" customHeight="false" outlineLevel="0" collapsed="false">
      <c r="A5705" s="0" t="n">
        <v>5704</v>
      </c>
      <c r="B5705" s="14" t="n">
        <v>100428.295450551</v>
      </c>
      <c r="C5705" s="15" t="n">
        <v>0.159973376120309</v>
      </c>
      <c r="D5705" s="14" t="n">
        <f aca="false">Summary!$B$5-B5705</f>
        <v>-428.295450550693</v>
      </c>
      <c r="E5705" s="15" t="n">
        <f aca="false">B5705/Summary!$B$5-1</f>
        <v>0.00428295450550698</v>
      </c>
    </row>
    <row r="5706" customFormat="false" ht="15" hidden="false" customHeight="false" outlineLevel="0" collapsed="false">
      <c r="A5706" s="0" t="n">
        <v>5705</v>
      </c>
      <c r="B5706" s="14" t="n">
        <v>111238.569179747</v>
      </c>
      <c r="C5706" s="15" t="n">
        <v>0.0636488139088993</v>
      </c>
      <c r="D5706" s="14" t="n">
        <f aca="false">Summary!$B$5-B5706</f>
        <v>-11238.5691797468</v>
      </c>
      <c r="E5706" s="15" t="n">
        <f aca="false">B5706/Summary!$B$5-1</f>
        <v>0.112385691797468</v>
      </c>
    </row>
    <row r="5707" customFormat="false" ht="15" hidden="false" customHeight="false" outlineLevel="0" collapsed="false">
      <c r="A5707" s="0" t="n">
        <v>5706</v>
      </c>
      <c r="B5707" s="14" t="n">
        <v>111830.819897368</v>
      </c>
      <c r="C5707" s="15" t="n">
        <v>0.0646337863258066</v>
      </c>
      <c r="D5707" s="14" t="n">
        <f aca="false">Summary!$B$5-B5707</f>
        <v>-11830.8198973683</v>
      </c>
      <c r="E5707" s="15" t="n">
        <f aca="false">B5707/Summary!$B$5-1</f>
        <v>0.118308198973683</v>
      </c>
    </row>
    <row r="5708" customFormat="false" ht="15" hidden="false" customHeight="false" outlineLevel="0" collapsed="false">
      <c r="A5708" s="0" t="n">
        <v>5707</v>
      </c>
      <c r="B5708" s="14" t="n">
        <v>127897.508961631</v>
      </c>
      <c r="C5708" s="15" t="n">
        <v>0.0756101450953993</v>
      </c>
      <c r="D5708" s="14" t="n">
        <f aca="false">Summary!$B$5-B5708</f>
        <v>-27897.5089616311</v>
      </c>
      <c r="E5708" s="15" t="n">
        <f aca="false">B5708/Summary!$B$5-1</f>
        <v>0.278975089616311</v>
      </c>
    </row>
    <row r="5709" customFormat="false" ht="15" hidden="false" customHeight="false" outlineLevel="0" collapsed="false">
      <c r="A5709" s="0" t="n">
        <v>5708</v>
      </c>
      <c r="B5709" s="14" t="n">
        <v>88091.4839813844</v>
      </c>
      <c r="C5709" s="15" t="n">
        <v>0.148936707195877</v>
      </c>
      <c r="D5709" s="14" t="n">
        <f aca="false">Summary!$B$5-B5709</f>
        <v>11908.5160186156</v>
      </c>
      <c r="E5709" s="15" t="n">
        <f aca="false">B5709/Summary!$B$5-1</f>
        <v>-0.119085160186156</v>
      </c>
    </row>
    <row r="5710" customFormat="false" ht="15" hidden="false" customHeight="false" outlineLevel="0" collapsed="false">
      <c r="A5710" s="0" t="n">
        <v>5709</v>
      </c>
      <c r="B5710" s="14" t="n">
        <v>122954.779116036</v>
      </c>
      <c r="C5710" s="15" t="n">
        <v>0.0679843197697312</v>
      </c>
      <c r="D5710" s="14" t="n">
        <f aca="false">Summary!$B$5-B5710</f>
        <v>-22954.7791160358</v>
      </c>
      <c r="E5710" s="15" t="n">
        <f aca="false">B5710/Summary!$B$5-1</f>
        <v>0.229547791160358</v>
      </c>
    </row>
    <row r="5711" customFormat="false" ht="15" hidden="false" customHeight="false" outlineLevel="0" collapsed="false">
      <c r="A5711" s="0" t="n">
        <v>5710</v>
      </c>
      <c r="B5711" s="14" t="n">
        <v>94686.1194548239</v>
      </c>
      <c r="C5711" s="15" t="n">
        <v>0.149805218210545</v>
      </c>
      <c r="D5711" s="14" t="n">
        <f aca="false">Summary!$B$5-B5711</f>
        <v>5313.88054517607</v>
      </c>
      <c r="E5711" s="15" t="n">
        <f aca="false">B5711/Summary!$B$5-1</f>
        <v>-0.0531388054517608</v>
      </c>
    </row>
    <row r="5712" customFormat="false" ht="15" hidden="false" customHeight="false" outlineLevel="0" collapsed="false">
      <c r="A5712" s="0" t="n">
        <v>5711</v>
      </c>
      <c r="B5712" s="14" t="n">
        <v>112067.843932189</v>
      </c>
      <c r="C5712" s="15" t="n">
        <v>0.0876652749298211</v>
      </c>
      <c r="D5712" s="14" t="n">
        <f aca="false">Summary!$B$5-B5712</f>
        <v>-12067.8439321888</v>
      </c>
      <c r="E5712" s="15" t="n">
        <f aca="false">B5712/Summary!$B$5-1</f>
        <v>0.120678439321888</v>
      </c>
    </row>
    <row r="5713" customFormat="false" ht="15" hidden="false" customHeight="false" outlineLevel="0" collapsed="false">
      <c r="A5713" s="0" t="n">
        <v>5712</v>
      </c>
      <c r="B5713" s="14" t="n">
        <v>97851.1350230828</v>
      </c>
      <c r="C5713" s="15" t="n">
        <v>0.126847048838491</v>
      </c>
      <c r="D5713" s="14" t="n">
        <f aca="false">Summary!$B$5-B5713</f>
        <v>2148.86497691722</v>
      </c>
      <c r="E5713" s="15" t="n">
        <f aca="false">B5713/Summary!$B$5-1</f>
        <v>-0.0214886497691722</v>
      </c>
    </row>
    <row r="5714" customFormat="false" ht="15" hidden="false" customHeight="false" outlineLevel="0" collapsed="false">
      <c r="A5714" s="0" t="n">
        <v>5713</v>
      </c>
      <c r="B5714" s="14" t="n">
        <v>99627.071188834</v>
      </c>
      <c r="C5714" s="15" t="n">
        <v>0.0812966039968797</v>
      </c>
      <c r="D5714" s="14" t="n">
        <f aca="false">Summary!$B$5-B5714</f>
        <v>372.928811166028</v>
      </c>
      <c r="E5714" s="15" t="n">
        <f aca="false">B5714/Summary!$B$5-1</f>
        <v>-0.00372928811166029</v>
      </c>
    </row>
    <row r="5715" customFormat="false" ht="15" hidden="false" customHeight="false" outlineLevel="0" collapsed="false">
      <c r="A5715" s="0" t="n">
        <v>5714</v>
      </c>
      <c r="B5715" s="14" t="n">
        <v>100530.785787953</v>
      </c>
      <c r="C5715" s="15" t="n">
        <v>0.104443906024689</v>
      </c>
      <c r="D5715" s="14" t="n">
        <f aca="false">Summary!$B$5-B5715</f>
        <v>-530.785787953006</v>
      </c>
      <c r="E5715" s="15" t="n">
        <f aca="false">B5715/Summary!$B$5-1</f>
        <v>0.00530785787953003</v>
      </c>
    </row>
    <row r="5716" customFormat="false" ht="15" hidden="false" customHeight="false" outlineLevel="0" collapsed="false">
      <c r="A5716" s="0" t="n">
        <v>5715</v>
      </c>
      <c r="B5716" s="14" t="n">
        <v>110163.901254035</v>
      </c>
      <c r="C5716" s="15" t="n">
        <v>0.11848098856473</v>
      </c>
      <c r="D5716" s="14" t="n">
        <f aca="false">Summary!$B$5-B5716</f>
        <v>-10163.9012540345</v>
      </c>
      <c r="E5716" s="15" t="n">
        <f aca="false">B5716/Summary!$B$5-1</f>
        <v>0.101639012540345</v>
      </c>
    </row>
    <row r="5717" customFormat="false" ht="15" hidden="false" customHeight="false" outlineLevel="0" collapsed="false">
      <c r="A5717" s="0" t="n">
        <v>5716</v>
      </c>
      <c r="B5717" s="14" t="n">
        <v>107149.613302552</v>
      </c>
      <c r="C5717" s="15" t="n">
        <v>0.0750963336040119</v>
      </c>
      <c r="D5717" s="14" t="n">
        <f aca="false">Summary!$B$5-B5717</f>
        <v>-7149.6133025521</v>
      </c>
      <c r="E5717" s="15" t="n">
        <f aca="false">B5717/Summary!$B$5-1</f>
        <v>0.0714961330255211</v>
      </c>
    </row>
    <row r="5718" customFormat="false" ht="15" hidden="false" customHeight="false" outlineLevel="0" collapsed="false">
      <c r="A5718" s="0" t="n">
        <v>5717</v>
      </c>
      <c r="B5718" s="14" t="n">
        <v>106772.868409192</v>
      </c>
      <c r="C5718" s="15" t="n">
        <v>0.0683665220189863</v>
      </c>
      <c r="D5718" s="14" t="n">
        <f aca="false">Summary!$B$5-B5718</f>
        <v>-6772.86840919159</v>
      </c>
      <c r="E5718" s="15" t="n">
        <f aca="false">B5718/Summary!$B$5-1</f>
        <v>0.067728684091916</v>
      </c>
    </row>
    <row r="5719" customFormat="false" ht="15" hidden="false" customHeight="false" outlineLevel="0" collapsed="false">
      <c r="A5719" s="0" t="n">
        <v>5718</v>
      </c>
      <c r="B5719" s="14" t="n">
        <v>117673.143928147</v>
      </c>
      <c r="C5719" s="15" t="n">
        <v>0.0785207132456738</v>
      </c>
      <c r="D5719" s="14" t="n">
        <f aca="false">Summary!$B$5-B5719</f>
        <v>-17673.143928147</v>
      </c>
      <c r="E5719" s="15" t="n">
        <f aca="false">B5719/Summary!$B$5-1</f>
        <v>0.17673143928147</v>
      </c>
    </row>
    <row r="5720" customFormat="false" ht="15" hidden="false" customHeight="false" outlineLevel="0" collapsed="false">
      <c r="A5720" s="0" t="n">
        <v>5719</v>
      </c>
      <c r="B5720" s="14" t="n">
        <v>91692.9357517083</v>
      </c>
      <c r="C5720" s="15" t="n">
        <v>0.127616938837799</v>
      </c>
      <c r="D5720" s="14" t="n">
        <f aca="false">Summary!$B$5-B5720</f>
        <v>8307.06424829166</v>
      </c>
      <c r="E5720" s="15" t="n">
        <f aca="false">B5720/Summary!$B$5-1</f>
        <v>-0.0830706424829166</v>
      </c>
    </row>
    <row r="5721" customFormat="false" ht="15" hidden="false" customHeight="false" outlineLevel="0" collapsed="false">
      <c r="A5721" s="0" t="n">
        <v>5720</v>
      </c>
      <c r="B5721" s="14" t="n">
        <v>86116.2851648086</v>
      </c>
      <c r="C5721" s="15" t="n">
        <v>0.176799040682471</v>
      </c>
      <c r="D5721" s="14" t="n">
        <f aca="false">Summary!$B$5-B5721</f>
        <v>13883.7148351914</v>
      </c>
      <c r="E5721" s="15" t="n">
        <f aca="false">B5721/Summary!$B$5-1</f>
        <v>-0.138837148351914</v>
      </c>
    </row>
    <row r="5722" customFormat="false" ht="15" hidden="false" customHeight="false" outlineLevel="0" collapsed="false">
      <c r="A5722" s="0" t="n">
        <v>5721</v>
      </c>
      <c r="B5722" s="14" t="n">
        <v>104379.649071208</v>
      </c>
      <c r="C5722" s="15" t="n">
        <v>0.12257057359377</v>
      </c>
      <c r="D5722" s="14" t="n">
        <f aca="false">Summary!$B$5-B5722</f>
        <v>-4379.64907120771</v>
      </c>
      <c r="E5722" s="15" t="n">
        <f aca="false">B5722/Summary!$B$5-1</f>
        <v>0.0437964907120771</v>
      </c>
    </row>
    <row r="5723" customFormat="false" ht="15" hidden="false" customHeight="false" outlineLevel="0" collapsed="false">
      <c r="A5723" s="0" t="n">
        <v>5722</v>
      </c>
      <c r="B5723" s="14" t="n">
        <v>112714.012706004</v>
      </c>
      <c r="C5723" s="15" t="n">
        <v>0.0959313591515472</v>
      </c>
      <c r="D5723" s="14" t="n">
        <f aca="false">Summary!$B$5-B5723</f>
        <v>-12714.0127060043</v>
      </c>
      <c r="E5723" s="15" t="n">
        <f aca="false">B5723/Summary!$B$5-1</f>
        <v>0.127140127060043</v>
      </c>
    </row>
    <row r="5724" customFormat="false" ht="15" hidden="false" customHeight="false" outlineLevel="0" collapsed="false">
      <c r="A5724" s="0" t="n">
        <v>5723</v>
      </c>
      <c r="B5724" s="14" t="n">
        <v>119337.492295409</v>
      </c>
      <c r="C5724" s="15" t="n">
        <v>0.0656198159335333</v>
      </c>
      <c r="D5724" s="14" t="n">
        <f aca="false">Summary!$B$5-B5724</f>
        <v>-19337.4922954093</v>
      </c>
      <c r="E5724" s="15" t="n">
        <f aca="false">B5724/Summary!$B$5-1</f>
        <v>0.193374922954093</v>
      </c>
    </row>
    <row r="5725" customFormat="false" ht="15" hidden="false" customHeight="false" outlineLevel="0" collapsed="false">
      <c r="A5725" s="0" t="n">
        <v>5724</v>
      </c>
      <c r="B5725" s="14" t="n">
        <v>103568.289650356</v>
      </c>
      <c r="C5725" s="15" t="n">
        <v>0.106660277958473</v>
      </c>
      <c r="D5725" s="14" t="n">
        <f aca="false">Summary!$B$5-B5725</f>
        <v>-3568.289650356</v>
      </c>
      <c r="E5725" s="15" t="n">
        <f aca="false">B5725/Summary!$B$5-1</f>
        <v>0.03568289650356</v>
      </c>
    </row>
    <row r="5726" customFormat="false" ht="15" hidden="false" customHeight="false" outlineLevel="0" collapsed="false">
      <c r="A5726" s="0" t="n">
        <v>5725</v>
      </c>
      <c r="B5726" s="14" t="n">
        <v>144402.006559805</v>
      </c>
      <c r="C5726" s="15" t="n">
        <v>0.0299033773141039</v>
      </c>
      <c r="D5726" s="14" t="n">
        <f aca="false">Summary!$B$5-B5726</f>
        <v>-44402.0065598052</v>
      </c>
      <c r="E5726" s="15" t="n">
        <f aca="false">B5726/Summary!$B$5-1</f>
        <v>0.444020065598052</v>
      </c>
    </row>
    <row r="5727" customFormat="false" ht="15" hidden="false" customHeight="false" outlineLevel="0" collapsed="false">
      <c r="A5727" s="0" t="n">
        <v>5726</v>
      </c>
      <c r="B5727" s="14" t="n">
        <v>116064.732925</v>
      </c>
      <c r="C5727" s="15" t="n">
        <v>0.0613913152962849</v>
      </c>
      <c r="D5727" s="14" t="n">
        <f aca="false">Summary!$B$5-B5727</f>
        <v>-16064.7329249997</v>
      </c>
      <c r="E5727" s="15" t="n">
        <f aca="false">B5727/Summary!$B$5-1</f>
        <v>0.160647329249997</v>
      </c>
    </row>
    <row r="5728" customFormat="false" ht="15" hidden="false" customHeight="false" outlineLevel="0" collapsed="false">
      <c r="A5728" s="0" t="n">
        <v>5727</v>
      </c>
      <c r="B5728" s="14" t="n">
        <v>126429.873361658</v>
      </c>
      <c r="C5728" s="15" t="n">
        <v>0.0550186730223741</v>
      </c>
      <c r="D5728" s="14" t="n">
        <f aca="false">Summary!$B$5-B5728</f>
        <v>-26429.8733616579</v>
      </c>
      <c r="E5728" s="15" t="n">
        <f aca="false">B5728/Summary!$B$5-1</f>
        <v>0.264298733616579</v>
      </c>
    </row>
    <row r="5729" customFormat="false" ht="15" hidden="false" customHeight="false" outlineLevel="0" collapsed="false">
      <c r="A5729" s="0" t="n">
        <v>5728</v>
      </c>
      <c r="B5729" s="14" t="n">
        <v>103711.016021314</v>
      </c>
      <c r="C5729" s="15" t="n">
        <v>0.0988880499155275</v>
      </c>
      <c r="D5729" s="14" t="n">
        <f aca="false">Summary!$B$5-B5729</f>
        <v>-3711.0160213138</v>
      </c>
      <c r="E5729" s="15" t="n">
        <f aca="false">B5729/Summary!$B$5-1</f>
        <v>0.0371101602131381</v>
      </c>
    </row>
    <row r="5730" customFormat="false" ht="15" hidden="false" customHeight="false" outlineLevel="0" collapsed="false">
      <c r="A5730" s="0" t="n">
        <v>5729</v>
      </c>
      <c r="B5730" s="14" t="n">
        <v>89009.4590272495</v>
      </c>
      <c r="C5730" s="15" t="n">
        <v>0.169932850144781</v>
      </c>
      <c r="D5730" s="14" t="n">
        <f aca="false">Summary!$B$5-B5730</f>
        <v>10990.5409727505</v>
      </c>
      <c r="E5730" s="15" t="n">
        <f aca="false">B5730/Summary!$B$5-1</f>
        <v>-0.109905409727505</v>
      </c>
    </row>
    <row r="5731" customFormat="false" ht="15" hidden="false" customHeight="false" outlineLevel="0" collapsed="false">
      <c r="A5731" s="0" t="n">
        <v>5730</v>
      </c>
      <c r="B5731" s="14" t="n">
        <v>98947.0837301021</v>
      </c>
      <c r="C5731" s="15" t="n">
        <v>0.0961348523690212</v>
      </c>
      <c r="D5731" s="14" t="n">
        <f aca="false">Summary!$B$5-B5731</f>
        <v>1052.91626989792</v>
      </c>
      <c r="E5731" s="15" t="n">
        <f aca="false">B5731/Summary!$B$5-1</f>
        <v>-0.0105291626989792</v>
      </c>
    </row>
    <row r="5732" customFormat="false" ht="15" hidden="false" customHeight="false" outlineLevel="0" collapsed="false">
      <c r="A5732" s="0" t="n">
        <v>5731</v>
      </c>
      <c r="B5732" s="14" t="n">
        <v>91159.3854210374</v>
      </c>
      <c r="C5732" s="15" t="n">
        <v>0.102445222033661</v>
      </c>
      <c r="D5732" s="14" t="n">
        <f aca="false">Summary!$B$5-B5732</f>
        <v>8840.61457896263</v>
      </c>
      <c r="E5732" s="15" t="n">
        <f aca="false">B5732/Summary!$B$5-1</f>
        <v>-0.0884061457896264</v>
      </c>
    </row>
    <row r="5733" customFormat="false" ht="15" hidden="false" customHeight="false" outlineLevel="0" collapsed="false">
      <c r="A5733" s="0" t="n">
        <v>5732</v>
      </c>
      <c r="B5733" s="14" t="n">
        <v>127114.104783658</v>
      </c>
      <c r="C5733" s="15" t="n">
        <v>0.0569159113513869</v>
      </c>
      <c r="D5733" s="14" t="n">
        <f aca="false">Summary!$B$5-B5733</f>
        <v>-27114.1047836583</v>
      </c>
      <c r="E5733" s="15" t="n">
        <f aca="false">B5733/Summary!$B$5-1</f>
        <v>0.271141047836583</v>
      </c>
    </row>
    <row r="5734" customFormat="false" ht="15" hidden="false" customHeight="false" outlineLevel="0" collapsed="false">
      <c r="A5734" s="0" t="n">
        <v>5733</v>
      </c>
      <c r="B5734" s="14" t="n">
        <v>102075.233535985</v>
      </c>
      <c r="C5734" s="15" t="n">
        <v>0.137504478475881</v>
      </c>
      <c r="D5734" s="14" t="n">
        <f aca="false">Summary!$B$5-B5734</f>
        <v>-2075.2335359852</v>
      </c>
      <c r="E5734" s="15" t="n">
        <f aca="false">B5734/Summary!$B$5-1</f>
        <v>0.020752335359852</v>
      </c>
    </row>
    <row r="5735" customFormat="false" ht="15" hidden="false" customHeight="false" outlineLevel="0" collapsed="false">
      <c r="A5735" s="0" t="n">
        <v>5734</v>
      </c>
      <c r="B5735" s="14" t="n">
        <v>126405.349911804</v>
      </c>
      <c r="C5735" s="15" t="n">
        <v>0.0866072069240041</v>
      </c>
      <c r="D5735" s="14" t="n">
        <f aca="false">Summary!$B$5-B5735</f>
        <v>-26405.3499118035</v>
      </c>
      <c r="E5735" s="15" t="n">
        <f aca="false">B5735/Summary!$B$5-1</f>
        <v>0.264053499118035</v>
      </c>
    </row>
    <row r="5736" customFormat="false" ht="15" hidden="false" customHeight="false" outlineLevel="0" collapsed="false">
      <c r="A5736" s="0" t="n">
        <v>5735</v>
      </c>
      <c r="B5736" s="14" t="n">
        <v>108294.196136906</v>
      </c>
      <c r="C5736" s="15" t="n">
        <v>0.0895498965840368</v>
      </c>
      <c r="D5736" s="14" t="n">
        <f aca="false">Summary!$B$5-B5736</f>
        <v>-8294.196136906</v>
      </c>
      <c r="E5736" s="15" t="n">
        <f aca="false">B5736/Summary!$B$5-1</f>
        <v>0.0829419613690601</v>
      </c>
    </row>
    <row r="5737" customFormat="false" ht="15" hidden="false" customHeight="false" outlineLevel="0" collapsed="false">
      <c r="A5737" s="0" t="n">
        <v>5736</v>
      </c>
      <c r="B5737" s="14" t="n">
        <v>106901.247681704</v>
      </c>
      <c r="C5737" s="15" t="n">
        <v>0.0949079704500103</v>
      </c>
      <c r="D5737" s="14" t="n">
        <f aca="false">Summary!$B$5-B5737</f>
        <v>-6901.24768170439</v>
      </c>
      <c r="E5737" s="15" t="n">
        <f aca="false">B5737/Summary!$B$5-1</f>
        <v>0.0690124768170439</v>
      </c>
    </row>
    <row r="5738" customFormat="false" ht="15" hidden="false" customHeight="false" outlineLevel="0" collapsed="false">
      <c r="A5738" s="0" t="n">
        <v>5737</v>
      </c>
      <c r="B5738" s="14" t="n">
        <v>103000.129774458</v>
      </c>
      <c r="C5738" s="15" t="n">
        <v>0.0663881645694413</v>
      </c>
      <c r="D5738" s="14" t="n">
        <f aca="false">Summary!$B$5-B5738</f>
        <v>-3000.1297744575</v>
      </c>
      <c r="E5738" s="15" t="n">
        <f aca="false">B5738/Summary!$B$5-1</f>
        <v>0.0300012977445749</v>
      </c>
    </row>
    <row r="5739" customFormat="false" ht="15" hidden="false" customHeight="false" outlineLevel="0" collapsed="false">
      <c r="A5739" s="0" t="n">
        <v>5738</v>
      </c>
      <c r="B5739" s="14" t="n">
        <v>79932.6363229784</v>
      </c>
      <c r="C5739" s="15" t="n">
        <v>0.236872410449773</v>
      </c>
      <c r="D5739" s="14" t="n">
        <f aca="false">Summary!$B$5-B5739</f>
        <v>20067.3636770216</v>
      </c>
      <c r="E5739" s="15" t="n">
        <f aca="false">B5739/Summary!$B$5-1</f>
        <v>-0.200673636770216</v>
      </c>
    </row>
    <row r="5740" customFormat="false" ht="15" hidden="false" customHeight="false" outlineLevel="0" collapsed="false">
      <c r="A5740" s="0" t="n">
        <v>5739</v>
      </c>
      <c r="B5740" s="14" t="n">
        <v>121805.51932856</v>
      </c>
      <c r="C5740" s="15" t="n">
        <v>0.0793903740074508</v>
      </c>
      <c r="D5740" s="14" t="n">
        <f aca="false">Summary!$B$5-B5740</f>
        <v>-21805.5193285595</v>
      </c>
      <c r="E5740" s="15" t="n">
        <f aca="false">B5740/Summary!$B$5-1</f>
        <v>0.218055193285595</v>
      </c>
    </row>
    <row r="5741" customFormat="false" ht="15" hidden="false" customHeight="false" outlineLevel="0" collapsed="false">
      <c r="A5741" s="0" t="n">
        <v>5740</v>
      </c>
      <c r="B5741" s="14" t="n">
        <v>115190.181803025</v>
      </c>
      <c r="C5741" s="15" t="n">
        <v>0.0813219370267766</v>
      </c>
      <c r="D5741" s="14" t="n">
        <f aca="false">Summary!$B$5-B5741</f>
        <v>-15190.1818030253</v>
      </c>
      <c r="E5741" s="15" t="n">
        <f aca="false">B5741/Summary!$B$5-1</f>
        <v>0.151901818030253</v>
      </c>
    </row>
    <row r="5742" customFormat="false" ht="15" hidden="false" customHeight="false" outlineLevel="0" collapsed="false">
      <c r="A5742" s="0" t="n">
        <v>5741</v>
      </c>
      <c r="B5742" s="14" t="n">
        <v>105539.571176219</v>
      </c>
      <c r="C5742" s="15" t="n">
        <v>0.074755464291699</v>
      </c>
      <c r="D5742" s="14" t="n">
        <f aca="false">Summary!$B$5-B5742</f>
        <v>-5539.5711762188</v>
      </c>
      <c r="E5742" s="15" t="n">
        <f aca="false">B5742/Summary!$B$5-1</f>
        <v>0.0553957117621879</v>
      </c>
    </row>
    <row r="5743" customFormat="false" ht="15" hidden="false" customHeight="false" outlineLevel="0" collapsed="false">
      <c r="A5743" s="0" t="n">
        <v>5742</v>
      </c>
      <c r="B5743" s="14" t="n">
        <v>102811.601060109</v>
      </c>
      <c r="C5743" s="15" t="n">
        <v>0.0698634769461451</v>
      </c>
      <c r="D5743" s="14" t="n">
        <f aca="false">Summary!$B$5-B5743</f>
        <v>-2811.60106010881</v>
      </c>
      <c r="E5743" s="15" t="n">
        <f aca="false">B5743/Summary!$B$5-1</f>
        <v>0.028116010601088</v>
      </c>
    </row>
    <row r="5744" customFormat="false" ht="15" hidden="false" customHeight="false" outlineLevel="0" collapsed="false">
      <c r="A5744" s="0" t="n">
        <v>5743</v>
      </c>
      <c r="B5744" s="14" t="n">
        <v>92932.0595023428</v>
      </c>
      <c r="C5744" s="15" t="n">
        <v>0.192322428480429</v>
      </c>
      <c r="D5744" s="14" t="n">
        <f aca="false">Summary!$B$5-B5744</f>
        <v>7067.94049765723</v>
      </c>
      <c r="E5744" s="15" t="n">
        <f aca="false">B5744/Summary!$B$5-1</f>
        <v>-0.0706794049765722</v>
      </c>
    </row>
    <row r="5745" customFormat="false" ht="15" hidden="false" customHeight="false" outlineLevel="0" collapsed="false">
      <c r="A5745" s="0" t="n">
        <v>5744</v>
      </c>
      <c r="B5745" s="14" t="n">
        <v>117700.052894284</v>
      </c>
      <c r="C5745" s="15" t="n">
        <v>0.0919735155307444</v>
      </c>
      <c r="D5745" s="14" t="n">
        <f aca="false">Summary!$B$5-B5745</f>
        <v>-17700.0528942838</v>
      </c>
      <c r="E5745" s="15" t="n">
        <f aca="false">B5745/Summary!$B$5-1</f>
        <v>0.177000528942838</v>
      </c>
    </row>
    <row r="5746" customFormat="false" ht="15" hidden="false" customHeight="false" outlineLevel="0" collapsed="false">
      <c r="A5746" s="0" t="n">
        <v>5745</v>
      </c>
      <c r="B5746" s="14" t="n">
        <v>118932.264387562</v>
      </c>
      <c r="C5746" s="15" t="n">
        <v>0.0641395967622668</v>
      </c>
      <c r="D5746" s="14" t="n">
        <f aca="false">Summary!$B$5-B5746</f>
        <v>-18932.2643875623</v>
      </c>
      <c r="E5746" s="15" t="n">
        <f aca="false">B5746/Summary!$B$5-1</f>
        <v>0.189322643875623</v>
      </c>
    </row>
    <row r="5747" customFormat="false" ht="15" hidden="false" customHeight="false" outlineLevel="0" collapsed="false">
      <c r="A5747" s="0" t="n">
        <v>5746</v>
      </c>
      <c r="B5747" s="14" t="n">
        <v>95890.7250743286</v>
      </c>
      <c r="C5747" s="15" t="n">
        <v>0.0855056877633879</v>
      </c>
      <c r="D5747" s="14" t="n">
        <f aca="false">Summary!$B$5-B5747</f>
        <v>4109.27492567143</v>
      </c>
      <c r="E5747" s="15" t="n">
        <f aca="false">B5747/Summary!$B$5-1</f>
        <v>-0.0410927492567144</v>
      </c>
    </row>
    <row r="5748" customFormat="false" ht="15" hidden="false" customHeight="false" outlineLevel="0" collapsed="false">
      <c r="A5748" s="0" t="n">
        <v>5747</v>
      </c>
      <c r="B5748" s="14" t="n">
        <v>113615.113977777</v>
      </c>
      <c r="C5748" s="15" t="n">
        <v>0.0887243323020057</v>
      </c>
      <c r="D5748" s="14" t="n">
        <f aca="false">Summary!$B$5-B5748</f>
        <v>-13615.1139777769</v>
      </c>
      <c r="E5748" s="15" t="n">
        <f aca="false">B5748/Summary!$B$5-1</f>
        <v>0.136151139777769</v>
      </c>
    </row>
    <row r="5749" customFormat="false" ht="15" hidden="false" customHeight="false" outlineLevel="0" collapsed="false">
      <c r="A5749" s="0" t="n">
        <v>5748</v>
      </c>
      <c r="B5749" s="14" t="n">
        <v>119524.723258546</v>
      </c>
      <c r="C5749" s="15" t="n">
        <v>0.0672878410661911</v>
      </c>
      <c r="D5749" s="14" t="n">
        <f aca="false">Summary!$B$5-B5749</f>
        <v>-19524.7232585463</v>
      </c>
      <c r="E5749" s="15" t="n">
        <f aca="false">B5749/Summary!$B$5-1</f>
        <v>0.195247232585463</v>
      </c>
    </row>
    <row r="5750" customFormat="false" ht="15" hidden="false" customHeight="false" outlineLevel="0" collapsed="false">
      <c r="A5750" s="0" t="n">
        <v>5749</v>
      </c>
      <c r="B5750" s="14" t="n">
        <v>109008.117532167</v>
      </c>
      <c r="C5750" s="15" t="n">
        <v>0.0940094785287122</v>
      </c>
      <c r="D5750" s="14" t="n">
        <f aca="false">Summary!$B$5-B5750</f>
        <v>-9008.11753216721</v>
      </c>
      <c r="E5750" s="15" t="n">
        <f aca="false">B5750/Summary!$B$5-1</f>
        <v>0.0900811753216722</v>
      </c>
    </row>
    <row r="5751" customFormat="false" ht="15" hidden="false" customHeight="false" outlineLevel="0" collapsed="false">
      <c r="A5751" s="0" t="n">
        <v>5750</v>
      </c>
      <c r="B5751" s="14" t="n">
        <v>94778.2833235808</v>
      </c>
      <c r="C5751" s="15" t="n">
        <v>0.142734377230806</v>
      </c>
      <c r="D5751" s="14" t="n">
        <f aca="false">Summary!$B$5-B5751</f>
        <v>5221.71667641925</v>
      </c>
      <c r="E5751" s="15" t="n">
        <f aca="false">B5751/Summary!$B$5-1</f>
        <v>-0.0522171667641925</v>
      </c>
    </row>
    <row r="5752" customFormat="false" ht="15" hidden="false" customHeight="false" outlineLevel="0" collapsed="false">
      <c r="A5752" s="0" t="n">
        <v>5751</v>
      </c>
      <c r="B5752" s="14" t="n">
        <v>97315.9131186525</v>
      </c>
      <c r="C5752" s="15" t="n">
        <v>0.172585985197741</v>
      </c>
      <c r="D5752" s="14" t="n">
        <f aca="false">Summary!$B$5-B5752</f>
        <v>2684.08688134755</v>
      </c>
      <c r="E5752" s="15" t="n">
        <f aca="false">B5752/Summary!$B$5-1</f>
        <v>-0.0268408688134756</v>
      </c>
    </row>
    <row r="5753" customFormat="false" ht="15" hidden="false" customHeight="false" outlineLevel="0" collapsed="false">
      <c r="A5753" s="0" t="n">
        <v>5752</v>
      </c>
      <c r="B5753" s="14" t="n">
        <v>81086.5174136245</v>
      </c>
      <c r="C5753" s="15" t="n">
        <v>0.221249612339399</v>
      </c>
      <c r="D5753" s="14" t="n">
        <f aca="false">Summary!$B$5-B5753</f>
        <v>18913.4825863755</v>
      </c>
      <c r="E5753" s="15" t="n">
        <f aca="false">B5753/Summary!$B$5-1</f>
        <v>-0.189134825863755</v>
      </c>
    </row>
    <row r="5754" customFormat="false" ht="15" hidden="false" customHeight="false" outlineLevel="0" collapsed="false">
      <c r="A5754" s="0" t="n">
        <v>5753</v>
      </c>
      <c r="B5754" s="14" t="n">
        <v>108758.352378245</v>
      </c>
      <c r="C5754" s="15" t="n">
        <v>0.0617842182863742</v>
      </c>
      <c r="D5754" s="14" t="n">
        <f aca="false">Summary!$B$5-B5754</f>
        <v>-8758.3523782452</v>
      </c>
      <c r="E5754" s="15" t="n">
        <f aca="false">B5754/Summary!$B$5-1</f>
        <v>0.087583523782452</v>
      </c>
    </row>
    <row r="5755" customFormat="false" ht="15" hidden="false" customHeight="false" outlineLevel="0" collapsed="false">
      <c r="A5755" s="0" t="n">
        <v>5754</v>
      </c>
      <c r="B5755" s="14" t="n">
        <v>105043.779966255</v>
      </c>
      <c r="C5755" s="15" t="n">
        <v>0.103704742759556</v>
      </c>
      <c r="D5755" s="14" t="n">
        <f aca="false">Summary!$B$5-B5755</f>
        <v>-5043.7799662551</v>
      </c>
      <c r="E5755" s="15" t="n">
        <f aca="false">B5755/Summary!$B$5-1</f>
        <v>0.0504377996625509</v>
      </c>
    </row>
    <row r="5756" customFormat="false" ht="15" hidden="false" customHeight="false" outlineLevel="0" collapsed="false">
      <c r="A5756" s="0" t="n">
        <v>5755</v>
      </c>
      <c r="B5756" s="14" t="n">
        <v>113434.487305074</v>
      </c>
      <c r="C5756" s="15" t="n">
        <v>0.074426173194222</v>
      </c>
      <c r="D5756" s="14" t="n">
        <f aca="false">Summary!$B$5-B5756</f>
        <v>-13434.487305074</v>
      </c>
      <c r="E5756" s="15" t="n">
        <f aca="false">B5756/Summary!$B$5-1</f>
        <v>0.13434487305074</v>
      </c>
    </row>
    <row r="5757" customFormat="false" ht="15" hidden="false" customHeight="false" outlineLevel="0" collapsed="false">
      <c r="A5757" s="0" t="n">
        <v>5756</v>
      </c>
      <c r="B5757" s="14" t="n">
        <v>120128.842509793</v>
      </c>
      <c r="C5757" s="15" t="n">
        <v>0.0646892938160208</v>
      </c>
      <c r="D5757" s="14" t="n">
        <f aca="false">Summary!$B$5-B5757</f>
        <v>-20128.8425097931</v>
      </c>
      <c r="E5757" s="15" t="n">
        <f aca="false">B5757/Summary!$B$5-1</f>
        <v>0.201288425097931</v>
      </c>
    </row>
    <row r="5758" customFormat="false" ht="15" hidden="false" customHeight="false" outlineLevel="0" collapsed="false">
      <c r="A5758" s="0" t="n">
        <v>5757</v>
      </c>
      <c r="B5758" s="14" t="n">
        <v>117694.924305593</v>
      </c>
      <c r="C5758" s="15" t="n">
        <v>0.0650407181372281</v>
      </c>
      <c r="D5758" s="14" t="n">
        <f aca="false">Summary!$B$5-B5758</f>
        <v>-17694.9243055929</v>
      </c>
      <c r="E5758" s="15" t="n">
        <f aca="false">B5758/Summary!$B$5-1</f>
        <v>0.176949243055929</v>
      </c>
    </row>
    <row r="5759" customFormat="false" ht="15" hidden="false" customHeight="false" outlineLevel="0" collapsed="false">
      <c r="A5759" s="0" t="n">
        <v>5758</v>
      </c>
      <c r="B5759" s="14" t="n">
        <v>105548.788644378</v>
      </c>
      <c r="C5759" s="15" t="n">
        <v>0.128540069194128</v>
      </c>
      <c r="D5759" s="14" t="n">
        <f aca="false">Summary!$B$5-B5759</f>
        <v>-5548.78864437839</v>
      </c>
      <c r="E5759" s="15" t="n">
        <f aca="false">B5759/Summary!$B$5-1</f>
        <v>0.055487886443784</v>
      </c>
    </row>
    <row r="5760" customFormat="false" ht="15" hidden="false" customHeight="false" outlineLevel="0" collapsed="false">
      <c r="A5760" s="0" t="n">
        <v>5759</v>
      </c>
      <c r="B5760" s="14" t="n">
        <v>111178.983820611</v>
      </c>
      <c r="C5760" s="15" t="n">
        <v>0.0626799695646829</v>
      </c>
      <c r="D5760" s="14" t="n">
        <f aca="false">Summary!$B$5-B5760</f>
        <v>-11178.9838206111</v>
      </c>
      <c r="E5760" s="15" t="n">
        <f aca="false">B5760/Summary!$B$5-1</f>
        <v>0.111789838206111</v>
      </c>
    </row>
    <row r="5761" customFormat="false" ht="15" hidden="false" customHeight="false" outlineLevel="0" collapsed="false">
      <c r="A5761" s="0" t="n">
        <v>5760</v>
      </c>
      <c r="B5761" s="14" t="n">
        <v>119997.203897429</v>
      </c>
      <c r="C5761" s="15" t="n">
        <v>0.0880827240932381</v>
      </c>
      <c r="D5761" s="14" t="n">
        <f aca="false">Summary!$B$5-B5761</f>
        <v>-19997.2038974286</v>
      </c>
      <c r="E5761" s="15" t="n">
        <f aca="false">B5761/Summary!$B$5-1</f>
        <v>0.199972038974286</v>
      </c>
    </row>
    <row r="5762" customFormat="false" ht="15" hidden="false" customHeight="false" outlineLevel="0" collapsed="false">
      <c r="A5762" s="0" t="n">
        <v>5761</v>
      </c>
      <c r="B5762" s="14" t="n">
        <v>101675.76449791</v>
      </c>
      <c r="C5762" s="15" t="n">
        <v>0.0915986060100904</v>
      </c>
      <c r="D5762" s="14" t="n">
        <f aca="false">Summary!$B$5-B5762</f>
        <v>-1675.7644979098</v>
      </c>
      <c r="E5762" s="15" t="n">
        <f aca="false">B5762/Summary!$B$5-1</f>
        <v>0.016757644979098</v>
      </c>
    </row>
    <row r="5763" customFormat="false" ht="15" hidden="false" customHeight="false" outlineLevel="0" collapsed="false">
      <c r="A5763" s="0" t="n">
        <v>5762</v>
      </c>
      <c r="B5763" s="14" t="n">
        <v>118999.397017114</v>
      </c>
      <c r="C5763" s="15" t="n">
        <v>0.0589817368200288</v>
      </c>
      <c r="D5763" s="14" t="n">
        <f aca="false">Summary!$B$5-B5763</f>
        <v>-18999.3970171135</v>
      </c>
      <c r="E5763" s="15" t="n">
        <f aca="false">B5763/Summary!$B$5-1</f>
        <v>0.189993970171135</v>
      </c>
    </row>
    <row r="5764" customFormat="false" ht="15" hidden="false" customHeight="false" outlineLevel="0" collapsed="false">
      <c r="A5764" s="0" t="n">
        <v>5763</v>
      </c>
      <c r="B5764" s="14" t="n">
        <v>105844.657407896</v>
      </c>
      <c r="C5764" s="15" t="n">
        <v>0.0858416054617847</v>
      </c>
      <c r="D5764" s="14" t="n">
        <f aca="false">Summary!$B$5-B5764</f>
        <v>-5844.6574078962</v>
      </c>
      <c r="E5764" s="15" t="n">
        <f aca="false">B5764/Summary!$B$5-1</f>
        <v>0.0584465740789619</v>
      </c>
    </row>
    <row r="5765" customFormat="false" ht="15" hidden="false" customHeight="false" outlineLevel="0" collapsed="false">
      <c r="A5765" s="0" t="n">
        <v>5764</v>
      </c>
      <c r="B5765" s="14" t="n">
        <v>102106.879855516</v>
      </c>
      <c r="C5765" s="15" t="n">
        <v>0.150404411399164</v>
      </c>
      <c r="D5765" s="14" t="n">
        <f aca="false">Summary!$B$5-B5765</f>
        <v>-2106.87985551629</v>
      </c>
      <c r="E5765" s="15" t="n">
        <f aca="false">B5765/Summary!$B$5-1</f>
        <v>0.021068798555163</v>
      </c>
    </row>
    <row r="5766" customFormat="false" ht="15" hidden="false" customHeight="false" outlineLevel="0" collapsed="false">
      <c r="A5766" s="0" t="n">
        <v>5765</v>
      </c>
      <c r="B5766" s="14" t="n">
        <v>102906.068380002</v>
      </c>
      <c r="C5766" s="15" t="n">
        <v>0.0929588194801323</v>
      </c>
      <c r="D5766" s="14" t="n">
        <f aca="false">Summary!$B$5-B5766</f>
        <v>-2906.0683800017</v>
      </c>
      <c r="E5766" s="15" t="n">
        <f aca="false">B5766/Summary!$B$5-1</f>
        <v>0.0290606838000169</v>
      </c>
    </row>
    <row r="5767" customFormat="false" ht="15" hidden="false" customHeight="false" outlineLevel="0" collapsed="false">
      <c r="A5767" s="0" t="n">
        <v>5766</v>
      </c>
      <c r="B5767" s="14" t="n">
        <v>123154.137799531</v>
      </c>
      <c r="C5767" s="15" t="n">
        <v>0.102648314412871</v>
      </c>
      <c r="D5767" s="14" t="n">
        <f aca="false">Summary!$B$5-B5767</f>
        <v>-23154.1377995314</v>
      </c>
      <c r="E5767" s="15" t="n">
        <f aca="false">B5767/Summary!$B$5-1</f>
        <v>0.231541377995314</v>
      </c>
    </row>
    <row r="5768" customFormat="false" ht="15" hidden="false" customHeight="false" outlineLevel="0" collapsed="false">
      <c r="A5768" s="0" t="n">
        <v>5767</v>
      </c>
      <c r="B5768" s="14" t="n">
        <v>108745.0084252</v>
      </c>
      <c r="C5768" s="15" t="n">
        <v>0.0808938629021542</v>
      </c>
      <c r="D5768" s="14" t="n">
        <f aca="false">Summary!$B$5-B5768</f>
        <v>-8745.00842519991</v>
      </c>
      <c r="E5768" s="15" t="n">
        <f aca="false">B5768/Summary!$B$5-1</f>
        <v>0.087450084251999</v>
      </c>
    </row>
    <row r="5769" customFormat="false" ht="15" hidden="false" customHeight="false" outlineLevel="0" collapsed="false">
      <c r="A5769" s="0" t="n">
        <v>5768</v>
      </c>
      <c r="B5769" s="14" t="n">
        <v>96545.9278430674</v>
      </c>
      <c r="C5769" s="15" t="n">
        <v>0.0967789675173124</v>
      </c>
      <c r="D5769" s="14" t="n">
        <f aca="false">Summary!$B$5-B5769</f>
        <v>3454.07215693258</v>
      </c>
      <c r="E5769" s="15" t="n">
        <f aca="false">B5769/Summary!$B$5-1</f>
        <v>-0.0345407215693259</v>
      </c>
    </row>
    <row r="5770" customFormat="false" ht="15" hidden="false" customHeight="false" outlineLevel="0" collapsed="false">
      <c r="A5770" s="0" t="n">
        <v>5769</v>
      </c>
      <c r="B5770" s="14" t="n">
        <v>113070.854597097</v>
      </c>
      <c r="C5770" s="15" t="n">
        <v>0.0597668522372485</v>
      </c>
      <c r="D5770" s="14" t="n">
        <f aca="false">Summary!$B$5-B5770</f>
        <v>-13070.8545970972</v>
      </c>
      <c r="E5770" s="15" t="n">
        <f aca="false">B5770/Summary!$B$5-1</f>
        <v>0.130708545970972</v>
      </c>
    </row>
    <row r="5771" customFormat="false" ht="15" hidden="false" customHeight="false" outlineLevel="0" collapsed="false">
      <c r="A5771" s="0" t="n">
        <v>5770</v>
      </c>
      <c r="B5771" s="14" t="n">
        <v>118864.248899225</v>
      </c>
      <c r="C5771" s="15" t="n">
        <v>0.0826412398268459</v>
      </c>
      <c r="D5771" s="14" t="n">
        <f aca="false">Summary!$B$5-B5771</f>
        <v>-18864.2488992245</v>
      </c>
      <c r="E5771" s="15" t="n">
        <f aca="false">B5771/Summary!$B$5-1</f>
        <v>0.188642488992245</v>
      </c>
    </row>
    <row r="5772" customFormat="false" ht="15" hidden="false" customHeight="false" outlineLevel="0" collapsed="false">
      <c r="A5772" s="0" t="n">
        <v>5771</v>
      </c>
      <c r="B5772" s="14" t="n">
        <v>138113.062360356</v>
      </c>
      <c r="C5772" s="15" t="n">
        <v>0.0586886336284322</v>
      </c>
      <c r="D5772" s="14" t="n">
        <f aca="false">Summary!$B$5-B5772</f>
        <v>-38113.0623603555</v>
      </c>
      <c r="E5772" s="15" t="n">
        <f aca="false">B5772/Summary!$B$5-1</f>
        <v>0.381130623603555</v>
      </c>
    </row>
    <row r="5773" customFormat="false" ht="15" hidden="false" customHeight="false" outlineLevel="0" collapsed="false">
      <c r="A5773" s="0" t="n">
        <v>5772</v>
      </c>
      <c r="B5773" s="14" t="n">
        <v>104163.663433433</v>
      </c>
      <c r="C5773" s="15" t="n">
        <v>0.14339607418767</v>
      </c>
      <c r="D5773" s="14" t="n">
        <f aca="false">Summary!$B$5-B5773</f>
        <v>-4163.6634334328</v>
      </c>
      <c r="E5773" s="15" t="n">
        <f aca="false">B5773/Summary!$B$5-1</f>
        <v>0.041636634334328</v>
      </c>
    </row>
    <row r="5774" customFormat="false" ht="15" hidden="false" customHeight="false" outlineLevel="0" collapsed="false">
      <c r="A5774" s="0" t="n">
        <v>5773</v>
      </c>
      <c r="B5774" s="14" t="n">
        <v>116670.8083165</v>
      </c>
      <c r="C5774" s="15" t="n">
        <v>0.0843544982933909</v>
      </c>
      <c r="D5774" s="14" t="n">
        <f aca="false">Summary!$B$5-B5774</f>
        <v>-16670.8083164998</v>
      </c>
      <c r="E5774" s="15" t="n">
        <f aca="false">B5774/Summary!$B$5-1</f>
        <v>0.166708083164998</v>
      </c>
    </row>
    <row r="5775" customFormat="false" ht="15" hidden="false" customHeight="false" outlineLevel="0" collapsed="false">
      <c r="A5775" s="0" t="n">
        <v>5774</v>
      </c>
      <c r="B5775" s="14" t="n">
        <v>106042.977831612</v>
      </c>
      <c r="C5775" s="15" t="n">
        <v>0.0570357462110454</v>
      </c>
      <c r="D5775" s="14" t="n">
        <f aca="false">Summary!$B$5-B5775</f>
        <v>-6042.9778316118</v>
      </c>
      <c r="E5775" s="15" t="n">
        <f aca="false">B5775/Summary!$B$5-1</f>
        <v>0.0604297783161181</v>
      </c>
    </row>
    <row r="5776" customFormat="false" ht="15" hidden="false" customHeight="false" outlineLevel="0" collapsed="false">
      <c r="A5776" s="0" t="n">
        <v>5775</v>
      </c>
      <c r="B5776" s="14" t="n">
        <v>87838.7769961237</v>
      </c>
      <c r="C5776" s="15" t="n">
        <v>0.204804946651414</v>
      </c>
      <c r="D5776" s="14" t="n">
        <f aca="false">Summary!$B$5-B5776</f>
        <v>12161.2230038763</v>
      </c>
      <c r="E5776" s="15" t="n">
        <f aca="false">B5776/Summary!$B$5-1</f>
        <v>-0.121612230038763</v>
      </c>
    </row>
    <row r="5777" customFormat="false" ht="15" hidden="false" customHeight="false" outlineLevel="0" collapsed="false">
      <c r="A5777" s="0" t="n">
        <v>5776</v>
      </c>
      <c r="B5777" s="14" t="n">
        <v>110620.9112331</v>
      </c>
      <c r="C5777" s="15" t="n">
        <v>0.0756009940777518</v>
      </c>
      <c r="D5777" s="14" t="n">
        <f aca="false">Summary!$B$5-B5777</f>
        <v>-10620.9112330999</v>
      </c>
      <c r="E5777" s="15" t="n">
        <f aca="false">B5777/Summary!$B$5-1</f>
        <v>0.106209112330999</v>
      </c>
    </row>
    <row r="5778" customFormat="false" ht="15" hidden="false" customHeight="false" outlineLevel="0" collapsed="false">
      <c r="A5778" s="0" t="n">
        <v>5777</v>
      </c>
      <c r="B5778" s="14" t="n">
        <v>103804.31513845</v>
      </c>
      <c r="C5778" s="15" t="n">
        <v>0.10323573662178</v>
      </c>
      <c r="D5778" s="14" t="n">
        <f aca="false">Summary!$B$5-B5778</f>
        <v>-3804.31513844999</v>
      </c>
      <c r="E5778" s="15" t="n">
        <f aca="false">B5778/Summary!$B$5-1</f>
        <v>0.0380431513844999</v>
      </c>
    </row>
    <row r="5779" customFormat="false" ht="15" hidden="false" customHeight="false" outlineLevel="0" collapsed="false">
      <c r="A5779" s="0" t="n">
        <v>5778</v>
      </c>
      <c r="B5779" s="14" t="n">
        <v>108866.716999335</v>
      </c>
      <c r="C5779" s="15" t="n">
        <v>0.136424518267296</v>
      </c>
      <c r="D5779" s="14" t="n">
        <f aca="false">Summary!$B$5-B5779</f>
        <v>-8866.7169993353</v>
      </c>
      <c r="E5779" s="15" t="n">
        <f aca="false">B5779/Summary!$B$5-1</f>
        <v>0.088667169993353</v>
      </c>
    </row>
    <row r="5780" customFormat="false" ht="15" hidden="false" customHeight="false" outlineLevel="0" collapsed="false">
      <c r="A5780" s="0" t="n">
        <v>5779</v>
      </c>
      <c r="B5780" s="14" t="n">
        <v>108755.129767159</v>
      </c>
      <c r="C5780" s="15" t="n">
        <v>0.0785920876286496</v>
      </c>
      <c r="D5780" s="14" t="n">
        <f aca="false">Summary!$B$5-B5780</f>
        <v>-8755.12976715939</v>
      </c>
      <c r="E5780" s="15" t="n">
        <f aca="false">B5780/Summary!$B$5-1</f>
        <v>0.087551297671594</v>
      </c>
    </row>
    <row r="5781" customFormat="false" ht="15" hidden="false" customHeight="false" outlineLevel="0" collapsed="false">
      <c r="A5781" s="0" t="n">
        <v>5780</v>
      </c>
      <c r="B5781" s="14" t="n">
        <v>123221.029553039</v>
      </c>
      <c r="C5781" s="15" t="n">
        <v>0.0783061596028272</v>
      </c>
      <c r="D5781" s="14" t="n">
        <f aca="false">Summary!$B$5-B5781</f>
        <v>-23221.0295530391</v>
      </c>
      <c r="E5781" s="15" t="n">
        <f aca="false">B5781/Summary!$B$5-1</f>
        <v>0.232210295530391</v>
      </c>
    </row>
    <row r="5782" customFormat="false" ht="15" hidden="false" customHeight="false" outlineLevel="0" collapsed="false">
      <c r="A5782" s="0" t="n">
        <v>5781</v>
      </c>
      <c r="B5782" s="14" t="n">
        <v>115264.059089397</v>
      </c>
      <c r="C5782" s="15" t="n">
        <v>0.0781685426975557</v>
      </c>
      <c r="D5782" s="14" t="n">
        <f aca="false">Summary!$B$5-B5782</f>
        <v>-15264.0590893967</v>
      </c>
      <c r="E5782" s="15" t="n">
        <f aca="false">B5782/Summary!$B$5-1</f>
        <v>0.152640590893967</v>
      </c>
    </row>
    <row r="5783" customFormat="false" ht="15" hidden="false" customHeight="false" outlineLevel="0" collapsed="false">
      <c r="A5783" s="0" t="n">
        <v>5782</v>
      </c>
      <c r="B5783" s="14" t="n">
        <v>112454.731995729</v>
      </c>
      <c r="C5783" s="15" t="n">
        <v>0.106802665886803</v>
      </c>
      <c r="D5783" s="14" t="n">
        <f aca="false">Summary!$B$5-B5783</f>
        <v>-12454.7319957292</v>
      </c>
      <c r="E5783" s="15" t="n">
        <f aca="false">B5783/Summary!$B$5-1</f>
        <v>0.124547319957292</v>
      </c>
    </row>
    <row r="5784" customFormat="false" ht="15" hidden="false" customHeight="false" outlineLevel="0" collapsed="false">
      <c r="A5784" s="0" t="n">
        <v>5783</v>
      </c>
      <c r="B5784" s="14" t="n">
        <v>121225.180983476</v>
      </c>
      <c r="C5784" s="15" t="n">
        <v>0.0811075603229462</v>
      </c>
      <c r="D5784" s="14" t="n">
        <f aca="false">Summary!$B$5-B5784</f>
        <v>-21225.1809834758</v>
      </c>
      <c r="E5784" s="15" t="n">
        <f aca="false">B5784/Summary!$B$5-1</f>
        <v>0.212251809834758</v>
      </c>
    </row>
    <row r="5785" customFormat="false" ht="15" hidden="false" customHeight="false" outlineLevel="0" collapsed="false">
      <c r="A5785" s="0" t="n">
        <v>5784</v>
      </c>
      <c r="B5785" s="14" t="n">
        <v>110750.919625366</v>
      </c>
      <c r="C5785" s="15" t="n">
        <v>0.0655691572373183</v>
      </c>
      <c r="D5785" s="14" t="n">
        <f aca="false">Summary!$B$5-B5785</f>
        <v>-10750.9196253658</v>
      </c>
      <c r="E5785" s="15" t="n">
        <f aca="false">B5785/Summary!$B$5-1</f>
        <v>0.107509196253658</v>
      </c>
    </row>
    <row r="5786" customFormat="false" ht="15" hidden="false" customHeight="false" outlineLevel="0" collapsed="false">
      <c r="A5786" s="0" t="n">
        <v>5785</v>
      </c>
      <c r="B5786" s="14" t="n">
        <v>103882.545523028</v>
      </c>
      <c r="C5786" s="15" t="n">
        <v>0.0715625787256372</v>
      </c>
      <c r="D5786" s="14" t="n">
        <f aca="false">Summary!$B$5-B5786</f>
        <v>-3882.54552302801</v>
      </c>
      <c r="E5786" s="15" t="n">
        <f aca="false">B5786/Summary!$B$5-1</f>
        <v>0.03882545523028</v>
      </c>
    </row>
    <row r="5787" customFormat="false" ht="15" hidden="false" customHeight="false" outlineLevel="0" collapsed="false">
      <c r="A5787" s="0" t="n">
        <v>5786</v>
      </c>
      <c r="B5787" s="14" t="n">
        <v>112240.034128753</v>
      </c>
      <c r="C5787" s="15" t="n">
        <v>0.117875719397385</v>
      </c>
      <c r="D5787" s="14" t="n">
        <f aca="false">Summary!$B$5-B5787</f>
        <v>-12240.0341287534</v>
      </c>
      <c r="E5787" s="15" t="n">
        <f aca="false">B5787/Summary!$B$5-1</f>
        <v>0.122400341287534</v>
      </c>
    </row>
    <row r="5788" customFormat="false" ht="15" hidden="false" customHeight="false" outlineLevel="0" collapsed="false">
      <c r="A5788" s="0" t="n">
        <v>5787</v>
      </c>
      <c r="B5788" s="14" t="n">
        <v>109807.81372382</v>
      </c>
      <c r="C5788" s="15" t="n">
        <v>0.0819478051494843</v>
      </c>
      <c r="D5788" s="14" t="n">
        <f aca="false">Summary!$B$5-B5788</f>
        <v>-9807.81372382041</v>
      </c>
      <c r="E5788" s="15" t="n">
        <f aca="false">B5788/Summary!$B$5-1</f>
        <v>0.098078137238204</v>
      </c>
    </row>
    <row r="5789" customFormat="false" ht="15" hidden="false" customHeight="false" outlineLevel="0" collapsed="false">
      <c r="A5789" s="0" t="n">
        <v>5788</v>
      </c>
      <c r="B5789" s="14" t="n">
        <v>97169.7102959555</v>
      </c>
      <c r="C5789" s="15" t="n">
        <v>0.132028330475936</v>
      </c>
      <c r="D5789" s="14" t="n">
        <f aca="false">Summary!$B$5-B5789</f>
        <v>2830.28970404455</v>
      </c>
      <c r="E5789" s="15" t="n">
        <f aca="false">B5789/Summary!$B$5-1</f>
        <v>-0.0283028970404455</v>
      </c>
    </row>
    <row r="5790" customFormat="false" ht="15" hidden="false" customHeight="false" outlineLevel="0" collapsed="false">
      <c r="A5790" s="0" t="n">
        <v>5789</v>
      </c>
      <c r="B5790" s="14" t="n">
        <v>126226.552188194</v>
      </c>
      <c r="C5790" s="15" t="n">
        <v>0.0847719475467887</v>
      </c>
      <c r="D5790" s="14" t="n">
        <f aca="false">Summary!$B$5-B5790</f>
        <v>-26226.5521881944</v>
      </c>
      <c r="E5790" s="15" t="n">
        <f aca="false">B5790/Summary!$B$5-1</f>
        <v>0.262265521881944</v>
      </c>
    </row>
    <row r="5791" customFormat="false" ht="15" hidden="false" customHeight="false" outlineLevel="0" collapsed="false">
      <c r="A5791" s="0" t="n">
        <v>5790</v>
      </c>
      <c r="B5791" s="14" t="n">
        <v>97469.7477643687</v>
      </c>
      <c r="C5791" s="15" t="n">
        <v>0.0826354863410957</v>
      </c>
      <c r="D5791" s="14" t="n">
        <f aca="false">Summary!$B$5-B5791</f>
        <v>2530.25223563131</v>
      </c>
      <c r="E5791" s="15" t="n">
        <f aca="false">B5791/Summary!$B$5-1</f>
        <v>-0.0253025223563131</v>
      </c>
    </row>
    <row r="5792" customFormat="false" ht="15" hidden="false" customHeight="false" outlineLevel="0" collapsed="false">
      <c r="A5792" s="0" t="n">
        <v>5791</v>
      </c>
      <c r="B5792" s="14" t="n">
        <v>97153.5098791021</v>
      </c>
      <c r="C5792" s="15" t="n">
        <v>0.0815868149819283</v>
      </c>
      <c r="D5792" s="14" t="n">
        <f aca="false">Summary!$B$5-B5792</f>
        <v>2846.49012089794</v>
      </c>
      <c r="E5792" s="15" t="n">
        <f aca="false">B5792/Summary!$B$5-1</f>
        <v>-0.0284649012089794</v>
      </c>
    </row>
    <row r="5793" customFormat="false" ht="15" hidden="false" customHeight="false" outlineLevel="0" collapsed="false">
      <c r="A5793" s="0" t="n">
        <v>5792</v>
      </c>
      <c r="B5793" s="14" t="n">
        <v>103179.335515476</v>
      </c>
      <c r="C5793" s="15" t="n">
        <v>0.0925766892667529</v>
      </c>
      <c r="D5793" s="14" t="n">
        <f aca="false">Summary!$B$5-B5793</f>
        <v>-3179.3355154755</v>
      </c>
      <c r="E5793" s="15" t="n">
        <f aca="false">B5793/Summary!$B$5-1</f>
        <v>0.0317933551547549</v>
      </c>
    </row>
    <row r="5794" customFormat="false" ht="15" hidden="false" customHeight="false" outlineLevel="0" collapsed="false">
      <c r="A5794" s="0" t="n">
        <v>5793</v>
      </c>
      <c r="B5794" s="14" t="n">
        <v>101643.17167681</v>
      </c>
      <c r="C5794" s="15" t="n">
        <v>0.131347973587023</v>
      </c>
      <c r="D5794" s="14" t="n">
        <f aca="false">Summary!$B$5-B5794</f>
        <v>-1643.17167681</v>
      </c>
      <c r="E5794" s="15" t="n">
        <f aca="false">B5794/Summary!$B$5-1</f>
        <v>0.0164317167681001</v>
      </c>
    </row>
    <row r="5795" customFormat="false" ht="15" hidden="false" customHeight="false" outlineLevel="0" collapsed="false">
      <c r="A5795" s="0" t="n">
        <v>5794</v>
      </c>
      <c r="B5795" s="14" t="n">
        <v>120422.113213171</v>
      </c>
      <c r="C5795" s="15" t="n">
        <v>0.0652681020789278</v>
      </c>
      <c r="D5795" s="14" t="n">
        <f aca="false">Summary!$B$5-B5795</f>
        <v>-20422.1132131705</v>
      </c>
      <c r="E5795" s="15" t="n">
        <f aca="false">B5795/Summary!$B$5-1</f>
        <v>0.204221132131705</v>
      </c>
    </row>
    <row r="5796" customFormat="false" ht="15" hidden="false" customHeight="false" outlineLevel="0" collapsed="false">
      <c r="A5796" s="0" t="n">
        <v>5795</v>
      </c>
      <c r="B5796" s="14" t="n">
        <v>124382.327602753</v>
      </c>
      <c r="C5796" s="15" t="n">
        <v>0.0800949389354416</v>
      </c>
      <c r="D5796" s="14" t="n">
        <f aca="false">Summary!$B$5-B5796</f>
        <v>-24382.327602753</v>
      </c>
      <c r="E5796" s="15" t="n">
        <f aca="false">B5796/Summary!$B$5-1</f>
        <v>0.24382327602753</v>
      </c>
    </row>
    <row r="5797" customFormat="false" ht="15" hidden="false" customHeight="false" outlineLevel="0" collapsed="false">
      <c r="A5797" s="0" t="n">
        <v>5796</v>
      </c>
      <c r="B5797" s="14" t="n">
        <v>113870.049558707</v>
      </c>
      <c r="C5797" s="15" t="n">
        <v>0.0984314103849553</v>
      </c>
      <c r="D5797" s="14" t="n">
        <f aca="false">Summary!$B$5-B5797</f>
        <v>-13870.0495587072</v>
      </c>
      <c r="E5797" s="15" t="n">
        <f aca="false">B5797/Summary!$B$5-1</f>
        <v>0.138700495587072</v>
      </c>
    </row>
    <row r="5798" customFormat="false" ht="15" hidden="false" customHeight="false" outlineLevel="0" collapsed="false">
      <c r="A5798" s="0" t="n">
        <v>5797</v>
      </c>
      <c r="B5798" s="14" t="n">
        <v>124735.703135324</v>
      </c>
      <c r="C5798" s="15" t="n">
        <v>0.0793423327712313</v>
      </c>
      <c r="D5798" s="14" t="n">
        <f aca="false">Summary!$B$5-B5798</f>
        <v>-24735.7031353244</v>
      </c>
      <c r="E5798" s="15" t="n">
        <f aca="false">B5798/Summary!$B$5-1</f>
        <v>0.247357031353244</v>
      </c>
    </row>
    <row r="5799" customFormat="false" ht="15" hidden="false" customHeight="false" outlineLevel="0" collapsed="false">
      <c r="A5799" s="0" t="n">
        <v>5798</v>
      </c>
      <c r="B5799" s="14" t="n">
        <v>101682.781497657</v>
      </c>
      <c r="C5799" s="15" t="n">
        <v>0.0790538824765198</v>
      </c>
      <c r="D5799" s="14" t="n">
        <f aca="false">Summary!$B$5-B5799</f>
        <v>-1682.78149765699</v>
      </c>
      <c r="E5799" s="15" t="n">
        <f aca="false">B5799/Summary!$B$5-1</f>
        <v>0.0168278149765699</v>
      </c>
    </row>
    <row r="5800" customFormat="false" ht="15" hidden="false" customHeight="false" outlineLevel="0" collapsed="false">
      <c r="A5800" s="0" t="n">
        <v>5799</v>
      </c>
      <c r="B5800" s="14" t="n">
        <v>125251.201002102</v>
      </c>
      <c r="C5800" s="15" t="n">
        <v>0.0807733267616108</v>
      </c>
      <c r="D5800" s="14" t="n">
        <f aca="false">Summary!$B$5-B5800</f>
        <v>-25251.2010021022</v>
      </c>
      <c r="E5800" s="15" t="n">
        <f aca="false">B5800/Summary!$B$5-1</f>
        <v>0.252512010021022</v>
      </c>
    </row>
    <row r="5801" customFormat="false" ht="15" hidden="false" customHeight="false" outlineLevel="0" collapsed="false">
      <c r="A5801" s="0" t="n">
        <v>5800</v>
      </c>
      <c r="B5801" s="14" t="n">
        <v>109061.605479747</v>
      </c>
      <c r="C5801" s="15" t="n">
        <v>0.0623344485653542</v>
      </c>
      <c r="D5801" s="14" t="n">
        <f aca="false">Summary!$B$5-B5801</f>
        <v>-9061.6054797468</v>
      </c>
      <c r="E5801" s="15" t="n">
        <f aca="false">B5801/Summary!$B$5-1</f>
        <v>0.0906160547974679</v>
      </c>
    </row>
    <row r="5802" customFormat="false" ht="15" hidden="false" customHeight="false" outlineLevel="0" collapsed="false">
      <c r="A5802" s="0" t="n">
        <v>5801</v>
      </c>
      <c r="B5802" s="14" t="n">
        <v>106132.586239001</v>
      </c>
      <c r="C5802" s="15" t="n">
        <v>0.0846081083557847</v>
      </c>
      <c r="D5802" s="14" t="n">
        <f aca="false">Summary!$B$5-B5802</f>
        <v>-6132.586239001</v>
      </c>
      <c r="E5802" s="15" t="n">
        <f aca="false">B5802/Summary!$B$5-1</f>
        <v>0.0613258623900099</v>
      </c>
    </row>
    <row r="5803" customFormat="false" ht="15" hidden="false" customHeight="false" outlineLevel="0" collapsed="false">
      <c r="A5803" s="0" t="n">
        <v>5802</v>
      </c>
      <c r="B5803" s="14" t="n">
        <v>112747.260936335</v>
      </c>
      <c r="C5803" s="15" t="n">
        <v>0.0616768542406612</v>
      </c>
      <c r="D5803" s="14" t="n">
        <f aca="false">Summary!$B$5-B5803</f>
        <v>-12747.2609363354</v>
      </c>
      <c r="E5803" s="15" t="n">
        <f aca="false">B5803/Summary!$B$5-1</f>
        <v>0.127472609363354</v>
      </c>
    </row>
    <row r="5804" customFormat="false" ht="15" hidden="false" customHeight="false" outlineLevel="0" collapsed="false">
      <c r="A5804" s="0" t="n">
        <v>5803</v>
      </c>
      <c r="B5804" s="14" t="n">
        <v>83377.4709739057</v>
      </c>
      <c r="C5804" s="15" t="n">
        <v>0.179184216369828</v>
      </c>
      <c r="D5804" s="14" t="n">
        <f aca="false">Summary!$B$5-B5804</f>
        <v>16622.5290260943</v>
      </c>
      <c r="E5804" s="15" t="n">
        <f aca="false">B5804/Summary!$B$5-1</f>
        <v>-0.166225290260943</v>
      </c>
    </row>
    <row r="5805" customFormat="false" ht="15" hidden="false" customHeight="false" outlineLevel="0" collapsed="false">
      <c r="A5805" s="0" t="n">
        <v>5804</v>
      </c>
      <c r="B5805" s="14" t="n">
        <v>141266.566569185</v>
      </c>
      <c r="C5805" s="15" t="n">
        <v>0.0382894692392672</v>
      </c>
      <c r="D5805" s="14" t="n">
        <f aca="false">Summary!$B$5-B5805</f>
        <v>-41266.5665691851</v>
      </c>
      <c r="E5805" s="15" t="n">
        <f aca="false">B5805/Summary!$B$5-1</f>
        <v>0.412665665691851</v>
      </c>
    </row>
    <row r="5806" customFormat="false" ht="15" hidden="false" customHeight="false" outlineLevel="0" collapsed="false">
      <c r="A5806" s="0" t="n">
        <v>5805</v>
      </c>
      <c r="B5806" s="14" t="n">
        <v>117361.677300848</v>
      </c>
      <c r="C5806" s="15" t="n">
        <v>0.0686832685150086</v>
      </c>
      <c r="D5806" s="14" t="n">
        <f aca="false">Summary!$B$5-B5806</f>
        <v>-17361.6773008481</v>
      </c>
      <c r="E5806" s="15" t="n">
        <f aca="false">B5806/Summary!$B$5-1</f>
        <v>0.173616773008481</v>
      </c>
    </row>
    <row r="5807" customFormat="false" ht="15" hidden="false" customHeight="false" outlineLevel="0" collapsed="false">
      <c r="A5807" s="0" t="n">
        <v>5806</v>
      </c>
      <c r="B5807" s="14" t="n">
        <v>99905.3631124406</v>
      </c>
      <c r="C5807" s="15" t="n">
        <v>0.130529514860555</v>
      </c>
      <c r="D5807" s="14" t="n">
        <f aca="false">Summary!$B$5-B5807</f>
        <v>94.636887559449</v>
      </c>
      <c r="E5807" s="15" t="n">
        <f aca="false">B5807/Summary!$B$5-1</f>
        <v>-0.000946368875594517</v>
      </c>
    </row>
    <row r="5808" customFormat="false" ht="15" hidden="false" customHeight="false" outlineLevel="0" collapsed="false">
      <c r="A5808" s="0" t="n">
        <v>5807</v>
      </c>
      <c r="B5808" s="14" t="n">
        <v>94505.9659084334</v>
      </c>
      <c r="C5808" s="15" t="n">
        <v>0.131544130318449</v>
      </c>
      <c r="D5808" s="14" t="n">
        <f aca="false">Summary!$B$5-B5808</f>
        <v>5494.03409156662</v>
      </c>
      <c r="E5808" s="15" t="n">
        <f aca="false">B5808/Summary!$B$5-1</f>
        <v>-0.0549403409156661</v>
      </c>
    </row>
    <row r="5809" customFormat="false" ht="15" hidden="false" customHeight="false" outlineLevel="0" collapsed="false">
      <c r="A5809" s="0" t="n">
        <v>5808</v>
      </c>
      <c r="B5809" s="14" t="n">
        <v>102523.881997985</v>
      </c>
      <c r="C5809" s="15" t="n">
        <v>0.0805649548126809</v>
      </c>
      <c r="D5809" s="14" t="n">
        <f aca="false">Summary!$B$5-B5809</f>
        <v>-2523.8819979846</v>
      </c>
      <c r="E5809" s="15" t="n">
        <f aca="false">B5809/Summary!$B$5-1</f>
        <v>0.0252388199798461</v>
      </c>
    </row>
    <row r="5810" customFormat="false" ht="15" hidden="false" customHeight="false" outlineLevel="0" collapsed="false">
      <c r="A5810" s="0" t="n">
        <v>5809</v>
      </c>
      <c r="B5810" s="14" t="n">
        <v>143035.11323543</v>
      </c>
      <c r="C5810" s="15" t="n">
        <v>0.0703618957779221</v>
      </c>
      <c r="D5810" s="14" t="n">
        <f aca="false">Summary!$B$5-B5810</f>
        <v>-43035.11323543</v>
      </c>
      <c r="E5810" s="15" t="n">
        <f aca="false">B5810/Summary!$B$5-1</f>
        <v>0.4303511323543</v>
      </c>
    </row>
    <row r="5811" customFormat="false" ht="15" hidden="false" customHeight="false" outlineLevel="0" collapsed="false">
      <c r="A5811" s="0" t="n">
        <v>5810</v>
      </c>
      <c r="B5811" s="14" t="n">
        <v>107490.258199784</v>
      </c>
      <c r="C5811" s="15" t="n">
        <v>0.0851387040692819</v>
      </c>
      <c r="D5811" s="14" t="n">
        <f aca="false">Summary!$B$5-B5811</f>
        <v>-7490.2581997841</v>
      </c>
      <c r="E5811" s="15" t="n">
        <f aca="false">B5811/Summary!$B$5-1</f>
        <v>0.0749025819978411</v>
      </c>
    </row>
    <row r="5812" customFormat="false" ht="15" hidden="false" customHeight="false" outlineLevel="0" collapsed="false">
      <c r="A5812" s="0" t="n">
        <v>5811</v>
      </c>
      <c r="B5812" s="14" t="n">
        <v>111578.589690925</v>
      </c>
      <c r="C5812" s="15" t="n">
        <v>0.0570553871490875</v>
      </c>
      <c r="D5812" s="14" t="n">
        <f aca="false">Summary!$B$5-B5812</f>
        <v>-11578.5896909251</v>
      </c>
      <c r="E5812" s="15" t="n">
        <f aca="false">B5812/Summary!$B$5-1</f>
        <v>0.115785896909251</v>
      </c>
    </row>
    <row r="5813" customFormat="false" ht="15" hidden="false" customHeight="false" outlineLevel="0" collapsed="false">
      <c r="A5813" s="0" t="n">
        <v>5812</v>
      </c>
      <c r="B5813" s="14" t="n">
        <v>105429.442020636</v>
      </c>
      <c r="C5813" s="15" t="n">
        <v>0.102374629586648</v>
      </c>
      <c r="D5813" s="14" t="n">
        <f aca="false">Summary!$B$5-B5813</f>
        <v>-5429.4420206355</v>
      </c>
      <c r="E5813" s="15" t="n">
        <f aca="false">B5813/Summary!$B$5-1</f>
        <v>0.0542944202063549</v>
      </c>
    </row>
    <row r="5814" customFormat="false" ht="15" hidden="false" customHeight="false" outlineLevel="0" collapsed="false">
      <c r="A5814" s="0" t="n">
        <v>5813</v>
      </c>
      <c r="B5814" s="14" t="n">
        <v>109829.061976122</v>
      </c>
      <c r="C5814" s="15" t="n">
        <v>0.133022897397882</v>
      </c>
      <c r="D5814" s="14" t="n">
        <f aca="false">Summary!$B$5-B5814</f>
        <v>-9829.0619761219</v>
      </c>
      <c r="E5814" s="15" t="n">
        <f aca="false">B5814/Summary!$B$5-1</f>
        <v>0.098290619761219</v>
      </c>
    </row>
    <row r="5815" customFormat="false" ht="15" hidden="false" customHeight="false" outlineLevel="0" collapsed="false">
      <c r="A5815" s="0" t="n">
        <v>5814</v>
      </c>
      <c r="B5815" s="14" t="n">
        <v>115798.183895694</v>
      </c>
      <c r="C5815" s="15" t="n">
        <v>0.0588711029654178</v>
      </c>
      <c r="D5815" s="14" t="n">
        <f aca="false">Summary!$B$5-B5815</f>
        <v>-15798.1838956938</v>
      </c>
      <c r="E5815" s="15" t="n">
        <f aca="false">B5815/Summary!$B$5-1</f>
        <v>0.157981838956938</v>
      </c>
    </row>
    <row r="5816" customFormat="false" ht="15" hidden="false" customHeight="false" outlineLevel="0" collapsed="false">
      <c r="A5816" s="0" t="n">
        <v>5815</v>
      </c>
      <c r="B5816" s="14" t="n">
        <v>104470.563224487</v>
      </c>
      <c r="C5816" s="15" t="n">
        <v>0.109206476264533</v>
      </c>
      <c r="D5816" s="14" t="n">
        <f aca="false">Summary!$B$5-B5816</f>
        <v>-4470.56322448691</v>
      </c>
      <c r="E5816" s="15" t="n">
        <f aca="false">B5816/Summary!$B$5-1</f>
        <v>0.0447056322448691</v>
      </c>
    </row>
    <row r="5817" customFormat="false" ht="15" hidden="false" customHeight="false" outlineLevel="0" collapsed="false">
      <c r="A5817" s="0" t="n">
        <v>5816</v>
      </c>
      <c r="B5817" s="14" t="n">
        <v>102323.881055557</v>
      </c>
      <c r="C5817" s="15" t="n">
        <v>0.110707030135562</v>
      </c>
      <c r="D5817" s="14" t="n">
        <f aca="false">Summary!$B$5-B5817</f>
        <v>-2323.88105555681</v>
      </c>
      <c r="E5817" s="15" t="n">
        <f aca="false">B5817/Summary!$B$5-1</f>
        <v>0.0232388105555681</v>
      </c>
    </row>
    <row r="5818" customFormat="false" ht="15" hidden="false" customHeight="false" outlineLevel="0" collapsed="false">
      <c r="A5818" s="0" t="n">
        <v>5817</v>
      </c>
      <c r="B5818" s="14" t="n">
        <v>80010.9047768273</v>
      </c>
      <c r="C5818" s="15" t="n">
        <v>0.259491587245608</v>
      </c>
      <c r="D5818" s="14" t="n">
        <f aca="false">Summary!$B$5-B5818</f>
        <v>19989.0952231727</v>
      </c>
      <c r="E5818" s="15" t="n">
        <f aca="false">B5818/Summary!$B$5-1</f>
        <v>-0.199890952231727</v>
      </c>
    </row>
    <row r="5819" customFormat="false" ht="15" hidden="false" customHeight="false" outlineLevel="0" collapsed="false">
      <c r="A5819" s="0" t="n">
        <v>5818</v>
      </c>
      <c r="B5819" s="14" t="n">
        <v>99191.8272316945</v>
      </c>
      <c r="C5819" s="15" t="n">
        <v>0.131851813737822</v>
      </c>
      <c r="D5819" s="14" t="n">
        <f aca="false">Summary!$B$5-B5819</f>
        <v>808.172768305463</v>
      </c>
      <c r="E5819" s="15" t="n">
        <f aca="false">B5819/Summary!$B$5-1</f>
        <v>-0.0080817276830546</v>
      </c>
    </row>
    <row r="5820" customFormat="false" ht="15" hidden="false" customHeight="false" outlineLevel="0" collapsed="false">
      <c r="A5820" s="0" t="n">
        <v>5819</v>
      </c>
      <c r="B5820" s="14" t="n">
        <v>91261.200963924</v>
      </c>
      <c r="C5820" s="15" t="n">
        <v>0.113434750596866</v>
      </c>
      <c r="D5820" s="14" t="n">
        <f aca="false">Summary!$B$5-B5820</f>
        <v>8738.79903607597</v>
      </c>
      <c r="E5820" s="15" t="n">
        <f aca="false">B5820/Summary!$B$5-1</f>
        <v>-0.0873879903607597</v>
      </c>
    </row>
    <row r="5821" customFormat="false" ht="15" hidden="false" customHeight="false" outlineLevel="0" collapsed="false">
      <c r="A5821" s="0" t="n">
        <v>5820</v>
      </c>
      <c r="B5821" s="14" t="n">
        <v>97326.9645893864</v>
      </c>
      <c r="C5821" s="15" t="n">
        <v>0.152119165074014</v>
      </c>
      <c r="D5821" s="14" t="n">
        <f aca="false">Summary!$B$5-B5821</f>
        <v>2673.03541061362</v>
      </c>
      <c r="E5821" s="15" t="n">
        <f aca="false">B5821/Summary!$B$5-1</f>
        <v>-0.0267303541061362</v>
      </c>
    </row>
    <row r="5822" customFormat="false" ht="15" hidden="false" customHeight="false" outlineLevel="0" collapsed="false">
      <c r="A5822" s="0" t="n">
        <v>5821</v>
      </c>
      <c r="B5822" s="14" t="n">
        <v>108785.236591043</v>
      </c>
      <c r="C5822" s="15" t="n">
        <v>0.159263024343143</v>
      </c>
      <c r="D5822" s="14" t="n">
        <f aca="false">Summary!$B$5-B5822</f>
        <v>-8785.23659104299</v>
      </c>
      <c r="E5822" s="15" t="n">
        <f aca="false">B5822/Summary!$B$5-1</f>
        <v>0.08785236591043</v>
      </c>
    </row>
    <row r="5823" customFormat="false" ht="15" hidden="false" customHeight="false" outlineLevel="0" collapsed="false">
      <c r="A5823" s="0" t="n">
        <v>5822</v>
      </c>
      <c r="B5823" s="14" t="n">
        <v>121612.647855024</v>
      </c>
      <c r="C5823" s="15" t="n">
        <v>0.0638535457161663</v>
      </c>
      <c r="D5823" s="14" t="n">
        <f aca="false">Summary!$B$5-B5823</f>
        <v>-21612.6478550237</v>
      </c>
      <c r="E5823" s="15" t="n">
        <f aca="false">B5823/Summary!$B$5-1</f>
        <v>0.216126478550237</v>
      </c>
    </row>
    <row r="5824" customFormat="false" ht="15" hidden="false" customHeight="false" outlineLevel="0" collapsed="false">
      <c r="A5824" s="0" t="n">
        <v>5823</v>
      </c>
      <c r="B5824" s="14" t="n">
        <v>93711.104462061</v>
      </c>
      <c r="C5824" s="15" t="n">
        <v>0.132131280912278</v>
      </c>
      <c r="D5824" s="14" t="n">
        <f aca="false">Summary!$B$5-B5824</f>
        <v>6288.89553793898</v>
      </c>
      <c r="E5824" s="15" t="n">
        <f aca="false">B5824/Summary!$B$5-1</f>
        <v>-0.0628889553793898</v>
      </c>
    </row>
    <row r="5825" customFormat="false" ht="15" hidden="false" customHeight="false" outlineLevel="0" collapsed="false">
      <c r="A5825" s="0" t="n">
        <v>5824</v>
      </c>
      <c r="B5825" s="14" t="n">
        <v>99268.5349968168</v>
      </c>
      <c r="C5825" s="15" t="n">
        <v>0.0938067546584788</v>
      </c>
      <c r="D5825" s="14" t="n">
        <f aca="false">Summary!$B$5-B5825</f>
        <v>731.465003183199</v>
      </c>
      <c r="E5825" s="15" t="n">
        <f aca="false">B5825/Summary!$B$5-1</f>
        <v>-0.00731465003183196</v>
      </c>
    </row>
    <row r="5826" customFormat="false" ht="15" hidden="false" customHeight="false" outlineLevel="0" collapsed="false">
      <c r="A5826" s="0" t="n">
        <v>5825</v>
      </c>
      <c r="B5826" s="14" t="n">
        <v>128730.421814313</v>
      </c>
      <c r="C5826" s="15" t="n">
        <v>0.0595178980515809</v>
      </c>
      <c r="D5826" s="14" t="n">
        <f aca="false">Summary!$B$5-B5826</f>
        <v>-28730.4218143127</v>
      </c>
      <c r="E5826" s="15" t="n">
        <f aca="false">B5826/Summary!$B$5-1</f>
        <v>0.287304218143127</v>
      </c>
    </row>
    <row r="5827" customFormat="false" ht="15" hidden="false" customHeight="false" outlineLevel="0" collapsed="false">
      <c r="A5827" s="0" t="n">
        <v>5826</v>
      </c>
      <c r="B5827" s="14" t="n">
        <v>94071.7144901238</v>
      </c>
      <c r="C5827" s="15" t="n">
        <v>0.0977722742964534</v>
      </c>
      <c r="D5827" s="14" t="n">
        <f aca="false">Summary!$B$5-B5827</f>
        <v>5928.28550987624</v>
      </c>
      <c r="E5827" s="15" t="n">
        <f aca="false">B5827/Summary!$B$5-1</f>
        <v>-0.0592828550987624</v>
      </c>
    </row>
    <row r="5828" customFormat="false" ht="15" hidden="false" customHeight="false" outlineLevel="0" collapsed="false">
      <c r="A5828" s="0" t="n">
        <v>5827</v>
      </c>
      <c r="B5828" s="14" t="n">
        <v>127115.111969993</v>
      </c>
      <c r="C5828" s="15" t="n">
        <v>0.0627047223446623</v>
      </c>
      <c r="D5828" s="14" t="n">
        <f aca="false">Summary!$B$5-B5828</f>
        <v>-27115.1119699926</v>
      </c>
      <c r="E5828" s="15" t="n">
        <f aca="false">B5828/Summary!$B$5-1</f>
        <v>0.271151119699926</v>
      </c>
    </row>
    <row r="5829" customFormat="false" ht="15" hidden="false" customHeight="false" outlineLevel="0" collapsed="false">
      <c r="A5829" s="0" t="n">
        <v>5828</v>
      </c>
      <c r="B5829" s="14" t="n">
        <v>147096.035537247</v>
      </c>
      <c r="C5829" s="15" t="n">
        <v>0.0966246109197082</v>
      </c>
      <c r="D5829" s="14" t="n">
        <f aca="false">Summary!$B$5-B5829</f>
        <v>-47096.0355372474</v>
      </c>
      <c r="E5829" s="15" t="n">
        <f aca="false">B5829/Summary!$B$5-1</f>
        <v>0.470960355372474</v>
      </c>
    </row>
    <row r="5830" customFormat="false" ht="15" hidden="false" customHeight="false" outlineLevel="0" collapsed="false">
      <c r="A5830" s="0" t="n">
        <v>5829</v>
      </c>
      <c r="B5830" s="14" t="n">
        <v>108618.56867601</v>
      </c>
      <c r="C5830" s="15" t="n">
        <v>0.0634734850823999</v>
      </c>
      <c r="D5830" s="14" t="n">
        <f aca="false">Summary!$B$5-B5830</f>
        <v>-8618.56867600991</v>
      </c>
      <c r="E5830" s="15" t="n">
        <f aca="false">B5830/Summary!$B$5-1</f>
        <v>0.086185686760099</v>
      </c>
    </row>
    <row r="5831" customFormat="false" ht="15" hidden="false" customHeight="false" outlineLevel="0" collapsed="false">
      <c r="A5831" s="0" t="n">
        <v>5830</v>
      </c>
      <c r="B5831" s="14" t="n">
        <v>125841.436434706</v>
      </c>
      <c r="C5831" s="15" t="n">
        <v>0.0905583419953101</v>
      </c>
      <c r="D5831" s="14" t="n">
        <f aca="false">Summary!$B$5-B5831</f>
        <v>-25841.4364347062</v>
      </c>
      <c r="E5831" s="15" t="n">
        <f aca="false">B5831/Summary!$B$5-1</f>
        <v>0.258414364347062</v>
      </c>
    </row>
    <row r="5832" customFormat="false" ht="15" hidden="false" customHeight="false" outlineLevel="0" collapsed="false">
      <c r="A5832" s="0" t="n">
        <v>5831</v>
      </c>
      <c r="B5832" s="14" t="n">
        <v>115020.649253854</v>
      </c>
      <c r="C5832" s="15" t="n">
        <v>0.0955111486936382</v>
      </c>
      <c r="D5832" s="14" t="n">
        <f aca="false">Summary!$B$5-B5832</f>
        <v>-15020.6492538542</v>
      </c>
      <c r="E5832" s="15" t="n">
        <f aca="false">B5832/Summary!$B$5-1</f>
        <v>0.150206492538542</v>
      </c>
    </row>
    <row r="5833" customFormat="false" ht="15" hidden="false" customHeight="false" outlineLevel="0" collapsed="false">
      <c r="A5833" s="0" t="n">
        <v>5832</v>
      </c>
      <c r="B5833" s="14" t="n">
        <v>116777.845335425</v>
      </c>
      <c r="C5833" s="15" t="n">
        <v>0.0784174215200632</v>
      </c>
      <c r="D5833" s="14" t="n">
        <f aca="false">Summary!$B$5-B5833</f>
        <v>-16777.8453354253</v>
      </c>
      <c r="E5833" s="15" t="n">
        <f aca="false">B5833/Summary!$B$5-1</f>
        <v>0.167778453354253</v>
      </c>
    </row>
    <row r="5834" customFormat="false" ht="15" hidden="false" customHeight="false" outlineLevel="0" collapsed="false">
      <c r="A5834" s="0" t="n">
        <v>5833</v>
      </c>
      <c r="B5834" s="14" t="n">
        <v>103665.761521235</v>
      </c>
      <c r="C5834" s="15" t="n">
        <v>0.162202118129603</v>
      </c>
      <c r="D5834" s="14" t="n">
        <f aca="false">Summary!$B$5-B5834</f>
        <v>-3665.7615212348</v>
      </c>
      <c r="E5834" s="15" t="n">
        <f aca="false">B5834/Summary!$B$5-1</f>
        <v>0.0366576152123481</v>
      </c>
    </row>
    <row r="5835" customFormat="false" ht="15" hidden="false" customHeight="false" outlineLevel="0" collapsed="false">
      <c r="A5835" s="0" t="n">
        <v>5834</v>
      </c>
      <c r="B5835" s="14" t="n">
        <v>135134.70650239</v>
      </c>
      <c r="C5835" s="15" t="n">
        <v>0.0453618335247268</v>
      </c>
      <c r="D5835" s="14" t="n">
        <f aca="false">Summary!$B$5-B5835</f>
        <v>-35134.7065023895</v>
      </c>
      <c r="E5835" s="15" t="n">
        <f aca="false">B5835/Summary!$B$5-1</f>
        <v>0.351347065023895</v>
      </c>
    </row>
    <row r="5836" customFormat="false" ht="15" hidden="false" customHeight="false" outlineLevel="0" collapsed="false">
      <c r="A5836" s="0" t="n">
        <v>5835</v>
      </c>
      <c r="B5836" s="14" t="n">
        <v>126495.305871405</v>
      </c>
      <c r="C5836" s="15" t="n">
        <v>0.0793866405463407</v>
      </c>
      <c r="D5836" s="14" t="n">
        <f aca="false">Summary!$B$5-B5836</f>
        <v>-26495.3058714048</v>
      </c>
      <c r="E5836" s="15" t="n">
        <f aca="false">B5836/Summary!$B$5-1</f>
        <v>0.264953058714048</v>
      </c>
    </row>
    <row r="5837" customFormat="false" ht="15" hidden="false" customHeight="false" outlineLevel="0" collapsed="false">
      <c r="A5837" s="0" t="n">
        <v>5836</v>
      </c>
      <c r="B5837" s="14" t="n">
        <v>118434.330789469</v>
      </c>
      <c r="C5837" s="15" t="n">
        <v>0.0794116122974284</v>
      </c>
      <c r="D5837" s="14" t="n">
        <f aca="false">Summary!$B$5-B5837</f>
        <v>-18434.3307894688</v>
      </c>
      <c r="E5837" s="15" t="n">
        <f aca="false">B5837/Summary!$B$5-1</f>
        <v>0.184343307894688</v>
      </c>
    </row>
    <row r="5838" customFormat="false" ht="15" hidden="false" customHeight="false" outlineLevel="0" collapsed="false">
      <c r="A5838" s="0" t="n">
        <v>5837</v>
      </c>
      <c r="B5838" s="14" t="n">
        <v>152067.803772521</v>
      </c>
      <c r="C5838" s="15" t="n">
        <v>0.0843730508987869</v>
      </c>
      <c r="D5838" s="14" t="n">
        <f aca="false">Summary!$B$5-B5838</f>
        <v>-52067.8037725209</v>
      </c>
      <c r="E5838" s="15" t="n">
        <f aca="false">B5838/Summary!$B$5-1</f>
        <v>0.520678037725209</v>
      </c>
    </row>
    <row r="5839" customFormat="false" ht="15" hidden="false" customHeight="false" outlineLevel="0" collapsed="false">
      <c r="A5839" s="0" t="n">
        <v>5838</v>
      </c>
      <c r="B5839" s="14" t="n">
        <v>103820.400227475</v>
      </c>
      <c r="C5839" s="15" t="n">
        <v>0.0848132811731901</v>
      </c>
      <c r="D5839" s="14" t="n">
        <f aca="false">Summary!$B$5-B5839</f>
        <v>-3820.4002274751</v>
      </c>
      <c r="E5839" s="15" t="n">
        <f aca="false">B5839/Summary!$B$5-1</f>
        <v>0.038204002274751</v>
      </c>
    </row>
    <row r="5840" customFormat="false" ht="15" hidden="false" customHeight="false" outlineLevel="0" collapsed="false">
      <c r="A5840" s="0" t="n">
        <v>5839</v>
      </c>
      <c r="B5840" s="14" t="n">
        <v>98762.7723147468</v>
      </c>
      <c r="C5840" s="15" t="n">
        <v>0.117093682121645</v>
      </c>
      <c r="D5840" s="14" t="n">
        <f aca="false">Summary!$B$5-B5840</f>
        <v>1237.22768525317</v>
      </c>
      <c r="E5840" s="15" t="n">
        <f aca="false">B5840/Summary!$B$5-1</f>
        <v>-0.0123722768525316</v>
      </c>
    </row>
    <row r="5841" customFormat="false" ht="15" hidden="false" customHeight="false" outlineLevel="0" collapsed="false">
      <c r="A5841" s="0" t="n">
        <v>5840</v>
      </c>
      <c r="B5841" s="14" t="n">
        <v>122587.441902936</v>
      </c>
      <c r="C5841" s="15" t="n">
        <v>0.0525024704632819</v>
      </c>
      <c r="D5841" s="14" t="n">
        <f aca="false">Summary!$B$5-B5841</f>
        <v>-22587.4419029359</v>
      </c>
      <c r="E5841" s="15" t="n">
        <f aca="false">B5841/Summary!$B$5-1</f>
        <v>0.225874419029359</v>
      </c>
    </row>
    <row r="5842" customFormat="false" ht="15" hidden="false" customHeight="false" outlineLevel="0" collapsed="false">
      <c r="A5842" s="0" t="n">
        <v>5841</v>
      </c>
      <c r="B5842" s="14" t="n">
        <v>104348.776750695</v>
      </c>
      <c r="C5842" s="15" t="n">
        <v>0.0907975384422343</v>
      </c>
      <c r="D5842" s="14" t="n">
        <f aca="false">Summary!$B$5-B5842</f>
        <v>-4348.7767506953</v>
      </c>
      <c r="E5842" s="15" t="n">
        <f aca="false">B5842/Summary!$B$5-1</f>
        <v>0.0434877675069529</v>
      </c>
    </row>
    <row r="5843" customFormat="false" ht="15" hidden="false" customHeight="false" outlineLevel="0" collapsed="false">
      <c r="A5843" s="0" t="n">
        <v>5842</v>
      </c>
      <c r="B5843" s="14" t="n">
        <v>128751.027857162</v>
      </c>
      <c r="C5843" s="15" t="n">
        <v>0.0696027484303338</v>
      </c>
      <c r="D5843" s="14" t="n">
        <f aca="false">Summary!$B$5-B5843</f>
        <v>-28751.0278571615</v>
      </c>
      <c r="E5843" s="15" t="n">
        <f aca="false">B5843/Summary!$B$5-1</f>
        <v>0.287510278571615</v>
      </c>
    </row>
    <row r="5844" customFormat="false" ht="15" hidden="false" customHeight="false" outlineLevel="0" collapsed="false">
      <c r="A5844" s="0" t="n">
        <v>5843</v>
      </c>
      <c r="B5844" s="14" t="n">
        <v>127181.633202068</v>
      </c>
      <c r="C5844" s="15" t="n">
        <v>0.0437275264948185</v>
      </c>
      <c r="D5844" s="14" t="n">
        <f aca="false">Summary!$B$5-B5844</f>
        <v>-27181.6332020676</v>
      </c>
      <c r="E5844" s="15" t="n">
        <f aca="false">B5844/Summary!$B$5-1</f>
        <v>0.271816332020676</v>
      </c>
    </row>
    <row r="5845" customFormat="false" ht="15" hidden="false" customHeight="false" outlineLevel="0" collapsed="false">
      <c r="A5845" s="0" t="n">
        <v>5844</v>
      </c>
      <c r="B5845" s="14" t="n">
        <v>113310.339699475</v>
      </c>
      <c r="C5845" s="15" t="n">
        <v>0.102960161295743</v>
      </c>
      <c r="D5845" s="14" t="n">
        <f aca="false">Summary!$B$5-B5845</f>
        <v>-13310.3396994749</v>
      </c>
      <c r="E5845" s="15" t="n">
        <f aca="false">B5845/Summary!$B$5-1</f>
        <v>0.133103396994749</v>
      </c>
    </row>
    <row r="5846" customFormat="false" ht="15" hidden="false" customHeight="false" outlineLevel="0" collapsed="false">
      <c r="A5846" s="0" t="n">
        <v>5845</v>
      </c>
      <c r="B5846" s="14" t="n">
        <v>101382.768603703</v>
      </c>
      <c r="C5846" s="15" t="n">
        <v>0.113299928913592</v>
      </c>
      <c r="D5846" s="14" t="n">
        <f aca="false">Summary!$B$5-B5846</f>
        <v>-1382.7686037033</v>
      </c>
      <c r="E5846" s="15" t="n">
        <f aca="false">B5846/Summary!$B$5-1</f>
        <v>0.013827686037033</v>
      </c>
    </row>
    <row r="5847" customFormat="false" ht="15" hidden="false" customHeight="false" outlineLevel="0" collapsed="false">
      <c r="A5847" s="0" t="n">
        <v>5846</v>
      </c>
      <c r="B5847" s="14" t="n">
        <v>100619.602658687</v>
      </c>
      <c r="C5847" s="15" t="n">
        <v>0.123026741040884</v>
      </c>
      <c r="D5847" s="14" t="n">
        <f aca="false">Summary!$B$5-B5847</f>
        <v>-619.602658687203</v>
      </c>
      <c r="E5847" s="15" t="n">
        <f aca="false">B5847/Summary!$B$5-1</f>
        <v>0.00619602658687213</v>
      </c>
    </row>
    <row r="5848" customFormat="false" ht="15" hidden="false" customHeight="false" outlineLevel="0" collapsed="false">
      <c r="A5848" s="0" t="n">
        <v>5847</v>
      </c>
      <c r="B5848" s="14" t="n">
        <v>104585.974058266</v>
      </c>
      <c r="C5848" s="15" t="n">
        <v>0.0957786064760097</v>
      </c>
      <c r="D5848" s="14" t="n">
        <f aca="false">Summary!$B$5-B5848</f>
        <v>-4585.97405826559</v>
      </c>
      <c r="E5848" s="15" t="n">
        <f aca="false">B5848/Summary!$B$5-1</f>
        <v>0.045859740582656</v>
      </c>
    </row>
    <row r="5849" customFormat="false" ht="15" hidden="false" customHeight="false" outlineLevel="0" collapsed="false">
      <c r="A5849" s="0" t="n">
        <v>5848</v>
      </c>
      <c r="B5849" s="14" t="n">
        <v>96041.9764030922</v>
      </c>
      <c r="C5849" s="15" t="n">
        <v>0.150998822850848</v>
      </c>
      <c r="D5849" s="14" t="n">
        <f aca="false">Summary!$B$5-B5849</f>
        <v>3958.02359690785</v>
      </c>
      <c r="E5849" s="15" t="n">
        <f aca="false">B5849/Summary!$B$5-1</f>
        <v>-0.0395802359690785</v>
      </c>
    </row>
    <row r="5850" customFormat="false" ht="15" hidden="false" customHeight="false" outlineLevel="0" collapsed="false">
      <c r="A5850" s="0" t="n">
        <v>5849</v>
      </c>
      <c r="B5850" s="14" t="n">
        <v>108458.024106358</v>
      </c>
      <c r="C5850" s="15" t="n">
        <v>0.10473904073805</v>
      </c>
      <c r="D5850" s="14" t="n">
        <f aca="false">Summary!$B$5-B5850</f>
        <v>-8458.0241063577</v>
      </c>
      <c r="E5850" s="15" t="n">
        <f aca="false">B5850/Summary!$B$5-1</f>
        <v>0.084580241063577</v>
      </c>
    </row>
    <row r="5851" customFormat="false" ht="15" hidden="false" customHeight="false" outlineLevel="0" collapsed="false">
      <c r="A5851" s="0" t="n">
        <v>5850</v>
      </c>
      <c r="B5851" s="14" t="n">
        <v>141177.474202287</v>
      </c>
      <c r="C5851" s="15" t="n">
        <v>0.0387381252469012</v>
      </c>
      <c r="D5851" s="14" t="n">
        <f aca="false">Summary!$B$5-B5851</f>
        <v>-41177.4742022868</v>
      </c>
      <c r="E5851" s="15" t="n">
        <f aca="false">B5851/Summary!$B$5-1</f>
        <v>0.411774742022868</v>
      </c>
    </row>
    <row r="5852" customFormat="false" ht="15" hidden="false" customHeight="false" outlineLevel="0" collapsed="false">
      <c r="A5852" s="0" t="n">
        <v>5851</v>
      </c>
      <c r="B5852" s="14" t="n">
        <v>119582.636293508</v>
      </c>
      <c r="C5852" s="15" t="n">
        <v>0.0843606937132337</v>
      </c>
      <c r="D5852" s="14" t="n">
        <f aca="false">Summary!$B$5-B5852</f>
        <v>-19582.6362935084</v>
      </c>
      <c r="E5852" s="15" t="n">
        <f aca="false">B5852/Summary!$B$5-1</f>
        <v>0.195826362935084</v>
      </c>
    </row>
    <row r="5853" customFormat="false" ht="15" hidden="false" customHeight="false" outlineLevel="0" collapsed="false">
      <c r="A5853" s="0" t="n">
        <v>5852</v>
      </c>
      <c r="B5853" s="14" t="n">
        <v>97674.5878726376</v>
      </c>
      <c r="C5853" s="15" t="n">
        <v>0.0920737309120275</v>
      </c>
      <c r="D5853" s="14" t="n">
        <f aca="false">Summary!$B$5-B5853</f>
        <v>2325.4121273624</v>
      </c>
      <c r="E5853" s="15" t="n">
        <f aca="false">B5853/Summary!$B$5-1</f>
        <v>-0.023254121273624</v>
      </c>
    </row>
    <row r="5854" customFormat="false" ht="15" hidden="false" customHeight="false" outlineLevel="0" collapsed="false">
      <c r="A5854" s="0" t="n">
        <v>5853</v>
      </c>
      <c r="B5854" s="14" t="n">
        <v>107635.604055245</v>
      </c>
      <c r="C5854" s="15" t="n">
        <v>0.101189205955504</v>
      </c>
      <c r="D5854" s="14" t="n">
        <f aca="false">Summary!$B$5-B5854</f>
        <v>-7635.60405524451</v>
      </c>
      <c r="E5854" s="15" t="n">
        <f aca="false">B5854/Summary!$B$5-1</f>
        <v>0.0763560405524451</v>
      </c>
    </row>
    <row r="5855" customFormat="false" ht="15" hidden="false" customHeight="false" outlineLevel="0" collapsed="false">
      <c r="A5855" s="0" t="n">
        <v>5854</v>
      </c>
      <c r="B5855" s="14" t="n">
        <v>92865.1736771258</v>
      </c>
      <c r="C5855" s="15" t="n">
        <v>0.11878994105056</v>
      </c>
      <c r="D5855" s="14" t="n">
        <f aca="false">Summary!$B$5-B5855</f>
        <v>7134.82632287423</v>
      </c>
      <c r="E5855" s="15" t="n">
        <f aca="false">B5855/Summary!$B$5-1</f>
        <v>-0.0713482632287423</v>
      </c>
    </row>
    <row r="5856" customFormat="false" ht="15" hidden="false" customHeight="false" outlineLevel="0" collapsed="false">
      <c r="A5856" s="0" t="n">
        <v>5855</v>
      </c>
      <c r="B5856" s="14" t="n">
        <v>126718.578404288</v>
      </c>
      <c r="C5856" s="15" t="n">
        <v>0.0742138801948579</v>
      </c>
      <c r="D5856" s="14" t="n">
        <f aca="false">Summary!$B$5-B5856</f>
        <v>-26718.5784042879</v>
      </c>
      <c r="E5856" s="15" t="n">
        <f aca="false">B5856/Summary!$B$5-1</f>
        <v>0.267185784042879</v>
      </c>
    </row>
    <row r="5857" customFormat="false" ht="15" hidden="false" customHeight="false" outlineLevel="0" collapsed="false">
      <c r="A5857" s="0" t="n">
        <v>5856</v>
      </c>
      <c r="B5857" s="14" t="n">
        <v>105600.749302444</v>
      </c>
      <c r="C5857" s="15" t="n">
        <v>0.0768333725264324</v>
      </c>
      <c r="D5857" s="14" t="n">
        <f aca="false">Summary!$B$5-B5857</f>
        <v>-5600.7493024438</v>
      </c>
      <c r="E5857" s="15" t="n">
        <f aca="false">B5857/Summary!$B$5-1</f>
        <v>0.0560074930244381</v>
      </c>
    </row>
    <row r="5858" customFormat="false" ht="15" hidden="false" customHeight="false" outlineLevel="0" collapsed="false">
      <c r="A5858" s="0" t="n">
        <v>5857</v>
      </c>
      <c r="B5858" s="14" t="n">
        <v>111253.09330738</v>
      </c>
      <c r="C5858" s="15" t="n">
        <v>0.0887181640409624</v>
      </c>
      <c r="D5858" s="14" t="n">
        <f aca="false">Summary!$B$5-B5858</f>
        <v>-11253.0933073796</v>
      </c>
      <c r="E5858" s="15" t="n">
        <f aca="false">B5858/Summary!$B$5-1</f>
        <v>0.112530933073796</v>
      </c>
    </row>
    <row r="5859" customFormat="false" ht="15" hidden="false" customHeight="false" outlineLevel="0" collapsed="false">
      <c r="A5859" s="0" t="n">
        <v>5858</v>
      </c>
      <c r="B5859" s="14" t="n">
        <v>133478.933291199</v>
      </c>
      <c r="C5859" s="15" t="n">
        <v>0.0709321098874434</v>
      </c>
      <c r="D5859" s="14" t="n">
        <f aca="false">Summary!$B$5-B5859</f>
        <v>-33478.933291199</v>
      </c>
      <c r="E5859" s="15" t="n">
        <f aca="false">B5859/Summary!$B$5-1</f>
        <v>0.33478933291199</v>
      </c>
    </row>
    <row r="5860" customFormat="false" ht="15" hidden="false" customHeight="false" outlineLevel="0" collapsed="false">
      <c r="A5860" s="0" t="n">
        <v>5859</v>
      </c>
      <c r="B5860" s="14" t="n">
        <v>118590.927545884</v>
      </c>
      <c r="C5860" s="15" t="n">
        <v>0.0969365106639269</v>
      </c>
      <c r="D5860" s="14" t="n">
        <f aca="false">Summary!$B$5-B5860</f>
        <v>-18590.9275458838</v>
      </c>
      <c r="E5860" s="15" t="n">
        <f aca="false">B5860/Summary!$B$5-1</f>
        <v>0.185909275458838</v>
      </c>
    </row>
    <row r="5861" customFormat="false" ht="15" hidden="false" customHeight="false" outlineLevel="0" collapsed="false">
      <c r="A5861" s="0" t="n">
        <v>5860</v>
      </c>
      <c r="B5861" s="14" t="n">
        <v>107152.518049688</v>
      </c>
      <c r="C5861" s="15" t="n">
        <v>0.139186729990649</v>
      </c>
      <c r="D5861" s="14" t="n">
        <f aca="false">Summary!$B$5-B5861</f>
        <v>-7152.5180496882</v>
      </c>
      <c r="E5861" s="15" t="n">
        <f aca="false">B5861/Summary!$B$5-1</f>
        <v>0.071525180496882</v>
      </c>
    </row>
    <row r="5862" customFormat="false" ht="15" hidden="false" customHeight="false" outlineLevel="0" collapsed="false">
      <c r="A5862" s="0" t="n">
        <v>5861</v>
      </c>
      <c r="B5862" s="14" t="n">
        <v>105372.931557649</v>
      </c>
      <c r="C5862" s="15" t="n">
        <v>0.142244395864318</v>
      </c>
      <c r="D5862" s="14" t="n">
        <f aca="false">Summary!$B$5-B5862</f>
        <v>-5372.93155764911</v>
      </c>
      <c r="E5862" s="15" t="n">
        <f aca="false">B5862/Summary!$B$5-1</f>
        <v>0.0537293155764911</v>
      </c>
    </row>
    <row r="5863" customFormat="false" ht="15" hidden="false" customHeight="false" outlineLevel="0" collapsed="false">
      <c r="A5863" s="0" t="n">
        <v>5862</v>
      </c>
      <c r="B5863" s="14" t="n">
        <v>112272.250606525</v>
      </c>
      <c r="C5863" s="15" t="n">
        <v>0.0940419386595259</v>
      </c>
      <c r="D5863" s="14" t="n">
        <f aca="false">Summary!$B$5-B5863</f>
        <v>-12272.2506065245</v>
      </c>
      <c r="E5863" s="15" t="n">
        <f aca="false">B5863/Summary!$B$5-1</f>
        <v>0.122722506065245</v>
      </c>
    </row>
    <row r="5864" customFormat="false" ht="15" hidden="false" customHeight="false" outlineLevel="0" collapsed="false">
      <c r="A5864" s="0" t="n">
        <v>5863</v>
      </c>
      <c r="B5864" s="14" t="n">
        <v>92117.1379657641</v>
      </c>
      <c r="C5864" s="15" t="n">
        <v>0.160822683423177</v>
      </c>
      <c r="D5864" s="14" t="n">
        <f aca="false">Summary!$B$5-B5864</f>
        <v>7882.86203423594</v>
      </c>
      <c r="E5864" s="15" t="n">
        <f aca="false">B5864/Summary!$B$5-1</f>
        <v>-0.0788286203423594</v>
      </c>
    </row>
    <row r="5865" customFormat="false" ht="15" hidden="false" customHeight="false" outlineLevel="0" collapsed="false">
      <c r="A5865" s="0" t="n">
        <v>5864</v>
      </c>
      <c r="B5865" s="14" t="n">
        <v>129193.950298893</v>
      </c>
      <c r="C5865" s="15" t="n">
        <v>0.068945091475587</v>
      </c>
      <c r="D5865" s="14" t="n">
        <f aca="false">Summary!$B$5-B5865</f>
        <v>-29193.9502988933</v>
      </c>
      <c r="E5865" s="15" t="n">
        <f aca="false">B5865/Summary!$B$5-1</f>
        <v>0.291939502988933</v>
      </c>
    </row>
    <row r="5866" customFormat="false" ht="15" hidden="false" customHeight="false" outlineLevel="0" collapsed="false">
      <c r="A5866" s="0" t="n">
        <v>5865</v>
      </c>
      <c r="B5866" s="14" t="n">
        <v>137476.24124341</v>
      </c>
      <c r="C5866" s="15" t="n">
        <v>0.0704438845296515</v>
      </c>
      <c r="D5866" s="14" t="n">
        <f aca="false">Summary!$B$5-B5866</f>
        <v>-37476.2412434102</v>
      </c>
      <c r="E5866" s="15" t="n">
        <f aca="false">B5866/Summary!$B$5-1</f>
        <v>0.374762412434102</v>
      </c>
    </row>
    <row r="5867" customFormat="false" ht="15" hidden="false" customHeight="false" outlineLevel="0" collapsed="false">
      <c r="A5867" s="0" t="n">
        <v>5866</v>
      </c>
      <c r="B5867" s="14" t="n">
        <v>128774.44286005</v>
      </c>
      <c r="C5867" s="15" t="n">
        <v>0.0505131472096492</v>
      </c>
      <c r="D5867" s="14" t="n">
        <f aca="false">Summary!$B$5-B5867</f>
        <v>-28774.4428600504</v>
      </c>
      <c r="E5867" s="15" t="n">
        <f aca="false">B5867/Summary!$B$5-1</f>
        <v>0.287744428600504</v>
      </c>
    </row>
    <row r="5868" customFormat="false" ht="15" hidden="false" customHeight="false" outlineLevel="0" collapsed="false">
      <c r="A5868" s="0" t="n">
        <v>5867</v>
      </c>
      <c r="B5868" s="14" t="n">
        <v>127129.279176663</v>
      </c>
      <c r="C5868" s="15" t="n">
        <v>0.0693616325028759</v>
      </c>
      <c r="D5868" s="14" t="n">
        <f aca="false">Summary!$B$5-B5868</f>
        <v>-27129.2791766629</v>
      </c>
      <c r="E5868" s="15" t="n">
        <f aca="false">B5868/Summary!$B$5-1</f>
        <v>0.271292791766629</v>
      </c>
    </row>
    <row r="5869" customFormat="false" ht="15" hidden="false" customHeight="false" outlineLevel="0" collapsed="false">
      <c r="A5869" s="0" t="n">
        <v>5868</v>
      </c>
      <c r="B5869" s="14" t="n">
        <v>116948.232720862</v>
      </c>
      <c r="C5869" s="15" t="n">
        <v>0.0605850082893787</v>
      </c>
      <c r="D5869" s="14" t="n">
        <f aca="false">Summary!$B$5-B5869</f>
        <v>-16948.2327208616</v>
      </c>
      <c r="E5869" s="15" t="n">
        <f aca="false">B5869/Summary!$B$5-1</f>
        <v>0.169482327208616</v>
      </c>
    </row>
    <row r="5870" customFormat="false" ht="15" hidden="false" customHeight="false" outlineLevel="0" collapsed="false">
      <c r="A5870" s="0" t="n">
        <v>5869</v>
      </c>
      <c r="B5870" s="14" t="n">
        <v>116401.785174855</v>
      </c>
      <c r="C5870" s="15" t="n">
        <v>0.0680028324091734</v>
      </c>
      <c r="D5870" s="14" t="n">
        <f aca="false">Summary!$B$5-B5870</f>
        <v>-16401.7851748549</v>
      </c>
      <c r="E5870" s="15" t="n">
        <f aca="false">B5870/Summary!$B$5-1</f>
        <v>0.164017851748549</v>
      </c>
    </row>
    <row r="5871" customFormat="false" ht="15" hidden="false" customHeight="false" outlineLevel="0" collapsed="false">
      <c r="A5871" s="0" t="n">
        <v>5870</v>
      </c>
      <c r="B5871" s="14" t="n">
        <v>123177.9899613</v>
      </c>
      <c r="C5871" s="15" t="n">
        <v>0.069211095095168</v>
      </c>
      <c r="D5871" s="14" t="n">
        <f aca="false">Summary!$B$5-B5871</f>
        <v>-23177.9899613</v>
      </c>
      <c r="E5871" s="15" t="n">
        <f aca="false">B5871/Summary!$B$5-1</f>
        <v>0.231779899613</v>
      </c>
    </row>
    <row r="5872" customFormat="false" ht="15" hidden="false" customHeight="false" outlineLevel="0" collapsed="false">
      <c r="A5872" s="0" t="n">
        <v>5871</v>
      </c>
      <c r="B5872" s="14" t="n">
        <v>111788.518331138</v>
      </c>
      <c r="C5872" s="15" t="n">
        <v>0.0432874505941205</v>
      </c>
      <c r="D5872" s="14" t="n">
        <f aca="false">Summary!$B$5-B5872</f>
        <v>-11788.5183311375</v>
      </c>
      <c r="E5872" s="15" t="n">
        <f aca="false">B5872/Summary!$B$5-1</f>
        <v>0.117885183311375</v>
      </c>
    </row>
    <row r="5873" customFormat="false" ht="15" hidden="false" customHeight="false" outlineLevel="0" collapsed="false">
      <c r="A5873" s="0" t="n">
        <v>5872</v>
      </c>
      <c r="B5873" s="14" t="n">
        <v>109716.963767594</v>
      </c>
      <c r="C5873" s="15" t="n">
        <v>0.0578121537331534</v>
      </c>
      <c r="D5873" s="14" t="n">
        <f aca="false">Summary!$B$5-B5873</f>
        <v>-9716.9637675944</v>
      </c>
      <c r="E5873" s="15" t="n">
        <f aca="false">B5873/Summary!$B$5-1</f>
        <v>0.0971696376759439</v>
      </c>
    </row>
    <row r="5874" customFormat="false" ht="15" hidden="false" customHeight="false" outlineLevel="0" collapsed="false">
      <c r="A5874" s="0" t="n">
        <v>5873</v>
      </c>
      <c r="B5874" s="14" t="n">
        <v>108327.035007487</v>
      </c>
      <c r="C5874" s="15" t="n">
        <v>0.0722729511755695</v>
      </c>
      <c r="D5874" s="14" t="n">
        <f aca="false">Summary!$B$5-B5874</f>
        <v>-8327.03500748699</v>
      </c>
      <c r="E5874" s="15" t="n">
        <f aca="false">B5874/Summary!$B$5-1</f>
        <v>0.0832703500748699</v>
      </c>
    </row>
    <row r="5875" customFormat="false" ht="15" hidden="false" customHeight="false" outlineLevel="0" collapsed="false">
      <c r="A5875" s="0" t="n">
        <v>5874</v>
      </c>
      <c r="B5875" s="14" t="n">
        <v>108812.061823352</v>
      </c>
      <c r="C5875" s="15" t="n">
        <v>0.0795093702901286</v>
      </c>
      <c r="D5875" s="14" t="n">
        <f aca="false">Summary!$B$5-B5875</f>
        <v>-8812.06182335201</v>
      </c>
      <c r="E5875" s="15" t="n">
        <f aca="false">B5875/Summary!$B$5-1</f>
        <v>0.0881206182335201</v>
      </c>
    </row>
    <row r="5876" customFormat="false" ht="15" hidden="false" customHeight="false" outlineLevel="0" collapsed="false">
      <c r="A5876" s="0" t="n">
        <v>5875</v>
      </c>
      <c r="B5876" s="14" t="n">
        <v>80703.6936251926</v>
      </c>
      <c r="C5876" s="15" t="n">
        <v>0.202402115617991</v>
      </c>
      <c r="D5876" s="14" t="n">
        <f aca="false">Summary!$B$5-B5876</f>
        <v>19296.3063748074</v>
      </c>
      <c r="E5876" s="15" t="n">
        <f aca="false">B5876/Summary!$B$5-1</f>
        <v>-0.192963063748074</v>
      </c>
    </row>
    <row r="5877" customFormat="false" ht="15" hidden="false" customHeight="false" outlineLevel="0" collapsed="false">
      <c r="A5877" s="0" t="n">
        <v>5876</v>
      </c>
      <c r="B5877" s="14" t="n">
        <v>106433.042235355</v>
      </c>
      <c r="C5877" s="15" t="n">
        <v>0.0928498768032213</v>
      </c>
      <c r="D5877" s="14" t="n">
        <f aca="false">Summary!$B$5-B5877</f>
        <v>-6433.0422353554</v>
      </c>
      <c r="E5877" s="15" t="n">
        <f aca="false">B5877/Summary!$B$5-1</f>
        <v>0.0643304223535541</v>
      </c>
    </row>
    <row r="5878" customFormat="false" ht="15" hidden="false" customHeight="false" outlineLevel="0" collapsed="false">
      <c r="A5878" s="0" t="n">
        <v>5877</v>
      </c>
      <c r="B5878" s="14" t="n">
        <v>108104.624285691</v>
      </c>
      <c r="C5878" s="15" t="n">
        <v>0.10840120818177</v>
      </c>
      <c r="D5878" s="14" t="n">
        <f aca="false">Summary!$B$5-B5878</f>
        <v>-8104.6242856906</v>
      </c>
      <c r="E5878" s="15" t="n">
        <f aca="false">B5878/Summary!$B$5-1</f>
        <v>0.0810462428569061</v>
      </c>
    </row>
    <row r="5879" customFormat="false" ht="15" hidden="false" customHeight="false" outlineLevel="0" collapsed="false">
      <c r="A5879" s="0" t="n">
        <v>5878</v>
      </c>
      <c r="B5879" s="14" t="n">
        <v>94212.4844048497</v>
      </c>
      <c r="C5879" s="15" t="n">
        <v>0.143218577761605</v>
      </c>
      <c r="D5879" s="14" t="n">
        <f aca="false">Summary!$B$5-B5879</f>
        <v>5787.51559515036</v>
      </c>
      <c r="E5879" s="15" t="n">
        <f aca="false">B5879/Summary!$B$5-1</f>
        <v>-0.0578751559515035</v>
      </c>
    </row>
    <row r="5880" customFormat="false" ht="15" hidden="false" customHeight="false" outlineLevel="0" collapsed="false">
      <c r="A5880" s="0" t="n">
        <v>5879</v>
      </c>
      <c r="B5880" s="14" t="n">
        <v>122702.228898472</v>
      </c>
      <c r="C5880" s="15" t="n">
        <v>0.0908647027161911</v>
      </c>
      <c r="D5880" s="14" t="n">
        <f aca="false">Summary!$B$5-B5880</f>
        <v>-22702.2288984719</v>
      </c>
      <c r="E5880" s="15" t="n">
        <f aca="false">B5880/Summary!$B$5-1</f>
        <v>0.227022288984719</v>
      </c>
    </row>
    <row r="5881" customFormat="false" ht="15" hidden="false" customHeight="false" outlineLevel="0" collapsed="false">
      <c r="A5881" s="0" t="n">
        <v>5880</v>
      </c>
      <c r="B5881" s="14" t="n">
        <v>104303.902605851</v>
      </c>
      <c r="C5881" s="15" t="n">
        <v>0.0631494039238719</v>
      </c>
      <c r="D5881" s="14" t="n">
        <f aca="false">Summary!$B$5-B5881</f>
        <v>-4303.9026058512</v>
      </c>
      <c r="E5881" s="15" t="n">
        <f aca="false">B5881/Summary!$B$5-1</f>
        <v>0.0430390260585121</v>
      </c>
    </row>
    <row r="5882" customFormat="false" ht="15" hidden="false" customHeight="false" outlineLevel="0" collapsed="false">
      <c r="A5882" s="0" t="n">
        <v>5881</v>
      </c>
      <c r="B5882" s="14" t="n">
        <v>113816.332097989</v>
      </c>
      <c r="C5882" s="15" t="n">
        <v>0.103553278954691</v>
      </c>
      <c r="D5882" s="14" t="n">
        <f aca="false">Summary!$B$5-B5882</f>
        <v>-13816.3320979894</v>
      </c>
      <c r="E5882" s="15" t="n">
        <f aca="false">B5882/Summary!$B$5-1</f>
        <v>0.138163320979894</v>
      </c>
    </row>
    <row r="5883" customFormat="false" ht="15" hidden="false" customHeight="false" outlineLevel="0" collapsed="false">
      <c r="A5883" s="0" t="n">
        <v>5882</v>
      </c>
      <c r="B5883" s="14" t="n">
        <v>108543.606657341</v>
      </c>
      <c r="C5883" s="15" t="n">
        <v>0.115995758311647</v>
      </c>
      <c r="D5883" s="14" t="n">
        <f aca="false">Summary!$B$5-B5883</f>
        <v>-8543.6066573414</v>
      </c>
      <c r="E5883" s="15" t="n">
        <f aca="false">B5883/Summary!$B$5-1</f>
        <v>0.085436066573414</v>
      </c>
    </row>
    <row r="5884" customFormat="false" ht="15" hidden="false" customHeight="false" outlineLevel="0" collapsed="false">
      <c r="A5884" s="0" t="n">
        <v>5883</v>
      </c>
      <c r="B5884" s="14" t="n">
        <v>113980.882611979</v>
      </c>
      <c r="C5884" s="15" t="n">
        <v>0.0753214038461553</v>
      </c>
      <c r="D5884" s="14" t="n">
        <f aca="false">Summary!$B$5-B5884</f>
        <v>-13980.882611979</v>
      </c>
      <c r="E5884" s="15" t="n">
        <f aca="false">B5884/Summary!$B$5-1</f>
        <v>0.13980882611979</v>
      </c>
    </row>
    <row r="5885" customFormat="false" ht="15" hidden="false" customHeight="false" outlineLevel="0" collapsed="false">
      <c r="A5885" s="0" t="n">
        <v>5884</v>
      </c>
      <c r="B5885" s="14" t="n">
        <v>95595.3524899716</v>
      </c>
      <c r="C5885" s="15" t="n">
        <v>0.208975955725342</v>
      </c>
      <c r="D5885" s="14" t="n">
        <f aca="false">Summary!$B$5-B5885</f>
        <v>4404.6475100284</v>
      </c>
      <c r="E5885" s="15" t="n">
        <f aca="false">B5885/Summary!$B$5-1</f>
        <v>-0.044046475100284</v>
      </c>
    </row>
    <row r="5886" customFormat="false" ht="15" hidden="false" customHeight="false" outlineLevel="0" collapsed="false">
      <c r="A5886" s="0" t="n">
        <v>5885</v>
      </c>
      <c r="B5886" s="14" t="n">
        <v>114437.859886616</v>
      </c>
      <c r="C5886" s="15" t="n">
        <v>0.123928246429007</v>
      </c>
      <c r="D5886" s="14" t="n">
        <f aca="false">Summary!$B$5-B5886</f>
        <v>-14437.8598866161</v>
      </c>
      <c r="E5886" s="15" t="n">
        <f aca="false">B5886/Summary!$B$5-1</f>
        <v>0.144378598866161</v>
      </c>
    </row>
    <row r="5887" customFormat="false" ht="15" hidden="false" customHeight="false" outlineLevel="0" collapsed="false">
      <c r="A5887" s="0" t="n">
        <v>5886</v>
      </c>
      <c r="B5887" s="14" t="n">
        <v>118731.055941799</v>
      </c>
      <c r="C5887" s="15" t="n">
        <v>0.0818199387951327</v>
      </c>
      <c r="D5887" s="14" t="n">
        <f aca="false">Summary!$B$5-B5887</f>
        <v>-18731.055941799</v>
      </c>
      <c r="E5887" s="15" t="n">
        <f aca="false">B5887/Summary!$B$5-1</f>
        <v>0.18731055941799</v>
      </c>
    </row>
    <row r="5888" customFormat="false" ht="15" hidden="false" customHeight="false" outlineLevel="0" collapsed="false">
      <c r="A5888" s="0" t="n">
        <v>5887</v>
      </c>
      <c r="B5888" s="14" t="n">
        <v>116016.962871568</v>
      </c>
      <c r="C5888" s="15" t="n">
        <v>0.0941350661995652</v>
      </c>
      <c r="D5888" s="14" t="n">
        <f aca="false">Summary!$B$5-B5888</f>
        <v>-16016.9628715675</v>
      </c>
      <c r="E5888" s="15" t="n">
        <f aca="false">B5888/Summary!$B$5-1</f>
        <v>0.160169628715675</v>
      </c>
    </row>
    <row r="5889" customFormat="false" ht="15" hidden="false" customHeight="false" outlineLevel="0" collapsed="false">
      <c r="A5889" s="0" t="n">
        <v>5888</v>
      </c>
      <c r="B5889" s="14" t="n">
        <v>115102.961964933</v>
      </c>
      <c r="C5889" s="15" t="n">
        <v>0.0859381699762373</v>
      </c>
      <c r="D5889" s="14" t="n">
        <f aca="false">Summary!$B$5-B5889</f>
        <v>-15102.9619649327</v>
      </c>
      <c r="E5889" s="15" t="n">
        <f aca="false">B5889/Summary!$B$5-1</f>
        <v>0.151029619649327</v>
      </c>
    </row>
    <row r="5890" customFormat="false" ht="15" hidden="false" customHeight="false" outlineLevel="0" collapsed="false">
      <c r="A5890" s="0" t="n">
        <v>5889</v>
      </c>
      <c r="B5890" s="14" t="n">
        <v>119756.389203407</v>
      </c>
      <c r="C5890" s="15" t="n">
        <v>0.0564130385447506</v>
      </c>
      <c r="D5890" s="14" t="n">
        <f aca="false">Summary!$B$5-B5890</f>
        <v>-19756.3892034066</v>
      </c>
      <c r="E5890" s="15" t="n">
        <f aca="false">B5890/Summary!$B$5-1</f>
        <v>0.197563892034066</v>
      </c>
    </row>
    <row r="5891" customFormat="false" ht="15" hidden="false" customHeight="false" outlineLevel="0" collapsed="false">
      <c r="A5891" s="0" t="n">
        <v>5890</v>
      </c>
      <c r="B5891" s="14" t="n">
        <v>125191.193051351</v>
      </c>
      <c r="C5891" s="15" t="n">
        <v>0.0440900638690396</v>
      </c>
      <c r="D5891" s="14" t="n">
        <f aca="false">Summary!$B$5-B5891</f>
        <v>-25191.1930513511</v>
      </c>
      <c r="E5891" s="15" t="n">
        <f aca="false">B5891/Summary!$B$5-1</f>
        <v>0.251911930513511</v>
      </c>
    </row>
    <row r="5892" customFormat="false" ht="15" hidden="false" customHeight="false" outlineLevel="0" collapsed="false">
      <c r="A5892" s="0" t="n">
        <v>5891</v>
      </c>
      <c r="B5892" s="14" t="n">
        <v>118953.386097981</v>
      </c>
      <c r="C5892" s="15" t="n">
        <v>0.0854986774122599</v>
      </c>
      <c r="D5892" s="14" t="n">
        <f aca="false">Summary!$B$5-B5892</f>
        <v>-18953.386097981</v>
      </c>
      <c r="E5892" s="15" t="n">
        <f aca="false">B5892/Summary!$B$5-1</f>
        <v>0.18953386097981</v>
      </c>
    </row>
    <row r="5893" customFormat="false" ht="15" hidden="false" customHeight="false" outlineLevel="0" collapsed="false">
      <c r="A5893" s="0" t="n">
        <v>5892</v>
      </c>
      <c r="B5893" s="14" t="n">
        <v>104255.465517642</v>
      </c>
      <c r="C5893" s="15" t="n">
        <v>0.0948335975860066</v>
      </c>
      <c r="D5893" s="14" t="n">
        <f aca="false">Summary!$B$5-B5893</f>
        <v>-4255.4655176423</v>
      </c>
      <c r="E5893" s="15" t="n">
        <f aca="false">B5893/Summary!$B$5-1</f>
        <v>0.0425546551764229</v>
      </c>
    </row>
    <row r="5894" customFormat="false" ht="15" hidden="false" customHeight="false" outlineLevel="0" collapsed="false">
      <c r="A5894" s="0" t="n">
        <v>5893</v>
      </c>
      <c r="B5894" s="14" t="n">
        <v>93470.8081684104</v>
      </c>
      <c r="C5894" s="15" t="n">
        <v>0.139835625302008</v>
      </c>
      <c r="D5894" s="14" t="n">
        <f aca="false">Summary!$B$5-B5894</f>
        <v>6529.19183158959</v>
      </c>
      <c r="E5894" s="15" t="n">
        <f aca="false">B5894/Summary!$B$5-1</f>
        <v>-0.0652919183158959</v>
      </c>
    </row>
    <row r="5895" customFormat="false" ht="15" hidden="false" customHeight="false" outlineLevel="0" collapsed="false">
      <c r="A5895" s="0" t="n">
        <v>5894</v>
      </c>
      <c r="B5895" s="14" t="n">
        <v>122281.923477425</v>
      </c>
      <c r="C5895" s="15" t="n">
        <v>0.057088229945392</v>
      </c>
      <c r="D5895" s="14" t="n">
        <f aca="false">Summary!$B$5-B5895</f>
        <v>-22281.9234774254</v>
      </c>
      <c r="E5895" s="15" t="n">
        <f aca="false">B5895/Summary!$B$5-1</f>
        <v>0.222819234774254</v>
      </c>
    </row>
    <row r="5896" customFormat="false" ht="15" hidden="false" customHeight="false" outlineLevel="0" collapsed="false">
      <c r="A5896" s="0" t="n">
        <v>5895</v>
      </c>
      <c r="B5896" s="14" t="n">
        <v>98489.0957588613</v>
      </c>
      <c r="C5896" s="15" t="n">
        <v>0.109954020836989</v>
      </c>
      <c r="D5896" s="14" t="n">
        <f aca="false">Summary!$B$5-B5896</f>
        <v>1510.90424113866</v>
      </c>
      <c r="E5896" s="15" t="n">
        <f aca="false">B5896/Summary!$B$5-1</f>
        <v>-0.0151090424113867</v>
      </c>
    </row>
    <row r="5897" customFormat="false" ht="15" hidden="false" customHeight="false" outlineLevel="0" collapsed="false">
      <c r="A5897" s="0" t="n">
        <v>5896</v>
      </c>
      <c r="B5897" s="14" t="n">
        <v>100716.073854513</v>
      </c>
      <c r="C5897" s="15" t="n">
        <v>0.0708656441574034</v>
      </c>
      <c r="D5897" s="14" t="n">
        <f aca="false">Summary!$B$5-B5897</f>
        <v>-716.073854513001</v>
      </c>
      <c r="E5897" s="15" t="n">
        <f aca="false">B5897/Summary!$B$5-1</f>
        <v>0.00716073854513</v>
      </c>
    </row>
    <row r="5898" customFormat="false" ht="15" hidden="false" customHeight="false" outlineLevel="0" collapsed="false">
      <c r="A5898" s="0" t="n">
        <v>5897</v>
      </c>
      <c r="B5898" s="14" t="n">
        <v>101237.887396479</v>
      </c>
      <c r="C5898" s="15" t="n">
        <v>0.0921491024907984</v>
      </c>
      <c r="D5898" s="14" t="n">
        <f aca="false">Summary!$B$5-B5898</f>
        <v>-1237.8873964791</v>
      </c>
      <c r="E5898" s="15" t="n">
        <f aca="false">B5898/Summary!$B$5-1</f>
        <v>0.012378873964791</v>
      </c>
    </row>
    <row r="5899" customFormat="false" ht="15" hidden="false" customHeight="false" outlineLevel="0" collapsed="false">
      <c r="A5899" s="0" t="n">
        <v>5898</v>
      </c>
      <c r="B5899" s="14" t="n">
        <v>110058.030346583</v>
      </c>
      <c r="C5899" s="15" t="n">
        <v>0.0646349757209238</v>
      </c>
      <c r="D5899" s="14" t="n">
        <f aca="false">Summary!$B$5-B5899</f>
        <v>-10058.0303465827</v>
      </c>
      <c r="E5899" s="15" t="n">
        <f aca="false">B5899/Summary!$B$5-1</f>
        <v>0.100580303465827</v>
      </c>
    </row>
    <row r="5900" customFormat="false" ht="15" hidden="false" customHeight="false" outlineLevel="0" collapsed="false">
      <c r="A5900" s="0" t="n">
        <v>5899</v>
      </c>
      <c r="B5900" s="14" t="n">
        <v>106942.205799936</v>
      </c>
      <c r="C5900" s="15" t="n">
        <v>0.156326344051338</v>
      </c>
      <c r="D5900" s="14" t="n">
        <f aca="false">Summary!$B$5-B5900</f>
        <v>-6942.20579993579</v>
      </c>
      <c r="E5900" s="15" t="n">
        <f aca="false">B5900/Summary!$B$5-1</f>
        <v>0.0694220579993579</v>
      </c>
    </row>
    <row r="5901" customFormat="false" ht="15" hidden="false" customHeight="false" outlineLevel="0" collapsed="false">
      <c r="A5901" s="0" t="n">
        <v>5900</v>
      </c>
      <c r="B5901" s="14" t="n">
        <v>110920.269143044</v>
      </c>
      <c r="C5901" s="15" t="n">
        <v>0.108752961591994</v>
      </c>
      <c r="D5901" s="14" t="n">
        <f aca="false">Summary!$B$5-B5901</f>
        <v>-10920.2691430439</v>
      </c>
      <c r="E5901" s="15" t="n">
        <f aca="false">B5901/Summary!$B$5-1</f>
        <v>0.109202691430439</v>
      </c>
    </row>
    <row r="5902" customFormat="false" ht="15" hidden="false" customHeight="false" outlineLevel="0" collapsed="false">
      <c r="A5902" s="0" t="n">
        <v>5901</v>
      </c>
      <c r="B5902" s="14" t="n">
        <v>145873.290317699</v>
      </c>
      <c r="C5902" s="15" t="n">
        <v>0.0790099859913075</v>
      </c>
      <c r="D5902" s="14" t="n">
        <f aca="false">Summary!$B$5-B5902</f>
        <v>-45873.2903176986</v>
      </c>
      <c r="E5902" s="15" t="n">
        <f aca="false">B5902/Summary!$B$5-1</f>
        <v>0.458732903176986</v>
      </c>
    </row>
    <row r="5903" customFormat="false" ht="15" hidden="false" customHeight="false" outlineLevel="0" collapsed="false">
      <c r="A5903" s="0" t="n">
        <v>5902</v>
      </c>
      <c r="B5903" s="14" t="n">
        <v>122699.853432881</v>
      </c>
      <c r="C5903" s="15" t="n">
        <v>0.0633216060097844</v>
      </c>
      <c r="D5903" s="14" t="n">
        <f aca="false">Summary!$B$5-B5903</f>
        <v>-22699.8534328812</v>
      </c>
      <c r="E5903" s="15" t="n">
        <f aca="false">B5903/Summary!$B$5-1</f>
        <v>0.226998534328812</v>
      </c>
    </row>
    <row r="5904" customFormat="false" ht="15" hidden="false" customHeight="false" outlineLevel="0" collapsed="false">
      <c r="A5904" s="0" t="n">
        <v>5903</v>
      </c>
      <c r="B5904" s="14" t="n">
        <v>96380.4232883843</v>
      </c>
      <c r="C5904" s="15" t="n">
        <v>0.0976313986868416</v>
      </c>
      <c r="D5904" s="14" t="n">
        <f aca="false">Summary!$B$5-B5904</f>
        <v>3619.57671161566</v>
      </c>
      <c r="E5904" s="15" t="n">
        <f aca="false">B5904/Summary!$B$5-1</f>
        <v>-0.0361957671161567</v>
      </c>
    </row>
    <row r="5905" customFormat="false" ht="15" hidden="false" customHeight="false" outlineLevel="0" collapsed="false">
      <c r="A5905" s="0" t="n">
        <v>5904</v>
      </c>
      <c r="B5905" s="14" t="n">
        <v>111498.625292852</v>
      </c>
      <c r="C5905" s="15" t="n">
        <v>0.0887001752481041</v>
      </c>
      <c r="D5905" s="14" t="n">
        <f aca="false">Summary!$B$5-B5905</f>
        <v>-11498.6252928518</v>
      </c>
      <c r="E5905" s="15" t="n">
        <f aca="false">B5905/Summary!$B$5-1</f>
        <v>0.114986252928518</v>
      </c>
    </row>
    <row r="5906" customFormat="false" ht="15" hidden="false" customHeight="false" outlineLevel="0" collapsed="false">
      <c r="A5906" s="0" t="n">
        <v>5905</v>
      </c>
      <c r="B5906" s="14" t="n">
        <v>104664.473683761</v>
      </c>
      <c r="C5906" s="15" t="n">
        <v>0.0774638913058067</v>
      </c>
      <c r="D5906" s="14" t="n">
        <f aca="false">Summary!$B$5-B5906</f>
        <v>-4664.47368376081</v>
      </c>
      <c r="E5906" s="15" t="n">
        <f aca="false">B5906/Summary!$B$5-1</f>
        <v>0.0466447368376082</v>
      </c>
    </row>
    <row r="5907" customFormat="false" ht="15" hidden="false" customHeight="false" outlineLevel="0" collapsed="false">
      <c r="A5907" s="0" t="n">
        <v>5906</v>
      </c>
      <c r="B5907" s="14" t="n">
        <v>93479.4696520642</v>
      </c>
      <c r="C5907" s="15" t="n">
        <v>0.157743515419966</v>
      </c>
      <c r="D5907" s="14" t="n">
        <f aca="false">Summary!$B$5-B5907</f>
        <v>6520.53034793581</v>
      </c>
      <c r="E5907" s="15" t="n">
        <f aca="false">B5907/Summary!$B$5-1</f>
        <v>-0.0652053034793582</v>
      </c>
    </row>
    <row r="5908" customFormat="false" ht="15" hidden="false" customHeight="false" outlineLevel="0" collapsed="false">
      <c r="A5908" s="0" t="n">
        <v>5907</v>
      </c>
      <c r="B5908" s="14" t="n">
        <v>95582.4838452683</v>
      </c>
      <c r="C5908" s="15" t="n">
        <v>0.118318133568626</v>
      </c>
      <c r="D5908" s="14" t="n">
        <f aca="false">Summary!$B$5-B5908</f>
        <v>4417.51615473168</v>
      </c>
      <c r="E5908" s="15" t="n">
        <f aca="false">B5908/Summary!$B$5-1</f>
        <v>-0.0441751615473168</v>
      </c>
    </row>
    <row r="5909" customFormat="false" ht="15" hidden="false" customHeight="false" outlineLevel="0" collapsed="false">
      <c r="A5909" s="0" t="n">
        <v>5908</v>
      </c>
      <c r="B5909" s="14" t="n">
        <v>101146.690139385</v>
      </c>
      <c r="C5909" s="15" t="n">
        <v>0.0620005048968717</v>
      </c>
      <c r="D5909" s="14" t="n">
        <f aca="false">Summary!$B$5-B5909</f>
        <v>-1146.6901393851</v>
      </c>
      <c r="E5909" s="15" t="n">
        <f aca="false">B5909/Summary!$B$5-1</f>
        <v>0.0114669013938511</v>
      </c>
    </row>
    <row r="5910" customFormat="false" ht="15" hidden="false" customHeight="false" outlineLevel="0" collapsed="false">
      <c r="A5910" s="0" t="n">
        <v>5909</v>
      </c>
      <c r="B5910" s="14" t="n">
        <v>127010.018414013</v>
      </c>
      <c r="C5910" s="15" t="n">
        <v>0.0586225153501395</v>
      </c>
      <c r="D5910" s="14" t="n">
        <f aca="false">Summary!$B$5-B5910</f>
        <v>-27010.0184140126</v>
      </c>
      <c r="E5910" s="15" t="n">
        <f aca="false">B5910/Summary!$B$5-1</f>
        <v>0.270100184140126</v>
      </c>
    </row>
    <row r="5911" customFormat="false" ht="15" hidden="false" customHeight="false" outlineLevel="0" collapsed="false">
      <c r="A5911" s="0" t="n">
        <v>5910</v>
      </c>
      <c r="B5911" s="14" t="n">
        <v>135016.521239055</v>
      </c>
      <c r="C5911" s="15" t="n">
        <v>0.0624535770382725</v>
      </c>
      <c r="D5911" s="14" t="n">
        <f aca="false">Summary!$B$5-B5911</f>
        <v>-35016.5212390546</v>
      </c>
      <c r="E5911" s="15" t="n">
        <f aca="false">B5911/Summary!$B$5-1</f>
        <v>0.350165212390546</v>
      </c>
    </row>
    <row r="5912" customFormat="false" ht="15" hidden="false" customHeight="false" outlineLevel="0" collapsed="false">
      <c r="A5912" s="0" t="n">
        <v>5911</v>
      </c>
      <c r="B5912" s="14" t="n">
        <v>87525.858977742</v>
      </c>
      <c r="C5912" s="15" t="n">
        <v>0.180261601603987</v>
      </c>
      <c r="D5912" s="14" t="n">
        <f aca="false">Summary!$B$5-B5912</f>
        <v>12474.141022258</v>
      </c>
      <c r="E5912" s="15" t="n">
        <f aca="false">B5912/Summary!$B$5-1</f>
        <v>-0.12474141022258</v>
      </c>
    </row>
    <row r="5913" customFormat="false" ht="15" hidden="false" customHeight="false" outlineLevel="0" collapsed="false">
      <c r="A5913" s="0" t="n">
        <v>5912</v>
      </c>
      <c r="B5913" s="14" t="n">
        <v>113730.088433839</v>
      </c>
      <c r="C5913" s="15" t="n">
        <v>0.0982395042311138</v>
      </c>
      <c r="D5913" s="14" t="n">
        <f aca="false">Summary!$B$5-B5913</f>
        <v>-13730.0884338391</v>
      </c>
      <c r="E5913" s="15" t="n">
        <f aca="false">B5913/Summary!$B$5-1</f>
        <v>0.137300884338391</v>
      </c>
    </row>
    <row r="5914" customFormat="false" ht="15" hidden="false" customHeight="false" outlineLevel="0" collapsed="false">
      <c r="A5914" s="0" t="n">
        <v>5913</v>
      </c>
      <c r="B5914" s="14" t="n">
        <v>124100.126003406</v>
      </c>
      <c r="C5914" s="15" t="n">
        <v>0.060043945487021</v>
      </c>
      <c r="D5914" s="14" t="n">
        <f aca="false">Summary!$B$5-B5914</f>
        <v>-24100.126003406</v>
      </c>
      <c r="E5914" s="15" t="n">
        <f aca="false">B5914/Summary!$B$5-1</f>
        <v>0.24100126003406</v>
      </c>
    </row>
    <row r="5915" customFormat="false" ht="15" hidden="false" customHeight="false" outlineLevel="0" collapsed="false">
      <c r="A5915" s="0" t="n">
        <v>5914</v>
      </c>
      <c r="B5915" s="14" t="n">
        <v>104039.058947731</v>
      </c>
      <c r="C5915" s="15" t="n">
        <v>0.120910864904381</v>
      </c>
      <c r="D5915" s="14" t="n">
        <f aca="false">Summary!$B$5-B5915</f>
        <v>-4039.05894773141</v>
      </c>
      <c r="E5915" s="15" t="n">
        <f aca="false">B5915/Summary!$B$5-1</f>
        <v>0.040390589477314</v>
      </c>
    </row>
    <row r="5916" customFormat="false" ht="15" hidden="false" customHeight="false" outlineLevel="0" collapsed="false">
      <c r="A5916" s="0" t="n">
        <v>5915</v>
      </c>
      <c r="B5916" s="14" t="n">
        <v>121009.112338919</v>
      </c>
      <c r="C5916" s="15" t="n">
        <v>0.0590376763216494</v>
      </c>
      <c r="D5916" s="14" t="n">
        <f aca="false">Summary!$B$5-B5916</f>
        <v>-21009.1123389189</v>
      </c>
      <c r="E5916" s="15" t="n">
        <f aca="false">B5916/Summary!$B$5-1</f>
        <v>0.210091123389189</v>
      </c>
    </row>
    <row r="5917" customFormat="false" ht="15" hidden="false" customHeight="false" outlineLevel="0" collapsed="false">
      <c r="A5917" s="0" t="n">
        <v>5916</v>
      </c>
      <c r="B5917" s="14" t="n">
        <v>106201.945983922</v>
      </c>
      <c r="C5917" s="15" t="n">
        <v>0.068861007119062</v>
      </c>
      <c r="D5917" s="14" t="n">
        <f aca="false">Summary!$B$5-B5917</f>
        <v>-6201.9459839218</v>
      </c>
      <c r="E5917" s="15" t="n">
        <f aca="false">B5917/Summary!$B$5-1</f>
        <v>0.0620194598392181</v>
      </c>
    </row>
    <row r="5918" customFormat="false" ht="15" hidden="false" customHeight="false" outlineLevel="0" collapsed="false">
      <c r="A5918" s="0" t="n">
        <v>5917</v>
      </c>
      <c r="B5918" s="14" t="n">
        <v>90726.873534813</v>
      </c>
      <c r="C5918" s="15" t="n">
        <v>0.118507131379151</v>
      </c>
      <c r="D5918" s="14" t="n">
        <f aca="false">Summary!$B$5-B5918</f>
        <v>9273.12646518702</v>
      </c>
      <c r="E5918" s="15" t="n">
        <f aca="false">B5918/Summary!$B$5-1</f>
        <v>-0.0927312646518702</v>
      </c>
    </row>
    <row r="5919" customFormat="false" ht="15" hidden="false" customHeight="false" outlineLevel="0" collapsed="false">
      <c r="A5919" s="0" t="n">
        <v>5918</v>
      </c>
      <c r="B5919" s="14" t="n">
        <v>124110.788900269</v>
      </c>
      <c r="C5919" s="15" t="n">
        <v>0.0567499042379538</v>
      </c>
      <c r="D5919" s="14" t="n">
        <f aca="false">Summary!$B$5-B5919</f>
        <v>-24110.7889002685</v>
      </c>
      <c r="E5919" s="15" t="n">
        <f aca="false">B5919/Summary!$B$5-1</f>
        <v>0.241107889002685</v>
      </c>
    </row>
    <row r="5920" customFormat="false" ht="15" hidden="false" customHeight="false" outlineLevel="0" collapsed="false">
      <c r="A5920" s="0" t="n">
        <v>5919</v>
      </c>
      <c r="B5920" s="14" t="n">
        <v>95919.0596680145</v>
      </c>
      <c r="C5920" s="15" t="n">
        <v>0.144832331141932</v>
      </c>
      <c r="D5920" s="14" t="n">
        <f aca="false">Summary!$B$5-B5920</f>
        <v>4080.94033198548</v>
      </c>
      <c r="E5920" s="15" t="n">
        <f aca="false">B5920/Summary!$B$5-1</f>
        <v>-0.0408094033198547</v>
      </c>
    </row>
    <row r="5921" customFormat="false" ht="15" hidden="false" customHeight="false" outlineLevel="0" collapsed="false">
      <c r="A5921" s="0" t="n">
        <v>5920</v>
      </c>
      <c r="B5921" s="14" t="n">
        <v>104660.568226174</v>
      </c>
      <c r="C5921" s="15" t="n">
        <v>0.0735958376070885</v>
      </c>
      <c r="D5921" s="14" t="n">
        <f aca="false">Summary!$B$5-B5921</f>
        <v>-4660.56822617351</v>
      </c>
      <c r="E5921" s="15" t="n">
        <f aca="false">B5921/Summary!$B$5-1</f>
        <v>0.0466056822617351</v>
      </c>
    </row>
    <row r="5922" customFormat="false" ht="15" hidden="false" customHeight="false" outlineLevel="0" collapsed="false">
      <c r="A5922" s="0" t="n">
        <v>5921</v>
      </c>
      <c r="B5922" s="14" t="n">
        <v>128667.106375215</v>
      </c>
      <c r="C5922" s="15" t="n">
        <v>0.0585146293305856</v>
      </c>
      <c r="D5922" s="14" t="n">
        <f aca="false">Summary!$B$5-B5922</f>
        <v>-28667.1063752151</v>
      </c>
      <c r="E5922" s="15" t="n">
        <f aca="false">B5922/Summary!$B$5-1</f>
        <v>0.286671063752151</v>
      </c>
    </row>
    <row r="5923" customFormat="false" ht="15" hidden="false" customHeight="false" outlineLevel="0" collapsed="false">
      <c r="A5923" s="0" t="n">
        <v>5922</v>
      </c>
      <c r="B5923" s="14" t="n">
        <v>116031.239110244</v>
      </c>
      <c r="C5923" s="15" t="n">
        <v>0.0785898844170369</v>
      </c>
      <c r="D5923" s="14" t="n">
        <f aca="false">Summary!$B$5-B5923</f>
        <v>-16031.2391102436</v>
      </c>
      <c r="E5923" s="15" t="n">
        <f aca="false">B5923/Summary!$B$5-1</f>
        <v>0.160312391102436</v>
      </c>
    </row>
    <row r="5924" customFormat="false" ht="15" hidden="false" customHeight="false" outlineLevel="0" collapsed="false">
      <c r="A5924" s="0" t="n">
        <v>5923</v>
      </c>
      <c r="B5924" s="14" t="n">
        <v>101554.032598943</v>
      </c>
      <c r="C5924" s="15" t="n">
        <v>0.118687240357841</v>
      </c>
      <c r="D5924" s="14" t="n">
        <f aca="false">Summary!$B$5-B5924</f>
        <v>-1554.0325989431</v>
      </c>
      <c r="E5924" s="15" t="n">
        <f aca="false">B5924/Summary!$B$5-1</f>
        <v>0.0155403259894311</v>
      </c>
    </row>
    <row r="5925" customFormat="false" ht="15" hidden="false" customHeight="false" outlineLevel="0" collapsed="false">
      <c r="A5925" s="0" t="n">
        <v>5924</v>
      </c>
      <c r="B5925" s="14" t="n">
        <v>84005.5212506723</v>
      </c>
      <c r="C5925" s="15" t="n">
        <v>0.18378312735681</v>
      </c>
      <c r="D5925" s="14" t="n">
        <f aca="false">Summary!$B$5-B5925</f>
        <v>15994.4787493277</v>
      </c>
      <c r="E5925" s="15" t="n">
        <f aca="false">B5925/Summary!$B$5-1</f>
        <v>-0.159944787493277</v>
      </c>
    </row>
    <row r="5926" customFormat="false" ht="15" hidden="false" customHeight="false" outlineLevel="0" collapsed="false">
      <c r="A5926" s="0" t="n">
        <v>5925</v>
      </c>
      <c r="B5926" s="14" t="n">
        <v>132754.990105399</v>
      </c>
      <c r="C5926" s="15" t="n">
        <v>0.0582236512074339</v>
      </c>
      <c r="D5926" s="14" t="n">
        <f aca="false">Summary!$B$5-B5926</f>
        <v>-32754.9901053993</v>
      </c>
      <c r="E5926" s="15" t="n">
        <f aca="false">B5926/Summary!$B$5-1</f>
        <v>0.327549901053993</v>
      </c>
    </row>
    <row r="5927" customFormat="false" ht="15" hidden="false" customHeight="false" outlineLevel="0" collapsed="false">
      <c r="A5927" s="0" t="n">
        <v>5926</v>
      </c>
      <c r="B5927" s="14" t="n">
        <v>126017.636202185</v>
      </c>
      <c r="C5927" s="15" t="n">
        <v>0.046641778841077</v>
      </c>
      <c r="D5927" s="14" t="n">
        <f aca="false">Summary!$B$5-B5927</f>
        <v>-26017.636202185</v>
      </c>
      <c r="E5927" s="15" t="n">
        <f aca="false">B5927/Summary!$B$5-1</f>
        <v>0.26017636202185</v>
      </c>
    </row>
    <row r="5928" customFormat="false" ht="15" hidden="false" customHeight="false" outlineLevel="0" collapsed="false">
      <c r="A5928" s="0" t="n">
        <v>5927</v>
      </c>
      <c r="B5928" s="14" t="n">
        <v>111162.400090931</v>
      </c>
      <c r="C5928" s="15" t="n">
        <v>0.0708066962903697</v>
      </c>
      <c r="D5928" s="14" t="n">
        <f aca="false">Summary!$B$5-B5928</f>
        <v>-11162.4000909313</v>
      </c>
      <c r="E5928" s="15" t="n">
        <f aca="false">B5928/Summary!$B$5-1</f>
        <v>0.111624000909313</v>
      </c>
    </row>
    <row r="5929" customFormat="false" ht="15" hidden="false" customHeight="false" outlineLevel="0" collapsed="false">
      <c r="A5929" s="0" t="n">
        <v>5928</v>
      </c>
      <c r="B5929" s="14" t="n">
        <v>88891.1678523762</v>
      </c>
      <c r="C5929" s="15" t="n">
        <v>0.168204540082794</v>
      </c>
      <c r="D5929" s="14" t="n">
        <f aca="false">Summary!$B$5-B5929</f>
        <v>11108.8321476238</v>
      </c>
      <c r="E5929" s="15" t="n">
        <f aca="false">B5929/Summary!$B$5-1</f>
        <v>-0.111088321476238</v>
      </c>
    </row>
    <row r="5930" customFormat="false" ht="15" hidden="false" customHeight="false" outlineLevel="0" collapsed="false">
      <c r="A5930" s="0" t="n">
        <v>5929</v>
      </c>
      <c r="B5930" s="14" t="n">
        <v>97106.4253840944</v>
      </c>
      <c r="C5930" s="15" t="n">
        <v>0.106073556772727</v>
      </c>
      <c r="D5930" s="14" t="n">
        <f aca="false">Summary!$B$5-B5930</f>
        <v>2893.57461590556</v>
      </c>
      <c r="E5930" s="15" t="n">
        <f aca="false">B5930/Summary!$B$5-1</f>
        <v>-0.0289357461590556</v>
      </c>
    </row>
    <row r="5931" customFormat="false" ht="15" hidden="false" customHeight="false" outlineLevel="0" collapsed="false">
      <c r="A5931" s="0" t="n">
        <v>5930</v>
      </c>
      <c r="B5931" s="14" t="n">
        <v>123963.180360912</v>
      </c>
      <c r="C5931" s="15" t="n">
        <v>0.0857946970141356</v>
      </c>
      <c r="D5931" s="14" t="n">
        <f aca="false">Summary!$B$5-B5931</f>
        <v>-23963.1803609116</v>
      </c>
      <c r="E5931" s="15" t="n">
        <f aca="false">B5931/Summary!$B$5-1</f>
        <v>0.239631803609116</v>
      </c>
    </row>
    <row r="5932" customFormat="false" ht="15" hidden="false" customHeight="false" outlineLevel="0" collapsed="false">
      <c r="A5932" s="0" t="n">
        <v>5931</v>
      </c>
      <c r="B5932" s="14" t="n">
        <v>93093.7013445218</v>
      </c>
      <c r="C5932" s="15" t="n">
        <v>0.100513603185666</v>
      </c>
      <c r="D5932" s="14" t="n">
        <f aca="false">Summary!$B$5-B5932</f>
        <v>6906.29865547824</v>
      </c>
      <c r="E5932" s="15" t="n">
        <f aca="false">B5932/Summary!$B$5-1</f>
        <v>-0.0690629865547824</v>
      </c>
    </row>
    <row r="5933" customFormat="false" ht="15" hidden="false" customHeight="false" outlineLevel="0" collapsed="false">
      <c r="A5933" s="0" t="n">
        <v>5932</v>
      </c>
      <c r="B5933" s="14" t="n">
        <v>116057.879006639</v>
      </c>
      <c r="C5933" s="15" t="n">
        <v>0.0891008350594501</v>
      </c>
      <c r="D5933" s="14" t="n">
        <f aca="false">Summary!$B$5-B5933</f>
        <v>-16057.8790066388</v>
      </c>
      <c r="E5933" s="15" t="n">
        <f aca="false">B5933/Summary!$B$5-1</f>
        <v>0.160578790066388</v>
      </c>
    </row>
    <row r="5934" customFormat="false" ht="15" hidden="false" customHeight="false" outlineLevel="0" collapsed="false">
      <c r="A5934" s="0" t="n">
        <v>5933</v>
      </c>
      <c r="B5934" s="14" t="n">
        <v>102479.937036496</v>
      </c>
      <c r="C5934" s="15" t="n">
        <v>0.149301424352298</v>
      </c>
      <c r="D5934" s="14" t="n">
        <f aca="false">Summary!$B$5-B5934</f>
        <v>-2479.93703649619</v>
      </c>
      <c r="E5934" s="15" t="n">
        <f aca="false">B5934/Summary!$B$5-1</f>
        <v>0.024799370364962</v>
      </c>
    </row>
    <row r="5935" customFormat="false" ht="15" hidden="false" customHeight="false" outlineLevel="0" collapsed="false">
      <c r="A5935" s="0" t="n">
        <v>5934</v>
      </c>
      <c r="B5935" s="14" t="n">
        <v>95393.6879188389</v>
      </c>
      <c r="C5935" s="15" t="n">
        <v>0.0966697868497221</v>
      </c>
      <c r="D5935" s="14" t="n">
        <f aca="false">Summary!$B$5-B5935</f>
        <v>4606.31208116107</v>
      </c>
      <c r="E5935" s="15" t="n">
        <f aca="false">B5935/Summary!$B$5-1</f>
        <v>-0.0460631208116107</v>
      </c>
    </row>
    <row r="5936" customFormat="false" ht="15" hidden="false" customHeight="false" outlineLevel="0" collapsed="false">
      <c r="A5936" s="0" t="n">
        <v>5935</v>
      </c>
      <c r="B5936" s="14" t="n">
        <v>117714.194813435</v>
      </c>
      <c r="C5936" s="15" t="n">
        <v>0.065454814072517</v>
      </c>
      <c r="D5936" s="14" t="n">
        <f aca="false">Summary!$B$5-B5936</f>
        <v>-17714.1948134354</v>
      </c>
      <c r="E5936" s="15" t="n">
        <f aca="false">B5936/Summary!$B$5-1</f>
        <v>0.177141948134354</v>
      </c>
    </row>
    <row r="5937" customFormat="false" ht="15" hidden="false" customHeight="false" outlineLevel="0" collapsed="false">
      <c r="A5937" s="0" t="n">
        <v>5936</v>
      </c>
      <c r="B5937" s="14" t="n">
        <v>125096.152973707</v>
      </c>
      <c r="C5937" s="15" t="n">
        <v>0.0779189887483275</v>
      </c>
      <c r="D5937" s="14" t="n">
        <f aca="false">Summary!$B$5-B5937</f>
        <v>-25096.1529737073</v>
      </c>
      <c r="E5937" s="15" t="n">
        <f aca="false">B5937/Summary!$B$5-1</f>
        <v>0.250961529737073</v>
      </c>
    </row>
    <row r="5938" customFormat="false" ht="15" hidden="false" customHeight="false" outlineLevel="0" collapsed="false">
      <c r="A5938" s="0" t="n">
        <v>5937</v>
      </c>
      <c r="B5938" s="14" t="n">
        <v>111945.681235239</v>
      </c>
      <c r="C5938" s="15" t="n">
        <v>0.145947993838354</v>
      </c>
      <c r="D5938" s="14" t="n">
        <f aca="false">Summary!$B$5-B5938</f>
        <v>-11945.6812352386</v>
      </c>
      <c r="E5938" s="15" t="n">
        <f aca="false">B5938/Summary!$B$5-1</f>
        <v>0.119456812352386</v>
      </c>
    </row>
    <row r="5939" customFormat="false" ht="15" hidden="false" customHeight="false" outlineLevel="0" collapsed="false">
      <c r="A5939" s="0" t="n">
        <v>5938</v>
      </c>
      <c r="B5939" s="14" t="n">
        <v>105009.042322004</v>
      </c>
      <c r="C5939" s="15" t="n">
        <v>0.0553408835049617</v>
      </c>
      <c r="D5939" s="14" t="n">
        <f aca="false">Summary!$B$5-B5939</f>
        <v>-5009.0423220044</v>
      </c>
      <c r="E5939" s="15" t="n">
        <f aca="false">B5939/Summary!$B$5-1</f>
        <v>0.0500904232200441</v>
      </c>
    </row>
    <row r="5940" customFormat="false" ht="15" hidden="false" customHeight="false" outlineLevel="0" collapsed="false">
      <c r="A5940" s="0" t="n">
        <v>5939</v>
      </c>
      <c r="B5940" s="14" t="n">
        <v>103789.927401386</v>
      </c>
      <c r="C5940" s="15" t="n">
        <v>0.0896985865198183</v>
      </c>
      <c r="D5940" s="14" t="n">
        <f aca="false">Summary!$B$5-B5940</f>
        <v>-3789.9274013863</v>
      </c>
      <c r="E5940" s="15" t="n">
        <f aca="false">B5940/Summary!$B$5-1</f>
        <v>0.0378992740138631</v>
      </c>
    </row>
    <row r="5941" customFormat="false" ht="15" hidden="false" customHeight="false" outlineLevel="0" collapsed="false">
      <c r="A5941" s="0" t="n">
        <v>5940</v>
      </c>
      <c r="B5941" s="14" t="n">
        <v>96761.8232637883</v>
      </c>
      <c r="C5941" s="15" t="n">
        <v>0.121568424717701</v>
      </c>
      <c r="D5941" s="14" t="n">
        <f aca="false">Summary!$B$5-B5941</f>
        <v>3238.17673621167</v>
      </c>
      <c r="E5941" s="15" t="n">
        <f aca="false">B5941/Summary!$B$5-1</f>
        <v>-0.0323817673621166</v>
      </c>
    </row>
    <row r="5942" customFormat="false" ht="15" hidden="false" customHeight="false" outlineLevel="0" collapsed="false">
      <c r="A5942" s="0" t="n">
        <v>5941</v>
      </c>
      <c r="B5942" s="14" t="n">
        <v>121091.115242211</v>
      </c>
      <c r="C5942" s="15" t="n">
        <v>0.0469234067418496</v>
      </c>
      <c r="D5942" s="14" t="n">
        <f aca="false">Summary!$B$5-B5942</f>
        <v>-21091.1152422107</v>
      </c>
      <c r="E5942" s="15" t="n">
        <f aca="false">B5942/Summary!$B$5-1</f>
        <v>0.210911152422107</v>
      </c>
    </row>
    <row r="5943" customFormat="false" ht="15" hidden="false" customHeight="false" outlineLevel="0" collapsed="false">
      <c r="A5943" s="0" t="n">
        <v>5942</v>
      </c>
      <c r="B5943" s="14" t="n">
        <v>126670.817819413</v>
      </c>
      <c r="C5943" s="15" t="n">
        <v>0.0785230642090361</v>
      </c>
      <c r="D5943" s="14" t="n">
        <f aca="false">Summary!$B$5-B5943</f>
        <v>-26670.8178194132</v>
      </c>
      <c r="E5943" s="15" t="n">
        <f aca="false">B5943/Summary!$B$5-1</f>
        <v>0.266708178194132</v>
      </c>
    </row>
    <row r="5944" customFormat="false" ht="15" hidden="false" customHeight="false" outlineLevel="0" collapsed="false">
      <c r="A5944" s="0" t="n">
        <v>5943</v>
      </c>
      <c r="B5944" s="14" t="n">
        <v>92899.612167166</v>
      </c>
      <c r="C5944" s="15" t="n">
        <v>0.123774859781668</v>
      </c>
      <c r="D5944" s="14" t="n">
        <f aca="false">Summary!$B$5-B5944</f>
        <v>7100.38783283401</v>
      </c>
      <c r="E5944" s="15" t="n">
        <f aca="false">B5944/Summary!$B$5-1</f>
        <v>-0.0710038783283401</v>
      </c>
    </row>
    <row r="5945" customFormat="false" ht="15" hidden="false" customHeight="false" outlineLevel="0" collapsed="false">
      <c r="A5945" s="0" t="n">
        <v>5944</v>
      </c>
      <c r="B5945" s="14" t="n">
        <v>126176.300642975</v>
      </c>
      <c r="C5945" s="15" t="n">
        <v>0.0554443083799611</v>
      </c>
      <c r="D5945" s="14" t="n">
        <f aca="false">Summary!$B$5-B5945</f>
        <v>-26176.3006429747</v>
      </c>
      <c r="E5945" s="15" t="n">
        <f aca="false">B5945/Summary!$B$5-1</f>
        <v>0.261763006429747</v>
      </c>
    </row>
    <row r="5946" customFormat="false" ht="15" hidden="false" customHeight="false" outlineLevel="0" collapsed="false">
      <c r="A5946" s="0" t="n">
        <v>5945</v>
      </c>
      <c r="B5946" s="14" t="n">
        <v>105540.33684971</v>
      </c>
      <c r="C5946" s="15" t="n">
        <v>0.0968796444639125</v>
      </c>
      <c r="D5946" s="14" t="n">
        <f aca="false">Summary!$B$5-B5946</f>
        <v>-5540.3368497104</v>
      </c>
      <c r="E5946" s="15" t="n">
        <f aca="false">B5946/Summary!$B$5-1</f>
        <v>0.055403368497104</v>
      </c>
    </row>
    <row r="5947" customFormat="false" ht="15" hidden="false" customHeight="false" outlineLevel="0" collapsed="false">
      <c r="A5947" s="0" t="n">
        <v>5946</v>
      </c>
      <c r="B5947" s="14" t="n">
        <v>96286.5183576966</v>
      </c>
      <c r="C5947" s="15" t="n">
        <v>0.123171956777176</v>
      </c>
      <c r="D5947" s="14" t="n">
        <f aca="false">Summary!$B$5-B5947</f>
        <v>3713.48164230344</v>
      </c>
      <c r="E5947" s="15" t="n">
        <f aca="false">B5947/Summary!$B$5-1</f>
        <v>-0.0371348164230344</v>
      </c>
    </row>
    <row r="5948" customFormat="false" ht="15" hidden="false" customHeight="false" outlineLevel="0" collapsed="false">
      <c r="A5948" s="0" t="n">
        <v>5947</v>
      </c>
      <c r="B5948" s="14" t="n">
        <v>111396.261330844</v>
      </c>
      <c r="C5948" s="15" t="n">
        <v>0.063473332433869</v>
      </c>
      <c r="D5948" s="14" t="n">
        <f aca="false">Summary!$B$5-B5948</f>
        <v>-11396.2613308442</v>
      </c>
      <c r="E5948" s="15" t="n">
        <f aca="false">B5948/Summary!$B$5-1</f>
        <v>0.113962613308442</v>
      </c>
    </row>
    <row r="5949" customFormat="false" ht="15" hidden="false" customHeight="false" outlineLevel="0" collapsed="false">
      <c r="A5949" s="0" t="n">
        <v>5948</v>
      </c>
      <c r="B5949" s="14" t="n">
        <v>95729.0250723286</v>
      </c>
      <c r="C5949" s="15" t="n">
        <v>0.171366697143513</v>
      </c>
      <c r="D5949" s="14" t="n">
        <f aca="false">Summary!$B$5-B5949</f>
        <v>4270.97492767141</v>
      </c>
      <c r="E5949" s="15" t="n">
        <f aca="false">B5949/Summary!$B$5-1</f>
        <v>-0.0427097492767141</v>
      </c>
    </row>
    <row r="5950" customFormat="false" ht="15" hidden="false" customHeight="false" outlineLevel="0" collapsed="false">
      <c r="A5950" s="0" t="n">
        <v>5949</v>
      </c>
      <c r="B5950" s="14" t="n">
        <v>123480.735691698</v>
      </c>
      <c r="C5950" s="15" t="n">
        <v>0.0674293200327666</v>
      </c>
      <c r="D5950" s="14" t="n">
        <f aca="false">Summary!$B$5-B5950</f>
        <v>-23480.735691698</v>
      </c>
      <c r="E5950" s="15" t="n">
        <f aca="false">B5950/Summary!$B$5-1</f>
        <v>0.23480735691698</v>
      </c>
    </row>
    <row r="5951" customFormat="false" ht="15" hidden="false" customHeight="false" outlineLevel="0" collapsed="false">
      <c r="A5951" s="0" t="n">
        <v>5950</v>
      </c>
      <c r="B5951" s="14" t="n">
        <v>98147.2616911301</v>
      </c>
      <c r="C5951" s="15" t="n">
        <v>0.0819322809109647</v>
      </c>
      <c r="D5951" s="14" t="n">
        <f aca="false">Summary!$B$5-B5951</f>
        <v>1852.73830886986</v>
      </c>
      <c r="E5951" s="15" t="n">
        <f aca="false">B5951/Summary!$B$5-1</f>
        <v>-0.0185273830886985</v>
      </c>
    </row>
    <row r="5952" customFormat="false" ht="15" hidden="false" customHeight="false" outlineLevel="0" collapsed="false">
      <c r="A5952" s="0" t="n">
        <v>5951</v>
      </c>
      <c r="B5952" s="14" t="n">
        <v>120242.138070507</v>
      </c>
      <c r="C5952" s="15" t="n">
        <v>0.0810065388776728</v>
      </c>
      <c r="D5952" s="14" t="n">
        <f aca="false">Summary!$B$5-B5952</f>
        <v>-20242.1380705071</v>
      </c>
      <c r="E5952" s="15" t="n">
        <f aca="false">B5952/Summary!$B$5-1</f>
        <v>0.202421380705071</v>
      </c>
    </row>
    <row r="5953" customFormat="false" ht="15" hidden="false" customHeight="false" outlineLevel="0" collapsed="false">
      <c r="A5953" s="0" t="n">
        <v>5952</v>
      </c>
      <c r="B5953" s="14" t="n">
        <v>103642.569476085</v>
      </c>
      <c r="C5953" s="15" t="n">
        <v>0.0574251918084501</v>
      </c>
      <c r="D5953" s="14" t="n">
        <f aca="false">Summary!$B$5-B5953</f>
        <v>-3642.5694760851</v>
      </c>
      <c r="E5953" s="15" t="n">
        <f aca="false">B5953/Summary!$B$5-1</f>
        <v>0.036425694760851</v>
      </c>
    </row>
    <row r="5954" customFormat="false" ht="15" hidden="false" customHeight="false" outlineLevel="0" collapsed="false">
      <c r="A5954" s="0" t="n">
        <v>5953</v>
      </c>
      <c r="B5954" s="14" t="n">
        <v>90086.8606199908</v>
      </c>
      <c r="C5954" s="15" t="n">
        <v>0.157613070980181</v>
      </c>
      <c r="D5954" s="14" t="n">
        <f aca="false">Summary!$B$5-B5954</f>
        <v>9913.13938000925</v>
      </c>
      <c r="E5954" s="15" t="n">
        <f aca="false">B5954/Summary!$B$5-1</f>
        <v>-0.0991313938000925</v>
      </c>
    </row>
    <row r="5955" customFormat="false" ht="15" hidden="false" customHeight="false" outlineLevel="0" collapsed="false">
      <c r="A5955" s="0" t="n">
        <v>5954</v>
      </c>
      <c r="B5955" s="14" t="n">
        <v>77214.4580646079</v>
      </c>
      <c r="C5955" s="15" t="n">
        <v>0.227855419353921</v>
      </c>
      <c r="D5955" s="14" t="n">
        <f aca="false">Summary!$B$5-B5955</f>
        <v>22785.5419353921</v>
      </c>
      <c r="E5955" s="15" t="n">
        <f aca="false">B5955/Summary!$B$5-1</f>
        <v>-0.227855419353921</v>
      </c>
    </row>
    <row r="5956" customFormat="false" ht="15" hidden="false" customHeight="false" outlineLevel="0" collapsed="false">
      <c r="A5956" s="0" t="n">
        <v>5955</v>
      </c>
      <c r="B5956" s="14" t="n">
        <v>100669.598925504</v>
      </c>
      <c r="C5956" s="15" t="n">
        <v>0.128165270067314</v>
      </c>
      <c r="D5956" s="14" t="n">
        <f aca="false">Summary!$B$5-B5956</f>
        <v>-669.598925504004</v>
      </c>
      <c r="E5956" s="15" t="n">
        <f aca="false">B5956/Summary!$B$5-1</f>
        <v>0.00669598925504</v>
      </c>
    </row>
    <row r="5957" customFormat="false" ht="15" hidden="false" customHeight="false" outlineLevel="0" collapsed="false">
      <c r="A5957" s="0" t="n">
        <v>5956</v>
      </c>
      <c r="B5957" s="14" t="n">
        <v>109003.771576558</v>
      </c>
      <c r="C5957" s="15" t="n">
        <v>0.0862178498396107</v>
      </c>
      <c r="D5957" s="14" t="n">
        <f aca="false">Summary!$B$5-B5957</f>
        <v>-9003.77157655801</v>
      </c>
      <c r="E5957" s="15" t="n">
        <f aca="false">B5957/Summary!$B$5-1</f>
        <v>0.0900377157655801</v>
      </c>
    </row>
    <row r="5958" customFormat="false" ht="15" hidden="false" customHeight="false" outlineLevel="0" collapsed="false">
      <c r="A5958" s="0" t="n">
        <v>5957</v>
      </c>
      <c r="B5958" s="14" t="n">
        <v>109508.051183331</v>
      </c>
      <c r="C5958" s="15" t="n">
        <v>0.0617204459768063</v>
      </c>
      <c r="D5958" s="14" t="n">
        <f aca="false">Summary!$B$5-B5958</f>
        <v>-9508.0511833311</v>
      </c>
      <c r="E5958" s="15" t="n">
        <f aca="false">B5958/Summary!$B$5-1</f>
        <v>0.0950805118333111</v>
      </c>
    </row>
    <row r="5959" customFormat="false" ht="15" hidden="false" customHeight="false" outlineLevel="0" collapsed="false">
      <c r="A5959" s="0" t="n">
        <v>5958</v>
      </c>
      <c r="B5959" s="14" t="n">
        <v>100840.019833673</v>
      </c>
      <c r="C5959" s="15" t="n">
        <v>0.159822861178017</v>
      </c>
      <c r="D5959" s="14" t="n">
        <f aca="false">Summary!$B$5-B5959</f>
        <v>-840.019833672603</v>
      </c>
      <c r="E5959" s="15" t="n">
        <f aca="false">B5959/Summary!$B$5-1</f>
        <v>0.00840019833672612</v>
      </c>
    </row>
    <row r="5960" customFormat="false" ht="15" hidden="false" customHeight="false" outlineLevel="0" collapsed="false">
      <c r="A5960" s="0" t="n">
        <v>5959</v>
      </c>
      <c r="B5960" s="14" t="n">
        <v>111615.586352937</v>
      </c>
      <c r="C5960" s="15" t="n">
        <v>0.116821403748359</v>
      </c>
      <c r="D5960" s="14" t="n">
        <f aca="false">Summary!$B$5-B5960</f>
        <v>-11615.5863529365</v>
      </c>
      <c r="E5960" s="15" t="n">
        <f aca="false">B5960/Summary!$B$5-1</f>
        <v>0.116155863529365</v>
      </c>
    </row>
    <row r="5961" customFormat="false" ht="15" hidden="false" customHeight="false" outlineLevel="0" collapsed="false">
      <c r="A5961" s="0" t="n">
        <v>5960</v>
      </c>
      <c r="B5961" s="14" t="n">
        <v>87363.3835950092</v>
      </c>
      <c r="C5961" s="15" t="n">
        <v>0.170292338751766</v>
      </c>
      <c r="D5961" s="14" t="n">
        <f aca="false">Summary!$B$5-B5961</f>
        <v>12636.6164049908</v>
      </c>
      <c r="E5961" s="15" t="n">
        <f aca="false">B5961/Summary!$B$5-1</f>
        <v>-0.126366164049908</v>
      </c>
    </row>
    <row r="5962" customFormat="false" ht="15" hidden="false" customHeight="false" outlineLevel="0" collapsed="false">
      <c r="A5962" s="0" t="n">
        <v>5961</v>
      </c>
      <c r="B5962" s="14" t="n">
        <v>112579.74664432</v>
      </c>
      <c r="C5962" s="15" t="n">
        <v>0.0902951193552888</v>
      </c>
      <c r="D5962" s="14" t="n">
        <f aca="false">Summary!$B$5-B5962</f>
        <v>-12579.7466443197</v>
      </c>
      <c r="E5962" s="15" t="n">
        <f aca="false">B5962/Summary!$B$5-1</f>
        <v>0.125797466443197</v>
      </c>
    </row>
    <row r="5963" customFormat="false" ht="15" hidden="false" customHeight="false" outlineLevel="0" collapsed="false">
      <c r="A5963" s="0" t="n">
        <v>5962</v>
      </c>
      <c r="B5963" s="14" t="n">
        <v>117466.20101413</v>
      </c>
      <c r="C5963" s="15" t="n">
        <v>0.0603869406850532</v>
      </c>
      <c r="D5963" s="14" t="n">
        <f aca="false">Summary!$B$5-B5963</f>
        <v>-17466.2010141303</v>
      </c>
      <c r="E5963" s="15" t="n">
        <f aca="false">B5963/Summary!$B$5-1</f>
        <v>0.174662010141303</v>
      </c>
    </row>
    <row r="5964" customFormat="false" ht="15" hidden="false" customHeight="false" outlineLevel="0" collapsed="false">
      <c r="A5964" s="0" t="n">
        <v>5963</v>
      </c>
      <c r="B5964" s="14" t="n">
        <v>121013.929234469</v>
      </c>
      <c r="C5964" s="15" t="n">
        <v>0.0696013696678187</v>
      </c>
      <c r="D5964" s="14" t="n">
        <f aca="false">Summary!$B$5-B5964</f>
        <v>-21013.9292344689</v>
      </c>
      <c r="E5964" s="15" t="n">
        <f aca="false">B5964/Summary!$B$5-1</f>
        <v>0.210139292344689</v>
      </c>
    </row>
    <row r="5965" customFormat="false" ht="15" hidden="false" customHeight="false" outlineLevel="0" collapsed="false">
      <c r="A5965" s="0" t="n">
        <v>5964</v>
      </c>
      <c r="B5965" s="14" t="n">
        <v>107082.567132853</v>
      </c>
      <c r="C5965" s="15" t="n">
        <v>0.0861195846582519</v>
      </c>
      <c r="D5965" s="14" t="n">
        <f aca="false">Summary!$B$5-B5965</f>
        <v>-7082.5671328528</v>
      </c>
      <c r="E5965" s="15" t="n">
        <f aca="false">B5965/Summary!$B$5-1</f>
        <v>0.070825671328528</v>
      </c>
    </row>
    <row r="5966" customFormat="false" ht="15" hidden="false" customHeight="false" outlineLevel="0" collapsed="false">
      <c r="A5966" s="0" t="n">
        <v>5965</v>
      </c>
      <c r="B5966" s="14" t="n">
        <v>109007.396301903</v>
      </c>
      <c r="C5966" s="15" t="n">
        <v>0.0541599292083974</v>
      </c>
      <c r="D5966" s="14" t="n">
        <f aca="false">Summary!$B$5-B5966</f>
        <v>-9007.39630190319</v>
      </c>
      <c r="E5966" s="15" t="n">
        <f aca="false">B5966/Summary!$B$5-1</f>
        <v>0.0900739630190319</v>
      </c>
    </row>
    <row r="5967" customFormat="false" ht="15" hidden="false" customHeight="false" outlineLevel="0" collapsed="false">
      <c r="A5967" s="0" t="n">
        <v>5966</v>
      </c>
      <c r="B5967" s="14" t="n">
        <v>113940.549484195</v>
      </c>
      <c r="C5967" s="15" t="n">
        <v>0.0576198980143594</v>
      </c>
      <c r="D5967" s="14" t="n">
        <f aca="false">Summary!$B$5-B5967</f>
        <v>-13940.5494841952</v>
      </c>
      <c r="E5967" s="15" t="n">
        <f aca="false">B5967/Summary!$B$5-1</f>
        <v>0.139405494841952</v>
      </c>
    </row>
    <row r="5968" customFormat="false" ht="15" hidden="false" customHeight="false" outlineLevel="0" collapsed="false">
      <c r="A5968" s="0" t="n">
        <v>5967</v>
      </c>
      <c r="B5968" s="14" t="n">
        <v>117746.454906792</v>
      </c>
      <c r="C5968" s="15" t="n">
        <v>0.0931564891733505</v>
      </c>
      <c r="D5968" s="14" t="n">
        <f aca="false">Summary!$B$5-B5968</f>
        <v>-17746.4549067924</v>
      </c>
      <c r="E5968" s="15" t="n">
        <f aca="false">B5968/Summary!$B$5-1</f>
        <v>0.177464549067924</v>
      </c>
    </row>
    <row r="5969" customFormat="false" ht="15" hidden="false" customHeight="false" outlineLevel="0" collapsed="false">
      <c r="A5969" s="0" t="n">
        <v>5968</v>
      </c>
      <c r="B5969" s="14" t="n">
        <v>122571.383016619</v>
      </c>
      <c r="C5969" s="15" t="n">
        <v>0.0912501594676662</v>
      </c>
      <c r="D5969" s="14" t="n">
        <f aca="false">Summary!$B$5-B5969</f>
        <v>-22571.3830166189</v>
      </c>
      <c r="E5969" s="15" t="n">
        <f aca="false">B5969/Summary!$B$5-1</f>
        <v>0.225713830166189</v>
      </c>
    </row>
    <row r="5970" customFormat="false" ht="15" hidden="false" customHeight="false" outlineLevel="0" collapsed="false">
      <c r="A5970" s="0" t="n">
        <v>5969</v>
      </c>
      <c r="B5970" s="14" t="n">
        <v>113793.905777459</v>
      </c>
      <c r="C5970" s="15" t="n">
        <v>0.0867504721824083</v>
      </c>
      <c r="D5970" s="14" t="n">
        <f aca="false">Summary!$B$5-B5970</f>
        <v>-13793.9057774588</v>
      </c>
      <c r="E5970" s="15" t="n">
        <f aca="false">B5970/Summary!$B$5-1</f>
        <v>0.137939057774588</v>
      </c>
    </row>
    <row r="5971" customFormat="false" ht="15" hidden="false" customHeight="false" outlineLevel="0" collapsed="false">
      <c r="A5971" s="0" t="n">
        <v>5970</v>
      </c>
      <c r="B5971" s="14" t="n">
        <v>107802.146689734</v>
      </c>
      <c r="C5971" s="15" t="n">
        <v>0.128546630007554</v>
      </c>
      <c r="D5971" s="14" t="n">
        <f aca="false">Summary!$B$5-B5971</f>
        <v>-7802.1466897338</v>
      </c>
      <c r="E5971" s="15" t="n">
        <f aca="false">B5971/Summary!$B$5-1</f>
        <v>0.078021466897338</v>
      </c>
    </row>
    <row r="5972" customFormat="false" ht="15" hidden="false" customHeight="false" outlineLevel="0" collapsed="false">
      <c r="A5972" s="0" t="n">
        <v>5971</v>
      </c>
      <c r="B5972" s="14" t="n">
        <v>127884.662529322</v>
      </c>
      <c r="C5972" s="15" t="n">
        <v>0.0699921636343237</v>
      </c>
      <c r="D5972" s="14" t="n">
        <f aca="false">Summary!$B$5-B5972</f>
        <v>-27884.6625293215</v>
      </c>
      <c r="E5972" s="15" t="n">
        <f aca="false">B5972/Summary!$B$5-1</f>
        <v>0.278846625293215</v>
      </c>
    </row>
    <row r="5973" customFormat="false" ht="15" hidden="false" customHeight="false" outlineLevel="0" collapsed="false">
      <c r="A5973" s="0" t="n">
        <v>5972</v>
      </c>
      <c r="B5973" s="14" t="n">
        <v>95127.8416799096</v>
      </c>
      <c r="C5973" s="15" t="n">
        <v>0.161567764283007</v>
      </c>
      <c r="D5973" s="14" t="n">
        <f aca="false">Summary!$B$5-B5973</f>
        <v>4872.15832009041</v>
      </c>
      <c r="E5973" s="15" t="n">
        <f aca="false">B5973/Summary!$B$5-1</f>
        <v>-0.0487215832009041</v>
      </c>
    </row>
    <row r="5974" customFormat="false" ht="15" hidden="false" customHeight="false" outlineLevel="0" collapsed="false">
      <c r="A5974" s="0" t="n">
        <v>5973</v>
      </c>
      <c r="B5974" s="14" t="n">
        <v>100636.630928202</v>
      </c>
      <c r="C5974" s="15" t="n">
        <v>0.0866004160293505</v>
      </c>
      <c r="D5974" s="14" t="n">
        <f aca="false">Summary!$B$5-B5974</f>
        <v>-636.630928201601</v>
      </c>
      <c r="E5974" s="15" t="n">
        <f aca="false">B5974/Summary!$B$5-1</f>
        <v>0.00636630928201609</v>
      </c>
    </row>
    <row r="5975" customFormat="false" ht="15" hidden="false" customHeight="false" outlineLevel="0" collapsed="false">
      <c r="A5975" s="0" t="n">
        <v>5974</v>
      </c>
      <c r="B5975" s="14" t="n">
        <v>123808.837807789</v>
      </c>
      <c r="C5975" s="15" t="n">
        <v>0.0547265239877257</v>
      </c>
      <c r="D5975" s="14" t="n">
        <f aca="false">Summary!$B$5-B5975</f>
        <v>-23808.8378077888</v>
      </c>
      <c r="E5975" s="15" t="n">
        <f aca="false">B5975/Summary!$B$5-1</f>
        <v>0.238088378077888</v>
      </c>
    </row>
    <row r="5976" customFormat="false" ht="15" hidden="false" customHeight="false" outlineLevel="0" collapsed="false">
      <c r="A5976" s="0" t="n">
        <v>5975</v>
      </c>
      <c r="B5976" s="14" t="n">
        <v>114048.254288996</v>
      </c>
      <c r="C5976" s="15" t="n">
        <v>0.0761268595500095</v>
      </c>
      <c r="D5976" s="14" t="n">
        <f aca="false">Summary!$B$5-B5976</f>
        <v>-14048.254288996</v>
      </c>
      <c r="E5976" s="15" t="n">
        <f aca="false">B5976/Summary!$B$5-1</f>
        <v>0.14048254288996</v>
      </c>
    </row>
    <row r="5977" customFormat="false" ht="15" hidden="false" customHeight="false" outlineLevel="0" collapsed="false">
      <c r="A5977" s="0" t="n">
        <v>5976</v>
      </c>
      <c r="B5977" s="14" t="n">
        <v>114763.412354733</v>
      </c>
      <c r="C5977" s="15" t="n">
        <v>0.0769243841389458</v>
      </c>
      <c r="D5977" s="14" t="n">
        <f aca="false">Summary!$B$5-B5977</f>
        <v>-14763.412354733</v>
      </c>
      <c r="E5977" s="15" t="n">
        <f aca="false">B5977/Summary!$B$5-1</f>
        <v>0.14763412354733</v>
      </c>
    </row>
    <row r="5978" customFormat="false" ht="15" hidden="false" customHeight="false" outlineLevel="0" collapsed="false">
      <c r="A5978" s="0" t="n">
        <v>5977</v>
      </c>
      <c r="B5978" s="14" t="n">
        <v>106018.666016296</v>
      </c>
      <c r="C5978" s="15" t="n">
        <v>0.0632742744064253</v>
      </c>
      <c r="D5978" s="14" t="n">
        <f aca="false">Summary!$B$5-B5978</f>
        <v>-6018.66601629629</v>
      </c>
      <c r="E5978" s="15" t="n">
        <f aca="false">B5978/Summary!$B$5-1</f>
        <v>0.060186660162963</v>
      </c>
    </row>
    <row r="5979" customFormat="false" ht="15" hidden="false" customHeight="false" outlineLevel="0" collapsed="false">
      <c r="A5979" s="0" t="n">
        <v>5978</v>
      </c>
      <c r="B5979" s="14" t="n">
        <v>121998.363602055</v>
      </c>
      <c r="C5979" s="15" t="n">
        <v>0.0391098794805325</v>
      </c>
      <c r="D5979" s="14" t="n">
        <f aca="false">Summary!$B$5-B5979</f>
        <v>-21998.3636020553</v>
      </c>
      <c r="E5979" s="15" t="n">
        <f aca="false">B5979/Summary!$B$5-1</f>
        <v>0.219983636020553</v>
      </c>
    </row>
    <row r="5980" customFormat="false" ht="15" hidden="false" customHeight="false" outlineLevel="0" collapsed="false">
      <c r="A5980" s="0" t="n">
        <v>5979</v>
      </c>
      <c r="B5980" s="14" t="n">
        <v>86576.9660368009</v>
      </c>
      <c r="C5980" s="15" t="n">
        <v>0.146958223241016</v>
      </c>
      <c r="D5980" s="14" t="n">
        <f aca="false">Summary!$B$5-B5980</f>
        <v>13423.0339631992</v>
      </c>
      <c r="E5980" s="15" t="n">
        <f aca="false">B5980/Summary!$B$5-1</f>
        <v>-0.134230339631992</v>
      </c>
    </row>
    <row r="5981" customFormat="false" ht="15" hidden="false" customHeight="false" outlineLevel="0" collapsed="false">
      <c r="A5981" s="0" t="n">
        <v>5980</v>
      </c>
      <c r="B5981" s="14" t="n">
        <v>118890.750794359</v>
      </c>
      <c r="C5981" s="15" t="n">
        <v>0.0905276785709065</v>
      </c>
      <c r="D5981" s="14" t="n">
        <f aca="false">Summary!$B$5-B5981</f>
        <v>-18890.7507943585</v>
      </c>
      <c r="E5981" s="15" t="n">
        <f aca="false">B5981/Summary!$B$5-1</f>
        <v>0.188907507943585</v>
      </c>
    </row>
    <row r="5982" customFormat="false" ht="15" hidden="false" customHeight="false" outlineLevel="0" collapsed="false">
      <c r="A5982" s="0" t="n">
        <v>5981</v>
      </c>
      <c r="B5982" s="14" t="n">
        <v>101547.710107768</v>
      </c>
      <c r="C5982" s="15" t="n">
        <v>0.150733004133267</v>
      </c>
      <c r="D5982" s="14" t="n">
        <f aca="false">Summary!$B$5-B5982</f>
        <v>-1547.71010776779</v>
      </c>
      <c r="E5982" s="15" t="n">
        <f aca="false">B5982/Summary!$B$5-1</f>
        <v>0.015477101077678</v>
      </c>
    </row>
    <row r="5983" customFormat="false" ht="15" hidden="false" customHeight="false" outlineLevel="0" collapsed="false">
      <c r="A5983" s="0" t="n">
        <v>5982</v>
      </c>
      <c r="B5983" s="14" t="n">
        <v>101207.313847441</v>
      </c>
      <c r="C5983" s="15" t="n">
        <v>0.090327551830685</v>
      </c>
      <c r="D5983" s="14" t="n">
        <f aca="false">Summary!$B$5-B5983</f>
        <v>-1207.3138474414</v>
      </c>
      <c r="E5983" s="15" t="n">
        <f aca="false">B5983/Summary!$B$5-1</f>
        <v>0.0120731384744139</v>
      </c>
    </row>
    <row r="5984" customFormat="false" ht="15" hidden="false" customHeight="false" outlineLevel="0" collapsed="false">
      <c r="A5984" s="0" t="n">
        <v>5983</v>
      </c>
      <c r="B5984" s="14" t="n">
        <v>122445.465449704</v>
      </c>
      <c r="C5984" s="15" t="n">
        <v>0.0624997590682571</v>
      </c>
      <c r="D5984" s="14" t="n">
        <f aca="false">Summary!$B$5-B5984</f>
        <v>-22445.4654497044</v>
      </c>
      <c r="E5984" s="15" t="n">
        <f aca="false">B5984/Summary!$B$5-1</f>
        <v>0.224454654497044</v>
      </c>
    </row>
    <row r="5985" customFormat="false" ht="15" hidden="false" customHeight="false" outlineLevel="0" collapsed="false">
      <c r="A5985" s="0" t="n">
        <v>5984</v>
      </c>
      <c r="B5985" s="14" t="n">
        <v>121274.975589451</v>
      </c>
      <c r="C5985" s="15" t="n">
        <v>0.0611414854660225</v>
      </c>
      <c r="D5985" s="14" t="n">
        <f aca="false">Summary!$B$5-B5985</f>
        <v>-21274.9755894512</v>
      </c>
      <c r="E5985" s="15" t="n">
        <f aca="false">B5985/Summary!$B$5-1</f>
        <v>0.212749755894512</v>
      </c>
    </row>
    <row r="5986" customFormat="false" ht="15" hidden="false" customHeight="false" outlineLevel="0" collapsed="false">
      <c r="A5986" s="0" t="n">
        <v>5985</v>
      </c>
      <c r="B5986" s="14" t="n">
        <v>100234.811218503</v>
      </c>
      <c r="C5986" s="15" t="n">
        <v>0.134715673836871</v>
      </c>
      <c r="D5986" s="14" t="n">
        <f aca="false">Summary!$B$5-B5986</f>
        <v>-234.811218503397</v>
      </c>
      <c r="E5986" s="15" t="n">
        <f aca="false">B5986/Summary!$B$5-1</f>
        <v>0.00234811218503395</v>
      </c>
    </row>
    <row r="5987" customFormat="false" ht="15" hidden="false" customHeight="false" outlineLevel="0" collapsed="false">
      <c r="A5987" s="0" t="n">
        <v>5986</v>
      </c>
      <c r="B5987" s="14" t="n">
        <v>94197.2924371369</v>
      </c>
      <c r="C5987" s="15" t="n">
        <v>0.162686701372199</v>
      </c>
      <c r="D5987" s="14" t="n">
        <f aca="false">Summary!$B$5-B5987</f>
        <v>5802.70756286313</v>
      </c>
      <c r="E5987" s="15" t="n">
        <f aca="false">B5987/Summary!$B$5-1</f>
        <v>-0.0580270756286313</v>
      </c>
    </row>
    <row r="5988" customFormat="false" ht="15" hidden="false" customHeight="false" outlineLevel="0" collapsed="false">
      <c r="A5988" s="0" t="n">
        <v>5987</v>
      </c>
      <c r="B5988" s="14" t="n">
        <v>113822.852008045</v>
      </c>
      <c r="C5988" s="15" t="n">
        <v>0.0706045872916196</v>
      </c>
      <c r="D5988" s="14" t="n">
        <f aca="false">Summary!$B$5-B5988</f>
        <v>-13822.8520080448</v>
      </c>
      <c r="E5988" s="15" t="n">
        <f aca="false">B5988/Summary!$B$5-1</f>
        <v>0.138228520080448</v>
      </c>
    </row>
    <row r="5989" customFormat="false" ht="15" hidden="false" customHeight="false" outlineLevel="0" collapsed="false">
      <c r="A5989" s="0" t="n">
        <v>5988</v>
      </c>
      <c r="B5989" s="14" t="n">
        <v>111615.069762975</v>
      </c>
      <c r="C5989" s="15" t="n">
        <v>0.0490027906087879</v>
      </c>
      <c r="D5989" s="14" t="n">
        <f aca="false">Summary!$B$5-B5989</f>
        <v>-11615.0697629749</v>
      </c>
      <c r="E5989" s="15" t="n">
        <f aca="false">B5989/Summary!$B$5-1</f>
        <v>0.116150697629749</v>
      </c>
    </row>
    <row r="5990" customFormat="false" ht="15" hidden="false" customHeight="false" outlineLevel="0" collapsed="false">
      <c r="A5990" s="0" t="n">
        <v>5989</v>
      </c>
      <c r="B5990" s="14" t="n">
        <v>96520.8007483799</v>
      </c>
      <c r="C5990" s="15" t="n">
        <v>0.126190663191742</v>
      </c>
      <c r="D5990" s="14" t="n">
        <f aca="false">Summary!$B$5-B5990</f>
        <v>3479.19925162013</v>
      </c>
      <c r="E5990" s="15" t="n">
        <f aca="false">B5990/Summary!$B$5-1</f>
        <v>-0.0347919925162012</v>
      </c>
    </row>
    <row r="5991" customFormat="false" ht="15" hidden="false" customHeight="false" outlineLevel="0" collapsed="false">
      <c r="A5991" s="0" t="n">
        <v>5990</v>
      </c>
      <c r="B5991" s="14" t="n">
        <v>81162.0706549051</v>
      </c>
      <c r="C5991" s="15" t="n">
        <v>0.222787244061396</v>
      </c>
      <c r="D5991" s="14" t="n">
        <f aca="false">Summary!$B$5-B5991</f>
        <v>18837.9293450949</v>
      </c>
      <c r="E5991" s="15" t="n">
        <f aca="false">B5991/Summary!$B$5-1</f>
        <v>-0.188379293450949</v>
      </c>
    </row>
    <row r="5992" customFormat="false" ht="15" hidden="false" customHeight="false" outlineLevel="0" collapsed="false">
      <c r="A5992" s="0" t="n">
        <v>5991</v>
      </c>
      <c r="B5992" s="14" t="n">
        <v>111871.275897077</v>
      </c>
      <c r="C5992" s="15" t="n">
        <v>0.0922730560335788</v>
      </c>
      <c r="D5992" s="14" t="n">
        <f aca="false">Summary!$B$5-B5992</f>
        <v>-11871.2758970768</v>
      </c>
      <c r="E5992" s="15" t="n">
        <f aca="false">B5992/Summary!$B$5-1</f>
        <v>0.118712758970768</v>
      </c>
    </row>
    <row r="5993" customFormat="false" ht="15" hidden="false" customHeight="false" outlineLevel="0" collapsed="false">
      <c r="A5993" s="0" t="n">
        <v>5992</v>
      </c>
      <c r="B5993" s="14" t="n">
        <v>113295.847076995</v>
      </c>
      <c r="C5993" s="15" t="n">
        <v>0.0636454250784322</v>
      </c>
      <c r="D5993" s="14" t="n">
        <f aca="false">Summary!$B$5-B5993</f>
        <v>-13295.8470769945</v>
      </c>
      <c r="E5993" s="15" t="n">
        <f aca="false">B5993/Summary!$B$5-1</f>
        <v>0.132958470769945</v>
      </c>
    </row>
    <row r="5994" customFormat="false" ht="15" hidden="false" customHeight="false" outlineLevel="0" collapsed="false">
      <c r="A5994" s="0" t="n">
        <v>5993</v>
      </c>
      <c r="B5994" s="14" t="n">
        <v>98949.148070684</v>
      </c>
      <c r="C5994" s="15" t="n">
        <v>0.107325886826278</v>
      </c>
      <c r="D5994" s="14" t="n">
        <f aca="false">Summary!$B$5-B5994</f>
        <v>1050.85192931598</v>
      </c>
      <c r="E5994" s="15" t="n">
        <f aca="false">B5994/Summary!$B$5-1</f>
        <v>-0.0105085192931598</v>
      </c>
    </row>
    <row r="5995" customFormat="false" ht="15" hidden="false" customHeight="false" outlineLevel="0" collapsed="false">
      <c r="A5995" s="0" t="n">
        <v>5994</v>
      </c>
      <c r="B5995" s="14" t="n">
        <v>104751.114114108</v>
      </c>
      <c r="C5995" s="15" t="n">
        <v>0.123261029698796</v>
      </c>
      <c r="D5995" s="14" t="n">
        <f aca="false">Summary!$B$5-B5995</f>
        <v>-4751.1141141079</v>
      </c>
      <c r="E5995" s="15" t="n">
        <f aca="false">B5995/Summary!$B$5-1</f>
        <v>0.0475111411410789</v>
      </c>
    </row>
    <row r="5996" customFormat="false" ht="15" hidden="false" customHeight="false" outlineLevel="0" collapsed="false">
      <c r="A5996" s="0" t="n">
        <v>5995</v>
      </c>
      <c r="B5996" s="14" t="n">
        <v>106254.134892897</v>
      </c>
      <c r="C5996" s="15" t="n">
        <v>0.121288670145407</v>
      </c>
      <c r="D5996" s="14" t="n">
        <f aca="false">Summary!$B$5-B5996</f>
        <v>-6254.1348928966</v>
      </c>
      <c r="E5996" s="15" t="n">
        <f aca="false">B5996/Summary!$B$5-1</f>
        <v>0.0625413489289661</v>
      </c>
    </row>
    <row r="5997" customFormat="false" ht="15" hidden="false" customHeight="false" outlineLevel="0" collapsed="false">
      <c r="A5997" s="0" t="n">
        <v>5996</v>
      </c>
      <c r="B5997" s="14" t="n">
        <v>139388.74447495</v>
      </c>
      <c r="C5997" s="15" t="n">
        <v>0.0638458838060091</v>
      </c>
      <c r="D5997" s="14" t="n">
        <f aca="false">Summary!$B$5-B5997</f>
        <v>-39388.74447495</v>
      </c>
      <c r="E5997" s="15" t="n">
        <f aca="false">B5997/Summary!$B$5-1</f>
        <v>0.3938874447495</v>
      </c>
    </row>
    <row r="5998" customFormat="false" ht="15" hidden="false" customHeight="false" outlineLevel="0" collapsed="false">
      <c r="A5998" s="0" t="n">
        <v>5997</v>
      </c>
      <c r="B5998" s="14" t="n">
        <v>111020.91532642</v>
      </c>
      <c r="C5998" s="15" t="n">
        <v>0.0750197590419595</v>
      </c>
      <c r="D5998" s="14" t="n">
        <f aca="false">Summary!$B$5-B5998</f>
        <v>-11020.9153264198</v>
      </c>
      <c r="E5998" s="15" t="n">
        <f aca="false">B5998/Summary!$B$5-1</f>
        <v>0.110209153264198</v>
      </c>
    </row>
    <row r="5999" customFormat="false" ht="15" hidden="false" customHeight="false" outlineLevel="0" collapsed="false">
      <c r="A5999" s="0" t="n">
        <v>5998</v>
      </c>
      <c r="B5999" s="14" t="n">
        <v>123786.161450144</v>
      </c>
      <c r="C5999" s="15" t="n">
        <v>0.053060139970357</v>
      </c>
      <c r="D5999" s="14" t="n">
        <f aca="false">Summary!$B$5-B5999</f>
        <v>-23786.1614501438</v>
      </c>
      <c r="E5999" s="15" t="n">
        <f aca="false">B5999/Summary!$B$5-1</f>
        <v>0.237861614501438</v>
      </c>
    </row>
    <row r="6000" customFormat="false" ht="15" hidden="false" customHeight="false" outlineLevel="0" collapsed="false">
      <c r="A6000" s="0" t="n">
        <v>5999</v>
      </c>
      <c r="B6000" s="14" t="n">
        <v>107864.001660139</v>
      </c>
      <c r="C6000" s="15" t="n">
        <v>0.161641251002559</v>
      </c>
      <c r="D6000" s="14" t="n">
        <f aca="false">Summary!$B$5-B6000</f>
        <v>-7864.0016601386</v>
      </c>
      <c r="E6000" s="15" t="n">
        <f aca="false">B6000/Summary!$B$5-1</f>
        <v>0.0786400166013861</v>
      </c>
    </row>
    <row r="6001" customFormat="false" ht="15" hidden="false" customHeight="false" outlineLevel="0" collapsed="false">
      <c r="A6001" s="0" t="n">
        <v>6000</v>
      </c>
      <c r="B6001" s="14" t="n">
        <v>98785.749625389</v>
      </c>
      <c r="C6001" s="15" t="n">
        <v>0.107086011679802</v>
      </c>
      <c r="D6001" s="14" t="n">
        <f aca="false">Summary!$B$5-B6001</f>
        <v>1214.25037461103</v>
      </c>
      <c r="E6001" s="15" t="n">
        <f aca="false">B6001/Summary!$B$5-1</f>
        <v>-0.0121425037461103</v>
      </c>
    </row>
    <row r="6002" customFormat="false" ht="15" hidden="false" customHeight="false" outlineLevel="0" collapsed="false">
      <c r="A6002" s="0" t="n">
        <v>6001</v>
      </c>
      <c r="B6002" s="14" t="n">
        <v>91515.6664263379</v>
      </c>
      <c r="C6002" s="15" t="n">
        <v>0.143442087005337</v>
      </c>
      <c r="D6002" s="14" t="n">
        <f aca="false">Summary!$B$5-B6002</f>
        <v>8484.33357366215</v>
      </c>
      <c r="E6002" s="15" t="n">
        <f aca="false">B6002/Summary!$B$5-1</f>
        <v>-0.0848433357366215</v>
      </c>
    </row>
    <row r="6003" customFormat="false" ht="15" hidden="false" customHeight="false" outlineLevel="0" collapsed="false">
      <c r="A6003" s="0" t="n">
        <v>6002</v>
      </c>
      <c r="B6003" s="14" t="n">
        <v>98217.5834785568</v>
      </c>
      <c r="C6003" s="15" t="n">
        <v>0.15315100858813</v>
      </c>
      <c r="D6003" s="14" t="n">
        <f aca="false">Summary!$B$5-B6003</f>
        <v>1782.41652144324</v>
      </c>
      <c r="E6003" s="15" t="n">
        <f aca="false">B6003/Summary!$B$5-1</f>
        <v>-0.0178241652144324</v>
      </c>
    </row>
    <row r="6004" customFormat="false" ht="15" hidden="false" customHeight="false" outlineLevel="0" collapsed="false">
      <c r="A6004" s="0" t="n">
        <v>6003</v>
      </c>
      <c r="B6004" s="14" t="n">
        <v>102548.45081605</v>
      </c>
      <c r="C6004" s="15" t="n">
        <v>0.146743334098208</v>
      </c>
      <c r="D6004" s="14" t="n">
        <f aca="false">Summary!$B$5-B6004</f>
        <v>-2548.45081604971</v>
      </c>
      <c r="E6004" s="15" t="n">
        <f aca="false">B6004/Summary!$B$5-1</f>
        <v>0.0254845081604971</v>
      </c>
    </row>
    <row r="6005" customFormat="false" ht="15" hidden="false" customHeight="false" outlineLevel="0" collapsed="false">
      <c r="A6005" s="0" t="n">
        <v>6004</v>
      </c>
      <c r="B6005" s="14" t="n">
        <v>98587.2113228398</v>
      </c>
      <c r="C6005" s="15" t="n">
        <v>0.107892067024727</v>
      </c>
      <c r="D6005" s="14" t="n">
        <f aca="false">Summary!$B$5-B6005</f>
        <v>1412.78867716019</v>
      </c>
      <c r="E6005" s="15" t="n">
        <f aca="false">B6005/Summary!$B$5-1</f>
        <v>-0.0141278867716019</v>
      </c>
    </row>
    <row r="6006" customFormat="false" ht="15" hidden="false" customHeight="false" outlineLevel="0" collapsed="false">
      <c r="A6006" s="0" t="n">
        <v>6005</v>
      </c>
      <c r="B6006" s="14" t="n">
        <v>99913.2583800102</v>
      </c>
      <c r="C6006" s="15" t="n">
        <v>0.107016808213796</v>
      </c>
      <c r="D6006" s="14" t="n">
        <f aca="false">Summary!$B$5-B6006</f>
        <v>86.7416199898289</v>
      </c>
      <c r="E6006" s="15" t="n">
        <f aca="false">B6006/Summary!$B$5-1</f>
        <v>-0.000867416199898274</v>
      </c>
    </row>
    <row r="6007" customFormat="false" ht="15" hidden="false" customHeight="false" outlineLevel="0" collapsed="false">
      <c r="A6007" s="0" t="n">
        <v>6006</v>
      </c>
      <c r="B6007" s="14" t="n">
        <v>104891.121873491</v>
      </c>
      <c r="C6007" s="15" t="n">
        <v>0.0727361677340267</v>
      </c>
      <c r="D6007" s="14" t="n">
        <f aca="false">Summary!$B$5-B6007</f>
        <v>-4891.1218734912</v>
      </c>
      <c r="E6007" s="15" t="n">
        <f aca="false">B6007/Summary!$B$5-1</f>
        <v>0.0489112187349119</v>
      </c>
    </row>
    <row r="6008" customFormat="false" ht="15" hidden="false" customHeight="false" outlineLevel="0" collapsed="false">
      <c r="A6008" s="0" t="n">
        <v>6007</v>
      </c>
      <c r="B6008" s="14" t="n">
        <v>91790.4935490885</v>
      </c>
      <c r="C6008" s="15" t="n">
        <v>0.179739646095161</v>
      </c>
      <c r="D6008" s="14" t="n">
        <f aca="false">Summary!$B$5-B6008</f>
        <v>8209.50645091149</v>
      </c>
      <c r="E6008" s="15" t="n">
        <f aca="false">B6008/Summary!$B$5-1</f>
        <v>-0.0820950645091149</v>
      </c>
    </row>
    <row r="6009" customFormat="false" ht="15" hidden="false" customHeight="false" outlineLevel="0" collapsed="false">
      <c r="A6009" s="0" t="n">
        <v>6008</v>
      </c>
      <c r="B6009" s="14" t="n">
        <v>100116.435253081</v>
      </c>
      <c r="C6009" s="15" t="n">
        <v>0.122230871873301</v>
      </c>
      <c r="D6009" s="14" t="n">
        <f aca="false">Summary!$B$5-B6009</f>
        <v>-116.435253080694</v>
      </c>
      <c r="E6009" s="15" t="n">
        <f aca="false">B6009/Summary!$B$5-1</f>
        <v>0.00116435253080693</v>
      </c>
    </row>
    <row r="6010" customFormat="false" ht="15" hidden="false" customHeight="false" outlineLevel="0" collapsed="false">
      <c r="A6010" s="0" t="n">
        <v>6009</v>
      </c>
      <c r="B6010" s="14" t="n">
        <v>103902.606673551</v>
      </c>
      <c r="C6010" s="15" t="n">
        <v>0.109755215580862</v>
      </c>
      <c r="D6010" s="14" t="n">
        <f aca="false">Summary!$B$5-B6010</f>
        <v>-3902.606673551</v>
      </c>
      <c r="E6010" s="15" t="n">
        <f aca="false">B6010/Summary!$B$5-1</f>
        <v>0.03902606673551</v>
      </c>
    </row>
    <row r="6011" customFormat="false" ht="15" hidden="false" customHeight="false" outlineLevel="0" collapsed="false">
      <c r="A6011" s="0" t="n">
        <v>6010</v>
      </c>
      <c r="B6011" s="14" t="n">
        <v>98126.614521359</v>
      </c>
      <c r="C6011" s="15" t="n">
        <v>0.143005027606462</v>
      </c>
      <c r="D6011" s="14" t="n">
        <f aca="false">Summary!$B$5-B6011</f>
        <v>1873.38547864099</v>
      </c>
      <c r="E6011" s="15" t="n">
        <f aca="false">B6011/Summary!$B$5-1</f>
        <v>-0.01873385478641</v>
      </c>
    </row>
    <row r="6012" customFormat="false" ht="15" hidden="false" customHeight="false" outlineLevel="0" collapsed="false">
      <c r="A6012" s="0" t="n">
        <v>6011</v>
      </c>
      <c r="B6012" s="14" t="n">
        <v>101785.959000311</v>
      </c>
      <c r="C6012" s="15" t="n">
        <v>0.0857225085343196</v>
      </c>
      <c r="D6012" s="14" t="n">
        <f aca="false">Summary!$B$5-B6012</f>
        <v>-1785.9590003113</v>
      </c>
      <c r="E6012" s="15" t="n">
        <f aca="false">B6012/Summary!$B$5-1</f>
        <v>0.0178595900031129</v>
      </c>
    </row>
    <row r="6013" customFormat="false" ht="15" hidden="false" customHeight="false" outlineLevel="0" collapsed="false">
      <c r="A6013" s="0" t="n">
        <v>6012</v>
      </c>
      <c r="B6013" s="14" t="n">
        <v>108446.604788879</v>
      </c>
      <c r="C6013" s="15" t="n">
        <v>0.135622021927587</v>
      </c>
      <c r="D6013" s="14" t="n">
        <f aca="false">Summary!$B$5-B6013</f>
        <v>-8446.6047888793</v>
      </c>
      <c r="E6013" s="15" t="n">
        <f aca="false">B6013/Summary!$B$5-1</f>
        <v>0.0844660478887929</v>
      </c>
    </row>
    <row r="6014" customFormat="false" ht="15" hidden="false" customHeight="false" outlineLevel="0" collapsed="false">
      <c r="A6014" s="0" t="n">
        <v>6013</v>
      </c>
      <c r="B6014" s="14" t="n">
        <v>115376.192652767</v>
      </c>
      <c r="C6014" s="15" t="n">
        <v>0.0975911104512458</v>
      </c>
      <c r="D6014" s="14" t="n">
        <f aca="false">Summary!$B$5-B6014</f>
        <v>-15376.1926527667</v>
      </c>
      <c r="E6014" s="15" t="n">
        <f aca="false">B6014/Summary!$B$5-1</f>
        <v>0.153761926527667</v>
      </c>
    </row>
    <row r="6015" customFormat="false" ht="15" hidden="false" customHeight="false" outlineLevel="0" collapsed="false">
      <c r="A6015" s="0" t="n">
        <v>6014</v>
      </c>
      <c r="B6015" s="14" t="n">
        <v>119812.476178861</v>
      </c>
      <c r="C6015" s="15" t="n">
        <v>0.0614542716095851</v>
      </c>
      <c r="D6015" s="14" t="n">
        <f aca="false">Summary!$B$5-B6015</f>
        <v>-19812.4761788608</v>
      </c>
      <c r="E6015" s="15" t="n">
        <f aca="false">B6015/Summary!$B$5-1</f>
        <v>0.198124761788608</v>
      </c>
    </row>
    <row r="6016" customFormat="false" ht="15" hidden="false" customHeight="false" outlineLevel="0" collapsed="false">
      <c r="A6016" s="0" t="n">
        <v>6015</v>
      </c>
      <c r="B6016" s="14" t="n">
        <v>128755.326336781</v>
      </c>
      <c r="C6016" s="15" t="n">
        <v>0.0632899581097639</v>
      </c>
      <c r="D6016" s="14" t="n">
        <f aca="false">Summary!$B$5-B6016</f>
        <v>-28755.3263367813</v>
      </c>
      <c r="E6016" s="15" t="n">
        <f aca="false">B6016/Summary!$B$5-1</f>
        <v>0.287553263367813</v>
      </c>
    </row>
    <row r="6017" customFormat="false" ht="15" hidden="false" customHeight="false" outlineLevel="0" collapsed="false">
      <c r="A6017" s="0" t="n">
        <v>6016</v>
      </c>
      <c r="B6017" s="14" t="n">
        <v>99231.4128338644</v>
      </c>
      <c r="C6017" s="15" t="n">
        <v>0.0994500907155215</v>
      </c>
      <c r="D6017" s="14" t="n">
        <f aca="false">Summary!$B$5-B6017</f>
        <v>768.587166135636</v>
      </c>
      <c r="E6017" s="15" t="n">
        <f aca="false">B6017/Summary!$B$5-1</f>
        <v>-0.00768587166135637</v>
      </c>
    </row>
    <row r="6018" customFormat="false" ht="15" hidden="false" customHeight="false" outlineLevel="0" collapsed="false">
      <c r="A6018" s="0" t="n">
        <v>6017</v>
      </c>
      <c r="B6018" s="14" t="n">
        <v>104238.386554605</v>
      </c>
      <c r="C6018" s="15" t="n">
        <v>0.119197590654093</v>
      </c>
      <c r="D6018" s="14" t="n">
        <f aca="false">Summary!$B$5-B6018</f>
        <v>-4238.38655460499</v>
      </c>
      <c r="E6018" s="15" t="n">
        <f aca="false">B6018/Summary!$B$5-1</f>
        <v>0.04238386554605</v>
      </c>
    </row>
    <row r="6019" customFormat="false" ht="15" hidden="false" customHeight="false" outlineLevel="0" collapsed="false">
      <c r="A6019" s="0" t="n">
        <v>6018</v>
      </c>
      <c r="B6019" s="14" t="n">
        <v>103280.496690418</v>
      </c>
      <c r="C6019" s="15" t="n">
        <v>0.08542340984609</v>
      </c>
      <c r="D6019" s="14" t="n">
        <f aca="false">Summary!$B$5-B6019</f>
        <v>-3280.49669041811</v>
      </c>
      <c r="E6019" s="15" t="n">
        <f aca="false">B6019/Summary!$B$5-1</f>
        <v>0.032804966904181</v>
      </c>
    </row>
    <row r="6020" customFormat="false" ht="15" hidden="false" customHeight="false" outlineLevel="0" collapsed="false">
      <c r="A6020" s="0" t="n">
        <v>6019</v>
      </c>
      <c r="B6020" s="14" t="n">
        <v>100378.716185962</v>
      </c>
      <c r="C6020" s="15" t="n">
        <v>0.088551413537738</v>
      </c>
      <c r="D6020" s="14" t="n">
        <f aca="false">Summary!$B$5-B6020</f>
        <v>-378.716185961806</v>
      </c>
      <c r="E6020" s="15" t="n">
        <f aca="false">B6020/Summary!$B$5-1</f>
        <v>0.00378716185961814</v>
      </c>
    </row>
    <row r="6021" customFormat="false" ht="15" hidden="false" customHeight="false" outlineLevel="0" collapsed="false">
      <c r="A6021" s="0" t="n">
        <v>6020</v>
      </c>
      <c r="B6021" s="14" t="n">
        <v>129289.469184297</v>
      </c>
      <c r="C6021" s="15" t="n">
        <v>0.0514311651315911</v>
      </c>
      <c r="D6021" s="14" t="n">
        <f aca="false">Summary!$B$5-B6021</f>
        <v>-29289.4691842968</v>
      </c>
      <c r="E6021" s="15" t="n">
        <f aca="false">B6021/Summary!$B$5-1</f>
        <v>0.292894691842968</v>
      </c>
    </row>
    <row r="6022" customFormat="false" ht="15" hidden="false" customHeight="false" outlineLevel="0" collapsed="false">
      <c r="A6022" s="0" t="n">
        <v>6021</v>
      </c>
      <c r="B6022" s="14" t="n">
        <v>116048.14673404</v>
      </c>
      <c r="C6022" s="15" t="n">
        <v>0.0627751024733901</v>
      </c>
      <c r="D6022" s="14" t="n">
        <f aca="false">Summary!$B$5-B6022</f>
        <v>-16048.1467340399</v>
      </c>
      <c r="E6022" s="15" t="n">
        <f aca="false">B6022/Summary!$B$5-1</f>
        <v>0.160481467340399</v>
      </c>
    </row>
    <row r="6023" customFormat="false" ht="15" hidden="false" customHeight="false" outlineLevel="0" collapsed="false">
      <c r="A6023" s="0" t="n">
        <v>6022</v>
      </c>
      <c r="B6023" s="14" t="n">
        <v>121342.469972561</v>
      </c>
      <c r="C6023" s="15" t="n">
        <v>0.0673017017064331</v>
      </c>
      <c r="D6023" s="14" t="n">
        <f aca="false">Summary!$B$5-B6023</f>
        <v>-21342.4699725612</v>
      </c>
      <c r="E6023" s="15" t="n">
        <f aca="false">B6023/Summary!$B$5-1</f>
        <v>0.213424699725612</v>
      </c>
    </row>
    <row r="6024" customFormat="false" ht="15" hidden="false" customHeight="false" outlineLevel="0" collapsed="false">
      <c r="A6024" s="0" t="n">
        <v>6023</v>
      </c>
      <c r="B6024" s="14" t="n">
        <v>90283.8972284697</v>
      </c>
      <c r="C6024" s="15" t="n">
        <v>0.144861790202017</v>
      </c>
      <c r="D6024" s="14" t="n">
        <f aca="false">Summary!$B$5-B6024</f>
        <v>9716.10277153034</v>
      </c>
      <c r="E6024" s="15" t="n">
        <f aca="false">B6024/Summary!$B$5-1</f>
        <v>-0.0971610277153033</v>
      </c>
    </row>
    <row r="6025" customFormat="false" ht="15" hidden="false" customHeight="false" outlineLevel="0" collapsed="false">
      <c r="A6025" s="0" t="n">
        <v>6024</v>
      </c>
      <c r="B6025" s="14" t="n">
        <v>113859.125284887</v>
      </c>
      <c r="C6025" s="15" t="n">
        <v>0.0561696801777594</v>
      </c>
      <c r="D6025" s="14" t="n">
        <f aca="false">Summary!$B$5-B6025</f>
        <v>-13859.1252848872</v>
      </c>
      <c r="E6025" s="15" t="n">
        <f aca="false">B6025/Summary!$B$5-1</f>
        <v>0.138591252848872</v>
      </c>
    </row>
    <row r="6026" customFormat="false" ht="15" hidden="false" customHeight="false" outlineLevel="0" collapsed="false">
      <c r="A6026" s="0" t="n">
        <v>6025</v>
      </c>
      <c r="B6026" s="14" t="n">
        <v>107268.478368507</v>
      </c>
      <c r="C6026" s="15" t="n">
        <v>0.12510281754196</v>
      </c>
      <c r="D6026" s="14" t="n">
        <f aca="false">Summary!$B$5-B6026</f>
        <v>-7268.478368507</v>
      </c>
      <c r="E6026" s="15" t="n">
        <f aca="false">B6026/Summary!$B$5-1</f>
        <v>0.0726847836850699</v>
      </c>
    </row>
    <row r="6027" customFormat="false" ht="15" hidden="false" customHeight="false" outlineLevel="0" collapsed="false">
      <c r="A6027" s="0" t="n">
        <v>6026</v>
      </c>
      <c r="B6027" s="14" t="n">
        <v>118746.967895075</v>
      </c>
      <c r="C6027" s="15" t="n">
        <v>0.0802765952584975</v>
      </c>
      <c r="D6027" s="14" t="n">
        <f aca="false">Summary!$B$5-B6027</f>
        <v>-18746.9678950752</v>
      </c>
      <c r="E6027" s="15" t="n">
        <f aca="false">B6027/Summary!$B$5-1</f>
        <v>0.187469678950752</v>
      </c>
    </row>
    <row r="6028" customFormat="false" ht="15" hidden="false" customHeight="false" outlineLevel="0" collapsed="false">
      <c r="A6028" s="0" t="n">
        <v>6027</v>
      </c>
      <c r="B6028" s="14" t="n">
        <v>110271.830725141</v>
      </c>
      <c r="C6028" s="15" t="n">
        <v>0.107027208269168</v>
      </c>
      <c r="D6028" s="14" t="n">
        <f aca="false">Summary!$B$5-B6028</f>
        <v>-10271.8307251412</v>
      </c>
      <c r="E6028" s="15" t="n">
        <f aca="false">B6028/Summary!$B$5-1</f>
        <v>0.102718307251412</v>
      </c>
    </row>
    <row r="6029" customFormat="false" ht="15" hidden="false" customHeight="false" outlineLevel="0" collapsed="false">
      <c r="A6029" s="0" t="n">
        <v>6028</v>
      </c>
      <c r="B6029" s="14" t="n">
        <v>107481.751163474</v>
      </c>
      <c r="C6029" s="15" t="n">
        <v>0.0823181529554311</v>
      </c>
      <c r="D6029" s="14" t="n">
        <f aca="false">Summary!$B$5-B6029</f>
        <v>-7481.75116347399</v>
      </c>
      <c r="E6029" s="15" t="n">
        <f aca="false">B6029/Summary!$B$5-1</f>
        <v>0.07481751163474</v>
      </c>
    </row>
    <row r="6030" customFormat="false" ht="15" hidden="false" customHeight="false" outlineLevel="0" collapsed="false">
      <c r="A6030" s="0" t="n">
        <v>6029</v>
      </c>
      <c r="B6030" s="14" t="n">
        <v>95645.5979734819</v>
      </c>
      <c r="C6030" s="15" t="n">
        <v>0.123118213408087</v>
      </c>
      <c r="D6030" s="14" t="n">
        <f aca="false">Summary!$B$5-B6030</f>
        <v>4354.40202651813</v>
      </c>
      <c r="E6030" s="15" t="n">
        <f aca="false">B6030/Summary!$B$5-1</f>
        <v>-0.0435440202651813</v>
      </c>
    </row>
    <row r="6031" customFormat="false" ht="15" hidden="false" customHeight="false" outlineLevel="0" collapsed="false">
      <c r="A6031" s="0" t="n">
        <v>6030</v>
      </c>
      <c r="B6031" s="14" t="n">
        <v>103720.722065843</v>
      </c>
      <c r="C6031" s="15" t="n">
        <v>0.104558351480132</v>
      </c>
      <c r="D6031" s="14" t="n">
        <f aca="false">Summary!$B$5-B6031</f>
        <v>-3720.72206584331</v>
      </c>
      <c r="E6031" s="15" t="n">
        <f aca="false">B6031/Summary!$B$5-1</f>
        <v>0.0372072206584331</v>
      </c>
    </row>
    <row r="6032" customFormat="false" ht="15" hidden="false" customHeight="false" outlineLevel="0" collapsed="false">
      <c r="A6032" s="0" t="n">
        <v>6031</v>
      </c>
      <c r="B6032" s="14" t="n">
        <v>98779.1135412414</v>
      </c>
      <c r="C6032" s="15" t="n">
        <v>0.119592625206107</v>
      </c>
      <c r="D6032" s="14" t="n">
        <f aca="false">Summary!$B$5-B6032</f>
        <v>1220.88645875856</v>
      </c>
      <c r="E6032" s="15" t="n">
        <f aca="false">B6032/Summary!$B$5-1</f>
        <v>-0.0122088645875855</v>
      </c>
    </row>
    <row r="6033" customFormat="false" ht="15" hidden="false" customHeight="false" outlineLevel="0" collapsed="false">
      <c r="A6033" s="0" t="n">
        <v>6032</v>
      </c>
      <c r="B6033" s="14" t="n">
        <v>98624.6293907282</v>
      </c>
      <c r="C6033" s="15" t="n">
        <v>0.107599691088312</v>
      </c>
      <c r="D6033" s="14" t="n">
        <f aca="false">Summary!$B$5-B6033</f>
        <v>1375.37060927183</v>
      </c>
      <c r="E6033" s="15" t="n">
        <f aca="false">B6033/Summary!$B$5-1</f>
        <v>-0.0137537060927183</v>
      </c>
    </row>
    <row r="6034" customFormat="false" ht="15" hidden="false" customHeight="false" outlineLevel="0" collapsed="false">
      <c r="A6034" s="0" t="n">
        <v>6033</v>
      </c>
      <c r="B6034" s="14" t="n">
        <v>114442.940986708</v>
      </c>
      <c r="C6034" s="15" t="n">
        <v>0.0764727881256858</v>
      </c>
      <c r="D6034" s="14" t="n">
        <f aca="false">Summary!$B$5-B6034</f>
        <v>-14442.9409867083</v>
      </c>
      <c r="E6034" s="15" t="n">
        <f aca="false">B6034/Summary!$B$5-1</f>
        <v>0.144429409867083</v>
      </c>
    </row>
    <row r="6035" customFormat="false" ht="15" hidden="false" customHeight="false" outlineLevel="0" collapsed="false">
      <c r="A6035" s="0" t="n">
        <v>6034</v>
      </c>
      <c r="B6035" s="14" t="n">
        <v>131581.264074326</v>
      </c>
      <c r="C6035" s="15" t="n">
        <v>0.0630711732522705</v>
      </c>
      <c r="D6035" s="14" t="n">
        <f aca="false">Summary!$B$5-B6035</f>
        <v>-31581.2640743263</v>
      </c>
      <c r="E6035" s="15" t="n">
        <f aca="false">B6035/Summary!$B$5-1</f>
        <v>0.315812640743263</v>
      </c>
    </row>
    <row r="6036" customFormat="false" ht="15" hidden="false" customHeight="false" outlineLevel="0" collapsed="false">
      <c r="A6036" s="0" t="n">
        <v>6035</v>
      </c>
      <c r="B6036" s="14" t="n">
        <v>112669.482686789</v>
      </c>
      <c r="C6036" s="15" t="n">
        <v>0.0827329439469435</v>
      </c>
      <c r="D6036" s="14" t="n">
        <f aca="false">Summary!$B$5-B6036</f>
        <v>-12669.4826867894</v>
      </c>
      <c r="E6036" s="15" t="n">
        <f aca="false">B6036/Summary!$B$5-1</f>
        <v>0.126694826867894</v>
      </c>
    </row>
    <row r="6037" customFormat="false" ht="15" hidden="false" customHeight="false" outlineLevel="0" collapsed="false">
      <c r="A6037" s="0" t="n">
        <v>6036</v>
      </c>
      <c r="B6037" s="14" t="n">
        <v>110633.052504957</v>
      </c>
      <c r="C6037" s="15" t="n">
        <v>0.079858155296114</v>
      </c>
      <c r="D6037" s="14" t="n">
        <f aca="false">Summary!$B$5-B6037</f>
        <v>-10633.0525049565</v>
      </c>
      <c r="E6037" s="15" t="n">
        <f aca="false">B6037/Summary!$B$5-1</f>
        <v>0.106330525049565</v>
      </c>
    </row>
    <row r="6038" customFormat="false" ht="15" hidden="false" customHeight="false" outlineLevel="0" collapsed="false">
      <c r="A6038" s="0" t="n">
        <v>6037</v>
      </c>
      <c r="B6038" s="14" t="n">
        <v>86937.2554403118</v>
      </c>
      <c r="C6038" s="15" t="n">
        <v>0.22753651377508</v>
      </c>
      <c r="D6038" s="14" t="n">
        <f aca="false">Summary!$B$5-B6038</f>
        <v>13062.7445596882</v>
      </c>
      <c r="E6038" s="15" t="n">
        <f aca="false">B6038/Summary!$B$5-1</f>
        <v>-0.130627445596882</v>
      </c>
    </row>
    <row r="6039" customFormat="false" ht="15" hidden="false" customHeight="false" outlineLevel="0" collapsed="false">
      <c r="A6039" s="0" t="n">
        <v>6038</v>
      </c>
      <c r="B6039" s="14" t="n">
        <v>100659.068595258</v>
      </c>
      <c r="C6039" s="15" t="n">
        <v>0.115257770442945</v>
      </c>
      <c r="D6039" s="14" t="n">
        <f aca="false">Summary!$B$5-B6039</f>
        <v>-659.068595258097</v>
      </c>
      <c r="E6039" s="15" t="n">
        <f aca="false">B6039/Summary!$B$5-1</f>
        <v>0.00659068595258106</v>
      </c>
    </row>
    <row r="6040" customFormat="false" ht="15" hidden="false" customHeight="false" outlineLevel="0" collapsed="false">
      <c r="A6040" s="0" t="n">
        <v>6039</v>
      </c>
      <c r="B6040" s="14" t="n">
        <v>108900.929678918</v>
      </c>
      <c r="C6040" s="15" t="n">
        <v>0.0736825295916739</v>
      </c>
      <c r="D6040" s="14" t="n">
        <f aca="false">Summary!$B$5-B6040</f>
        <v>-8900.9296789181</v>
      </c>
      <c r="E6040" s="15" t="n">
        <f aca="false">B6040/Summary!$B$5-1</f>
        <v>0.0890092967891809</v>
      </c>
    </row>
    <row r="6041" customFormat="false" ht="15" hidden="false" customHeight="false" outlineLevel="0" collapsed="false">
      <c r="A6041" s="0" t="n">
        <v>6040</v>
      </c>
      <c r="B6041" s="14" t="n">
        <v>100398.6735509</v>
      </c>
      <c r="C6041" s="15" t="n">
        <v>0.0840236312994128</v>
      </c>
      <c r="D6041" s="14" t="n">
        <f aca="false">Summary!$B$5-B6041</f>
        <v>-398.673550899606</v>
      </c>
      <c r="E6041" s="15" t="n">
        <f aca="false">B6041/Summary!$B$5-1</f>
        <v>0.00398673550899598</v>
      </c>
    </row>
    <row r="6042" customFormat="false" ht="15" hidden="false" customHeight="false" outlineLevel="0" collapsed="false">
      <c r="A6042" s="0" t="n">
        <v>6041</v>
      </c>
      <c r="B6042" s="14" t="n">
        <v>103789.450243</v>
      </c>
      <c r="C6042" s="15" t="n">
        <v>0.086229722050037</v>
      </c>
      <c r="D6042" s="14" t="n">
        <f aca="false">Summary!$B$5-B6042</f>
        <v>-3789.45024299969</v>
      </c>
      <c r="E6042" s="15" t="n">
        <f aca="false">B6042/Summary!$B$5-1</f>
        <v>0.037894502429997</v>
      </c>
    </row>
    <row r="6043" customFormat="false" ht="15" hidden="false" customHeight="false" outlineLevel="0" collapsed="false">
      <c r="A6043" s="0" t="n">
        <v>6042</v>
      </c>
      <c r="B6043" s="14" t="n">
        <v>107447.325730813</v>
      </c>
      <c r="C6043" s="15" t="n">
        <v>0.0651346912152215</v>
      </c>
      <c r="D6043" s="14" t="n">
        <f aca="false">Summary!$B$5-B6043</f>
        <v>-7447.325730813</v>
      </c>
      <c r="E6043" s="15" t="n">
        <f aca="false">B6043/Summary!$B$5-1</f>
        <v>0.0744732573081299</v>
      </c>
    </row>
    <row r="6044" customFormat="false" ht="15" hidden="false" customHeight="false" outlineLevel="0" collapsed="false">
      <c r="A6044" s="0" t="n">
        <v>6043</v>
      </c>
      <c r="B6044" s="14" t="n">
        <v>112836.98173435</v>
      </c>
      <c r="C6044" s="15" t="n">
        <v>0.0798518365507949</v>
      </c>
      <c r="D6044" s="14" t="n">
        <f aca="false">Summary!$B$5-B6044</f>
        <v>-12836.9817343499</v>
      </c>
      <c r="E6044" s="15" t="n">
        <f aca="false">B6044/Summary!$B$5-1</f>
        <v>0.128369817343499</v>
      </c>
    </row>
    <row r="6045" customFormat="false" ht="15" hidden="false" customHeight="false" outlineLevel="0" collapsed="false">
      <c r="A6045" s="0" t="n">
        <v>6044</v>
      </c>
      <c r="B6045" s="14" t="n">
        <v>103915.564292197</v>
      </c>
      <c r="C6045" s="15" t="n">
        <v>0.103714678953277</v>
      </c>
      <c r="D6045" s="14" t="n">
        <f aca="false">Summary!$B$5-B6045</f>
        <v>-3915.56429219669</v>
      </c>
      <c r="E6045" s="15" t="n">
        <f aca="false">B6045/Summary!$B$5-1</f>
        <v>0.0391556429219668</v>
      </c>
    </row>
    <row r="6046" customFormat="false" ht="15" hidden="false" customHeight="false" outlineLevel="0" collapsed="false">
      <c r="A6046" s="0" t="n">
        <v>6045</v>
      </c>
      <c r="B6046" s="14" t="n">
        <v>96236.3541769586</v>
      </c>
      <c r="C6046" s="15" t="n">
        <v>0.0712220798945438</v>
      </c>
      <c r="D6046" s="14" t="n">
        <f aca="false">Summary!$B$5-B6046</f>
        <v>3763.64582304138</v>
      </c>
      <c r="E6046" s="15" t="n">
        <f aca="false">B6046/Summary!$B$5-1</f>
        <v>-0.0376364582304138</v>
      </c>
    </row>
    <row r="6047" customFormat="false" ht="15" hidden="false" customHeight="false" outlineLevel="0" collapsed="false">
      <c r="A6047" s="0" t="n">
        <v>6046</v>
      </c>
      <c r="B6047" s="14" t="n">
        <v>99864.6554284564</v>
      </c>
      <c r="C6047" s="15" t="n">
        <v>0.0806124774493189</v>
      </c>
      <c r="D6047" s="14" t="n">
        <f aca="false">Summary!$B$5-B6047</f>
        <v>135.344571543596</v>
      </c>
      <c r="E6047" s="15" t="n">
        <f aca="false">B6047/Summary!$B$5-1</f>
        <v>-0.00135344571543594</v>
      </c>
    </row>
    <row r="6048" customFormat="false" ht="15" hidden="false" customHeight="false" outlineLevel="0" collapsed="false">
      <c r="A6048" s="0" t="n">
        <v>6047</v>
      </c>
      <c r="B6048" s="14" t="n">
        <v>87822.0591195358</v>
      </c>
      <c r="C6048" s="15" t="n">
        <v>0.181154355007826</v>
      </c>
      <c r="D6048" s="14" t="n">
        <f aca="false">Summary!$B$5-B6048</f>
        <v>12177.9408804642</v>
      </c>
      <c r="E6048" s="15" t="n">
        <f aca="false">B6048/Summary!$B$5-1</f>
        <v>-0.121779408804642</v>
      </c>
    </row>
    <row r="6049" customFormat="false" ht="15" hidden="false" customHeight="false" outlineLevel="0" collapsed="false">
      <c r="A6049" s="0" t="n">
        <v>6048</v>
      </c>
      <c r="B6049" s="14" t="n">
        <v>99739.707123423</v>
      </c>
      <c r="C6049" s="15" t="n">
        <v>0.116199557489801</v>
      </c>
      <c r="D6049" s="14" t="n">
        <f aca="false">Summary!$B$5-B6049</f>
        <v>260.292876576961</v>
      </c>
      <c r="E6049" s="15" t="n">
        <f aca="false">B6049/Summary!$B$5-1</f>
        <v>-0.00260292876576962</v>
      </c>
    </row>
    <row r="6050" customFormat="false" ht="15" hidden="false" customHeight="false" outlineLevel="0" collapsed="false">
      <c r="A6050" s="0" t="n">
        <v>6049</v>
      </c>
      <c r="B6050" s="14" t="n">
        <v>99887.309625077</v>
      </c>
      <c r="C6050" s="15" t="n">
        <v>0.13981976589122</v>
      </c>
      <c r="D6050" s="14" t="n">
        <f aca="false">Summary!$B$5-B6050</f>
        <v>112.690374922997</v>
      </c>
      <c r="E6050" s="15" t="n">
        <f aca="false">B6050/Summary!$B$5-1</f>
        <v>-0.00112690374922997</v>
      </c>
    </row>
    <row r="6051" customFormat="false" ht="15" hidden="false" customHeight="false" outlineLevel="0" collapsed="false">
      <c r="A6051" s="0" t="n">
        <v>6050</v>
      </c>
      <c r="B6051" s="14" t="n">
        <v>91156.0921694087</v>
      </c>
      <c r="C6051" s="15" t="n">
        <v>0.134726588705598</v>
      </c>
      <c r="D6051" s="14" t="n">
        <f aca="false">Summary!$B$5-B6051</f>
        <v>8843.90783059127</v>
      </c>
      <c r="E6051" s="15" t="n">
        <f aca="false">B6051/Summary!$B$5-1</f>
        <v>-0.0884390783059127</v>
      </c>
    </row>
    <row r="6052" customFormat="false" ht="15" hidden="false" customHeight="false" outlineLevel="0" collapsed="false">
      <c r="A6052" s="0" t="n">
        <v>6051</v>
      </c>
      <c r="B6052" s="14" t="n">
        <v>121950.729772367</v>
      </c>
      <c r="C6052" s="15" t="n">
        <v>0.0548681152277668</v>
      </c>
      <c r="D6052" s="14" t="n">
        <f aca="false">Summary!$B$5-B6052</f>
        <v>-21950.729772367</v>
      </c>
      <c r="E6052" s="15" t="n">
        <f aca="false">B6052/Summary!$B$5-1</f>
        <v>0.21950729772367</v>
      </c>
    </row>
    <row r="6053" customFormat="false" ht="15" hidden="false" customHeight="false" outlineLevel="0" collapsed="false">
      <c r="A6053" s="0" t="n">
        <v>6052</v>
      </c>
      <c r="B6053" s="14" t="n">
        <v>103370.739985222</v>
      </c>
      <c r="C6053" s="15" t="n">
        <v>0.0825839052796538</v>
      </c>
      <c r="D6053" s="14" t="n">
        <f aca="false">Summary!$B$5-B6053</f>
        <v>-3370.7399852224</v>
      </c>
      <c r="E6053" s="15" t="n">
        <f aca="false">B6053/Summary!$B$5-1</f>
        <v>0.0337073998522242</v>
      </c>
    </row>
    <row r="6054" customFormat="false" ht="15" hidden="false" customHeight="false" outlineLevel="0" collapsed="false">
      <c r="A6054" s="0" t="n">
        <v>6053</v>
      </c>
      <c r="B6054" s="14" t="n">
        <v>104810.658717181</v>
      </c>
      <c r="C6054" s="15" t="n">
        <v>0.0732505410156698</v>
      </c>
      <c r="D6054" s="14" t="n">
        <f aca="false">Summary!$B$5-B6054</f>
        <v>-4810.6587171814</v>
      </c>
      <c r="E6054" s="15" t="n">
        <f aca="false">B6054/Summary!$B$5-1</f>
        <v>0.048106587171814</v>
      </c>
    </row>
    <row r="6055" customFormat="false" ht="15" hidden="false" customHeight="false" outlineLevel="0" collapsed="false">
      <c r="A6055" s="0" t="n">
        <v>6054</v>
      </c>
      <c r="B6055" s="14" t="n">
        <v>90632.6975296724</v>
      </c>
      <c r="C6055" s="15" t="n">
        <v>0.167665131021475</v>
      </c>
      <c r="D6055" s="14" t="n">
        <f aca="false">Summary!$B$5-B6055</f>
        <v>9367.30247032762</v>
      </c>
      <c r="E6055" s="15" t="n">
        <f aca="false">B6055/Summary!$B$5-1</f>
        <v>-0.0936730247032762</v>
      </c>
    </row>
    <row r="6056" customFormat="false" ht="15" hidden="false" customHeight="false" outlineLevel="0" collapsed="false">
      <c r="A6056" s="0" t="n">
        <v>6055</v>
      </c>
      <c r="B6056" s="14" t="n">
        <v>104385.44438313</v>
      </c>
      <c r="C6056" s="15" t="n">
        <v>0.110611223999947</v>
      </c>
      <c r="D6056" s="14" t="n">
        <f aca="false">Summary!$B$5-B6056</f>
        <v>-4385.44438312951</v>
      </c>
      <c r="E6056" s="15" t="n">
        <f aca="false">B6056/Summary!$B$5-1</f>
        <v>0.0438544438312951</v>
      </c>
    </row>
    <row r="6057" customFormat="false" ht="15" hidden="false" customHeight="false" outlineLevel="0" collapsed="false">
      <c r="A6057" s="0" t="n">
        <v>6056</v>
      </c>
      <c r="B6057" s="14" t="n">
        <v>121040.38625154</v>
      </c>
      <c r="C6057" s="15" t="n">
        <v>0.0658083133116824</v>
      </c>
      <c r="D6057" s="14" t="n">
        <f aca="false">Summary!$B$5-B6057</f>
        <v>-21040.38625154</v>
      </c>
      <c r="E6057" s="15" t="n">
        <f aca="false">B6057/Summary!$B$5-1</f>
        <v>0.2104038625154</v>
      </c>
    </row>
    <row r="6058" customFormat="false" ht="15" hidden="false" customHeight="false" outlineLevel="0" collapsed="false">
      <c r="A6058" s="0" t="n">
        <v>6057</v>
      </c>
      <c r="B6058" s="14" t="n">
        <v>101391.839032287</v>
      </c>
      <c r="C6058" s="15" t="n">
        <v>0.072954324343362</v>
      </c>
      <c r="D6058" s="14" t="n">
        <f aca="false">Summary!$B$5-B6058</f>
        <v>-1391.8390322873</v>
      </c>
      <c r="E6058" s="15" t="n">
        <f aca="false">B6058/Summary!$B$5-1</f>
        <v>0.013918390322873</v>
      </c>
    </row>
    <row r="6059" customFormat="false" ht="15" hidden="false" customHeight="false" outlineLevel="0" collapsed="false">
      <c r="A6059" s="0" t="n">
        <v>6058</v>
      </c>
      <c r="B6059" s="14" t="n">
        <v>117278.89522676</v>
      </c>
      <c r="C6059" s="15" t="n">
        <v>0.0623140836589825</v>
      </c>
      <c r="D6059" s="14" t="n">
        <f aca="false">Summary!$B$5-B6059</f>
        <v>-17278.8952267603</v>
      </c>
      <c r="E6059" s="15" t="n">
        <f aca="false">B6059/Summary!$B$5-1</f>
        <v>0.172788952267603</v>
      </c>
    </row>
    <row r="6060" customFormat="false" ht="15" hidden="false" customHeight="false" outlineLevel="0" collapsed="false">
      <c r="A6060" s="0" t="n">
        <v>6059</v>
      </c>
      <c r="B6060" s="14" t="n">
        <v>111545.530137227</v>
      </c>
      <c r="C6060" s="15" t="n">
        <v>0.109549872573326</v>
      </c>
      <c r="D6060" s="14" t="n">
        <f aca="false">Summary!$B$5-B6060</f>
        <v>-11545.5301372271</v>
      </c>
      <c r="E6060" s="15" t="n">
        <f aca="false">B6060/Summary!$B$5-1</f>
        <v>0.115455301372271</v>
      </c>
    </row>
    <row r="6061" customFormat="false" ht="15" hidden="false" customHeight="false" outlineLevel="0" collapsed="false">
      <c r="A6061" s="0" t="n">
        <v>6060</v>
      </c>
      <c r="B6061" s="14" t="n">
        <v>110307.112405343</v>
      </c>
      <c r="C6061" s="15" t="n">
        <v>0.0642623098008731</v>
      </c>
      <c r="D6061" s="14" t="n">
        <f aca="false">Summary!$B$5-B6061</f>
        <v>-10307.1124053431</v>
      </c>
      <c r="E6061" s="15" t="n">
        <f aca="false">B6061/Summary!$B$5-1</f>
        <v>0.103071124053431</v>
      </c>
    </row>
    <row r="6062" customFormat="false" ht="15" hidden="false" customHeight="false" outlineLevel="0" collapsed="false">
      <c r="A6062" s="0" t="n">
        <v>6061</v>
      </c>
      <c r="B6062" s="14" t="n">
        <v>115744.014997686</v>
      </c>
      <c r="C6062" s="15" t="n">
        <v>0.0967579763042401</v>
      </c>
      <c r="D6062" s="14" t="n">
        <f aca="false">Summary!$B$5-B6062</f>
        <v>-15744.0149976855</v>
      </c>
      <c r="E6062" s="15" t="n">
        <f aca="false">B6062/Summary!$B$5-1</f>
        <v>0.157440149976855</v>
      </c>
    </row>
    <row r="6063" customFormat="false" ht="15" hidden="false" customHeight="false" outlineLevel="0" collapsed="false">
      <c r="A6063" s="0" t="n">
        <v>6062</v>
      </c>
      <c r="B6063" s="14" t="n">
        <v>104073.299668398</v>
      </c>
      <c r="C6063" s="15" t="n">
        <v>0.117363250633002</v>
      </c>
      <c r="D6063" s="14" t="n">
        <f aca="false">Summary!$B$5-B6063</f>
        <v>-4073.2996683978</v>
      </c>
      <c r="E6063" s="15" t="n">
        <f aca="false">B6063/Summary!$B$5-1</f>
        <v>0.040732996683978</v>
      </c>
    </row>
    <row r="6064" customFormat="false" ht="15" hidden="false" customHeight="false" outlineLevel="0" collapsed="false">
      <c r="A6064" s="0" t="n">
        <v>6063</v>
      </c>
      <c r="B6064" s="14" t="n">
        <v>95350.3753900778</v>
      </c>
      <c r="C6064" s="15" t="n">
        <v>0.119966052358611</v>
      </c>
      <c r="D6064" s="14" t="n">
        <f aca="false">Summary!$B$5-B6064</f>
        <v>4649.62460992216</v>
      </c>
      <c r="E6064" s="15" t="n">
        <f aca="false">B6064/Summary!$B$5-1</f>
        <v>-0.0464962460992217</v>
      </c>
    </row>
    <row r="6065" customFormat="false" ht="15" hidden="false" customHeight="false" outlineLevel="0" collapsed="false">
      <c r="A6065" s="0" t="n">
        <v>6064</v>
      </c>
      <c r="B6065" s="14" t="n">
        <v>110209.076767616</v>
      </c>
      <c r="C6065" s="15" t="n">
        <v>0.127727769787319</v>
      </c>
      <c r="D6065" s="14" t="n">
        <f aca="false">Summary!$B$5-B6065</f>
        <v>-10209.0767676155</v>
      </c>
      <c r="E6065" s="15" t="n">
        <f aca="false">B6065/Summary!$B$5-1</f>
        <v>0.102090767676155</v>
      </c>
    </row>
    <row r="6066" customFormat="false" ht="15" hidden="false" customHeight="false" outlineLevel="0" collapsed="false">
      <c r="A6066" s="0" t="n">
        <v>6065</v>
      </c>
      <c r="B6066" s="14" t="n">
        <v>91337.8689484426</v>
      </c>
      <c r="C6066" s="15" t="n">
        <v>0.123724124737814</v>
      </c>
      <c r="D6066" s="14" t="n">
        <f aca="false">Summary!$B$5-B6066</f>
        <v>8662.1310515574</v>
      </c>
      <c r="E6066" s="15" t="n">
        <f aca="false">B6066/Summary!$B$5-1</f>
        <v>-0.086621310515574</v>
      </c>
    </row>
    <row r="6067" customFormat="false" ht="15" hidden="false" customHeight="false" outlineLevel="0" collapsed="false">
      <c r="A6067" s="0" t="n">
        <v>6066</v>
      </c>
      <c r="B6067" s="14" t="n">
        <v>100429.089020226</v>
      </c>
      <c r="C6067" s="15" t="n">
        <v>0.103712979481195</v>
      </c>
      <c r="D6067" s="14" t="n">
        <f aca="false">Summary!$B$5-B6067</f>
        <v>-429.089020225598</v>
      </c>
      <c r="E6067" s="15" t="n">
        <f aca="false">B6067/Summary!$B$5-1</f>
        <v>0.00429089020225604</v>
      </c>
    </row>
    <row r="6068" customFormat="false" ht="15" hidden="false" customHeight="false" outlineLevel="0" collapsed="false">
      <c r="A6068" s="0" t="n">
        <v>6067</v>
      </c>
      <c r="B6068" s="14" t="n">
        <v>119891.156697137</v>
      </c>
      <c r="C6068" s="15" t="n">
        <v>0.0541278429432118</v>
      </c>
      <c r="D6068" s="14" t="n">
        <f aca="false">Summary!$B$5-B6068</f>
        <v>-19891.1566971373</v>
      </c>
      <c r="E6068" s="15" t="n">
        <f aca="false">B6068/Summary!$B$5-1</f>
        <v>0.198911566971373</v>
      </c>
    </row>
    <row r="6069" customFormat="false" ht="15" hidden="false" customHeight="false" outlineLevel="0" collapsed="false">
      <c r="A6069" s="0" t="n">
        <v>6068</v>
      </c>
      <c r="B6069" s="14" t="n">
        <v>120164.229787643</v>
      </c>
      <c r="C6069" s="15" t="n">
        <v>0.0941774848481286</v>
      </c>
      <c r="D6069" s="14" t="n">
        <f aca="false">Summary!$B$5-B6069</f>
        <v>-20164.2297876431</v>
      </c>
      <c r="E6069" s="15" t="n">
        <f aca="false">B6069/Summary!$B$5-1</f>
        <v>0.201642297876431</v>
      </c>
    </row>
    <row r="6070" customFormat="false" ht="15" hidden="false" customHeight="false" outlineLevel="0" collapsed="false">
      <c r="A6070" s="0" t="n">
        <v>6069</v>
      </c>
      <c r="B6070" s="14" t="n">
        <v>127892.590709928</v>
      </c>
      <c r="C6070" s="15" t="n">
        <v>0.0970432310153646</v>
      </c>
      <c r="D6070" s="14" t="n">
        <f aca="false">Summary!$B$5-B6070</f>
        <v>-27892.5907099279</v>
      </c>
      <c r="E6070" s="15" t="n">
        <f aca="false">B6070/Summary!$B$5-1</f>
        <v>0.278925907099279</v>
      </c>
    </row>
    <row r="6071" customFormat="false" ht="15" hidden="false" customHeight="false" outlineLevel="0" collapsed="false">
      <c r="A6071" s="0" t="n">
        <v>6070</v>
      </c>
      <c r="B6071" s="14" t="n">
        <v>92981.3530778493</v>
      </c>
      <c r="C6071" s="15" t="n">
        <v>0.166407249767812</v>
      </c>
      <c r="D6071" s="14" t="n">
        <f aca="false">Summary!$B$5-B6071</f>
        <v>7018.64692215074</v>
      </c>
      <c r="E6071" s="15" t="n">
        <f aca="false">B6071/Summary!$B$5-1</f>
        <v>-0.0701864692215074</v>
      </c>
    </row>
    <row r="6072" customFormat="false" ht="15" hidden="false" customHeight="false" outlineLevel="0" collapsed="false">
      <c r="A6072" s="0" t="n">
        <v>6071</v>
      </c>
      <c r="B6072" s="14" t="n">
        <v>107067.439462085</v>
      </c>
      <c r="C6072" s="15" t="n">
        <v>0.0761381181708671</v>
      </c>
      <c r="D6072" s="14" t="n">
        <f aca="false">Summary!$B$5-B6072</f>
        <v>-7067.4394620845</v>
      </c>
      <c r="E6072" s="15" t="n">
        <f aca="false">B6072/Summary!$B$5-1</f>
        <v>0.070674394620845</v>
      </c>
    </row>
    <row r="6073" customFormat="false" ht="15" hidden="false" customHeight="false" outlineLevel="0" collapsed="false">
      <c r="A6073" s="0" t="n">
        <v>6072</v>
      </c>
      <c r="B6073" s="14" t="n">
        <v>106259.719949971</v>
      </c>
      <c r="C6073" s="15" t="n">
        <v>0.0895035162999854</v>
      </c>
      <c r="D6073" s="14" t="n">
        <f aca="false">Summary!$B$5-B6073</f>
        <v>-6259.7199499705</v>
      </c>
      <c r="E6073" s="15" t="n">
        <f aca="false">B6073/Summary!$B$5-1</f>
        <v>0.062597199499705</v>
      </c>
    </row>
    <row r="6074" customFormat="false" ht="15" hidden="false" customHeight="false" outlineLevel="0" collapsed="false">
      <c r="A6074" s="0" t="n">
        <v>6073</v>
      </c>
      <c r="B6074" s="14" t="n">
        <v>98252.4784989456</v>
      </c>
      <c r="C6074" s="15" t="n">
        <v>0.103701145929572</v>
      </c>
      <c r="D6074" s="14" t="n">
        <f aca="false">Summary!$B$5-B6074</f>
        <v>1747.52150105436</v>
      </c>
      <c r="E6074" s="15" t="n">
        <f aca="false">B6074/Summary!$B$5-1</f>
        <v>-0.0174752150105436</v>
      </c>
    </row>
    <row r="6075" customFormat="false" ht="15" hidden="false" customHeight="false" outlineLevel="0" collapsed="false">
      <c r="A6075" s="0" t="n">
        <v>6074</v>
      </c>
      <c r="B6075" s="14" t="n">
        <v>132040.988291821</v>
      </c>
      <c r="C6075" s="15" t="n">
        <v>0.0863242670026124</v>
      </c>
      <c r="D6075" s="14" t="n">
        <f aca="false">Summary!$B$5-B6075</f>
        <v>-32040.9882918206</v>
      </c>
      <c r="E6075" s="15" t="n">
        <f aca="false">B6075/Summary!$B$5-1</f>
        <v>0.320409882918206</v>
      </c>
    </row>
    <row r="6076" customFormat="false" ht="15" hidden="false" customHeight="false" outlineLevel="0" collapsed="false">
      <c r="A6076" s="0" t="n">
        <v>6075</v>
      </c>
      <c r="B6076" s="14" t="n">
        <v>136730.610371229</v>
      </c>
      <c r="C6076" s="15" t="n">
        <v>0.0559770187713533</v>
      </c>
      <c r="D6076" s="14" t="n">
        <f aca="false">Summary!$B$5-B6076</f>
        <v>-36730.610371229</v>
      </c>
      <c r="E6076" s="15" t="n">
        <f aca="false">B6076/Summary!$B$5-1</f>
        <v>0.36730610371229</v>
      </c>
    </row>
    <row r="6077" customFormat="false" ht="15" hidden="false" customHeight="false" outlineLevel="0" collapsed="false">
      <c r="A6077" s="0" t="n">
        <v>6076</v>
      </c>
      <c r="B6077" s="14" t="n">
        <v>90816.092921516</v>
      </c>
      <c r="C6077" s="15" t="n">
        <v>0.176314488919187</v>
      </c>
      <c r="D6077" s="14" t="n">
        <f aca="false">Summary!$B$5-B6077</f>
        <v>9183.90707848402</v>
      </c>
      <c r="E6077" s="15" t="n">
        <f aca="false">B6077/Summary!$B$5-1</f>
        <v>-0.0918390707848401</v>
      </c>
    </row>
    <row r="6078" customFormat="false" ht="15" hidden="false" customHeight="false" outlineLevel="0" collapsed="false">
      <c r="A6078" s="0" t="n">
        <v>6077</v>
      </c>
      <c r="B6078" s="14" t="n">
        <v>99040.0443420404</v>
      </c>
      <c r="C6078" s="15" t="n">
        <v>0.0813599052087879</v>
      </c>
      <c r="D6078" s="14" t="n">
        <f aca="false">Summary!$B$5-B6078</f>
        <v>959.955657959654</v>
      </c>
      <c r="E6078" s="15" t="n">
        <f aca="false">B6078/Summary!$B$5-1</f>
        <v>-0.00959955657959655</v>
      </c>
    </row>
    <row r="6079" customFormat="false" ht="15" hidden="false" customHeight="false" outlineLevel="0" collapsed="false">
      <c r="A6079" s="0" t="n">
        <v>6078</v>
      </c>
      <c r="B6079" s="14" t="n">
        <v>114328.302731749</v>
      </c>
      <c r="C6079" s="15" t="n">
        <v>0.04222918568093</v>
      </c>
      <c r="D6079" s="14" t="n">
        <f aca="false">Summary!$B$5-B6079</f>
        <v>-14328.3027317489</v>
      </c>
      <c r="E6079" s="15" t="n">
        <f aca="false">B6079/Summary!$B$5-1</f>
        <v>0.143283027317489</v>
      </c>
    </row>
    <row r="6080" customFormat="false" ht="15" hidden="false" customHeight="false" outlineLevel="0" collapsed="false">
      <c r="A6080" s="0" t="n">
        <v>6079</v>
      </c>
      <c r="B6080" s="14" t="n">
        <v>88614.2489230354</v>
      </c>
      <c r="C6080" s="15" t="n">
        <v>0.152599027475904</v>
      </c>
      <c r="D6080" s="14" t="n">
        <f aca="false">Summary!$B$5-B6080</f>
        <v>11385.7510769646</v>
      </c>
      <c r="E6080" s="15" t="n">
        <f aca="false">B6080/Summary!$B$5-1</f>
        <v>-0.113857510769646</v>
      </c>
    </row>
    <row r="6081" customFormat="false" ht="15" hidden="false" customHeight="false" outlineLevel="0" collapsed="false">
      <c r="A6081" s="0" t="n">
        <v>6080</v>
      </c>
      <c r="B6081" s="14" t="n">
        <v>125998.161648929</v>
      </c>
      <c r="C6081" s="15" t="n">
        <v>0.0894290115996943</v>
      </c>
      <c r="D6081" s="14" t="n">
        <f aca="false">Summary!$B$5-B6081</f>
        <v>-25998.1616489293</v>
      </c>
      <c r="E6081" s="15" t="n">
        <f aca="false">B6081/Summary!$B$5-1</f>
        <v>0.259981616489293</v>
      </c>
    </row>
    <row r="6082" customFormat="false" ht="15" hidden="false" customHeight="false" outlineLevel="0" collapsed="false">
      <c r="A6082" s="0" t="n">
        <v>6081</v>
      </c>
      <c r="B6082" s="14" t="n">
        <v>108556.828268206</v>
      </c>
      <c r="C6082" s="15" t="n">
        <v>0.0567040297581962</v>
      </c>
      <c r="D6082" s="14" t="n">
        <f aca="false">Summary!$B$5-B6082</f>
        <v>-8556.8282682056</v>
      </c>
      <c r="E6082" s="15" t="n">
        <f aca="false">B6082/Summary!$B$5-1</f>
        <v>0.0855682826820561</v>
      </c>
    </row>
    <row r="6083" customFormat="false" ht="15" hidden="false" customHeight="false" outlineLevel="0" collapsed="false">
      <c r="A6083" s="0" t="n">
        <v>6082</v>
      </c>
      <c r="B6083" s="14" t="n">
        <v>131730.365508051</v>
      </c>
      <c r="C6083" s="15" t="n">
        <v>0.0622265053278615</v>
      </c>
      <c r="D6083" s="14" t="n">
        <f aca="false">Summary!$B$5-B6083</f>
        <v>-31730.3655080509</v>
      </c>
      <c r="E6083" s="15" t="n">
        <f aca="false">B6083/Summary!$B$5-1</f>
        <v>0.317303655080509</v>
      </c>
    </row>
    <row r="6084" customFormat="false" ht="15" hidden="false" customHeight="false" outlineLevel="0" collapsed="false">
      <c r="A6084" s="0" t="n">
        <v>6083</v>
      </c>
      <c r="B6084" s="14" t="n">
        <v>128982.084142571</v>
      </c>
      <c r="C6084" s="15" t="n">
        <v>0.063893308907879</v>
      </c>
      <c r="D6084" s="14" t="n">
        <f aca="false">Summary!$B$5-B6084</f>
        <v>-28982.0841425712</v>
      </c>
      <c r="E6084" s="15" t="n">
        <f aca="false">B6084/Summary!$B$5-1</f>
        <v>0.289820841425712</v>
      </c>
    </row>
    <row r="6085" customFormat="false" ht="15" hidden="false" customHeight="false" outlineLevel="0" collapsed="false">
      <c r="A6085" s="0" t="n">
        <v>6084</v>
      </c>
      <c r="B6085" s="14" t="n">
        <v>121744.692127427</v>
      </c>
      <c r="C6085" s="15" t="n">
        <v>0.0837814251380122</v>
      </c>
      <c r="D6085" s="14" t="n">
        <f aca="false">Summary!$B$5-B6085</f>
        <v>-21744.6921274272</v>
      </c>
      <c r="E6085" s="15" t="n">
        <f aca="false">B6085/Summary!$B$5-1</f>
        <v>0.217446921274272</v>
      </c>
    </row>
    <row r="6086" customFormat="false" ht="15" hidden="false" customHeight="false" outlineLevel="0" collapsed="false">
      <c r="A6086" s="0" t="n">
        <v>6085</v>
      </c>
      <c r="B6086" s="14" t="n">
        <v>110983.54076993</v>
      </c>
      <c r="C6086" s="15" t="n">
        <v>0.0527632798131585</v>
      </c>
      <c r="D6086" s="14" t="n">
        <f aca="false">Summary!$B$5-B6086</f>
        <v>-10983.5407699297</v>
      </c>
      <c r="E6086" s="15" t="n">
        <f aca="false">B6086/Summary!$B$5-1</f>
        <v>0.109835407699297</v>
      </c>
    </row>
    <row r="6087" customFormat="false" ht="15" hidden="false" customHeight="false" outlineLevel="0" collapsed="false">
      <c r="A6087" s="0" t="n">
        <v>6086</v>
      </c>
      <c r="B6087" s="14" t="n">
        <v>79099.2158011752</v>
      </c>
      <c r="C6087" s="15" t="n">
        <v>0.233962722411704</v>
      </c>
      <c r="D6087" s="14" t="n">
        <f aca="false">Summary!$B$5-B6087</f>
        <v>20900.7841988248</v>
      </c>
      <c r="E6087" s="15" t="n">
        <f aca="false">B6087/Summary!$B$5-1</f>
        <v>-0.209007841988248</v>
      </c>
    </row>
    <row r="6088" customFormat="false" ht="15" hidden="false" customHeight="false" outlineLevel="0" collapsed="false">
      <c r="A6088" s="0" t="n">
        <v>6087</v>
      </c>
      <c r="B6088" s="14" t="n">
        <v>117950.334987235</v>
      </c>
      <c r="C6088" s="15" t="n">
        <v>0.0864756469071817</v>
      </c>
      <c r="D6088" s="14" t="n">
        <f aca="false">Summary!$B$5-B6088</f>
        <v>-17950.3349872352</v>
      </c>
      <c r="E6088" s="15" t="n">
        <f aca="false">B6088/Summary!$B$5-1</f>
        <v>0.179503349872352</v>
      </c>
    </row>
    <row r="6089" customFormat="false" ht="15" hidden="false" customHeight="false" outlineLevel="0" collapsed="false">
      <c r="A6089" s="0" t="n">
        <v>6088</v>
      </c>
      <c r="B6089" s="14" t="n">
        <v>128035.222639629</v>
      </c>
      <c r="C6089" s="15" t="n">
        <v>0.0568472843927679</v>
      </c>
      <c r="D6089" s="14" t="n">
        <f aca="false">Summary!$B$5-B6089</f>
        <v>-28035.2226396285</v>
      </c>
      <c r="E6089" s="15" t="n">
        <f aca="false">B6089/Summary!$B$5-1</f>
        <v>0.280352226396285</v>
      </c>
    </row>
    <row r="6090" customFormat="false" ht="15" hidden="false" customHeight="false" outlineLevel="0" collapsed="false">
      <c r="A6090" s="0" t="n">
        <v>6089</v>
      </c>
      <c r="B6090" s="14" t="n">
        <v>80022.1477180036</v>
      </c>
      <c r="C6090" s="15" t="n">
        <v>0.223106423663062</v>
      </c>
      <c r="D6090" s="14" t="n">
        <f aca="false">Summary!$B$5-B6090</f>
        <v>19977.8522819964</v>
      </c>
      <c r="E6090" s="15" t="n">
        <f aca="false">B6090/Summary!$B$5-1</f>
        <v>-0.199778522819964</v>
      </c>
    </row>
    <row r="6091" customFormat="false" ht="15" hidden="false" customHeight="false" outlineLevel="0" collapsed="false">
      <c r="A6091" s="0" t="n">
        <v>6090</v>
      </c>
      <c r="B6091" s="14" t="n">
        <v>102420.695785814</v>
      </c>
      <c r="C6091" s="15" t="n">
        <v>0.113744366344773</v>
      </c>
      <c r="D6091" s="14" t="n">
        <f aca="false">Summary!$B$5-B6091</f>
        <v>-2420.6957858136</v>
      </c>
      <c r="E6091" s="15" t="n">
        <f aca="false">B6091/Summary!$B$5-1</f>
        <v>0.0242069578581361</v>
      </c>
    </row>
    <row r="6092" customFormat="false" ht="15" hidden="false" customHeight="false" outlineLevel="0" collapsed="false">
      <c r="A6092" s="0" t="n">
        <v>6091</v>
      </c>
      <c r="B6092" s="14" t="n">
        <v>88823.3919892838</v>
      </c>
      <c r="C6092" s="15" t="n">
        <v>0.186101559494495</v>
      </c>
      <c r="D6092" s="14" t="n">
        <f aca="false">Summary!$B$5-B6092</f>
        <v>11176.6080107162</v>
      </c>
      <c r="E6092" s="15" t="n">
        <f aca="false">B6092/Summary!$B$5-1</f>
        <v>-0.111766080107162</v>
      </c>
    </row>
    <row r="6093" customFormat="false" ht="15" hidden="false" customHeight="false" outlineLevel="0" collapsed="false">
      <c r="A6093" s="0" t="n">
        <v>6092</v>
      </c>
      <c r="B6093" s="14" t="n">
        <v>109512.400743552</v>
      </c>
      <c r="C6093" s="15" t="n">
        <v>0.0799164551938906</v>
      </c>
      <c r="D6093" s="14" t="n">
        <f aca="false">Summary!$B$5-B6093</f>
        <v>-9512.40074355211</v>
      </c>
      <c r="E6093" s="15" t="n">
        <f aca="false">B6093/Summary!$B$5-1</f>
        <v>0.0951240074355211</v>
      </c>
    </row>
    <row r="6094" customFormat="false" ht="15" hidden="false" customHeight="false" outlineLevel="0" collapsed="false">
      <c r="A6094" s="0" t="n">
        <v>6093</v>
      </c>
      <c r="B6094" s="14" t="n">
        <v>111851.483525624</v>
      </c>
      <c r="C6094" s="15" t="n">
        <v>0.0584914866669741</v>
      </c>
      <c r="D6094" s="14" t="n">
        <f aca="false">Summary!$B$5-B6094</f>
        <v>-11851.4835256236</v>
      </c>
      <c r="E6094" s="15" t="n">
        <f aca="false">B6094/Summary!$B$5-1</f>
        <v>0.118514835256236</v>
      </c>
    </row>
    <row r="6095" customFormat="false" ht="15" hidden="false" customHeight="false" outlineLevel="0" collapsed="false">
      <c r="A6095" s="0" t="n">
        <v>6094</v>
      </c>
      <c r="B6095" s="14" t="n">
        <v>118894.756917615</v>
      </c>
      <c r="C6095" s="15" t="n">
        <v>0.0642968011881292</v>
      </c>
      <c r="D6095" s="14" t="n">
        <f aca="false">Summary!$B$5-B6095</f>
        <v>-18894.7569176148</v>
      </c>
      <c r="E6095" s="15" t="n">
        <f aca="false">B6095/Summary!$B$5-1</f>
        <v>0.188947569176148</v>
      </c>
    </row>
    <row r="6096" customFormat="false" ht="15" hidden="false" customHeight="false" outlineLevel="0" collapsed="false">
      <c r="A6096" s="0" t="n">
        <v>6095</v>
      </c>
      <c r="B6096" s="14" t="n">
        <v>125286.557240321</v>
      </c>
      <c r="C6096" s="15" t="n">
        <v>0.0650154783214945</v>
      </c>
      <c r="D6096" s="14" t="n">
        <f aca="false">Summary!$B$5-B6096</f>
        <v>-25286.557240321</v>
      </c>
      <c r="E6096" s="15" t="n">
        <f aca="false">B6096/Summary!$B$5-1</f>
        <v>0.25286557240321</v>
      </c>
    </row>
    <row r="6097" customFormat="false" ht="15" hidden="false" customHeight="false" outlineLevel="0" collapsed="false">
      <c r="A6097" s="0" t="n">
        <v>6096</v>
      </c>
      <c r="B6097" s="14" t="n">
        <v>131475.973750528</v>
      </c>
      <c r="C6097" s="15" t="n">
        <v>0.0450244070425229</v>
      </c>
      <c r="D6097" s="14" t="n">
        <f aca="false">Summary!$B$5-B6097</f>
        <v>-31475.9737505275</v>
      </c>
      <c r="E6097" s="15" t="n">
        <f aca="false">B6097/Summary!$B$5-1</f>
        <v>0.314759737505275</v>
      </c>
    </row>
    <row r="6098" customFormat="false" ht="15" hidden="false" customHeight="false" outlineLevel="0" collapsed="false">
      <c r="A6098" s="0" t="n">
        <v>6097</v>
      </c>
      <c r="B6098" s="14" t="n">
        <v>100915.410679723</v>
      </c>
      <c r="C6098" s="15" t="n">
        <v>0.0796167303401162</v>
      </c>
      <c r="D6098" s="14" t="n">
        <f aca="false">Summary!$B$5-B6098</f>
        <v>-915.410679723296</v>
      </c>
      <c r="E6098" s="15" t="n">
        <f aca="false">B6098/Summary!$B$5-1</f>
        <v>0.00915410679723294</v>
      </c>
    </row>
    <row r="6099" customFormat="false" ht="15" hidden="false" customHeight="false" outlineLevel="0" collapsed="false">
      <c r="A6099" s="0" t="n">
        <v>6098</v>
      </c>
      <c r="B6099" s="14" t="n">
        <v>101617.832082893</v>
      </c>
      <c r="C6099" s="15" t="n">
        <v>0.169260817188282</v>
      </c>
      <c r="D6099" s="14" t="n">
        <f aca="false">Summary!$B$5-B6099</f>
        <v>-1617.8320828928</v>
      </c>
      <c r="E6099" s="15" t="n">
        <f aca="false">B6099/Summary!$B$5-1</f>
        <v>0.0161783208289279</v>
      </c>
    </row>
    <row r="6100" customFormat="false" ht="15" hidden="false" customHeight="false" outlineLevel="0" collapsed="false">
      <c r="A6100" s="0" t="n">
        <v>6099</v>
      </c>
      <c r="B6100" s="14" t="n">
        <v>134145.290077147</v>
      </c>
      <c r="C6100" s="15" t="n">
        <v>0.0717371762320184</v>
      </c>
      <c r="D6100" s="14" t="n">
        <f aca="false">Summary!$B$5-B6100</f>
        <v>-34145.2900771469</v>
      </c>
      <c r="E6100" s="15" t="n">
        <f aca="false">B6100/Summary!$B$5-1</f>
        <v>0.341452900771469</v>
      </c>
    </row>
    <row r="6101" customFormat="false" ht="15" hidden="false" customHeight="false" outlineLevel="0" collapsed="false">
      <c r="A6101" s="0" t="n">
        <v>6100</v>
      </c>
      <c r="B6101" s="14" t="n">
        <v>99703.7264909416</v>
      </c>
      <c r="C6101" s="15" t="n">
        <v>0.127151084043931</v>
      </c>
      <c r="D6101" s="14" t="n">
        <f aca="false">Summary!$B$5-B6101</f>
        <v>296.273509058403</v>
      </c>
      <c r="E6101" s="15" t="n">
        <f aca="false">B6101/Summary!$B$5-1</f>
        <v>-0.00296273509058398</v>
      </c>
    </row>
    <row r="6102" customFormat="false" ht="15" hidden="false" customHeight="false" outlineLevel="0" collapsed="false">
      <c r="A6102" s="0" t="n">
        <v>6101</v>
      </c>
      <c r="B6102" s="14" t="n">
        <v>110631.666225812</v>
      </c>
      <c r="C6102" s="15" t="n">
        <v>0.0606544390049778</v>
      </c>
      <c r="D6102" s="14" t="n">
        <f aca="false">Summary!$B$5-B6102</f>
        <v>-10631.6662258121</v>
      </c>
      <c r="E6102" s="15" t="n">
        <f aca="false">B6102/Summary!$B$5-1</f>
        <v>0.106316662258121</v>
      </c>
    </row>
    <row r="6103" customFormat="false" ht="15" hidden="false" customHeight="false" outlineLevel="0" collapsed="false">
      <c r="A6103" s="0" t="n">
        <v>6102</v>
      </c>
      <c r="B6103" s="14" t="n">
        <v>93710.5711430595</v>
      </c>
      <c r="C6103" s="15" t="n">
        <v>0.159168437975829</v>
      </c>
      <c r="D6103" s="14" t="n">
        <f aca="false">Summary!$B$5-B6103</f>
        <v>6289.42885694055</v>
      </c>
      <c r="E6103" s="15" t="n">
        <f aca="false">B6103/Summary!$B$5-1</f>
        <v>-0.0628942885694055</v>
      </c>
    </row>
    <row r="6104" customFormat="false" ht="15" hidden="false" customHeight="false" outlineLevel="0" collapsed="false">
      <c r="A6104" s="0" t="n">
        <v>6103</v>
      </c>
      <c r="B6104" s="14" t="n">
        <v>124002.844479974</v>
      </c>
      <c r="C6104" s="15" t="n">
        <v>0.0645765201772389</v>
      </c>
      <c r="D6104" s="14" t="n">
        <f aca="false">Summary!$B$5-B6104</f>
        <v>-24002.8444799736</v>
      </c>
      <c r="E6104" s="15" t="n">
        <f aca="false">B6104/Summary!$B$5-1</f>
        <v>0.240028444799736</v>
      </c>
    </row>
    <row r="6105" customFormat="false" ht="15" hidden="false" customHeight="false" outlineLevel="0" collapsed="false">
      <c r="A6105" s="0" t="n">
        <v>6104</v>
      </c>
      <c r="B6105" s="14" t="n">
        <v>118341.80077818</v>
      </c>
      <c r="C6105" s="15" t="n">
        <v>0.0789966062638586</v>
      </c>
      <c r="D6105" s="14" t="n">
        <f aca="false">Summary!$B$5-B6105</f>
        <v>-18341.8007781797</v>
      </c>
      <c r="E6105" s="15" t="n">
        <f aca="false">B6105/Summary!$B$5-1</f>
        <v>0.183418007781797</v>
      </c>
    </row>
    <row r="6106" customFormat="false" ht="15" hidden="false" customHeight="false" outlineLevel="0" collapsed="false">
      <c r="A6106" s="0" t="n">
        <v>6105</v>
      </c>
      <c r="B6106" s="14" t="n">
        <v>96405.5175970838</v>
      </c>
      <c r="C6106" s="15" t="n">
        <v>0.0930709155090832</v>
      </c>
      <c r="D6106" s="14" t="n">
        <f aca="false">Summary!$B$5-B6106</f>
        <v>3594.48240291621</v>
      </c>
      <c r="E6106" s="15" t="n">
        <f aca="false">B6106/Summary!$B$5-1</f>
        <v>-0.0359448240291621</v>
      </c>
    </row>
    <row r="6107" customFormat="false" ht="15" hidden="false" customHeight="false" outlineLevel="0" collapsed="false">
      <c r="A6107" s="0" t="n">
        <v>6106</v>
      </c>
      <c r="B6107" s="14" t="n">
        <v>97025.4362610999</v>
      </c>
      <c r="C6107" s="15" t="n">
        <v>0.0984688867341717</v>
      </c>
      <c r="D6107" s="14" t="n">
        <f aca="false">Summary!$B$5-B6107</f>
        <v>2974.56373890012</v>
      </c>
      <c r="E6107" s="15" t="n">
        <f aca="false">B6107/Summary!$B$5-1</f>
        <v>-0.0297456373890012</v>
      </c>
    </row>
    <row r="6108" customFormat="false" ht="15" hidden="false" customHeight="false" outlineLevel="0" collapsed="false">
      <c r="A6108" s="0" t="n">
        <v>6107</v>
      </c>
      <c r="B6108" s="14" t="n">
        <v>121282.876728828</v>
      </c>
      <c r="C6108" s="15" t="n">
        <v>0.0962739831929057</v>
      </c>
      <c r="D6108" s="14" t="n">
        <f aca="false">Summary!$B$5-B6108</f>
        <v>-21282.8767288275</v>
      </c>
      <c r="E6108" s="15" t="n">
        <f aca="false">B6108/Summary!$B$5-1</f>
        <v>0.212828767288275</v>
      </c>
    </row>
    <row r="6109" customFormat="false" ht="15" hidden="false" customHeight="false" outlineLevel="0" collapsed="false">
      <c r="A6109" s="0" t="n">
        <v>6108</v>
      </c>
      <c r="B6109" s="14" t="n">
        <v>120036.922345728</v>
      </c>
      <c r="C6109" s="15" t="n">
        <v>0.0806549064695193</v>
      </c>
      <c r="D6109" s="14" t="n">
        <f aca="false">Summary!$B$5-B6109</f>
        <v>-20036.9223457279</v>
      </c>
      <c r="E6109" s="15" t="n">
        <f aca="false">B6109/Summary!$B$5-1</f>
        <v>0.200369223457279</v>
      </c>
    </row>
    <row r="6110" customFormat="false" ht="15" hidden="false" customHeight="false" outlineLevel="0" collapsed="false">
      <c r="A6110" s="0" t="n">
        <v>6109</v>
      </c>
      <c r="B6110" s="14" t="n">
        <v>111417.824489587</v>
      </c>
      <c r="C6110" s="15" t="n">
        <v>0.0740001191076608</v>
      </c>
      <c r="D6110" s="14" t="n">
        <f aca="false">Summary!$B$5-B6110</f>
        <v>-11417.8244895868</v>
      </c>
      <c r="E6110" s="15" t="n">
        <f aca="false">B6110/Summary!$B$5-1</f>
        <v>0.114178244895868</v>
      </c>
    </row>
    <row r="6111" customFormat="false" ht="15" hidden="false" customHeight="false" outlineLevel="0" collapsed="false">
      <c r="A6111" s="0" t="n">
        <v>6110</v>
      </c>
      <c r="B6111" s="14" t="n">
        <v>127336.854961297</v>
      </c>
      <c r="C6111" s="15" t="n">
        <v>0.0576218388716914</v>
      </c>
      <c r="D6111" s="14" t="n">
        <f aca="false">Summary!$B$5-B6111</f>
        <v>-27336.8549612973</v>
      </c>
      <c r="E6111" s="15" t="n">
        <f aca="false">B6111/Summary!$B$5-1</f>
        <v>0.273368549612973</v>
      </c>
    </row>
    <row r="6112" customFormat="false" ht="15" hidden="false" customHeight="false" outlineLevel="0" collapsed="false">
      <c r="A6112" s="0" t="n">
        <v>6111</v>
      </c>
      <c r="B6112" s="14" t="n">
        <v>96791.3914839575</v>
      </c>
      <c r="C6112" s="15" t="n">
        <v>0.158662333644746</v>
      </c>
      <c r="D6112" s="14" t="n">
        <f aca="false">Summary!$B$5-B6112</f>
        <v>3208.60851604248</v>
      </c>
      <c r="E6112" s="15" t="n">
        <f aca="false">B6112/Summary!$B$5-1</f>
        <v>-0.0320860851604249</v>
      </c>
    </row>
    <row r="6113" customFormat="false" ht="15" hidden="false" customHeight="false" outlineLevel="0" collapsed="false">
      <c r="A6113" s="0" t="n">
        <v>6112</v>
      </c>
      <c r="B6113" s="14" t="n">
        <v>99351.9681366648</v>
      </c>
      <c r="C6113" s="15" t="n">
        <v>0.159493970806288</v>
      </c>
      <c r="D6113" s="14" t="n">
        <f aca="false">Summary!$B$5-B6113</f>
        <v>648.0318633352</v>
      </c>
      <c r="E6113" s="15" t="n">
        <f aca="false">B6113/Summary!$B$5-1</f>
        <v>-0.00648031863335197</v>
      </c>
    </row>
    <row r="6114" customFormat="false" ht="15" hidden="false" customHeight="false" outlineLevel="0" collapsed="false">
      <c r="A6114" s="0" t="n">
        <v>6113</v>
      </c>
      <c r="B6114" s="14" t="n">
        <v>109772.872982766</v>
      </c>
      <c r="C6114" s="15" t="n">
        <v>0.0741632819230874</v>
      </c>
      <c r="D6114" s="14" t="n">
        <f aca="false">Summary!$B$5-B6114</f>
        <v>-9772.8729827661</v>
      </c>
      <c r="E6114" s="15" t="n">
        <f aca="false">B6114/Summary!$B$5-1</f>
        <v>0.097728729827661</v>
      </c>
    </row>
    <row r="6115" customFormat="false" ht="15" hidden="false" customHeight="false" outlineLevel="0" collapsed="false">
      <c r="A6115" s="0" t="n">
        <v>6114</v>
      </c>
      <c r="B6115" s="14" t="n">
        <v>115542.947430008</v>
      </c>
      <c r="C6115" s="15" t="n">
        <v>0.104025293206765</v>
      </c>
      <c r="D6115" s="14" t="n">
        <f aca="false">Summary!$B$5-B6115</f>
        <v>-15542.9474300084</v>
      </c>
      <c r="E6115" s="15" t="n">
        <f aca="false">B6115/Summary!$B$5-1</f>
        <v>0.155429474300084</v>
      </c>
    </row>
    <row r="6116" customFormat="false" ht="15" hidden="false" customHeight="false" outlineLevel="0" collapsed="false">
      <c r="A6116" s="0" t="n">
        <v>6115</v>
      </c>
      <c r="B6116" s="14" t="n">
        <v>92002.1986814819</v>
      </c>
      <c r="C6116" s="15" t="n">
        <v>0.128721534852751</v>
      </c>
      <c r="D6116" s="14" t="n">
        <f aca="false">Summary!$B$5-B6116</f>
        <v>7997.80131851806</v>
      </c>
      <c r="E6116" s="15" t="n">
        <f aca="false">B6116/Summary!$B$5-1</f>
        <v>-0.0799780131851806</v>
      </c>
    </row>
    <row r="6117" customFormat="false" ht="15" hidden="false" customHeight="false" outlineLevel="0" collapsed="false">
      <c r="A6117" s="0" t="n">
        <v>6116</v>
      </c>
      <c r="B6117" s="14" t="n">
        <v>94096.4531679944</v>
      </c>
      <c r="C6117" s="15" t="n">
        <v>0.167938913099414</v>
      </c>
      <c r="D6117" s="14" t="n">
        <f aca="false">Summary!$B$5-B6117</f>
        <v>5903.54683200562</v>
      </c>
      <c r="E6117" s="15" t="n">
        <f aca="false">B6117/Summary!$B$5-1</f>
        <v>-0.0590354683200562</v>
      </c>
    </row>
    <row r="6118" customFormat="false" ht="15" hidden="false" customHeight="false" outlineLevel="0" collapsed="false">
      <c r="A6118" s="0" t="n">
        <v>6117</v>
      </c>
      <c r="B6118" s="14" t="n">
        <v>129472.175752204</v>
      </c>
      <c r="C6118" s="15" t="n">
        <v>0.0600725312257814</v>
      </c>
      <c r="D6118" s="14" t="n">
        <f aca="false">Summary!$B$5-B6118</f>
        <v>-29472.1757522038</v>
      </c>
      <c r="E6118" s="15" t="n">
        <f aca="false">B6118/Summary!$B$5-1</f>
        <v>0.294721757522038</v>
      </c>
    </row>
    <row r="6119" customFormat="false" ht="15" hidden="false" customHeight="false" outlineLevel="0" collapsed="false">
      <c r="A6119" s="0" t="n">
        <v>6118</v>
      </c>
      <c r="B6119" s="14" t="n">
        <v>128961.573551939</v>
      </c>
      <c r="C6119" s="15" t="n">
        <v>0.0660858969799101</v>
      </c>
      <c r="D6119" s="14" t="n">
        <f aca="false">Summary!$B$5-B6119</f>
        <v>-28961.5735519387</v>
      </c>
      <c r="E6119" s="15" t="n">
        <f aca="false">B6119/Summary!$B$5-1</f>
        <v>0.289615735519387</v>
      </c>
    </row>
    <row r="6120" customFormat="false" ht="15" hidden="false" customHeight="false" outlineLevel="0" collapsed="false">
      <c r="A6120" s="0" t="n">
        <v>6119</v>
      </c>
      <c r="B6120" s="14" t="n">
        <v>114566.18648095</v>
      </c>
      <c r="C6120" s="15" t="n">
        <v>0.0640210179966798</v>
      </c>
      <c r="D6120" s="14" t="n">
        <f aca="false">Summary!$B$5-B6120</f>
        <v>-14566.18648095</v>
      </c>
      <c r="E6120" s="15" t="n">
        <f aca="false">B6120/Summary!$B$5-1</f>
        <v>0.1456618648095</v>
      </c>
    </row>
    <row r="6121" customFormat="false" ht="15" hidden="false" customHeight="false" outlineLevel="0" collapsed="false">
      <c r="A6121" s="0" t="n">
        <v>6120</v>
      </c>
      <c r="B6121" s="14" t="n">
        <v>103664.979701451</v>
      </c>
      <c r="C6121" s="15" t="n">
        <v>0.0708106584545236</v>
      </c>
      <c r="D6121" s="14" t="n">
        <f aca="false">Summary!$B$5-B6121</f>
        <v>-3664.979701451</v>
      </c>
      <c r="E6121" s="15" t="n">
        <f aca="false">B6121/Summary!$B$5-1</f>
        <v>0.0366497970145099</v>
      </c>
    </row>
    <row r="6122" customFormat="false" ht="15" hidden="false" customHeight="false" outlineLevel="0" collapsed="false">
      <c r="A6122" s="0" t="n">
        <v>6121</v>
      </c>
      <c r="B6122" s="14" t="n">
        <v>106857.406702093</v>
      </c>
      <c r="C6122" s="15" t="n">
        <v>0.103213626451277</v>
      </c>
      <c r="D6122" s="14" t="n">
        <f aca="false">Summary!$B$5-B6122</f>
        <v>-6857.4067020926</v>
      </c>
      <c r="E6122" s="15" t="n">
        <f aca="false">B6122/Summary!$B$5-1</f>
        <v>0.0685740670209261</v>
      </c>
    </row>
    <row r="6123" customFormat="false" ht="15" hidden="false" customHeight="false" outlineLevel="0" collapsed="false">
      <c r="A6123" s="0" t="n">
        <v>6122</v>
      </c>
      <c r="B6123" s="14" t="n">
        <v>105675.059868666</v>
      </c>
      <c r="C6123" s="15" t="n">
        <v>0.138020814197473</v>
      </c>
      <c r="D6123" s="14" t="n">
        <f aca="false">Summary!$B$5-B6123</f>
        <v>-5675.0598686664</v>
      </c>
      <c r="E6123" s="15" t="n">
        <f aca="false">B6123/Summary!$B$5-1</f>
        <v>0.0567505986866641</v>
      </c>
    </row>
    <row r="6124" customFormat="false" ht="15" hidden="false" customHeight="false" outlineLevel="0" collapsed="false">
      <c r="A6124" s="0" t="n">
        <v>6123</v>
      </c>
      <c r="B6124" s="14" t="n">
        <v>86899.469791334</v>
      </c>
      <c r="C6124" s="15" t="n">
        <v>0.146437619081194</v>
      </c>
      <c r="D6124" s="14" t="n">
        <f aca="false">Summary!$B$5-B6124</f>
        <v>13100.5302086661</v>
      </c>
      <c r="E6124" s="15" t="n">
        <f aca="false">B6124/Summary!$B$5-1</f>
        <v>-0.131005302086661</v>
      </c>
    </row>
    <row r="6125" customFormat="false" ht="15" hidden="false" customHeight="false" outlineLevel="0" collapsed="false">
      <c r="A6125" s="0" t="n">
        <v>6124</v>
      </c>
      <c r="B6125" s="14" t="n">
        <v>94463.5914078381</v>
      </c>
      <c r="C6125" s="15" t="n">
        <v>0.137132200591087</v>
      </c>
      <c r="D6125" s="14" t="n">
        <f aca="false">Summary!$B$5-B6125</f>
        <v>5536.40859216193</v>
      </c>
      <c r="E6125" s="15" t="n">
        <f aca="false">B6125/Summary!$B$5-1</f>
        <v>-0.0553640859216192</v>
      </c>
    </row>
    <row r="6126" customFormat="false" ht="15" hidden="false" customHeight="false" outlineLevel="0" collapsed="false">
      <c r="A6126" s="0" t="n">
        <v>6125</v>
      </c>
      <c r="B6126" s="14" t="n">
        <v>117646.817195778</v>
      </c>
      <c r="C6126" s="15" t="n">
        <v>0.061608666282401</v>
      </c>
      <c r="D6126" s="14" t="n">
        <f aca="false">Summary!$B$5-B6126</f>
        <v>-17646.8171957783</v>
      </c>
      <c r="E6126" s="15" t="n">
        <f aca="false">B6126/Summary!$B$5-1</f>
        <v>0.176468171957783</v>
      </c>
    </row>
    <row r="6127" customFormat="false" ht="15" hidden="false" customHeight="false" outlineLevel="0" collapsed="false">
      <c r="A6127" s="0" t="n">
        <v>6126</v>
      </c>
      <c r="B6127" s="14" t="n">
        <v>95880.7787473486</v>
      </c>
      <c r="C6127" s="15" t="n">
        <v>0.122171613306825</v>
      </c>
      <c r="D6127" s="14" t="n">
        <f aca="false">Summary!$B$5-B6127</f>
        <v>4119.22125265139</v>
      </c>
      <c r="E6127" s="15" t="n">
        <f aca="false">B6127/Summary!$B$5-1</f>
        <v>-0.041192212526514</v>
      </c>
    </row>
    <row r="6128" customFormat="false" ht="15" hidden="false" customHeight="false" outlineLevel="0" collapsed="false">
      <c r="A6128" s="0" t="n">
        <v>6127</v>
      </c>
      <c r="B6128" s="14" t="n">
        <v>97926.0024848918</v>
      </c>
      <c r="C6128" s="15" t="n">
        <v>0.108862568824084</v>
      </c>
      <c r="D6128" s="14" t="n">
        <f aca="false">Summary!$B$5-B6128</f>
        <v>2073.99751510817</v>
      </c>
      <c r="E6128" s="15" t="n">
        <f aca="false">B6128/Summary!$B$5-1</f>
        <v>-0.0207399751510817</v>
      </c>
    </row>
    <row r="6129" customFormat="false" ht="15" hidden="false" customHeight="false" outlineLevel="0" collapsed="false">
      <c r="A6129" s="0" t="n">
        <v>6128</v>
      </c>
      <c r="B6129" s="14" t="n">
        <v>91324.48335044</v>
      </c>
      <c r="C6129" s="15" t="n">
        <v>0.188405139599604</v>
      </c>
      <c r="D6129" s="14" t="n">
        <f aca="false">Summary!$B$5-B6129</f>
        <v>8675.51664955998</v>
      </c>
      <c r="E6129" s="15" t="n">
        <f aca="false">B6129/Summary!$B$5-1</f>
        <v>-0.0867551664955999</v>
      </c>
    </row>
    <row r="6130" customFormat="false" ht="15" hidden="false" customHeight="false" outlineLevel="0" collapsed="false">
      <c r="A6130" s="0" t="n">
        <v>6129</v>
      </c>
      <c r="B6130" s="14" t="n">
        <v>131385.713541944</v>
      </c>
      <c r="C6130" s="15" t="n">
        <v>0.0365990864776439</v>
      </c>
      <c r="D6130" s="14" t="n">
        <f aca="false">Summary!$B$5-B6130</f>
        <v>-31385.7135419442</v>
      </c>
      <c r="E6130" s="15" t="n">
        <f aca="false">B6130/Summary!$B$5-1</f>
        <v>0.313857135419442</v>
      </c>
    </row>
    <row r="6131" customFormat="false" ht="15" hidden="false" customHeight="false" outlineLevel="0" collapsed="false">
      <c r="A6131" s="0" t="n">
        <v>6130</v>
      </c>
      <c r="B6131" s="14" t="n">
        <v>98689.0294193319</v>
      </c>
      <c r="C6131" s="15" t="n">
        <v>0.108269129260699</v>
      </c>
      <c r="D6131" s="14" t="n">
        <f aca="false">Summary!$B$5-B6131</f>
        <v>1310.97058066812</v>
      </c>
      <c r="E6131" s="15" t="n">
        <f aca="false">B6131/Summary!$B$5-1</f>
        <v>-0.0131097058066811</v>
      </c>
    </row>
    <row r="6132" customFormat="false" ht="15" hidden="false" customHeight="false" outlineLevel="0" collapsed="false">
      <c r="A6132" s="0" t="n">
        <v>6131</v>
      </c>
      <c r="B6132" s="14" t="n">
        <v>144447.353685942</v>
      </c>
      <c r="C6132" s="15" t="n">
        <v>0.0397115335757167</v>
      </c>
      <c r="D6132" s="14" t="n">
        <f aca="false">Summary!$B$5-B6132</f>
        <v>-44447.353685942</v>
      </c>
      <c r="E6132" s="15" t="n">
        <f aca="false">B6132/Summary!$B$5-1</f>
        <v>0.44447353685942</v>
      </c>
    </row>
    <row r="6133" customFormat="false" ht="15" hidden="false" customHeight="false" outlineLevel="0" collapsed="false">
      <c r="A6133" s="0" t="n">
        <v>6132</v>
      </c>
      <c r="B6133" s="14" t="n">
        <v>127309.791467053</v>
      </c>
      <c r="C6133" s="15" t="n">
        <v>0.0530550442133739</v>
      </c>
      <c r="D6133" s="14" t="n">
        <f aca="false">Summary!$B$5-B6133</f>
        <v>-27309.7914670525</v>
      </c>
      <c r="E6133" s="15" t="n">
        <f aca="false">B6133/Summary!$B$5-1</f>
        <v>0.273097914670525</v>
      </c>
    </row>
    <row r="6134" customFormat="false" ht="15" hidden="false" customHeight="false" outlineLevel="0" collapsed="false">
      <c r="A6134" s="0" t="n">
        <v>6133</v>
      </c>
      <c r="B6134" s="14" t="n">
        <v>121014.587694989</v>
      </c>
      <c r="C6134" s="15" t="n">
        <v>0.0464395903567894</v>
      </c>
      <c r="D6134" s="14" t="n">
        <f aca="false">Summary!$B$5-B6134</f>
        <v>-21014.5876949894</v>
      </c>
      <c r="E6134" s="15" t="n">
        <f aca="false">B6134/Summary!$B$5-1</f>
        <v>0.210145876949894</v>
      </c>
    </row>
    <row r="6135" customFormat="false" ht="15" hidden="false" customHeight="false" outlineLevel="0" collapsed="false">
      <c r="A6135" s="0" t="n">
        <v>6134</v>
      </c>
      <c r="B6135" s="14" t="n">
        <v>120338.351600133</v>
      </c>
      <c r="C6135" s="15" t="n">
        <v>0.0626520677092768</v>
      </c>
      <c r="D6135" s="14" t="n">
        <f aca="false">Summary!$B$5-B6135</f>
        <v>-20338.3516001326</v>
      </c>
      <c r="E6135" s="15" t="n">
        <f aca="false">B6135/Summary!$B$5-1</f>
        <v>0.203383516001326</v>
      </c>
    </row>
    <row r="6136" customFormat="false" ht="15" hidden="false" customHeight="false" outlineLevel="0" collapsed="false">
      <c r="A6136" s="0" t="n">
        <v>6135</v>
      </c>
      <c r="B6136" s="14" t="n">
        <v>108451.814896502</v>
      </c>
      <c r="C6136" s="15" t="n">
        <v>0.100120248595816</v>
      </c>
      <c r="D6136" s="14" t="n">
        <f aca="false">Summary!$B$5-B6136</f>
        <v>-8451.8148965024</v>
      </c>
      <c r="E6136" s="15" t="n">
        <f aca="false">B6136/Summary!$B$5-1</f>
        <v>0.084518148965024</v>
      </c>
    </row>
    <row r="6137" customFormat="false" ht="15" hidden="false" customHeight="false" outlineLevel="0" collapsed="false">
      <c r="A6137" s="0" t="n">
        <v>6136</v>
      </c>
      <c r="B6137" s="14" t="n">
        <v>109114.250094626</v>
      </c>
      <c r="C6137" s="15" t="n">
        <v>0.0681163094430664</v>
      </c>
      <c r="D6137" s="14" t="n">
        <f aca="false">Summary!$B$5-B6137</f>
        <v>-9114.2500946256</v>
      </c>
      <c r="E6137" s="15" t="n">
        <f aca="false">B6137/Summary!$B$5-1</f>
        <v>0.0911425009462561</v>
      </c>
    </row>
    <row r="6138" customFormat="false" ht="15" hidden="false" customHeight="false" outlineLevel="0" collapsed="false">
      <c r="A6138" s="0" t="n">
        <v>6137</v>
      </c>
      <c r="B6138" s="14" t="n">
        <v>103712.47105571</v>
      </c>
      <c r="C6138" s="15" t="n">
        <v>0.108296537148783</v>
      </c>
      <c r="D6138" s="14" t="n">
        <f aca="false">Summary!$B$5-B6138</f>
        <v>-3712.4710557099</v>
      </c>
      <c r="E6138" s="15" t="n">
        <f aca="false">B6138/Summary!$B$5-1</f>
        <v>0.0371247105570991</v>
      </c>
    </row>
    <row r="6139" customFormat="false" ht="15" hidden="false" customHeight="false" outlineLevel="0" collapsed="false">
      <c r="A6139" s="0" t="n">
        <v>6138</v>
      </c>
      <c r="B6139" s="14" t="n">
        <v>97923.6436110794</v>
      </c>
      <c r="C6139" s="15" t="n">
        <v>0.139122412765851</v>
      </c>
      <c r="D6139" s="14" t="n">
        <f aca="false">Summary!$B$5-B6139</f>
        <v>2076.35638892063</v>
      </c>
      <c r="E6139" s="15" t="n">
        <f aca="false">B6139/Summary!$B$5-1</f>
        <v>-0.0207635638892063</v>
      </c>
    </row>
    <row r="6140" customFormat="false" ht="15" hidden="false" customHeight="false" outlineLevel="0" collapsed="false">
      <c r="A6140" s="0" t="n">
        <v>6139</v>
      </c>
      <c r="B6140" s="14" t="n">
        <v>100324.159235685</v>
      </c>
      <c r="C6140" s="15" t="n">
        <v>0.076353860912902</v>
      </c>
      <c r="D6140" s="14" t="n">
        <f aca="false">Summary!$B$5-B6140</f>
        <v>-324.159235684594</v>
      </c>
      <c r="E6140" s="15" t="n">
        <f aca="false">B6140/Summary!$B$5-1</f>
        <v>0.00324159235684585</v>
      </c>
    </row>
    <row r="6141" customFormat="false" ht="15" hidden="false" customHeight="false" outlineLevel="0" collapsed="false">
      <c r="A6141" s="0" t="n">
        <v>6140</v>
      </c>
      <c r="B6141" s="14" t="n">
        <v>111811.135369109</v>
      </c>
      <c r="C6141" s="15" t="n">
        <v>0.0742380171454623</v>
      </c>
      <c r="D6141" s="14" t="n">
        <f aca="false">Summary!$B$5-B6141</f>
        <v>-11811.1353691093</v>
      </c>
      <c r="E6141" s="15" t="n">
        <f aca="false">B6141/Summary!$B$5-1</f>
        <v>0.118111353691093</v>
      </c>
    </row>
    <row r="6142" customFormat="false" ht="15" hidden="false" customHeight="false" outlineLevel="0" collapsed="false">
      <c r="A6142" s="0" t="n">
        <v>6141</v>
      </c>
      <c r="B6142" s="14" t="n">
        <v>116392.028811603</v>
      </c>
      <c r="C6142" s="15" t="n">
        <v>0.136629950977487</v>
      </c>
      <c r="D6142" s="14" t="n">
        <f aca="false">Summary!$B$5-B6142</f>
        <v>-16392.0288116033</v>
      </c>
      <c r="E6142" s="15" t="n">
        <f aca="false">B6142/Summary!$B$5-1</f>
        <v>0.163920288116033</v>
      </c>
    </row>
    <row r="6143" customFormat="false" ht="15" hidden="false" customHeight="false" outlineLevel="0" collapsed="false">
      <c r="A6143" s="0" t="n">
        <v>6142</v>
      </c>
      <c r="B6143" s="14" t="n">
        <v>94705.5516798975</v>
      </c>
      <c r="C6143" s="15" t="n">
        <v>0.0670020339525529</v>
      </c>
      <c r="D6143" s="14" t="n">
        <f aca="false">Summary!$B$5-B6143</f>
        <v>5294.44832010247</v>
      </c>
      <c r="E6143" s="15" t="n">
        <f aca="false">B6143/Summary!$B$5-1</f>
        <v>-0.0529444832010247</v>
      </c>
    </row>
    <row r="6144" customFormat="false" ht="15" hidden="false" customHeight="false" outlineLevel="0" collapsed="false">
      <c r="A6144" s="0" t="n">
        <v>6143</v>
      </c>
      <c r="B6144" s="14" t="n">
        <v>117409.382154762</v>
      </c>
      <c r="C6144" s="15" t="n">
        <v>0.0953747658969412</v>
      </c>
      <c r="D6144" s="14" t="n">
        <f aca="false">Summary!$B$5-B6144</f>
        <v>-17409.3821547618</v>
      </c>
      <c r="E6144" s="15" t="n">
        <f aca="false">B6144/Summary!$B$5-1</f>
        <v>0.174093821547618</v>
      </c>
    </row>
    <row r="6145" customFormat="false" ht="15" hidden="false" customHeight="false" outlineLevel="0" collapsed="false">
      <c r="A6145" s="0" t="n">
        <v>6144</v>
      </c>
      <c r="B6145" s="14" t="n">
        <v>90706.5685742364</v>
      </c>
      <c r="C6145" s="15" t="n">
        <v>0.143853853916361</v>
      </c>
      <c r="D6145" s="14" t="n">
        <f aca="false">Summary!$B$5-B6145</f>
        <v>9293.43142576356</v>
      </c>
      <c r="E6145" s="15" t="n">
        <f aca="false">B6145/Summary!$B$5-1</f>
        <v>-0.0929343142576355</v>
      </c>
    </row>
    <row r="6146" customFormat="false" ht="15" hidden="false" customHeight="false" outlineLevel="0" collapsed="false">
      <c r="A6146" s="0" t="n">
        <v>6145</v>
      </c>
      <c r="B6146" s="14" t="n">
        <v>115354.514523689</v>
      </c>
      <c r="C6146" s="15" t="n">
        <v>0.0572582746318585</v>
      </c>
      <c r="D6146" s="14" t="n">
        <f aca="false">Summary!$B$5-B6146</f>
        <v>-15354.5145236886</v>
      </c>
      <c r="E6146" s="15" t="n">
        <f aca="false">B6146/Summary!$B$5-1</f>
        <v>0.153545145236886</v>
      </c>
    </row>
    <row r="6147" customFormat="false" ht="15" hidden="false" customHeight="false" outlineLevel="0" collapsed="false">
      <c r="A6147" s="0" t="n">
        <v>6146</v>
      </c>
      <c r="B6147" s="14" t="n">
        <v>101927.525555703</v>
      </c>
      <c r="C6147" s="15" t="n">
        <v>0.095524862580308</v>
      </c>
      <c r="D6147" s="14" t="n">
        <f aca="false">Summary!$B$5-B6147</f>
        <v>-1927.5255557027</v>
      </c>
      <c r="E6147" s="15" t="n">
        <f aca="false">B6147/Summary!$B$5-1</f>
        <v>0.019275255557027</v>
      </c>
    </row>
    <row r="6148" customFormat="false" ht="15" hidden="false" customHeight="false" outlineLevel="0" collapsed="false">
      <c r="A6148" s="0" t="n">
        <v>6147</v>
      </c>
      <c r="B6148" s="14" t="n">
        <v>111817.742550818</v>
      </c>
      <c r="C6148" s="15" t="n">
        <v>0.139988853999783</v>
      </c>
      <c r="D6148" s="14" t="n">
        <f aca="false">Summary!$B$5-B6148</f>
        <v>-11817.7425508181</v>
      </c>
      <c r="E6148" s="15" t="n">
        <f aca="false">B6148/Summary!$B$5-1</f>
        <v>0.118177425508181</v>
      </c>
    </row>
    <row r="6149" customFormat="false" ht="15" hidden="false" customHeight="false" outlineLevel="0" collapsed="false">
      <c r="A6149" s="0" t="n">
        <v>6148</v>
      </c>
      <c r="B6149" s="14" t="n">
        <v>114932.845463735</v>
      </c>
      <c r="C6149" s="15" t="n">
        <v>0.093380041416791</v>
      </c>
      <c r="D6149" s="14" t="n">
        <f aca="false">Summary!$B$5-B6149</f>
        <v>-14932.845463735</v>
      </c>
      <c r="E6149" s="15" t="n">
        <f aca="false">B6149/Summary!$B$5-1</f>
        <v>0.14932845463735</v>
      </c>
    </row>
    <row r="6150" customFormat="false" ht="15" hidden="false" customHeight="false" outlineLevel="0" collapsed="false">
      <c r="A6150" s="0" t="n">
        <v>6149</v>
      </c>
      <c r="B6150" s="14" t="n">
        <v>116527.150022014</v>
      </c>
      <c r="C6150" s="15" t="n">
        <v>0.105356625513958</v>
      </c>
      <c r="D6150" s="14" t="n">
        <f aca="false">Summary!$B$5-B6150</f>
        <v>-16527.1500220137</v>
      </c>
      <c r="E6150" s="15" t="n">
        <f aca="false">B6150/Summary!$B$5-1</f>
        <v>0.165271500220137</v>
      </c>
    </row>
    <row r="6151" customFormat="false" ht="15" hidden="false" customHeight="false" outlineLevel="0" collapsed="false">
      <c r="A6151" s="0" t="n">
        <v>6150</v>
      </c>
      <c r="B6151" s="14" t="n">
        <v>97132.8629783089</v>
      </c>
      <c r="C6151" s="15" t="n">
        <v>0.126154247272525</v>
      </c>
      <c r="D6151" s="14" t="n">
        <f aca="false">Summary!$B$5-B6151</f>
        <v>2867.1370216911</v>
      </c>
      <c r="E6151" s="15" t="n">
        <f aca="false">B6151/Summary!$B$5-1</f>
        <v>-0.028671370216911</v>
      </c>
    </row>
    <row r="6152" customFormat="false" ht="15" hidden="false" customHeight="false" outlineLevel="0" collapsed="false">
      <c r="A6152" s="0" t="n">
        <v>6151</v>
      </c>
      <c r="B6152" s="14" t="n">
        <v>92579.1873801966</v>
      </c>
      <c r="C6152" s="15" t="n">
        <v>0.140671110509951</v>
      </c>
      <c r="D6152" s="14" t="n">
        <f aca="false">Summary!$B$5-B6152</f>
        <v>7420.81261980336</v>
      </c>
      <c r="E6152" s="15" t="n">
        <f aca="false">B6152/Summary!$B$5-1</f>
        <v>-0.0742081261980335</v>
      </c>
    </row>
    <row r="6153" customFormat="false" ht="15" hidden="false" customHeight="false" outlineLevel="0" collapsed="false">
      <c r="A6153" s="0" t="n">
        <v>6152</v>
      </c>
      <c r="B6153" s="14" t="n">
        <v>125944.67023935</v>
      </c>
      <c r="C6153" s="15" t="n">
        <v>0.0725329047620649</v>
      </c>
      <c r="D6153" s="14" t="n">
        <f aca="false">Summary!$B$5-B6153</f>
        <v>-25944.67023935</v>
      </c>
      <c r="E6153" s="15" t="n">
        <f aca="false">B6153/Summary!$B$5-1</f>
        <v>0.2594467023935</v>
      </c>
    </row>
    <row r="6154" customFormat="false" ht="15" hidden="false" customHeight="false" outlineLevel="0" collapsed="false">
      <c r="A6154" s="0" t="n">
        <v>6153</v>
      </c>
      <c r="B6154" s="14" t="n">
        <v>108397.528345836</v>
      </c>
      <c r="C6154" s="15" t="n">
        <v>0.0830469473863065</v>
      </c>
      <c r="D6154" s="14" t="n">
        <f aca="false">Summary!$B$5-B6154</f>
        <v>-8397.52834583609</v>
      </c>
      <c r="E6154" s="15" t="n">
        <f aca="false">B6154/Summary!$B$5-1</f>
        <v>0.0839752834583609</v>
      </c>
    </row>
    <row r="6155" customFormat="false" ht="15" hidden="false" customHeight="false" outlineLevel="0" collapsed="false">
      <c r="A6155" s="0" t="n">
        <v>6154</v>
      </c>
      <c r="B6155" s="14" t="n">
        <v>120742.774841154</v>
      </c>
      <c r="C6155" s="15" t="n">
        <v>0.0630309379630802</v>
      </c>
      <c r="D6155" s="14" t="n">
        <f aca="false">Summary!$B$5-B6155</f>
        <v>-20742.774841154</v>
      </c>
      <c r="E6155" s="15" t="n">
        <f aca="false">B6155/Summary!$B$5-1</f>
        <v>0.20742774841154</v>
      </c>
    </row>
    <row r="6156" customFormat="false" ht="15" hidden="false" customHeight="false" outlineLevel="0" collapsed="false">
      <c r="A6156" s="0" t="n">
        <v>6155</v>
      </c>
      <c r="B6156" s="14" t="n">
        <v>106341.909055831</v>
      </c>
      <c r="C6156" s="15" t="n">
        <v>0.0659868815391744</v>
      </c>
      <c r="D6156" s="14" t="n">
        <f aca="false">Summary!$B$5-B6156</f>
        <v>-6341.90905583141</v>
      </c>
      <c r="E6156" s="15" t="n">
        <f aca="false">B6156/Summary!$B$5-1</f>
        <v>0.0634190905583141</v>
      </c>
    </row>
    <row r="6157" customFormat="false" ht="15" hidden="false" customHeight="false" outlineLevel="0" collapsed="false">
      <c r="A6157" s="0" t="n">
        <v>6156</v>
      </c>
      <c r="B6157" s="14" t="n">
        <v>124548.870595277</v>
      </c>
      <c r="C6157" s="15" t="n">
        <v>0.0628098023320574</v>
      </c>
      <c r="D6157" s="14" t="n">
        <f aca="false">Summary!$B$5-B6157</f>
        <v>-24548.8705952769</v>
      </c>
      <c r="E6157" s="15" t="n">
        <f aca="false">B6157/Summary!$B$5-1</f>
        <v>0.245488705952769</v>
      </c>
    </row>
    <row r="6158" customFormat="false" ht="15" hidden="false" customHeight="false" outlineLevel="0" collapsed="false">
      <c r="A6158" s="0" t="n">
        <v>6157</v>
      </c>
      <c r="B6158" s="14" t="n">
        <v>108444.813054215</v>
      </c>
      <c r="C6158" s="15" t="n">
        <v>0.0895563783329337</v>
      </c>
      <c r="D6158" s="14" t="n">
        <f aca="false">Summary!$B$5-B6158</f>
        <v>-8444.813054215</v>
      </c>
      <c r="E6158" s="15" t="n">
        <f aca="false">B6158/Summary!$B$5-1</f>
        <v>0.0844481305421501</v>
      </c>
    </row>
    <row r="6159" customFormat="false" ht="15" hidden="false" customHeight="false" outlineLevel="0" collapsed="false">
      <c r="A6159" s="0" t="n">
        <v>6158</v>
      </c>
      <c r="B6159" s="14" t="n">
        <v>88976.9361524757</v>
      </c>
      <c r="C6159" s="15" t="n">
        <v>0.18859718524536</v>
      </c>
      <c r="D6159" s="14" t="n">
        <f aca="false">Summary!$B$5-B6159</f>
        <v>11023.0638475243</v>
      </c>
      <c r="E6159" s="15" t="n">
        <f aca="false">B6159/Summary!$B$5-1</f>
        <v>-0.110230638475243</v>
      </c>
    </row>
    <row r="6160" customFormat="false" ht="15" hidden="false" customHeight="false" outlineLevel="0" collapsed="false">
      <c r="A6160" s="0" t="n">
        <v>6159</v>
      </c>
      <c r="B6160" s="14" t="n">
        <v>107856.926249406</v>
      </c>
      <c r="C6160" s="15" t="n">
        <v>0.113703250056238</v>
      </c>
      <c r="D6160" s="14" t="n">
        <f aca="false">Summary!$B$5-B6160</f>
        <v>-7856.9262494055</v>
      </c>
      <c r="E6160" s="15" t="n">
        <f aca="false">B6160/Summary!$B$5-1</f>
        <v>0.0785692624940551</v>
      </c>
    </row>
    <row r="6161" customFormat="false" ht="15" hidden="false" customHeight="false" outlineLevel="0" collapsed="false">
      <c r="A6161" s="0" t="n">
        <v>6160</v>
      </c>
      <c r="B6161" s="14" t="n">
        <v>119967.565489826</v>
      </c>
      <c r="C6161" s="15" t="n">
        <v>0.0613668692158896</v>
      </c>
      <c r="D6161" s="14" t="n">
        <f aca="false">Summary!$B$5-B6161</f>
        <v>-19967.5654898261</v>
      </c>
      <c r="E6161" s="15" t="n">
        <f aca="false">B6161/Summary!$B$5-1</f>
        <v>0.199675654898261</v>
      </c>
    </row>
    <row r="6162" customFormat="false" ht="15" hidden="false" customHeight="false" outlineLevel="0" collapsed="false">
      <c r="A6162" s="0" t="n">
        <v>6161</v>
      </c>
      <c r="B6162" s="14" t="n">
        <v>119679.974306265</v>
      </c>
      <c r="C6162" s="15" t="n">
        <v>0.0889125451560031</v>
      </c>
      <c r="D6162" s="14" t="n">
        <f aca="false">Summary!$B$5-B6162</f>
        <v>-19679.9743062647</v>
      </c>
      <c r="E6162" s="15" t="n">
        <f aca="false">B6162/Summary!$B$5-1</f>
        <v>0.196799743062647</v>
      </c>
    </row>
    <row r="6163" customFormat="false" ht="15" hidden="false" customHeight="false" outlineLevel="0" collapsed="false">
      <c r="A6163" s="0" t="n">
        <v>6162</v>
      </c>
      <c r="B6163" s="14" t="n">
        <v>127958.278163728</v>
      </c>
      <c r="C6163" s="15" t="n">
        <v>0.0616135098443496</v>
      </c>
      <c r="D6163" s="14" t="n">
        <f aca="false">Summary!$B$5-B6163</f>
        <v>-27958.2781637277</v>
      </c>
      <c r="E6163" s="15" t="n">
        <f aca="false">B6163/Summary!$B$5-1</f>
        <v>0.279582781637277</v>
      </c>
    </row>
    <row r="6164" customFormat="false" ht="15" hidden="false" customHeight="false" outlineLevel="0" collapsed="false">
      <c r="A6164" s="0" t="n">
        <v>6163</v>
      </c>
      <c r="B6164" s="14" t="n">
        <v>91247.6866215903</v>
      </c>
      <c r="C6164" s="15" t="n">
        <v>0.254082863618902</v>
      </c>
      <c r="D6164" s="14" t="n">
        <f aca="false">Summary!$B$5-B6164</f>
        <v>8752.31337840969</v>
      </c>
      <c r="E6164" s="15" t="n">
        <f aca="false">B6164/Summary!$B$5-1</f>
        <v>-0.0875231337840968</v>
      </c>
    </row>
    <row r="6165" customFormat="false" ht="15" hidden="false" customHeight="false" outlineLevel="0" collapsed="false">
      <c r="A6165" s="0" t="n">
        <v>6164</v>
      </c>
      <c r="B6165" s="14" t="n">
        <v>103920.130004282</v>
      </c>
      <c r="C6165" s="15" t="n">
        <v>0.0835821123396372</v>
      </c>
      <c r="D6165" s="14" t="n">
        <f aca="false">Summary!$B$5-B6165</f>
        <v>-3920.13000428199</v>
      </c>
      <c r="E6165" s="15" t="n">
        <f aca="false">B6165/Summary!$B$5-1</f>
        <v>0.03920130004282</v>
      </c>
    </row>
    <row r="6166" customFormat="false" ht="15" hidden="false" customHeight="false" outlineLevel="0" collapsed="false">
      <c r="A6166" s="0" t="n">
        <v>6165</v>
      </c>
      <c r="B6166" s="14" t="n">
        <v>149479.876017745</v>
      </c>
      <c r="C6166" s="15" t="n">
        <v>0.035599371937319</v>
      </c>
      <c r="D6166" s="14" t="n">
        <f aca="false">Summary!$B$5-B6166</f>
        <v>-49479.8760177452</v>
      </c>
      <c r="E6166" s="15" t="n">
        <f aca="false">B6166/Summary!$B$5-1</f>
        <v>0.494798760177452</v>
      </c>
    </row>
    <row r="6167" customFormat="false" ht="15" hidden="false" customHeight="false" outlineLevel="0" collapsed="false">
      <c r="A6167" s="0" t="n">
        <v>6166</v>
      </c>
      <c r="B6167" s="14" t="n">
        <v>91853.0783825361</v>
      </c>
      <c r="C6167" s="15" t="n">
        <v>0.146603530849092</v>
      </c>
      <c r="D6167" s="14" t="n">
        <f aca="false">Summary!$B$5-B6167</f>
        <v>8146.9216174639</v>
      </c>
      <c r="E6167" s="15" t="n">
        <f aca="false">B6167/Summary!$B$5-1</f>
        <v>-0.081469216174639</v>
      </c>
    </row>
    <row r="6168" customFormat="false" ht="15" hidden="false" customHeight="false" outlineLevel="0" collapsed="false">
      <c r="A6168" s="0" t="n">
        <v>6167</v>
      </c>
      <c r="B6168" s="14" t="n">
        <v>93143.7230228792</v>
      </c>
      <c r="C6168" s="15" t="n">
        <v>0.202566318582506</v>
      </c>
      <c r="D6168" s="14" t="n">
        <f aca="false">Summary!$B$5-B6168</f>
        <v>6856.27697712081</v>
      </c>
      <c r="E6168" s="15" t="n">
        <f aca="false">B6168/Summary!$B$5-1</f>
        <v>-0.0685627697712081</v>
      </c>
    </row>
    <row r="6169" customFormat="false" ht="15" hidden="false" customHeight="false" outlineLevel="0" collapsed="false">
      <c r="A6169" s="0" t="n">
        <v>6168</v>
      </c>
      <c r="B6169" s="14" t="n">
        <v>95500.8051422542</v>
      </c>
      <c r="C6169" s="15" t="n">
        <v>0.126248534424515</v>
      </c>
      <c r="D6169" s="14" t="n">
        <f aca="false">Summary!$B$5-B6169</f>
        <v>4499.19485774577</v>
      </c>
      <c r="E6169" s="15" t="n">
        <f aca="false">B6169/Summary!$B$5-1</f>
        <v>-0.0449919485774577</v>
      </c>
    </row>
    <row r="6170" customFormat="false" ht="15" hidden="false" customHeight="false" outlineLevel="0" collapsed="false">
      <c r="A6170" s="0" t="n">
        <v>6169</v>
      </c>
      <c r="B6170" s="14" t="n">
        <v>120170.773400713</v>
      </c>
      <c r="C6170" s="15" t="n">
        <v>0.0680875355058176</v>
      </c>
      <c r="D6170" s="14" t="n">
        <f aca="false">Summary!$B$5-B6170</f>
        <v>-20170.7734007127</v>
      </c>
      <c r="E6170" s="15" t="n">
        <f aca="false">B6170/Summary!$B$5-1</f>
        <v>0.201707734007127</v>
      </c>
    </row>
    <row r="6171" customFormat="false" ht="15" hidden="false" customHeight="false" outlineLevel="0" collapsed="false">
      <c r="A6171" s="0" t="n">
        <v>6170</v>
      </c>
      <c r="B6171" s="14" t="n">
        <v>126684.328480394</v>
      </c>
      <c r="C6171" s="15" t="n">
        <v>0.0640157259834167</v>
      </c>
      <c r="D6171" s="14" t="n">
        <f aca="false">Summary!$B$5-B6171</f>
        <v>-26684.3284803944</v>
      </c>
      <c r="E6171" s="15" t="n">
        <f aca="false">B6171/Summary!$B$5-1</f>
        <v>0.266843284803944</v>
      </c>
    </row>
    <row r="6172" customFormat="false" ht="15" hidden="false" customHeight="false" outlineLevel="0" collapsed="false">
      <c r="A6172" s="0" t="n">
        <v>6171</v>
      </c>
      <c r="B6172" s="14" t="n">
        <v>105506.713031044</v>
      </c>
      <c r="C6172" s="15" t="n">
        <v>0.115458667114573</v>
      </c>
      <c r="D6172" s="14" t="n">
        <f aca="false">Summary!$B$5-B6172</f>
        <v>-5506.7130310441</v>
      </c>
      <c r="E6172" s="15" t="n">
        <f aca="false">B6172/Summary!$B$5-1</f>
        <v>0.0550671303104411</v>
      </c>
    </row>
    <row r="6173" customFormat="false" ht="15" hidden="false" customHeight="false" outlineLevel="0" collapsed="false">
      <c r="A6173" s="0" t="n">
        <v>6172</v>
      </c>
      <c r="B6173" s="14" t="n">
        <v>101058.63691258</v>
      </c>
      <c r="C6173" s="15" t="n">
        <v>0.109103162302086</v>
      </c>
      <c r="D6173" s="14" t="n">
        <f aca="false">Summary!$B$5-B6173</f>
        <v>-1058.63691257979</v>
      </c>
      <c r="E6173" s="15" t="n">
        <f aca="false">B6173/Summary!$B$5-1</f>
        <v>0.0105863691257979</v>
      </c>
    </row>
    <row r="6174" customFormat="false" ht="15" hidden="false" customHeight="false" outlineLevel="0" collapsed="false">
      <c r="A6174" s="0" t="n">
        <v>6173</v>
      </c>
      <c r="B6174" s="14" t="n">
        <v>120604.260292408</v>
      </c>
      <c r="C6174" s="15" t="n">
        <v>0.115722429849742</v>
      </c>
      <c r="D6174" s="14" t="n">
        <f aca="false">Summary!$B$5-B6174</f>
        <v>-20604.2602924076</v>
      </c>
      <c r="E6174" s="15" t="n">
        <f aca="false">B6174/Summary!$B$5-1</f>
        <v>0.206042602924076</v>
      </c>
    </row>
    <row r="6175" customFormat="false" ht="15" hidden="false" customHeight="false" outlineLevel="0" collapsed="false">
      <c r="A6175" s="0" t="n">
        <v>6174</v>
      </c>
      <c r="B6175" s="14" t="n">
        <v>119557.710341877</v>
      </c>
      <c r="C6175" s="15" t="n">
        <v>0.0618970511520911</v>
      </c>
      <c r="D6175" s="14" t="n">
        <f aca="false">Summary!$B$5-B6175</f>
        <v>-19557.7103418773</v>
      </c>
      <c r="E6175" s="15" t="n">
        <f aca="false">B6175/Summary!$B$5-1</f>
        <v>0.195577103418773</v>
      </c>
    </row>
    <row r="6176" customFormat="false" ht="15" hidden="false" customHeight="false" outlineLevel="0" collapsed="false">
      <c r="A6176" s="0" t="n">
        <v>6175</v>
      </c>
      <c r="B6176" s="14" t="n">
        <v>88743.8363549706</v>
      </c>
      <c r="C6176" s="15" t="n">
        <v>0.151514927995839</v>
      </c>
      <c r="D6176" s="14" t="n">
        <f aca="false">Summary!$B$5-B6176</f>
        <v>11256.1636450294</v>
      </c>
      <c r="E6176" s="15" t="n">
        <f aca="false">B6176/Summary!$B$5-1</f>
        <v>-0.112561636450294</v>
      </c>
    </row>
    <row r="6177" customFormat="false" ht="15" hidden="false" customHeight="false" outlineLevel="0" collapsed="false">
      <c r="A6177" s="0" t="n">
        <v>6176</v>
      </c>
      <c r="B6177" s="14" t="n">
        <v>100153.955510601</v>
      </c>
      <c r="C6177" s="15" t="n">
        <v>0.0975328640986127</v>
      </c>
      <c r="D6177" s="14" t="n">
        <f aca="false">Summary!$B$5-B6177</f>
        <v>-153.955510601299</v>
      </c>
      <c r="E6177" s="15" t="n">
        <f aca="false">B6177/Summary!$B$5-1</f>
        <v>0.00153955510601289</v>
      </c>
    </row>
    <row r="6178" customFormat="false" ht="15" hidden="false" customHeight="false" outlineLevel="0" collapsed="false">
      <c r="A6178" s="0" t="n">
        <v>6177</v>
      </c>
      <c r="B6178" s="14" t="n">
        <v>105880.222409036</v>
      </c>
      <c r="C6178" s="15" t="n">
        <v>0.13595888199351</v>
      </c>
      <c r="D6178" s="14" t="n">
        <f aca="false">Summary!$B$5-B6178</f>
        <v>-5880.22240903571</v>
      </c>
      <c r="E6178" s="15" t="n">
        <f aca="false">B6178/Summary!$B$5-1</f>
        <v>0.058802224090357</v>
      </c>
    </row>
    <row r="6179" customFormat="false" ht="15" hidden="false" customHeight="false" outlineLevel="0" collapsed="false">
      <c r="A6179" s="0" t="n">
        <v>6178</v>
      </c>
      <c r="B6179" s="14" t="n">
        <v>112340.800793754</v>
      </c>
      <c r="C6179" s="15" t="n">
        <v>0.0699068120965287</v>
      </c>
      <c r="D6179" s="14" t="n">
        <f aca="false">Summary!$B$5-B6179</f>
        <v>-12340.8007937541</v>
      </c>
      <c r="E6179" s="15" t="n">
        <f aca="false">B6179/Summary!$B$5-1</f>
        <v>0.123408007937541</v>
      </c>
    </row>
    <row r="6180" customFormat="false" ht="15" hidden="false" customHeight="false" outlineLevel="0" collapsed="false">
      <c r="A6180" s="0" t="n">
        <v>6179</v>
      </c>
      <c r="B6180" s="14" t="n">
        <v>107221.734324349</v>
      </c>
      <c r="C6180" s="15" t="n">
        <v>0.0652186987200533</v>
      </c>
      <c r="D6180" s="14" t="n">
        <f aca="false">Summary!$B$5-B6180</f>
        <v>-7221.7343243489</v>
      </c>
      <c r="E6180" s="15" t="n">
        <f aca="false">B6180/Summary!$B$5-1</f>
        <v>0.0722173432434889</v>
      </c>
    </row>
    <row r="6181" customFormat="false" ht="15" hidden="false" customHeight="false" outlineLevel="0" collapsed="false">
      <c r="A6181" s="0" t="n">
        <v>6180</v>
      </c>
      <c r="B6181" s="14" t="n">
        <v>112130.982394223</v>
      </c>
      <c r="C6181" s="15" t="n">
        <v>0.071222653015863</v>
      </c>
      <c r="D6181" s="14" t="n">
        <f aca="false">Summary!$B$5-B6181</f>
        <v>-12130.9823942229</v>
      </c>
      <c r="E6181" s="15" t="n">
        <f aca="false">B6181/Summary!$B$5-1</f>
        <v>0.121309823942229</v>
      </c>
    </row>
    <row r="6182" customFormat="false" ht="15" hidden="false" customHeight="false" outlineLevel="0" collapsed="false">
      <c r="A6182" s="0" t="n">
        <v>6181</v>
      </c>
      <c r="B6182" s="14" t="n">
        <v>121262.037196821</v>
      </c>
      <c r="C6182" s="15" t="n">
        <v>0.0647558509812818</v>
      </c>
      <c r="D6182" s="14" t="n">
        <f aca="false">Summary!$B$5-B6182</f>
        <v>-21262.0371968209</v>
      </c>
      <c r="E6182" s="15" t="n">
        <f aca="false">B6182/Summary!$B$5-1</f>
        <v>0.212620371968209</v>
      </c>
    </row>
    <row r="6183" customFormat="false" ht="15" hidden="false" customHeight="false" outlineLevel="0" collapsed="false">
      <c r="A6183" s="0" t="n">
        <v>6182</v>
      </c>
      <c r="B6183" s="14" t="n">
        <v>107319.679513261</v>
      </c>
      <c r="C6183" s="15" t="n">
        <v>0.120514877688914</v>
      </c>
      <c r="D6183" s="14" t="n">
        <f aca="false">Summary!$B$5-B6183</f>
        <v>-7319.6795132611</v>
      </c>
      <c r="E6183" s="15" t="n">
        <f aca="false">B6183/Summary!$B$5-1</f>
        <v>0.0731967951326109</v>
      </c>
    </row>
    <row r="6184" customFormat="false" ht="15" hidden="false" customHeight="false" outlineLevel="0" collapsed="false">
      <c r="A6184" s="0" t="n">
        <v>6183</v>
      </c>
      <c r="B6184" s="14" t="n">
        <v>114422.552724813</v>
      </c>
      <c r="C6184" s="15" t="n">
        <v>0.0484389847814499</v>
      </c>
      <c r="D6184" s="14" t="n">
        <f aca="false">Summary!$B$5-B6184</f>
        <v>-14422.5527248134</v>
      </c>
      <c r="E6184" s="15" t="n">
        <f aca="false">B6184/Summary!$B$5-1</f>
        <v>0.144225527248134</v>
      </c>
    </row>
    <row r="6185" customFormat="false" ht="15" hidden="false" customHeight="false" outlineLevel="0" collapsed="false">
      <c r="A6185" s="0" t="n">
        <v>6184</v>
      </c>
      <c r="B6185" s="14" t="n">
        <v>118215.950734825</v>
      </c>
      <c r="C6185" s="15" t="n">
        <v>0.0575550405159028</v>
      </c>
      <c r="D6185" s="14" t="n">
        <f aca="false">Summary!$B$5-B6185</f>
        <v>-18215.9507348249</v>
      </c>
      <c r="E6185" s="15" t="n">
        <f aca="false">B6185/Summary!$B$5-1</f>
        <v>0.182159507348249</v>
      </c>
    </row>
    <row r="6186" customFormat="false" ht="15" hidden="false" customHeight="false" outlineLevel="0" collapsed="false">
      <c r="A6186" s="0" t="n">
        <v>6185</v>
      </c>
      <c r="B6186" s="14" t="n">
        <v>116971.64218887</v>
      </c>
      <c r="C6186" s="15" t="n">
        <v>0.0922339105958347</v>
      </c>
      <c r="D6186" s="14" t="n">
        <f aca="false">Summary!$B$5-B6186</f>
        <v>-16971.6421888698</v>
      </c>
      <c r="E6186" s="15" t="n">
        <f aca="false">B6186/Summary!$B$5-1</f>
        <v>0.169716421888698</v>
      </c>
    </row>
    <row r="6187" customFormat="false" ht="15" hidden="false" customHeight="false" outlineLevel="0" collapsed="false">
      <c r="A6187" s="0" t="n">
        <v>6186</v>
      </c>
      <c r="B6187" s="14" t="n">
        <v>89638.7676951099</v>
      </c>
      <c r="C6187" s="15" t="n">
        <v>0.151036493715402</v>
      </c>
      <c r="D6187" s="14" t="n">
        <f aca="false">Summary!$B$5-B6187</f>
        <v>10361.2323048901</v>
      </c>
      <c r="E6187" s="15" t="n">
        <f aca="false">B6187/Summary!$B$5-1</f>
        <v>-0.103612323048901</v>
      </c>
    </row>
    <row r="6188" customFormat="false" ht="15" hidden="false" customHeight="false" outlineLevel="0" collapsed="false">
      <c r="A6188" s="0" t="n">
        <v>6187</v>
      </c>
      <c r="B6188" s="14" t="n">
        <v>104314.119711756</v>
      </c>
      <c r="C6188" s="15" t="n">
        <v>0.131136670534735</v>
      </c>
      <c r="D6188" s="14" t="n">
        <f aca="false">Summary!$B$5-B6188</f>
        <v>-4314.1197117556</v>
      </c>
      <c r="E6188" s="15" t="n">
        <f aca="false">B6188/Summary!$B$5-1</f>
        <v>0.0431411971175559</v>
      </c>
    </row>
    <row r="6189" customFormat="false" ht="15" hidden="false" customHeight="false" outlineLevel="0" collapsed="false">
      <c r="A6189" s="0" t="n">
        <v>6188</v>
      </c>
      <c r="B6189" s="14" t="n">
        <v>117233.438341208</v>
      </c>
      <c r="C6189" s="15" t="n">
        <v>0.0711247063631837</v>
      </c>
      <c r="D6189" s="14" t="n">
        <f aca="false">Summary!$B$5-B6189</f>
        <v>-17233.4383412077</v>
      </c>
      <c r="E6189" s="15" t="n">
        <f aca="false">B6189/Summary!$B$5-1</f>
        <v>0.172334383412077</v>
      </c>
    </row>
    <row r="6190" customFormat="false" ht="15" hidden="false" customHeight="false" outlineLevel="0" collapsed="false">
      <c r="A6190" s="0" t="n">
        <v>6189</v>
      </c>
      <c r="B6190" s="14" t="n">
        <v>88586.5856848981</v>
      </c>
      <c r="C6190" s="15" t="n">
        <v>0.15310982271363</v>
      </c>
      <c r="D6190" s="14" t="n">
        <f aca="false">Summary!$B$5-B6190</f>
        <v>11413.4143151019</v>
      </c>
      <c r="E6190" s="15" t="n">
        <f aca="false">B6190/Summary!$B$5-1</f>
        <v>-0.114134143151019</v>
      </c>
    </row>
    <row r="6191" customFormat="false" ht="15" hidden="false" customHeight="false" outlineLevel="0" collapsed="false">
      <c r="A6191" s="0" t="n">
        <v>6190</v>
      </c>
      <c r="B6191" s="14" t="n">
        <v>104253.853576877</v>
      </c>
      <c r="C6191" s="15" t="n">
        <v>0.0778618070024828</v>
      </c>
      <c r="D6191" s="14" t="n">
        <f aca="false">Summary!$B$5-B6191</f>
        <v>-4253.8535768774</v>
      </c>
      <c r="E6191" s="15" t="n">
        <f aca="false">B6191/Summary!$B$5-1</f>
        <v>0.042538535768774</v>
      </c>
    </row>
    <row r="6192" customFormat="false" ht="15" hidden="false" customHeight="false" outlineLevel="0" collapsed="false">
      <c r="A6192" s="0" t="n">
        <v>6191</v>
      </c>
      <c r="B6192" s="14" t="n">
        <v>116128.07835603</v>
      </c>
      <c r="C6192" s="15" t="n">
        <v>0.0515433423665539</v>
      </c>
      <c r="D6192" s="14" t="n">
        <f aca="false">Summary!$B$5-B6192</f>
        <v>-16128.0783560301</v>
      </c>
      <c r="E6192" s="15" t="n">
        <f aca="false">B6192/Summary!$B$5-1</f>
        <v>0.161280783560301</v>
      </c>
    </row>
    <row r="6193" customFormat="false" ht="15" hidden="false" customHeight="false" outlineLevel="0" collapsed="false">
      <c r="A6193" s="0" t="n">
        <v>6192</v>
      </c>
      <c r="B6193" s="14" t="n">
        <v>98799.7463318675</v>
      </c>
      <c r="C6193" s="15" t="n">
        <v>0.133264605391789</v>
      </c>
      <c r="D6193" s="14" t="n">
        <f aca="false">Summary!$B$5-B6193</f>
        <v>1200.25366813249</v>
      </c>
      <c r="E6193" s="15" t="n">
        <f aca="false">B6193/Summary!$B$5-1</f>
        <v>-0.0120025366813249</v>
      </c>
    </row>
    <row r="6194" customFormat="false" ht="15" hidden="false" customHeight="false" outlineLevel="0" collapsed="false">
      <c r="A6194" s="0" t="n">
        <v>6193</v>
      </c>
      <c r="B6194" s="14" t="n">
        <v>100041.678926439</v>
      </c>
      <c r="C6194" s="15" t="n">
        <v>0.0977412319620923</v>
      </c>
      <c r="D6194" s="14" t="n">
        <f aca="false">Summary!$B$5-B6194</f>
        <v>-41.6789264389954</v>
      </c>
      <c r="E6194" s="15" t="n">
        <f aca="false">B6194/Summary!$B$5-1</f>
        <v>0.000416789264390038</v>
      </c>
    </row>
    <row r="6195" customFormat="false" ht="15" hidden="false" customHeight="false" outlineLevel="0" collapsed="false">
      <c r="A6195" s="0" t="n">
        <v>6194</v>
      </c>
      <c r="B6195" s="14" t="n">
        <v>117357.045111632</v>
      </c>
      <c r="C6195" s="15" t="n">
        <v>0.0582457312434772</v>
      </c>
      <c r="D6195" s="14" t="n">
        <f aca="false">Summary!$B$5-B6195</f>
        <v>-17357.0451116315</v>
      </c>
      <c r="E6195" s="15" t="n">
        <f aca="false">B6195/Summary!$B$5-1</f>
        <v>0.173570451116315</v>
      </c>
    </row>
    <row r="6196" customFormat="false" ht="15" hidden="false" customHeight="false" outlineLevel="0" collapsed="false">
      <c r="A6196" s="0" t="n">
        <v>6195</v>
      </c>
      <c r="B6196" s="14" t="n">
        <v>108607.544097206</v>
      </c>
      <c r="C6196" s="15" t="n">
        <v>0.132956160450609</v>
      </c>
      <c r="D6196" s="14" t="n">
        <f aca="false">Summary!$B$5-B6196</f>
        <v>-8607.54409720629</v>
      </c>
      <c r="E6196" s="15" t="n">
        <f aca="false">B6196/Summary!$B$5-1</f>
        <v>0.086075440972063</v>
      </c>
    </row>
    <row r="6197" customFormat="false" ht="15" hidden="false" customHeight="false" outlineLevel="0" collapsed="false">
      <c r="A6197" s="0" t="n">
        <v>6196</v>
      </c>
      <c r="B6197" s="14" t="n">
        <v>98410.9154925338</v>
      </c>
      <c r="C6197" s="15" t="n">
        <v>0.121896625582946</v>
      </c>
      <c r="D6197" s="14" t="n">
        <f aca="false">Summary!$B$5-B6197</f>
        <v>1589.08450746622</v>
      </c>
      <c r="E6197" s="15" t="n">
        <f aca="false">B6197/Summary!$B$5-1</f>
        <v>-0.0158908450746622</v>
      </c>
    </row>
    <row r="6198" customFormat="false" ht="15" hidden="false" customHeight="false" outlineLevel="0" collapsed="false">
      <c r="A6198" s="0" t="n">
        <v>6197</v>
      </c>
      <c r="B6198" s="14" t="n">
        <v>97757.0653207656</v>
      </c>
      <c r="C6198" s="15" t="n">
        <v>0.108289695117153</v>
      </c>
      <c r="D6198" s="14" t="n">
        <f aca="false">Summary!$B$5-B6198</f>
        <v>2242.93467923443</v>
      </c>
      <c r="E6198" s="15" t="n">
        <f aca="false">B6198/Summary!$B$5-1</f>
        <v>-0.0224293467923443</v>
      </c>
    </row>
    <row r="6199" customFormat="false" ht="15" hidden="false" customHeight="false" outlineLevel="0" collapsed="false">
      <c r="A6199" s="0" t="n">
        <v>6198</v>
      </c>
      <c r="B6199" s="14" t="n">
        <v>104110.806226359</v>
      </c>
      <c r="C6199" s="15" t="n">
        <v>0.125273287505753</v>
      </c>
      <c r="D6199" s="14" t="n">
        <f aca="false">Summary!$B$5-B6199</f>
        <v>-4110.80622635881</v>
      </c>
      <c r="E6199" s="15" t="n">
        <f aca="false">B6199/Summary!$B$5-1</f>
        <v>0.041108062263588</v>
      </c>
    </row>
    <row r="6200" customFormat="false" ht="15" hidden="false" customHeight="false" outlineLevel="0" collapsed="false">
      <c r="A6200" s="0" t="n">
        <v>6199</v>
      </c>
      <c r="B6200" s="14" t="n">
        <v>109381.297227317</v>
      </c>
      <c r="C6200" s="15" t="n">
        <v>0.0788906507554972</v>
      </c>
      <c r="D6200" s="14" t="n">
        <f aca="false">Summary!$B$5-B6200</f>
        <v>-9381.2972273169</v>
      </c>
      <c r="E6200" s="15" t="n">
        <f aca="false">B6200/Summary!$B$5-1</f>
        <v>0.0938129722731691</v>
      </c>
    </row>
    <row r="6201" customFormat="false" ht="15" hidden="false" customHeight="false" outlineLevel="0" collapsed="false">
      <c r="A6201" s="0" t="n">
        <v>6200</v>
      </c>
      <c r="B6201" s="14" t="n">
        <v>117487.517455441</v>
      </c>
      <c r="C6201" s="15" t="n">
        <v>0.0825416074373973</v>
      </c>
      <c r="D6201" s="14" t="n">
        <f aca="false">Summary!$B$5-B6201</f>
        <v>-17487.5174554414</v>
      </c>
      <c r="E6201" s="15" t="n">
        <f aca="false">B6201/Summary!$B$5-1</f>
        <v>0.174875174554414</v>
      </c>
    </row>
    <row r="6202" customFormat="false" ht="15" hidden="false" customHeight="false" outlineLevel="0" collapsed="false">
      <c r="A6202" s="0" t="n">
        <v>6201</v>
      </c>
      <c r="B6202" s="14" t="n">
        <v>82463.5729944026</v>
      </c>
      <c r="C6202" s="15" t="n">
        <v>0.207356258119834</v>
      </c>
      <c r="D6202" s="14" t="n">
        <f aca="false">Summary!$B$5-B6202</f>
        <v>17536.4270055974</v>
      </c>
      <c r="E6202" s="15" t="n">
        <f aca="false">B6202/Summary!$B$5-1</f>
        <v>-0.175364270055974</v>
      </c>
    </row>
    <row r="6203" customFormat="false" ht="15" hidden="false" customHeight="false" outlineLevel="0" collapsed="false">
      <c r="A6203" s="0" t="n">
        <v>6202</v>
      </c>
      <c r="B6203" s="14" t="n">
        <v>95366.7262927148</v>
      </c>
      <c r="C6203" s="15" t="n">
        <v>0.09840223683781</v>
      </c>
      <c r="D6203" s="14" t="n">
        <f aca="false">Summary!$B$5-B6203</f>
        <v>4633.2737072852</v>
      </c>
      <c r="E6203" s="15" t="n">
        <f aca="false">B6203/Summary!$B$5-1</f>
        <v>-0.046332737072852</v>
      </c>
    </row>
    <row r="6204" customFormat="false" ht="15" hidden="false" customHeight="false" outlineLevel="0" collapsed="false">
      <c r="A6204" s="0" t="n">
        <v>6203</v>
      </c>
      <c r="B6204" s="14" t="n">
        <v>116356.75013638</v>
      </c>
      <c r="C6204" s="15" t="n">
        <v>0.0772606205096997</v>
      </c>
      <c r="D6204" s="14" t="n">
        <f aca="false">Summary!$B$5-B6204</f>
        <v>-16356.7501363799</v>
      </c>
      <c r="E6204" s="15" t="n">
        <f aca="false">B6204/Summary!$B$5-1</f>
        <v>0.163567501363799</v>
      </c>
    </row>
    <row r="6205" customFormat="false" ht="15" hidden="false" customHeight="false" outlineLevel="0" collapsed="false">
      <c r="A6205" s="0" t="n">
        <v>6204</v>
      </c>
      <c r="B6205" s="14" t="n">
        <v>130173.845922361</v>
      </c>
      <c r="C6205" s="15" t="n">
        <v>0.0513824158978751</v>
      </c>
      <c r="D6205" s="14" t="n">
        <f aca="false">Summary!$B$5-B6205</f>
        <v>-30173.8459223609</v>
      </c>
      <c r="E6205" s="15" t="n">
        <f aca="false">B6205/Summary!$B$5-1</f>
        <v>0.301738459223609</v>
      </c>
    </row>
    <row r="6206" customFormat="false" ht="15" hidden="false" customHeight="false" outlineLevel="0" collapsed="false">
      <c r="A6206" s="0" t="n">
        <v>6205</v>
      </c>
      <c r="B6206" s="14" t="n">
        <v>99187.1867858916</v>
      </c>
      <c r="C6206" s="15" t="n">
        <v>0.0993378128865861</v>
      </c>
      <c r="D6206" s="14" t="n">
        <f aca="false">Summary!$B$5-B6206</f>
        <v>812.813214108406</v>
      </c>
      <c r="E6206" s="15" t="n">
        <f aca="false">B6206/Summary!$B$5-1</f>
        <v>-0.0081281321410841</v>
      </c>
    </row>
    <row r="6207" customFormat="false" ht="15" hidden="false" customHeight="false" outlineLevel="0" collapsed="false">
      <c r="A6207" s="0" t="n">
        <v>6206</v>
      </c>
      <c r="B6207" s="14" t="n">
        <v>120451.397912462</v>
      </c>
      <c r="C6207" s="15" t="n">
        <v>0.063990788536803</v>
      </c>
      <c r="D6207" s="14" t="n">
        <f aca="false">Summary!$B$5-B6207</f>
        <v>-20451.3979124623</v>
      </c>
      <c r="E6207" s="15" t="n">
        <f aca="false">B6207/Summary!$B$5-1</f>
        <v>0.204513979124623</v>
      </c>
    </row>
    <row r="6208" customFormat="false" ht="15" hidden="false" customHeight="false" outlineLevel="0" collapsed="false">
      <c r="A6208" s="0" t="n">
        <v>6207</v>
      </c>
      <c r="B6208" s="14" t="n">
        <v>100229.669011042</v>
      </c>
      <c r="C6208" s="15" t="n">
        <v>0.176165261337629</v>
      </c>
      <c r="D6208" s="14" t="n">
        <f aca="false">Summary!$B$5-B6208</f>
        <v>-229.669011042104</v>
      </c>
      <c r="E6208" s="15" t="n">
        <f aca="false">B6208/Summary!$B$5-1</f>
        <v>0.00229669011042111</v>
      </c>
    </row>
    <row r="6209" customFormat="false" ht="15" hidden="false" customHeight="false" outlineLevel="0" collapsed="false">
      <c r="A6209" s="0" t="n">
        <v>6208</v>
      </c>
      <c r="B6209" s="14" t="n">
        <v>93438.7351362137</v>
      </c>
      <c r="C6209" s="15" t="n">
        <v>0.120655807251226</v>
      </c>
      <c r="D6209" s="14" t="n">
        <f aca="false">Summary!$B$5-B6209</f>
        <v>6561.26486378626</v>
      </c>
      <c r="E6209" s="15" t="n">
        <f aca="false">B6209/Summary!$B$5-1</f>
        <v>-0.0656126486378625</v>
      </c>
    </row>
    <row r="6210" customFormat="false" ht="15" hidden="false" customHeight="false" outlineLevel="0" collapsed="false">
      <c r="A6210" s="0" t="n">
        <v>6209</v>
      </c>
      <c r="B6210" s="14" t="n">
        <v>93071.3743939704</v>
      </c>
      <c r="C6210" s="15" t="n">
        <v>0.149151958545766</v>
      </c>
      <c r="D6210" s="14" t="n">
        <f aca="false">Summary!$B$5-B6210</f>
        <v>6928.62560602956</v>
      </c>
      <c r="E6210" s="15" t="n">
        <f aca="false">B6210/Summary!$B$5-1</f>
        <v>-0.0692862560602956</v>
      </c>
    </row>
    <row r="6211" customFormat="false" ht="15" hidden="false" customHeight="false" outlineLevel="0" collapsed="false">
      <c r="A6211" s="0" t="n">
        <v>6210</v>
      </c>
      <c r="B6211" s="14" t="n">
        <v>111085.893439444</v>
      </c>
      <c r="C6211" s="15" t="n">
        <v>0.0584296432404184</v>
      </c>
      <c r="D6211" s="14" t="n">
        <f aca="false">Summary!$B$5-B6211</f>
        <v>-11085.8934394435</v>
      </c>
      <c r="E6211" s="15" t="n">
        <f aca="false">B6211/Summary!$B$5-1</f>
        <v>0.110858934394435</v>
      </c>
    </row>
    <row r="6212" customFormat="false" ht="15" hidden="false" customHeight="false" outlineLevel="0" collapsed="false">
      <c r="A6212" s="0" t="n">
        <v>6211</v>
      </c>
      <c r="B6212" s="14" t="n">
        <v>109146.834576552</v>
      </c>
      <c r="C6212" s="15" t="n">
        <v>0.0786261485997806</v>
      </c>
      <c r="D6212" s="14" t="n">
        <f aca="false">Summary!$B$5-B6212</f>
        <v>-9146.83457655201</v>
      </c>
      <c r="E6212" s="15" t="n">
        <f aca="false">B6212/Summary!$B$5-1</f>
        <v>0.0914683457655201</v>
      </c>
    </row>
    <row r="6213" customFormat="false" ht="15" hidden="false" customHeight="false" outlineLevel="0" collapsed="false">
      <c r="A6213" s="0" t="n">
        <v>6212</v>
      </c>
      <c r="B6213" s="14" t="n">
        <v>107811.434920066</v>
      </c>
      <c r="C6213" s="15" t="n">
        <v>0.0774728212581116</v>
      </c>
      <c r="D6213" s="14" t="n">
        <f aca="false">Summary!$B$5-B6213</f>
        <v>-7811.43492006609</v>
      </c>
      <c r="E6213" s="15" t="n">
        <f aca="false">B6213/Summary!$B$5-1</f>
        <v>0.0781143492006609</v>
      </c>
    </row>
    <row r="6214" customFormat="false" ht="15" hidden="false" customHeight="false" outlineLevel="0" collapsed="false">
      <c r="A6214" s="0" t="n">
        <v>6213</v>
      </c>
      <c r="B6214" s="14" t="n">
        <v>113707.939683541</v>
      </c>
      <c r="C6214" s="15" t="n">
        <v>0.114855143381562</v>
      </c>
      <c r="D6214" s="14" t="n">
        <f aca="false">Summary!$B$5-B6214</f>
        <v>-13707.9396835412</v>
      </c>
      <c r="E6214" s="15" t="n">
        <f aca="false">B6214/Summary!$B$5-1</f>
        <v>0.137079396835412</v>
      </c>
    </row>
    <row r="6215" customFormat="false" ht="15" hidden="false" customHeight="false" outlineLevel="0" collapsed="false">
      <c r="A6215" s="0" t="n">
        <v>6214</v>
      </c>
      <c r="B6215" s="14" t="n">
        <v>136796.612335373</v>
      </c>
      <c r="C6215" s="15" t="n">
        <v>0.0554185751457463</v>
      </c>
      <c r="D6215" s="14" t="n">
        <f aca="false">Summary!$B$5-B6215</f>
        <v>-36796.6123353725</v>
      </c>
      <c r="E6215" s="15" t="n">
        <f aca="false">B6215/Summary!$B$5-1</f>
        <v>0.367966123353725</v>
      </c>
    </row>
    <row r="6216" customFormat="false" ht="15" hidden="false" customHeight="false" outlineLevel="0" collapsed="false">
      <c r="A6216" s="0" t="n">
        <v>6215</v>
      </c>
      <c r="B6216" s="14" t="n">
        <v>103693.125525207</v>
      </c>
      <c r="C6216" s="15" t="n">
        <v>0.108708473662803</v>
      </c>
      <c r="D6216" s="14" t="n">
        <f aca="false">Summary!$B$5-B6216</f>
        <v>-3693.1255252072</v>
      </c>
      <c r="E6216" s="15" t="n">
        <f aca="false">B6216/Summary!$B$5-1</f>
        <v>0.036931255252072</v>
      </c>
    </row>
    <row r="6217" customFormat="false" ht="15" hidden="false" customHeight="false" outlineLevel="0" collapsed="false">
      <c r="A6217" s="0" t="n">
        <v>6216</v>
      </c>
      <c r="B6217" s="14" t="n">
        <v>117065.293517994</v>
      </c>
      <c r="C6217" s="15" t="n">
        <v>0.0658172104889736</v>
      </c>
      <c r="D6217" s="14" t="n">
        <f aca="false">Summary!$B$5-B6217</f>
        <v>-17065.2935179942</v>
      </c>
      <c r="E6217" s="15" t="n">
        <f aca="false">B6217/Summary!$B$5-1</f>
        <v>0.170652935179942</v>
      </c>
    </row>
    <row r="6218" customFormat="false" ht="15" hidden="false" customHeight="false" outlineLevel="0" collapsed="false">
      <c r="A6218" s="0" t="n">
        <v>6217</v>
      </c>
      <c r="B6218" s="14" t="n">
        <v>132051.008720828</v>
      </c>
      <c r="C6218" s="15" t="n">
        <v>0.0459638516167407</v>
      </c>
      <c r="D6218" s="14" t="n">
        <f aca="false">Summary!$B$5-B6218</f>
        <v>-32051.0087208278</v>
      </c>
      <c r="E6218" s="15" t="n">
        <f aca="false">B6218/Summary!$B$5-1</f>
        <v>0.320510087208278</v>
      </c>
    </row>
    <row r="6219" customFormat="false" ht="15" hidden="false" customHeight="false" outlineLevel="0" collapsed="false">
      <c r="A6219" s="0" t="n">
        <v>6218</v>
      </c>
      <c r="B6219" s="14" t="n">
        <v>128037.516969652</v>
      </c>
      <c r="C6219" s="15" t="n">
        <v>0.0506844169905261</v>
      </c>
      <c r="D6219" s="14" t="n">
        <f aca="false">Summary!$B$5-B6219</f>
        <v>-28037.5169696515</v>
      </c>
      <c r="E6219" s="15" t="n">
        <f aca="false">B6219/Summary!$B$5-1</f>
        <v>0.280375169696515</v>
      </c>
    </row>
    <row r="6220" customFormat="false" ht="15" hidden="false" customHeight="false" outlineLevel="0" collapsed="false">
      <c r="A6220" s="0" t="n">
        <v>6219</v>
      </c>
      <c r="B6220" s="14" t="n">
        <v>105534.200105197</v>
      </c>
      <c r="C6220" s="15" t="n">
        <v>0.0774631908255382</v>
      </c>
      <c r="D6220" s="14" t="n">
        <f aca="false">Summary!$B$5-B6220</f>
        <v>-5534.2001051972</v>
      </c>
      <c r="E6220" s="15" t="n">
        <f aca="false">B6220/Summary!$B$5-1</f>
        <v>0.0553420010519721</v>
      </c>
    </row>
    <row r="6221" customFormat="false" ht="15" hidden="false" customHeight="false" outlineLevel="0" collapsed="false">
      <c r="A6221" s="0" t="n">
        <v>6220</v>
      </c>
      <c r="B6221" s="14" t="n">
        <v>113235.982992263</v>
      </c>
      <c r="C6221" s="15" t="n">
        <v>0.0779412037129761</v>
      </c>
      <c r="D6221" s="14" t="n">
        <f aca="false">Summary!$B$5-B6221</f>
        <v>-13235.9829922628</v>
      </c>
      <c r="E6221" s="15" t="n">
        <f aca="false">B6221/Summary!$B$5-1</f>
        <v>0.132359829922628</v>
      </c>
    </row>
    <row r="6222" customFormat="false" ht="15" hidden="false" customHeight="false" outlineLevel="0" collapsed="false">
      <c r="A6222" s="0" t="n">
        <v>6221</v>
      </c>
      <c r="B6222" s="14" t="n">
        <v>88063.545691725</v>
      </c>
      <c r="C6222" s="15" t="n">
        <v>0.172755467206927</v>
      </c>
      <c r="D6222" s="14" t="n">
        <f aca="false">Summary!$B$5-B6222</f>
        <v>11936.454308275</v>
      </c>
      <c r="E6222" s="15" t="n">
        <f aca="false">B6222/Summary!$B$5-1</f>
        <v>-0.11936454308275</v>
      </c>
    </row>
    <row r="6223" customFormat="false" ht="15" hidden="false" customHeight="false" outlineLevel="0" collapsed="false">
      <c r="A6223" s="0" t="n">
        <v>6222</v>
      </c>
      <c r="B6223" s="14" t="n">
        <v>98660.0501111523</v>
      </c>
      <c r="C6223" s="15" t="n">
        <v>0.148062837721204</v>
      </c>
      <c r="D6223" s="14" t="n">
        <f aca="false">Summary!$B$5-B6223</f>
        <v>1339.94988884771</v>
      </c>
      <c r="E6223" s="15" t="n">
        <f aca="false">B6223/Summary!$B$5-1</f>
        <v>-0.0133994988884771</v>
      </c>
    </row>
    <row r="6224" customFormat="false" ht="15" hidden="false" customHeight="false" outlineLevel="0" collapsed="false">
      <c r="A6224" s="0" t="n">
        <v>6223</v>
      </c>
      <c r="B6224" s="14" t="n">
        <v>123227.212902616</v>
      </c>
      <c r="C6224" s="15" t="n">
        <v>0.0572247567912929</v>
      </c>
      <c r="D6224" s="14" t="n">
        <f aca="false">Summary!$B$5-B6224</f>
        <v>-23227.2129026159</v>
      </c>
      <c r="E6224" s="15" t="n">
        <f aca="false">B6224/Summary!$B$5-1</f>
        <v>0.232272129026159</v>
      </c>
    </row>
    <row r="6225" customFormat="false" ht="15" hidden="false" customHeight="false" outlineLevel="0" collapsed="false">
      <c r="A6225" s="0" t="n">
        <v>6224</v>
      </c>
      <c r="B6225" s="14" t="n">
        <v>123160.91754612</v>
      </c>
      <c r="C6225" s="15" t="n">
        <v>0.0489287515095199</v>
      </c>
      <c r="D6225" s="14" t="n">
        <f aca="false">Summary!$B$5-B6225</f>
        <v>-23160.9175461202</v>
      </c>
      <c r="E6225" s="15" t="n">
        <f aca="false">B6225/Summary!$B$5-1</f>
        <v>0.231609175461202</v>
      </c>
    </row>
    <row r="6226" customFormat="false" ht="15" hidden="false" customHeight="false" outlineLevel="0" collapsed="false">
      <c r="A6226" s="0" t="n">
        <v>6225</v>
      </c>
      <c r="B6226" s="14" t="n">
        <v>134747.823757737</v>
      </c>
      <c r="C6226" s="15" t="n">
        <v>0.0594779288738555</v>
      </c>
      <c r="D6226" s="14" t="n">
        <f aca="false">Summary!$B$5-B6226</f>
        <v>-34747.8237577372</v>
      </c>
      <c r="E6226" s="15" t="n">
        <f aca="false">B6226/Summary!$B$5-1</f>
        <v>0.347478237577372</v>
      </c>
    </row>
    <row r="6227" customFormat="false" ht="15" hidden="false" customHeight="false" outlineLevel="0" collapsed="false">
      <c r="A6227" s="0" t="n">
        <v>6226</v>
      </c>
      <c r="B6227" s="14" t="n">
        <v>114393.549029338</v>
      </c>
      <c r="C6227" s="15" t="n">
        <v>0.0689082215561684</v>
      </c>
      <c r="D6227" s="14" t="n">
        <f aca="false">Summary!$B$5-B6227</f>
        <v>-14393.5490293379</v>
      </c>
      <c r="E6227" s="15" t="n">
        <f aca="false">B6227/Summary!$B$5-1</f>
        <v>0.143935490293379</v>
      </c>
    </row>
    <row r="6228" customFormat="false" ht="15" hidden="false" customHeight="false" outlineLevel="0" collapsed="false">
      <c r="A6228" s="0" t="n">
        <v>6227</v>
      </c>
      <c r="B6228" s="14" t="n">
        <v>96829.3918215684</v>
      </c>
      <c r="C6228" s="15" t="n">
        <v>0.156660516957319</v>
      </c>
      <c r="D6228" s="14" t="n">
        <f aca="false">Summary!$B$5-B6228</f>
        <v>3170.6081784316</v>
      </c>
      <c r="E6228" s="15" t="n">
        <f aca="false">B6228/Summary!$B$5-1</f>
        <v>-0.031706081784316</v>
      </c>
    </row>
    <row r="6229" customFormat="false" ht="15" hidden="false" customHeight="false" outlineLevel="0" collapsed="false">
      <c r="A6229" s="0" t="n">
        <v>6228</v>
      </c>
      <c r="B6229" s="14" t="n">
        <v>122730.367152403</v>
      </c>
      <c r="C6229" s="15" t="n">
        <v>0.0875952463434676</v>
      </c>
      <c r="D6229" s="14" t="n">
        <f aca="false">Summary!$B$5-B6229</f>
        <v>-22730.3671524029</v>
      </c>
      <c r="E6229" s="15" t="n">
        <f aca="false">B6229/Summary!$B$5-1</f>
        <v>0.227303671524029</v>
      </c>
    </row>
    <row r="6230" customFormat="false" ht="15" hidden="false" customHeight="false" outlineLevel="0" collapsed="false">
      <c r="A6230" s="0" t="n">
        <v>6229</v>
      </c>
      <c r="B6230" s="14" t="n">
        <v>109621.517493613</v>
      </c>
      <c r="C6230" s="15" t="n">
        <v>0.0900412507780447</v>
      </c>
      <c r="D6230" s="14" t="n">
        <f aca="false">Summary!$B$5-B6230</f>
        <v>-9621.5174936128</v>
      </c>
      <c r="E6230" s="15" t="n">
        <f aca="false">B6230/Summary!$B$5-1</f>
        <v>0.096215174936128</v>
      </c>
    </row>
    <row r="6231" customFormat="false" ht="15" hidden="false" customHeight="false" outlineLevel="0" collapsed="false">
      <c r="A6231" s="0" t="n">
        <v>6230</v>
      </c>
      <c r="B6231" s="14" t="n">
        <v>125814.473891146</v>
      </c>
      <c r="C6231" s="15" t="n">
        <v>0.0877799718575327</v>
      </c>
      <c r="D6231" s="14" t="n">
        <f aca="false">Summary!$B$5-B6231</f>
        <v>-25814.4738911455</v>
      </c>
      <c r="E6231" s="15" t="n">
        <f aca="false">B6231/Summary!$B$5-1</f>
        <v>0.258144738911455</v>
      </c>
    </row>
    <row r="6232" customFormat="false" ht="15" hidden="false" customHeight="false" outlineLevel="0" collapsed="false">
      <c r="A6232" s="0" t="n">
        <v>6231</v>
      </c>
      <c r="B6232" s="14" t="n">
        <v>134980.4501947</v>
      </c>
      <c r="C6232" s="15" t="n">
        <v>0.0847512305134374</v>
      </c>
      <c r="D6232" s="14" t="n">
        <f aca="false">Summary!$B$5-B6232</f>
        <v>-34980.4501946998</v>
      </c>
      <c r="E6232" s="15" t="n">
        <f aca="false">B6232/Summary!$B$5-1</f>
        <v>0.349804501946998</v>
      </c>
    </row>
    <row r="6233" customFormat="false" ht="15" hidden="false" customHeight="false" outlineLevel="0" collapsed="false">
      <c r="A6233" s="0" t="n">
        <v>6232</v>
      </c>
      <c r="B6233" s="14" t="n">
        <v>114013.950083851</v>
      </c>
      <c r="C6233" s="15" t="n">
        <v>0.110655464244947</v>
      </c>
      <c r="D6233" s="14" t="n">
        <f aca="false">Summary!$B$5-B6233</f>
        <v>-14013.9500838511</v>
      </c>
      <c r="E6233" s="15" t="n">
        <f aca="false">B6233/Summary!$B$5-1</f>
        <v>0.140139500838511</v>
      </c>
    </row>
    <row r="6234" customFormat="false" ht="15" hidden="false" customHeight="false" outlineLevel="0" collapsed="false">
      <c r="A6234" s="0" t="n">
        <v>6233</v>
      </c>
      <c r="B6234" s="14" t="n">
        <v>110111.839470673</v>
      </c>
      <c r="C6234" s="15" t="n">
        <v>0.0818167800713057</v>
      </c>
      <c r="D6234" s="14" t="n">
        <f aca="false">Summary!$B$5-B6234</f>
        <v>-10111.8394706732</v>
      </c>
      <c r="E6234" s="15" t="n">
        <f aca="false">B6234/Summary!$B$5-1</f>
        <v>0.101118394706732</v>
      </c>
    </row>
    <row r="6235" customFormat="false" ht="15" hidden="false" customHeight="false" outlineLevel="0" collapsed="false">
      <c r="A6235" s="0" t="n">
        <v>6234</v>
      </c>
      <c r="B6235" s="14" t="n">
        <v>109323.980692449</v>
      </c>
      <c r="C6235" s="15" t="n">
        <v>0.0666067491870251</v>
      </c>
      <c r="D6235" s="14" t="n">
        <f aca="false">Summary!$B$5-B6235</f>
        <v>-9323.9806924489</v>
      </c>
      <c r="E6235" s="15" t="n">
        <f aca="false">B6235/Summary!$B$5-1</f>
        <v>0.0932398069244889</v>
      </c>
    </row>
    <row r="6236" customFormat="false" ht="15" hidden="false" customHeight="false" outlineLevel="0" collapsed="false">
      <c r="A6236" s="0" t="n">
        <v>6235</v>
      </c>
      <c r="B6236" s="14" t="n">
        <v>115107.515065819</v>
      </c>
      <c r="C6236" s="15" t="n">
        <v>0.0749107644491845</v>
      </c>
      <c r="D6236" s="14" t="n">
        <f aca="false">Summary!$B$5-B6236</f>
        <v>-15107.5150658192</v>
      </c>
      <c r="E6236" s="15" t="n">
        <f aca="false">B6236/Summary!$B$5-1</f>
        <v>0.151075150658192</v>
      </c>
    </row>
    <row r="6237" customFormat="false" ht="15" hidden="false" customHeight="false" outlineLevel="0" collapsed="false">
      <c r="A6237" s="0" t="n">
        <v>6236</v>
      </c>
      <c r="B6237" s="14" t="n">
        <v>112525.357499946</v>
      </c>
      <c r="C6237" s="15" t="n">
        <v>0.0510686065071458</v>
      </c>
      <c r="D6237" s="14" t="n">
        <f aca="false">Summary!$B$5-B6237</f>
        <v>-12525.357499946</v>
      </c>
      <c r="E6237" s="15" t="n">
        <f aca="false">B6237/Summary!$B$5-1</f>
        <v>0.12525357499946</v>
      </c>
    </row>
    <row r="6238" customFormat="false" ht="15" hidden="false" customHeight="false" outlineLevel="0" collapsed="false">
      <c r="A6238" s="0" t="n">
        <v>6237</v>
      </c>
      <c r="B6238" s="14" t="n">
        <v>109689.293961736</v>
      </c>
      <c r="C6238" s="15" t="n">
        <v>0.0586111128368623</v>
      </c>
      <c r="D6238" s="14" t="n">
        <f aca="false">Summary!$B$5-B6238</f>
        <v>-9689.2939617356</v>
      </c>
      <c r="E6238" s="15" t="n">
        <f aca="false">B6238/Summary!$B$5-1</f>
        <v>0.0968929396173561</v>
      </c>
    </row>
    <row r="6239" customFormat="false" ht="15" hidden="false" customHeight="false" outlineLevel="0" collapsed="false">
      <c r="A6239" s="0" t="n">
        <v>6238</v>
      </c>
      <c r="B6239" s="14" t="n">
        <v>114447.855337639</v>
      </c>
      <c r="C6239" s="15" t="n">
        <v>0.111663377823567</v>
      </c>
      <c r="D6239" s="14" t="n">
        <f aca="false">Summary!$B$5-B6239</f>
        <v>-14447.8553376388</v>
      </c>
      <c r="E6239" s="15" t="n">
        <f aca="false">B6239/Summary!$B$5-1</f>
        <v>0.144478553376388</v>
      </c>
    </row>
    <row r="6240" customFormat="false" ht="15" hidden="false" customHeight="false" outlineLevel="0" collapsed="false">
      <c r="A6240" s="0" t="n">
        <v>6239</v>
      </c>
      <c r="B6240" s="14" t="n">
        <v>109098.418666548</v>
      </c>
      <c r="C6240" s="15" t="n">
        <v>0.0693297494630362</v>
      </c>
      <c r="D6240" s="14" t="n">
        <f aca="false">Summary!$B$5-B6240</f>
        <v>-9098.4186665482</v>
      </c>
      <c r="E6240" s="15" t="n">
        <f aca="false">B6240/Summary!$B$5-1</f>
        <v>0.0909841866654819</v>
      </c>
    </row>
    <row r="6241" customFormat="false" ht="15" hidden="false" customHeight="false" outlineLevel="0" collapsed="false">
      <c r="A6241" s="0" t="n">
        <v>6240</v>
      </c>
      <c r="B6241" s="14" t="n">
        <v>135755.725254856</v>
      </c>
      <c r="C6241" s="15" t="n">
        <v>0.0606738240733389</v>
      </c>
      <c r="D6241" s="14" t="n">
        <f aca="false">Summary!$B$5-B6241</f>
        <v>-35755.7252548563</v>
      </c>
      <c r="E6241" s="15" t="n">
        <f aca="false">B6241/Summary!$B$5-1</f>
        <v>0.357557252548563</v>
      </c>
    </row>
    <row r="6242" customFormat="false" ht="15" hidden="false" customHeight="false" outlineLevel="0" collapsed="false">
      <c r="A6242" s="0" t="n">
        <v>6241</v>
      </c>
      <c r="B6242" s="14" t="n">
        <v>95195.6747573217</v>
      </c>
      <c r="C6242" s="15" t="n">
        <v>0.14418037147947</v>
      </c>
      <c r="D6242" s="14" t="n">
        <f aca="false">Summary!$B$5-B6242</f>
        <v>4804.32524267834</v>
      </c>
      <c r="E6242" s="15" t="n">
        <f aca="false">B6242/Summary!$B$5-1</f>
        <v>-0.0480432524267834</v>
      </c>
    </row>
    <row r="6243" customFormat="false" ht="15" hidden="false" customHeight="false" outlineLevel="0" collapsed="false">
      <c r="A6243" s="0" t="n">
        <v>6242</v>
      </c>
      <c r="B6243" s="14" t="n">
        <v>102963.406223738</v>
      </c>
      <c r="C6243" s="15" t="n">
        <v>0.0916399222387485</v>
      </c>
      <c r="D6243" s="14" t="n">
        <f aca="false">Summary!$B$5-B6243</f>
        <v>-2963.406223738</v>
      </c>
      <c r="E6243" s="15" t="n">
        <f aca="false">B6243/Summary!$B$5-1</f>
        <v>0.0296340622373801</v>
      </c>
    </row>
    <row r="6244" customFormat="false" ht="15" hidden="false" customHeight="false" outlineLevel="0" collapsed="false">
      <c r="A6244" s="0" t="n">
        <v>6243</v>
      </c>
      <c r="B6244" s="14" t="n">
        <v>101012.696559751</v>
      </c>
      <c r="C6244" s="15" t="n">
        <v>0.167069368081976</v>
      </c>
      <c r="D6244" s="14" t="n">
        <f aca="false">Summary!$B$5-B6244</f>
        <v>-1012.69655975061</v>
      </c>
      <c r="E6244" s="15" t="n">
        <f aca="false">B6244/Summary!$B$5-1</f>
        <v>0.010126965597506</v>
      </c>
    </row>
    <row r="6245" customFormat="false" ht="15" hidden="false" customHeight="false" outlineLevel="0" collapsed="false">
      <c r="A6245" s="0" t="n">
        <v>6244</v>
      </c>
      <c r="B6245" s="14" t="n">
        <v>105997.688213994</v>
      </c>
      <c r="C6245" s="15" t="n">
        <v>0.110360259131483</v>
      </c>
      <c r="D6245" s="14" t="n">
        <f aca="false">Summary!$B$5-B6245</f>
        <v>-5997.6882139942</v>
      </c>
      <c r="E6245" s="15" t="n">
        <f aca="false">B6245/Summary!$B$5-1</f>
        <v>0.059976882139942</v>
      </c>
    </row>
    <row r="6246" customFormat="false" ht="15" hidden="false" customHeight="false" outlineLevel="0" collapsed="false">
      <c r="A6246" s="0" t="n">
        <v>6245</v>
      </c>
      <c r="B6246" s="14" t="n">
        <v>112079.190646365</v>
      </c>
      <c r="C6246" s="15" t="n">
        <v>0.046981556690698</v>
      </c>
      <c r="D6246" s="14" t="n">
        <f aca="false">Summary!$B$5-B6246</f>
        <v>-12079.1906463651</v>
      </c>
      <c r="E6246" s="15" t="n">
        <f aca="false">B6246/Summary!$B$5-1</f>
        <v>0.120791906463651</v>
      </c>
    </row>
    <row r="6247" customFormat="false" ht="15" hidden="false" customHeight="false" outlineLevel="0" collapsed="false">
      <c r="A6247" s="0" t="n">
        <v>6246</v>
      </c>
      <c r="B6247" s="14" t="n">
        <v>106915.284260652</v>
      </c>
      <c r="C6247" s="15" t="n">
        <v>0.0835682690778606</v>
      </c>
      <c r="D6247" s="14" t="n">
        <f aca="false">Summary!$B$5-B6247</f>
        <v>-6915.284260652</v>
      </c>
      <c r="E6247" s="15" t="n">
        <f aca="false">B6247/Summary!$B$5-1</f>
        <v>0.06915284260652</v>
      </c>
    </row>
    <row r="6248" customFormat="false" ht="15" hidden="false" customHeight="false" outlineLevel="0" collapsed="false">
      <c r="A6248" s="0" t="n">
        <v>6247</v>
      </c>
      <c r="B6248" s="14" t="n">
        <v>104093.328731792</v>
      </c>
      <c r="C6248" s="15" t="n">
        <v>0.0644380501119828</v>
      </c>
      <c r="D6248" s="14" t="n">
        <f aca="false">Summary!$B$5-B6248</f>
        <v>-4093.3287317918</v>
      </c>
      <c r="E6248" s="15" t="n">
        <f aca="false">B6248/Summary!$B$5-1</f>
        <v>0.040933287317918</v>
      </c>
    </row>
    <row r="6249" customFormat="false" ht="15" hidden="false" customHeight="false" outlineLevel="0" collapsed="false">
      <c r="A6249" s="0" t="n">
        <v>6248</v>
      </c>
      <c r="B6249" s="14" t="n">
        <v>106562.80711595</v>
      </c>
      <c r="C6249" s="15" t="n">
        <v>0.0834802101600606</v>
      </c>
      <c r="D6249" s="14" t="n">
        <f aca="false">Summary!$B$5-B6249</f>
        <v>-6562.80711594971</v>
      </c>
      <c r="E6249" s="15" t="n">
        <f aca="false">B6249/Summary!$B$5-1</f>
        <v>0.065628071159497</v>
      </c>
    </row>
    <row r="6250" customFormat="false" ht="15" hidden="false" customHeight="false" outlineLevel="0" collapsed="false">
      <c r="A6250" s="0" t="n">
        <v>6249</v>
      </c>
      <c r="B6250" s="14" t="n">
        <v>96995.5697013075</v>
      </c>
      <c r="C6250" s="15" t="n">
        <v>0.150084123941159</v>
      </c>
      <c r="D6250" s="14" t="n">
        <f aca="false">Summary!$B$5-B6250</f>
        <v>3004.43029869255</v>
      </c>
      <c r="E6250" s="15" t="n">
        <f aca="false">B6250/Summary!$B$5-1</f>
        <v>-0.0300443029869255</v>
      </c>
    </row>
    <row r="6251" customFormat="false" ht="15" hidden="false" customHeight="false" outlineLevel="0" collapsed="false">
      <c r="A6251" s="0" t="n">
        <v>6250</v>
      </c>
      <c r="B6251" s="14" t="n">
        <v>100711.508107908</v>
      </c>
      <c r="C6251" s="15" t="n">
        <v>0.0841893378372819</v>
      </c>
      <c r="D6251" s="14" t="n">
        <f aca="false">Summary!$B$5-B6251</f>
        <v>-711.508107907604</v>
      </c>
      <c r="E6251" s="15" t="n">
        <f aca="false">B6251/Summary!$B$5-1</f>
        <v>0.0071150810790761</v>
      </c>
    </row>
    <row r="6252" customFormat="false" ht="15" hidden="false" customHeight="false" outlineLevel="0" collapsed="false">
      <c r="A6252" s="0" t="n">
        <v>6251</v>
      </c>
      <c r="B6252" s="14" t="n">
        <v>97290.3987636274</v>
      </c>
      <c r="C6252" s="15" t="n">
        <v>0.0805718993815168</v>
      </c>
      <c r="D6252" s="14" t="n">
        <f aca="false">Summary!$B$5-B6252</f>
        <v>2709.60123637258</v>
      </c>
      <c r="E6252" s="15" t="n">
        <f aca="false">B6252/Summary!$B$5-1</f>
        <v>-0.0270960123637257</v>
      </c>
    </row>
    <row r="6253" customFormat="false" ht="15" hidden="false" customHeight="false" outlineLevel="0" collapsed="false">
      <c r="A6253" s="0" t="n">
        <v>6252</v>
      </c>
      <c r="B6253" s="14" t="n">
        <v>120014.558126778</v>
      </c>
      <c r="C6253" s="15" t="n">
        <v>0.0682871634081004</v>
      </c>
      <c r="D6253" s="14" t="n">
        <f aca="false">Summary!$B$5-B6253</f>
        <v>-20014.5581267782</v>
      </c>
      <c r="E6253" s="15" t="n">
        <f aca="false">B6253/Summary!$B$5-1</f>
        <v>0.200145581267782</v>
      </c>
    </row>
    <row r="6254" customFormat="false" ht="15" hidden="false" customHeight="false" outlineLevel="0" collapsed="false">
      <c r="A6254" s="0" t="n">
        <v>6253</v>
      </c>
      <c r="B6254" s="14" t="n">
        <v>107840.964886426</v>
      </c>
      <c r="C6254" s="15" t="n">
        <v>0.119419697337478</v>
      </c>
      <c r="D6254" s="14" t="n">
        <f aca="false">Summary!$B$5-B6254</f>
        <v>-7840.96488642581</v>
      </c>
      <c r="E6254" s="15" t="n">
        <f aca="false">B6254/Summary!$B$5-1</f>
        <v>0.0784096488642581</v>
      </c>
    </row>
    <row r="6255" customFormat="false" ht="15" hidden="false" customHeight="false" outlineLevel="0" collapsed="false">
      <c r="A6255" s="0" t="n">
        <v>6254</v>
      </c>
      <c r="B6255" s="14" t="n">
        <v>111930.326888199</v>
      </c>
      <c r="C6255" s="15" t="n">
        <v>0.123354338419677</v>
      </c>
      <c r="D6255" s="14" t="n">
        <f aca="false">Summary!$B$5-B6255</f>
        <v>-11930.3268881989</v>
      </c>
      <c r="E6255" s="15" t="n">
        <f aca="false">B6255/Summary!$B$5-1</f>
        <v>0.119303268881989</v>
      </c>
    </row>
    <row r="6256" customFormat="false" ht="15" hidden="false" customHeight="false" outlineLevel="0" collapsed="false">
      <c r="A6256" s="0" t="n">
        <v>6255</v>
      </c>
      <c r="B6256" s="14" t="n">
        <v>115986.344840335</v>
      </c>
      <c r="C6256" s="15" t="n">
        <v>0.097930585612071</v>
      </c>
      <c r="D6256" s="14" t="n">
        <f aca="false">Summary!$B$5-B6256</f>
        <v>-15986.3448403345</v>
      </c>
      <c r="E6256" s="15" t="n">
        <f aca="false">B6256/Summary!$B$5-1</f>
        <v>0.159863448403345</v>
      </c>
    </row>
    <row r="6257" customFormat="false" ht="15" hidden="false" customHeight="false" outlineLevel="0" collapsed="false">
      <c r="A6257" s="0" t="n">
        <v>6256</v>
      </c>
      <c r="B6257" s="14" t="n">
        <v>139218.621691577</v>
      </c>
      <c r="C6257" s="15" t="n">
        <v>0.0528129190979871</v>
      </c>
      <c r="D6257" s="14" t="n">
        <f aca="false">Summary!$B$5-B6257</f>
        <v>-39218.6216915771</v>
      </c>
      <c r="E6257" s="15" t="n">
        <f aca="false">B6257/Summary!$B$5-1</f>
        <v>0.392186216915771</v>
      </c>
    </row>
    <row r="6258" customFormat="false" ht="15" hidden="false" customHeight="false" outlineLevel="0" collapsed="false">
      <c r="A6258" s="0" t="n">
        <v>6257</v>
      </c>
      <c r="B6258" s="14" t="n">
        <v>118242.049504996</v>
      </c>
      <c r="C6258" s="15" t="n">
        <v>0.0933857488412075</v>
      </c>
      <c r="D6258" s="14" t="n">
        <f aca="false">Summary!$B$5-B6258</f>
        <v>-18242.0495049964</v>
      </c>
      <c r="E6258" s="15" t="n">
        <f aca="false">B6258/Summary!$B$5-1</f>
        <v>0.182420495049964</v>
      </c>
    </row>
    <row r="6259" customFormat="false" ht="15" hidden="false" customHeight="false" outlineLevel="0" collapsed="false">
      <c r="A6259" s="0" t="n">
        <v>6258</v>
      </c>
      <c r="B6259" s="14" t="n">
        <v>113297.482192722</v>
      </c>
      <c r="C6259" s="15" t="n">
        <v>0.0673616184375762</v>
      </c>
      <c r="D6259" s="14" t="n">
        <f aca="false">Summary!$B$5-B6259</f>
        <v>-13297.4821927217</v>
      </c>
      <c r="E6259" s="15" t="n">
        <f aca="false">B6259/Summary!$B$5-1</f>
        <v>0.132974821927217</v>
      </c>
    </row>
    <row r="6260" customFormat="false" ht="15" hidden="false" customHeight="false" outlineLevel="0" collapsed="false">
      <c r="A6260" s="0" t="n">
        <v>6259</v>
      </c>
      <c r="B6260" s="14" t="n">
        <v>109094.979100086</v>
      </c>
      <c r="C6260" s="15" t="n">
        <v>0.0794029946542106</v>
      </c>
      <c r="D6260" s="14" t="n">
        <f aca="false">Summary!$B$5-B6260</f>
        <v>-9094.97910008561</v>
      </c>
      <c r="E6260" s="15" t="n">
        <f aca="false">B6260/Summary!$B$5-1</f>
        <v>0.0909497910008561</v>
      </c>
    </row>
    <row r="6261" customFormat="false" ht="15" hidden="false" customHeight="false" outlineLevel="0" collapsed="false">
      <c r="A6261" s="0" t="n">
        <v>6260</v>
      </c>
      <c r="B6261" s="14" t="n">
        <v>120874.251492369</v>
      </c>
      <c r="C6261" s="15" t="n">
        <v>0.0690737546668744</v>
      </c>
      <c r="D6261" s="14" t="n">
        <f aca="false">Summary!$B$5-B6261</f>
        <v>-20874.2514923689</v>
      </c>
      <c r="E6261" s="15" t="n">
        <f aca="false">B6261/Summary!$B$5-1</f>
        <v>0.208742514923689</v>
      </c>
    </row>
    <row r="6262" customFormat="false" ht="15" hidden="false" customHeight="false" outlineLevel="0" collapsed="false">
      <c r="A6262" s="0" t="n">
        <v>6261</v>
      </c>
      <c r="B6262" s="14" t="n">
        <v>102501.317747199</v>
      </c>
      <c r="C6262" s="15" t="n">
        <v>0.0853968129277308</v>
      </c>
      <c r="D6262" s="14" t="n">
        <f aca="false">Summary!$B$5-B6262</f>
        <v>-2501.3177471987</v>
      </c>
      <c r="E6262" s="15" t="n">
        <f aca="false">B6262/Summary!$B$5-1</f>
        <v>0.0250131774719871</v>
      </c>
    </row>
    <row r="6263" customFormat="false" ht="15" hidden="false" customHeight="false" outlineLevel="0" collapsed="false">
      <c r="A6263" s="0" t="n">
        <v>6262</v>
      </c>
      <c r="B6263" s="14" t="n">
        <v>113980.654772348</v>
      </c>
      <c r="C6263" s="15" t="n">
        <v>0.0665035413622471</v>
      </c>
      <c r="D6263" s="14" t="n">
        <f aca="false">Summary!$B$5-B6263</f>
        <v>-13980.6547723475</v>
      </c>
      <c r="E6263" s="15" t="n">
        <f aca="false">B6263/Summary!$B$5-1</f>
        <v>0.139806547723475</v>
      </c>
    </row>
    <row r="6264" customFormat="false" ht="15" hidden="false" customHeight="false" outlineLevel="0" collapsed="false">
      <c r="A6264" s="0" t="n">
        <v>6263</v>
      </c>
      <c r="B6264" s="14" t="n">
        <v>106425.725943984</v>
      </c>
      <c r="C6264" s="15" t="n">
        <v>0.0875865952338849</v>
      </c>
      <c r="D6264" s="14" t="n">
        <f aca="false">Summary!$B$5-B6264</f>
        <v>-6425.72594398361</v>
      </c>
      <c r="E6264" s="15" t="n">
        <f aca="false">B6264/Summary!$B$5-1</f>
        <v>0.0642572594398361</v>
      </c>
    </row>
    <row r="6265" customFormat="false" ht="15" hidden="false" customHeight="false" outlineLevel="0" collapsed="false">
      <c r="A6265" s="0" t="n">
        <v>6264</v>
      </c>
      <c r="B6265" s="14" t="n">
        <v>90413.7630161067</v>
      </c>
      <c r="C6265" s="15" t="n">
        <v>0.146063895081775</v>
      </c>
      <c r="D6265" s="14" t="n">
        <f aca="false">Summary!$B$5-B6265</f>
        <v>9586.23698389335</v>
      </c>
      <c r="E6265" s="15" t="n">
        <f aca="false">B6265/Summary!$B$5-1</f>
        <v>-0.0958623698389335</v>
      </c>
    </row>
    <row r="6266" customFormat="false" ht="15" hidden="false" customHeight="false" outlineLevel="0" collapsed="false">
      <c r="A6266" s="0" t="n">
        <v>6265</v>
      </c>
      <c r="B6266" s="14" t="n">
        <v>117995.64621172</v>
      </c>
      <c r="C6266" s="15" t="n">
        <v>0.0569304514650396</v>
      </c>
      <c r="D6266" s="14" t="n">
        <f aca="false">Summary!$B$5-B6266</f>
        <v>-17995.6462117197</v>
      </c>
      <c r="E6266" s="15" t="n">
        <f aca="false">B6266/Summary!$B$5-1</f>
        <v>0.179956462117197</v>
      </c>
    </row>
    <row r="6267" customFormat="false" ht="15" hidden="false" customHeight="false" outlineLevel="0" collapsed="false">
      <c r="A6267" s="0" t="n">
        <v>6266</v>
      </c>
      <c r="B6267" s="14" t="n">
        <v>102050.875707186</v>
      </c>
      <c r="C6267" s="15" t="n">
        <v>0.145229828652732</v>
      </c>
      <c r="D6267" s="14" t="n">
        <f aca="false">Summary!$B$5-B6267</f>
        <v>-2050.8757071859</v>
      </c>
      <c r="E6267" s="15" t="n">
        <f aca="false">B6267/Summary!$B$5-1</f>
        <v>0.020508757071859</v>
      </c>
    </row>
    <row r="6268" customFormat="false" ht="15" hidden="false" customHeight="false" outlineLevel="0" collapsed="false">
      <c r="A6268" s="0" t="n">
        <v>6267</v>
      </c>
      <c r="B6268" s="14" t="n">
        <v>109287.254091625</v>
      </c>
      <c r="C6268" s="15" t="n">
        <v>0.082591458173142</v>
      </c>
      <c r="D6268" s="14" t="n">
        <f aca="false">Summary!$B$5-B6268</f>
        <v>-9287.2540916249</v>
      </c>
      <c r="E6268" s="15" t="n">
        <f aca="false">B6268/Summary!$B$5-1</f>
        <v>0.092872540916249</v>
      </c>
    </row>
    <row r="6269" customFormat="false" ht="15" hidden="false" customHeight="false" outlineLevel="0" collapsed="false">
      <c r="A6269" s="0" t="n">
        <v>6268</v>
      </c>
      <c r="B6269" s="14" t="n">
        <v>125835.18052359</v>
      </c>
      <c r="C6269" s="15" t="n">
        <v>0.0725061550064376</v>
      </c>
      <c r="D6269" s="14" t="n">
        <f aca="false">Summary!$B$5-B6269</f>
        <v>-25835.1805235901</v>
      </c>
      <c r="E6269" s="15" t="n">
        <f aca="false">B6269/Summary!$B$5-1</f>
        <v>0.258351805235901</v>
      </c>
    </row>
    <row r="6270" customFormat="false" ht="15" hidden="false" customHeight="false" outlineLevel="0" collapsed="false">
      <c r="A6270" s="0" t="n">
        <v>6269</v>
      </c>
      <c r="B6270" s="14" t="n">
        <v>100073.214426277</v>
      </c>
      <c r="C6270" s="15" t="n">
        <v>0.17065851878657</v>
      </c>
      <c r="D6270" s="14" t="n">
        <f aca="false">Summary!$B$5-B6270</f>
        <v>-73.2144262767979</v>
      </c>
      <c r="E6270" s="15" t="n">
        <f aca="false">B6270/Summary!$B$5-1</f>
        <v>0.000732144262767909</v>
      </c>
    </row>
    <row r="6271" customFormat="false" ht="15" hidden="false" customHeight="false" outlineLevel="0" collapsed="false">
      <c r="A6271" s="0" t="n">
        <v>6270</v>
      </c>
      <c r="B6271" s="14" t="n">
        <v>125993.142664212</v>
      </c>
      <c r="C6271" s="15" t="n">
        <v>0.0663778350934943</v>
      </c>
      <c r="D6271" s="14" t="n">
        <f aca="false">Summary!$B$5-B6271</f>
        <v>-25993.1426642116</v>
      </c>
      <c r="E6271" s="15" t="n">
        <f aca="false">B6271/Summary!$B$5-1</f>
        <v>0.259931426642116</v>
      </c>
    </row>
    <row r="6272" customFormat="false" ht="15" hidden="false" customHeight="false" outlineLevel="0" collapsed="false">
      <c r="A6272" s="0" t="n">
        <v>6271</v>
      </c>
      <c r="B6272" s="14" t="n">
        <v>133131.011133908</v>
      </c>
      <c r="C6272" s="15" t="n">
        <v>0.0555551718313211</v>
      </c>
      <c r="D6272" s="14" t="n">
        <f aca="false">Summary!$B$5-B6272</f>
        <v>-33131.0111339075</v>
      </c>
      <c r="E6272" s="15" t="n">
        <f aca="false">B6272/Summary!$B$5-1</f>
        <v>0.331310111339075</v>
      </c>
    </row>
    <row r="6273" customFormat="false" ht="15" hidden="false" customHeight="false" outlineLevel="0" collapsed="false">
      <c r="A6273" s="0" t="n">
        <v>6272</v>
      </c>
      <c r="B6273" s="14" t="n">
        <v>107225.732998631</v>
      </c>
      <c r="C6273" s="15" t="n">
        <v>0.071284887743475</v>
      </c>
      <c r="D6273" s="14" t="n">
        <f aca="false">Summary!$B$5-B6273</f>
        <v>-7225.7329986312</v>
      </c>
      <c r="E6273" s="15" t="n">
        <f aca="false">B6273/Summary!$B$5-1</f>
        <v>0.0722573299863121</v>
      </c>
    </row>
    <row r="6274" customFormat="false" ht="15" hidden="false" customHeight="false" outlineLevel="0" collapsed="false">
      <c r="A6274" s="0" t="n">
        <v>6273</v>
      </c>
      <c r="B6274" s="14" t="n">
        <v>96287.4810895608</v>
      </c>
      <c r="C6274" s="15" t="n">
        <v>0.107890107153045</v>
      </c>
      <c r="D6274" s="14" t="n">
        <f aca="false">Summary!$B$5-B6274</f>
        <v>3712.51891043918</v>
      </c>
      <c r="E6274" s="15" t="n">
        <f aca="false">B6274/Summary!$B$5-1</f>
        <v>-0.0371251891043918</v>
      </c>
    </row>
    <row r="6275" customFormat="false" ht="15" hidden="false" customHeight="false" outlineLevel="0" collapsed="false">
      <c r="A6275" s="0" t="n">
        <v>6274</v>
      </c>
      <c r="B6275" s="14" t="n">
        <v>111593.212417347</v>
      </c>
      <c r="C6275" s="15" t="n">
        <v>0.0608142460827372</v>
      </c>
      <c r="D6275" s="14" t="n">
        <f aca="false">Summary!$B$5-B6275</f>
        <v>-11593.2124173472</v>
      </c>
      <c r="E6275" s="15" t="n">
        <f aca="false">B6275/Summary!$B$5-1</f>
        <v>0.115932124173472</v>
      </c>
    </row>
    <row r="6276" customFormat="false" ht="15" hidden="false" customHeight="false" outlineLevel="0" collapsed="false">
      <c r="A6276" s="0" t="n">
        <v>6275</v>
      </c>
      <c r="B6276" s="14" t="n">
        <v>97112.6272102032</v>
      </c>
      <c r="C6276" s="15" t="n">
        <v>0.10862196347544</v>
      </c>
      <c r="D6276" s="14" t="n">
        <f aca="false">Summary!$B$5-B6276</f>
        <v>2887.37278979685</v>
      </c>
      <c r="E6276" s="15" t="n">
        <f aca="false">B6276/Summary!$B$5-1</f>
        <v>-0.0288737278979685</v>
      </c>
    </row>
    <row r="6277" customFormat="false" ht="15" hidden="false" customHeight="false" outlineLevel="0" collapsed="false">
      <c r="A6277" s="0" t="n">
        <v>6276</v>
      </c>
      <c r="B6277" s="14" t="n">
        <v>91800.6028195191</v>
      </c>
      <c r="C6277" s="15" t="n">
        <v>0.137941277981025</v>
      </c>
      <c r="D6277" s="14" t="n">
        <f aca="false">Summary!$B$5-B6277</f>
        <v>8199.39718048094</v>
      </c>
      <c r="E6277" s="15" t="n">
        <f aca="false">B6277/Summary!$B$5-1</f>
        <v>-0.0819939718048094</v>
      </c>
    </row>
    <row r="6278" customFormat="false" ht="15" hidden="false" customHeight="false" outlineLevel="0" collapsed="false">
      <c r="A6278" s="0" t="n">
        <v>6277</v>
      </c>
      <c r="B6278" s="14" t="n">
        <v>102130.14581769</v>
      </c>
      <c r="C6278" s="15" t="n">
        <v>0.105506344925733</v>
      </c>
      <c r="D6278" s="14" t="n">
        <f aca="false">Summary!$B$5-B6278</f>
        <v>-2130.1458176899</v>
      </c>
      <c r="E6278" s="15" t="n">
        <f aca="false">B6278/Summary!$B$5-1</f>
        <v>0.0213014581768991</v>
      </c>
    </row>
    <row r="6279" customFormat="false" ht="15" hidden="false" customHeight="false" outlineLevel="0" collapsed="false">
      <c r="A6279" s="0" t="n">
        <v>6278</v>
      </c>
      <c r="B6279" s="14" t="n">
        <v>101913.625964096</v>
      </c>
      <c r="C6279" s="15" t="n">
        <v>0.11744781062092</v>
      </c>
      <c r="D6279" s="14" t="n">
        <f aca="false">Summary!$B$5-B6279</f>
        <v>-1913.6259640956</v>
      </c>
      <c r="E6279" s="15" t="n">
        <f aca="false">B6279/Summary!$B$5-1</f>
        <v>0.0191362596409559</v>
      </c>
    </row>
    <row r="6280" customFormat="false" ht="15" hidden="false" customHeight="false" outlineLevel="0" collapsed="false">
      <c r="A6280" s="0" t="n">
        <v>6279</v>
      </c>
      <c r="B6280" s="14" t="n">
        <v>92223.7696231809</v>
      </c>
      <c r="C6280" s="15" t="n">
        <v>0.209942899829642</v>
      </c>
      <c r="D6280" s="14" t="n">
        <f aca="false">Summary!$B$5-B6280</f>
        <v>7776.23037681906</v>
      </c>
      <c r="E6280" s="15" t="n">
        <f aca="false">B6280/Summary!$B$5-1</f>
        <v>-0.0777623037681906</v>
      </c>
    </row>
    <row r="6281" customFormat="false" ht="15" hidden="false" customHeight="false" outlineLevel="0" collapsed="false">
      <c r="A6281" s="0" t="n">
        <v>6280</v>
      </c>
      <c r="B6281" s="14" t="n">
        <v>124171.666336011</v>
      </c>
      <c r="C6281" s="15" t="n">
        <v>0.0644907137485323</v>
      </c>
      <c r="D6281" s="14" t="n">
        <f aca="false">Summary!$B$5-B6281</f>
        <v>-24171.6663360106</v>
      </c>
      <c r="E6281" s="15" t="n">
        <f aca="false">B6281/Summary!$B$5-1</f>
        <v>0.241716663360106</v>
      </c>
    </row>
    <row r="6282" customFormat="false" ht="15" hidden="false" customHeight="false" outlineLevel="0" collapsed="false">
      <c r="A6282" s="0" t="n">
        <v>6281</v>
      </c>
      <c r="B6282" s="14" t="n">
        <v>105221.848487187</v>
      </c>
      <c r="C6282" s="15" t="n">
        <v>0.156434258161342</v>
      </c>
      <c r="D6282" s="14" t="n">
        <f aca="false">Summary!$B$5-B6282</f>
        <v>-5221.848487187</v>
      </c>
      <c r="E6282" s="15" t="n">
        <f aca="false">B6282/Summary!$B$5-1</f>
        <v>0.0522184848718701</v>
      </c>
    </row>
    <row r="6283" customFormat="false" ht="15" hidden="false" customHeight="false" outlineLevel="0" collapsed="false">
      <c r="A6283" s="0" t="n">
        <v>6282</v>
      </c>
      <c r="B6283" s="14" t="n">
        <v>112254.697510168</v>
      </c>
      <c r="C6283" s="15" t="n">
        <v>0.110008637152269</v>
      </c>
      <c r="D6283" s="14" t="n">
        <f aca="false">Summary!$B$5-B6283</f>
        <v>-12254.6975101675</v>
      </c>
      <c r="E6283" s="15" t="n">
        <f aca="false">B6283/Summary!$B$5-1</f>
        <v>0.122546975101675</v>
      </c>
    </row>
    <row r="6284" customFormat="false" ht="15" hidden="false" customHeight="false" outlineLevel="0" collapsed="false">
      <c r="A6284" s="0" t="n">
        <v>6283</v>
      </c>
      <c r="B6284" s="14" t="n">
        <v>93490.0069588714</v>
      </c>
      <c r="C6284" s="15" t="n">
        <v>0.110699653378021</v>
      </c>
      <c r="D6284" s="14" t="n">
        <f aca="false">Summary!$B$5-B6284</f>
        <v>6509.99304112856</v>
      </c>
      <c r="E6284" s="15" t="n">
        <f aca="false">B6284/Summary!$B$5-1</f>
        <v>-0.0650999304112856</v>
      </c>
    </row>
    <row r="6285" customFormat="false" ht="15" hidden="false" customHeight="false" outlineLevel="0" collapsed="false">
      <c r="A6285" s="0" t="n">
        <v>6284</v>
      </c>
      <c r="B6285" s="14" t="n">
        <v>109247.977437285</v>
      </c>
      <c r="C6285" s="15" t="n">
        <v>0.055502455562305</v>
      </c>
      <c r="D6285" s="14" t="n">
        <f aca="false">Summary!$B$5-B6285</f>
        <v>-9247.9774372851</v>
      </c>
      <c r="E6285" s="15" t="n">
        <f aca="false">B6285/Summary!$B$5-1</f>
        <v>0.0924797743728509</v>
      </c>
    </row>
    <row r="6286" customFormat="false" ht="15" hidden="false" customHeight="false" outlineLevel="0" collapsed="false">
      <c r="A6286" s="0" t="n">
        <v>6285</v>
      </c>
      <c r="B6286" s="14" t="n">
        <v>105040.699497145</v>
      </c>
      <c r="C6286" s="15" t="n">
        <v>0.0875974427946654</v>
      </c>
      <c r="D6286" s="14" t="n">
        <f aca="false">Summary!$B$5-B6286</f>
        <v>-5040.6994971453</v>
      </c>
      <c r="E6286" s="15" t="n">
        <f aca="false">B6286/Summary!$B$5-1</f>
        <v>0.050406994971453</v>
      </c>
    </row>
    <row r="6287" customFormat="false" ht="15" hidden="false" customHeight="false" outlineLevel="0" collapsed="false">
      <c r="A6287" s="0" t="n">
        <v>6286</v>
      </c>
      <c r="B6287" s="14" t="n">
        <v>95405.7217627069</v>
      </c>
      <c r="C6287" s="15" t="n">
        <v>0.133398387497266</v>
      </c>
      <c r="D6287" s="14" t="n">
        <f aca="false">Summary!$B$5-B6287</f>
        <v>4594.27823729314</v>
      </c>
      <c r="E6287" s="15" t="n">
        <f aca="false">B6287/Summary!$B$5-1</f>
        <v>-0.0459427823729314</v>
      </c>
    </row>
    <row r="6288" customFormat="false" ht="15" hidden="false" customHeight="false" outlineLevel="0" collapsed="false">
      <c r="A6288" s="0" t="n">
        <v>6287</v>
      </c>
      <c r="B6288" s="14" t="n">
        <v>123912.573996876</v>
      </c>
      <c r="C6288" s="15" t="n">
        <v>0.0719172231948764</v>
      </c>
      <c r="D6288" s="14" t="n">
        <f aca="false">Summary!$B$5-B6288</f>
        <v>-23912.5739968763</v>
      </c>
      <c r="E6288" s="15" t="n">
        <f aca="false">B6288/Summary!$B$5-1</f>
        <v>0.239125739968763</v>
      </c>
    </row>
    <row r="6289" customFormat="false" ht="15" hidden="false" customHeight="false" outlineLevel="0" collapsed="false">
      <c r="A6289" s="0" t="n">
        <v>6288</v>
      </c>
      <c r="B6289" s="14" t="n">
        <v>94081.4432281172</v>
      </c>
      <c r="C6289" s="15" t="n">
        <v>0.174362805088815</v>
      </c>
      <c r="D6289" s="14" t="n">
        <f aca="false">Summary!$B$5-B6289</f>
        <v>5918.55677188278</v>
      </c>
      <c r="E6289" s="15" t="n">
        <f aca="false">B6289/Summary!$B$5-1</f>
        <v>-0.0591855677188278</v>
      </c>
    </row>
    <row r="6290" customFormat="false" ht="15" hidden="false" customHeight="false" outlineLevel="0" collapsed="false">
      <c r="A6290" s="0" t="n">
        <v>6289</v>
      </c>
      <c r="B6290" s="14" t="n">
        <v>103002.059920855</v>
      </c>
      <c r="C6290" s="15" t="n">
        <v>0.0714229259047644</v>
      </c>
      <c r="D6290" s="14" t="n">
        <f aca="false">Summary!$B$5-B6290</f>
        <v>-3002.0599208549</v>
      </c>
      <c r="E6290" s="15" t="n">
        <f aca="false">B6290/Summary!$B$5-1</f>
        <v>0.0300205992085489</v>
      </c>
    </row>
    <row r="6291" customFormat="false" ht="15" hidden="false" customHeight="false" outlineLevel="0" collapsed="false">
      <c r="A6291" s="0" t="n">
        <v>6290</v>
      </c>
      <c r="B6291" s="14" t="n">
        <v>97274.4035978008</v>
      </c>
      <c r="C6291" s="15" t="n">
        <v>0.128209627463329</v>
      </c>
      <c r="D6291" s="14" t="n">
        <f aca="false">Summary!$B$5-B6291</f>
        <v>2725.59640219917</v>
      </c>
      <c r="E6291" s="15" t="n">
        <f aca="false">B6291/Summary!$B$5-1</f>
        <v>-0.0272559640219917</v>
      </c>
    </row>
    <row r="6292" customFormat="false" ht="15" hidden="false" customHeight="false" outlineLevel="0" collapsed="false">
      <c r="A6292" s="0" t="n">
        <v>6291</v>
      </c>
      <c r="B6292" s="14" t="n">
        <v>109314.751990784</v>
      </c>
      <c r="C6292" s="15" t="n">
        <v>0.0774658759114705</v>
      </c>
      <c r="D6292" s="14" t="n">
        <f aca="false">Summary!$B$5-B6292</f>
        <v>-9314.75199078429</v>
      </c>
      <c r="E6292" s="15" t="n">
        <f aca="false">B6292/Summary!$B$5-1</f>
        <v>0.0931475199078429</v>
      </c>
    </row>
    <row r="6293" customFormat="false" ht="15" hidden="false" customHeight="false" outlineLevel="0" collapsed="false">
      <c r="A6293" s="0" t="n">
        <v>6292</v>
      </c>
      <c r="B6293" s="14" t="n">
        <v>102122.276239018</v>
      </c>
      <c r="C6293" s="15" t="n">
        <v>0.10809512463054</v>
      </c>
      <c r="D6293" s="14" t="n">
        <f aca="false">Summary!$B$5-B6293</f>
        <v>-2122.27623901841</v>
      </c>
      <c r="E6293" s="15" t="n">
        <f aca="false">B6293/Summary!$B$5-1</f>
        <v>0.0212227623901842</v>
      </c>
    </row>
    <row r="6294" customFormat="false" ht="15" hidden="false" customHeight="false" outlineLevel="0" collapsed="false">
      <c r="A6294" s="0" t="n">
        <v>6293</v>
      </c>
      <c r="B6294" s="14" t="n">
        <v>123047.08031502</v>
      </c>
      <c r="C6294" s="15" t="n">
        <v>0.0468448146240575</v>
      </c>
      <c r="D6294" s="14" t="n">
        <f aca="false">Summary!$B$5-B6294</f>
        <v>-23047.0803150197</v>
      </c>
      <c r="E6294" s="15" t="n">
        <f aca="false">B6294/Summary!$B$5-1</f>
        <v>0.230470803150197</v>
      </c>
    </row>
    <row r="6295" customFormat="false" ht="15" hidden="false" customHeight="false" outlineLevel="0" collapsed="false">
      <c r="A6295" s="0" t="n">
        <v>6294</v>
      </c>
      <c r="B6295" s="14" t="n">
        <v>116317.457469274</v>
      </c>
      <c r="C6295" s="15" t="n">
        <v>0.0698917583247258</v>
      </c>
      <c r="D6295" s="14" t="n">
        <f aca="false">Summary!$B$5-B6295</f>
        <v>-16317.4574692744</v>
      </c>
      <c r="E6295" s="15" t="n">
        <f aca="false">B6295/Summary!$B$5-1</f>
        <v>0.163174574692744</v>
      </c>
    </row>
    <row r="6296" customFormat="false" ht="15" hidden="false" customHeight="false" outlineLevel="0" collapsed="false">
      <c r="A6296" s="0" t="n">
        <v>6295</v>
      </c>
      <c r="B6296" s="14" t="n">
        <v>124463.720957375</v>
      </c>
      <c r="C6296" s="15" t="n">
        <v>0.0841632505196416</v>
      </c>
      <c r="D6296" s="14" t="n">
        <f aca="false">Summary!$B$5-B6296</f>
        <v>-24463.7209573745</v>
      </c>
      <c r="E6296" s="15" t="n">
        <f aca="false">B6296/Summary!$B$5-1</f>
        <v>0.244637209573745</v>
      </c>
    </row>
    <row r="6297" customFormat="false" ht="15" hidden="false" customHeight="false" outlineLevel="0" collapsed="false">
      <c r="A6297" s="0" t="n">
        <v>6296</v>
      </c>
      <c r="B6297" s="14" t="n">
        <v>116284.405200972</v>
      </c>
      <c r="C6297" s="15" t="n">
        <v>0.0495768342866259</v>
      </c>
      <c r="D6297" s="14" t="n">
        <f aca="false">Summary!$B$5-B6297</f>
        <v>-16284.4052009719</v>
      </c>
      <c r="E6297" s="15" t="n">
        <f aca="false">B6297/Summary!$B$5-1</f>
        <v>0.162844052009719</v>
      </c>
    </row>
    <row r="6298" customFormat="false" ht="15" hidden="false" customHeight="false" outlineLevel="0" collapsed="false">
      <c r="A6298" s="0" t="n">
        <v>6297</v>
      </c>
      <c r="B6298" s="14" t="n">
        <v>106991.741093366</v>
      </c>
      <c r="C6298" s="15" t="n">
        <v>0.0710835237825895</v>
      </c>
      <c r="D6298" s="14" t="n">
        <f aca="false">Summary!$B$5-B6298</f>
        <v>-6991.7410933661</v>
      </c>
      <c r="E6298" s="15" t="n">
        <f aca="false">B6298/Summary!$B$5-1</f>
        <v>0.0699174109336611</v>
      </c>
    </row>
    <row r="6299" customFormat="false" ht="15" hidden="false" customHeight="false" outlineLevel="0" collapsed="false">
      <c r="A6299" s="0" t="n">
        <v>6298</v>
      </c>
      <c r="B6299" s="14" t="n">
        <v>115674.964995375</v>
      </c>
      <c r="C6299" s="15" t="n">
        <v>0.0531629413562963</v>
      </c>
      <c r="D6299" s="14" t="n">
        <f aca="false">Summary!$B$5-B6299</f>
        <v>-15674.9649953748</v>
      </c>
      <c r="E6299" s="15" t="n">
        <f aca="false">B6299/Summary!$B$5-1</f>
        <v>0.156749649953748</v>
      </c>
    </row>
    <row r="6300" customFormat="false" ht="15" hidden="false" customHeight="false" outlineLevel="0" collapsed="false">
      <c r="A6300" s="0" t="n">
        <v>6299</v>
      </c>
      <c r="B6300" s="14" t="n">
        <v>102628.855885467</v>
      </c>
      <c r="C6300" s="15" t="n">
        <v>0.103599691637154</v>
      </c>
      <c r="D6300" s="14" t="n">
        <f aca="false">Summary!$B$5-B6300</f>
        <v>-2628.855885467</v>
      </c>
      <c r="E6300" s="15" t="n">
        <f aca="false">B6300/Summary!$B$5-1</f>
        <v>0.02628855885467</v>
      </c>
    </row>
    <row r="6301" customFormat="false" ht="15" hidden="false" customHeight="false" outlineLevel="0" collapsed="false">
      <c r="A6301" s="0" t="n">
        <v>6300</v>
      </c>
      <c r="B6301" s="14" t="n">
        <v>105432.285643154</v>
      </c>
      <c r="C6301" s="15" t="n">
        <v>0.0828761053700716</v>
      </c>
      <c r="D6301" s="14" t="n">
        <f aca="false">Summary!$B$5-B6301</f>
        <v>-5432.28564315361</v>
      </c>
      <c r="E6301" s="15" t="n">
        <f aca="false">B6301/Summary!$B$5-1</f>
        <v>0.0543228564315361</v>
      </c>
    </row>
    <row r="6302" customFormat="false" ht="15" hidden="false" customHeight="false" outlineLevel="0" collapsed="false">
      <c r="A6302" s="0" t="n">
        <v>6301</v>
      </c>
      <c r="B6302" s="14" t="n">
        <v>81691.8749561105</v>
      </c>
      <c r="C6302" s="15" t="n">
        <v>0.235750310204824</v>
      </c>
      <c r="D6302" s="14" t="n">
        <f aca="false">Summary!$B$5-B6302</f>
        <v>18308.1250438895</v>
      </c>
      <c r="E6302" s="15" t="n">
        <f aca="false">B6302/Summary!$B$5-1</f>
        <v>-0.183081250438895</v>
      </c>
    </row>
    <row r="6303" customFormat="false" ht="15" hidden="false" customHeight="false" outlineLevel="0" collapsed="false">
      <c r="A6303" s="0" t="n">
        <v>6302</v>
      </c>
      <c r="B6303" s="14" t="n">
        <v>103031.964772425</v>
      </c>
      <c r="C6303" s="15" t="n">
        <v>0.135879104595845</v>
      </c>
      <c r="D6303" s="14" t="n">
        <f aca="false">Summary!$B$5-B6303</f>
        <v>-3031.9647724247</v>
      </c>
      <c r="E6303" s="15" t="n">
        <f aca="false">B6303/Summary!$B$5-1</f>
        <v>0.0303196477242471</v>
      </c>
    </row>
    <row r="6304" customFormat="false" ht="15" hidden="false" customHeight="false" outlineLevel="0" collapsed="false">
      <c r="A6304" s="0" t="n">
        <v>6303</v>
      </c>
      <c r="B6304" s="14" t="n">
        <v>118439.015944963</v>
      </c>
      <c r="C6304" s="15" t="n">
        <v>0.0618959571882667</v>
      </c>
      <c r="D6304" s="14" t="n">
        <f aca="false">Summary!$B$5-B6304</f>
        <v>-18439.0159449627</v>
      </c>
      <c r="E6304" s="15" t="n">
        <f aca="false">B6304/Summary!$B$5-1</f>
        <v>0.184390159449627</v>
      </c>
    </row>
    <row r="6305" customFormat="false" ht="15" hidden="false" customHeight="false" outlineLevel="0" collapsed="false">
      <c r="A6305" s="0" t="n">
        <v>6304</v>
      </c>
      <c r="B6305" s="14" t="n">
        <v>103193.516392703</v>
      </c>
      <c r="C6305" s="15" t="n">
        <v>0.0991275270829354</v>
      </c>
      <c r="D6305" s="14" t="n">
        <f aca="false">Summary!$B$5-B6305</f>
        <v>-3193.51639270291</v>
      </c>
      <c r="E6305" s="15" t="n">
        <f aca="false">B6305/Summary!$B$5-1</f>
        <v>0.0319351639270291</v>
      </c>
    </row>
    <row r="6306" customFormat="false" ht="15" hidden="false" customHeight="false" outlineLevel="0" collapsed="false">
      <c r="A6306" s="0" t="n">
        <v>6305</v>
      </c>
      <c r="B6306" s="14" t="n">
        <v>96982.2122398849</v>
      </c>
      <c r="C6306" s="15" t="n">
        <v>0.158969146856485</v>
      </c>
      <c r="D6306" s="14" t="n">
        <f aca="false">Summary!$B$5-B6306</f>
        <v>3017.78776011514</v>
      </c>
      <c r="E6306" s="15" t="n">
        <f aca="false">B6306/Summary!$B$5-1</f>
        <v>-0.0301778776011514</v>
      </c>
    </row>
    <row r="6307" customFormat="false" ht="15" hidden="false" customHeight="false" outlineLevel="0" collapsed="false">
      <c r="A6307" s="0" t="n">
        <v>6306</v>
      </c>
      <c r="B6307" s="14" t="n">
        <v>99060.5155524195</v>
      </c>
      <c r="C6307" s="15" t="n">
        <v>0.0994827666022802</v>
      </c>
      <c r="D6307" s="14" t="n">
        <f aca="false">Summary!$B$5-B6307</f>
        <v>939.484447580471</v>
      </c>
      <c r="E6307" s="15" t="n">
        <f aca="false">B6307/Summary!$B$5-1</f>
        <v>-0.00939484447580474</v>
      </c>
    </row>
    <row r="6308" customFormat="false" ht="15" hidden="false" customHeight="false" outlineLevel="0" collapsed="false">
      <c r="A6308" s="0" t="n">
        <v>6307</v>
      </c>
      <c r="B6308" s="14" t="n">
        <v>121920.005609289</v>
      </c>
      <c r="C6308" s="15" t="n">
        <v>0.058314815011082</v>
      </c>
      <c r="D6308" s="14" t="n">
        <f aca="false">Summary!$B$5-B6308</f>
        <v>-21920.0056092886</v>
      </c>
      <c r="E6308" s="15" t="n">
        <f aca="false">B6308/Summary!$B$5-1</f>
        <v>0.219200056092886</v>
      </c>
    </row>
    <row r="6309" customFormat="false" ht="15" hidden="false" customHeight="false" outlineLevel="0" collapsed="false">
      <c r="A6309" s="0" t="n">
        <v>6308</v>
      </c>
      <c r="B6309" s="14" t="n">
        <v>95616.649112962</v>
      </c>
      <c r="C6309" s="15" t="n">
        <v>0.135446236569859</v>
      </c>
      <c r="D6309" s="14" t="n">
        <f aca="false">Summary!$B$5-B6309</f>
        <v>4383.35088703802</v>
      </c>
      <c r="E6309" s="15" t="n">
        <f aca="false">B6309/Summary!$B$5-1</f>
        <v>-0.0438335088703802</v>
      </c>
    </row>
    <row r="6310" customFormat="false" ht="15" hidden="false" customHeight="false" outlineLevel="0" collapsed="false">
      <c r="A6310" s="0" t="n">
        <v>6309</v>
      </c>
      <c r="B6310" s="14" t="n">
        <v>98962.0140416925</v>
      </c>
      <c r="C6310" s="15" t="n">
        <v>0.0947829266920275</v>
      </c>
      <c r="D6310" s="14" t="n">
        <f aca="false">Summary!$B$5-B6310</f>
        <v>1037.9859583075</v>
      </c>
      <c r="E6310" s="15" t="n">
        <f aca="false">B6310/Summary!$B$5-1</f>
        <v>-0.010379859583075</v>
      </c>
    </row>
    <row r="6311" customFormat="false" ht="15" hidden="false" customHeight="false" outlineLevel="0" collapsed="false">
      <c r="A6311" s="0" t="n">
        <v>6310</v>
      </c>
      <c r="B6311" s="14" t="n">
        <v>122137.527778052</v>
      </c>
      <c r="C6311" s="15" t="n">
        <v>0.0543560794772285</v>
      </c>
      <c r="D6311" s="14" t="n">
        <f aca="false">Summary!$B$5-B6311</f>
        <v>-22137.5277780523</v>
      </c>
      <c r="E6311" s="15" t="n">
        <f aca="false">B6311/Summary!$B$5-1</f>
        <v>0.221375277780523</v>
      </c>
    </row>
    <row r="6312" customFormat="false" ht="15" hidden="false" customHeight="false" outlineLevel="0" collapsed="false">
      <c r="A6312" s="0" t="n">
        <v>6311</v>
      </c>
      <c r="B6312" s="14" t="n">
        <v>106113.714132723</v>
      </c>
      <c r="C6312" s="15" t="n">
        <v>0.10934320643049</v>
      </c>
      <c r="D6312" s="14" t="n">
        <f aca="false">Summary!$B$5-B6312</f>
        <v>-6113.7141327229</v>
      </c>
      <c r="E6312" s="15" t="n">
        <f aca="false">B6312/Summary!$B$5-1</f>
        <v>0.061137141327229</v>
      </c>
    </row>
    <row r="6313" customFormat="false" ht="15" hidden="false" customHeight="false" outlineLevel="0" collapsed="false">
      <c r="A6313" s="0" t="n">
        <v>6312</v>
      </c>
      <c r="B6313" s="14" t="n">
        <v>123443.239337276</v>
      </c>
      <c r="C6313" s="15" t="n">
        <v>0.0456040543458649</v>
      </c>
      <c r="D6313" s="14" t="n">
        <f aca="false">Summary!$B$5-B6313</f>
        <v>-23443.2393372756</v>
      </c>
      <c r="E6313" s="15" t="n">
        <f aca="false">B6313/Summary!$B$5-1</f>
        <v>0.234432393372756</v>
      </c>
    </row>
    <row r="6314" customFormat="false" ht="15" hidden="false" customHeight="false" outlineLevel="0" collapsed="false">
      <c r="A6314" s="0" t="n">
        <v>6313</v>
      </c>
      <c r="B6314" s="14" t="n">
        <v>100463.689108019</v>
      </c>
      <c r="C6314" s="15" t="n">
        <v>0.0841862979194608</v>
      </c>
      <c r="D6314" s="14" t="n">
        <f aca="false">Summary!$B$5-B6314</f>
        <v>-463.689108018705</v>
      </c>
      <c r="E6314" s="15" t="n">
        <f aca="false">B6314/Summary!$B$5-1</f>
        <v>0.00463689108018706</v>
      </c>
    </row>
    <row r="6315" customFormat="false" ht="15" hidden="false" customHeight="false" outlineLevel="0" collapsed="false">
      <c r="A6315" s="0" t="n">
        <v>6314</v>
      </c>
      <c r="B6315" s="14" t="n">
        <v>112327.263740208</v>
      </c>
      <c r="C6315" s="15" t="n">
        <v>0.080285196783851</v>
      </c>
      <c r="D6315" s="14" t="n">
        <f aca="false">Summary!$B$5-B6315</f>
        <v>-12327.2637402082</v>
      </c>
      <c r="E6315" s="15" t="n">
        <f aca="false">B6315/Summary!$B$5-1</f>
        <v>0.123272637402082</v>
      </c>
    </row>
    <row r="6316" customFormat="false" ht="15" hidden="false" customHeight="false" outlineLevel="0" collapsed="false">
      <c r="A6316" s="0" t="n">
        <v>6315</v>
      </c>
      <c r="B6316" s="14" t="n">
        <v>94934.6061110298</v>
      </c>
      <c r="C6316" s="15" t="n">
        <v>0.140552293103927</v>
      </c>
      <c r="D6316" s="14" t="n">
        <f aca="false">Summary!$B$5-B6316</f>
        <v>5065.39388897024</v>
      </c>
      <c r="E6316" s="15" t="n">
        <f aca="false">B6316/Summary!$B$5-1</f>
        <v>-0.0506539388897024</v>
      </c>
    </row>
    <row r="6317" customFormat="false" ht="15" hidden="false" customHeight="false" outlineLevel="0" collapsed="false">
      <c r="A6317" s="0" t="n">
        <v>6316</v>
      </c>
      <c r="B6317" s="14" t="n">
        <v>106785.60912161</v>
      </c>
      <c r="C6317" s="15" t="n">
        <v>0.0635435435651028</v>
      </c>
      <c r="D6317" s="14" t="n">
        <f aca="false">Summary!$B$5-B6317</f>
        <v>-6785.6091216096</v>
      </c>
      <c r="E6317" s="15" t="n">
        <f aca="false">B6317/Summary!$B$5-1</f>
        <v>0.0678560912160959</v>
      </c>
    </row>
    <row r="6318" customFormat="false" ht="15" hidden="false" customHeight="false" outlineLevel="0" collapsed="false">
      <c r="A6318" s="0" t="n">
        <v>6317</v>
      </c>
      <c r="B6318" s="14" t="n">
        <v>135428.641653856</v>
      </c>
      <c r="C6318" s="15" t="n">
        <v>0.0595612037683024</v>
      </c>
      <c r="D6318" s="14" t="n">
        <f aca="false">Summary!$B$5-B6318</f>
        <v>-35428.6416538564</v>
      </c>
      <c r="E6318" s="15" t="n">
        <f aca="false">B6318/Summary!$B$5-1</f>
        <v>0.354286416538564</v>
      </c>
    </row>
    <row r="6319" customFormat="false" ht="15" hidden="false" customHeight="false" outlineLevel="0" collapsed="false">
      <c r="A6319" s="0" t="n">
        <v>6318</v>
      </c>
      <c r="B6319" s="14" t="n">
        <v>107761.210704879</v>
      </c>
      <c r="C6319" s="15" t="n">
        <v>0.180985989616491</v>
      </c>
      <c r="D6319" s="14" t="n">
        <f aca="false">Summary!$B$5-B6319</f>
        <v>-7761.2107048786</v>
      </c>
      <c r="E6319" s="15" t="n">
        <f aca="false">B6319/Summary!$B$5-1</f>
        <v>0.0776121070487861</v>
      </c>
    </row>
    <row r="6320" customFormat="false" ht="15" hidden="false" customHeight="false" outlineLevel="0" collapsed="false">
      <c r="A6320" s="0" t="n">
        <v>6319</v>
      </c>
      <c r="B6320" s="14" t="n">
        <v>92518.4392117366</v>
      </c>
      <c r="C6320" s="15" t="n">
        <v>0.152147420719071</v>
      </c>
      <c r="D6320" s="14" t="n">
        <f aca="false">Summary!$B$5-B6320</f>
        <v>7481.56078826345</v>
      </c>
      <c r="E6320" s="15" t="n">
        <f aca="false">B6320/Summary!$B$5-1</f>
        <v>-0.0748156078826345</v>
      </c>
    </row>
    <row r="6321" customFormat="false" ht="15" hidden="false" customHeight="false" outlineLevel="0" collapsed="false">
      <c r="A6321" s="0" t="n">
        <v>6320</v>
      </c>
      <c r="B6321" s="14" t="n">
        <v>89522.9421303809</v>
      </c>
      <c r="C6321" s="15" t="n">
        <v>0.107561709876052</v>
      </c>
      <c r="D6321" s="14" t="n">
        <f aca="false">Summary!$B$5-B6321</f>
        <v>10477.0578696191</v>
      </c>
      <c r="E6321" s="15" t="n">
        <f aca="false">B6321/Summary!$B$5-1</f>
        <v>-0.104770578696191</v>
      </c>
    </row>
    <row r="6322" customFormat="false" ht="15" hidden="false" customHeight="false" outlineLevel="0" collapsed="false">
      <c r="A6322" s="0" t="n">
        <v>6321</v>
      </c>
      <c r="B6322" s="14" t="n">
        <v>101239.917390473</v>
      </c>
      <c r="C6322" s="15" t="n">
        <v>0.0955022738632082</v>
      </c>
      <c r="D6322" s="14" t="n">
        <f aca="false">Summary!$B$5-B6322</f>
        <v>-1239.9173904725</v>
      </c>
      <c r="E6322" s="15" t="n">
        <f aca="false">B6322/Summary!$B$5-1</f>
        <v>0.0123991739047251</v>
      </c>
    </row>
    <row r="6323" customFormat="false" ht="15" hidden="false" customHeight="false" outlineLevel="0" collapsed="false">
      <c r="A6323" s="0" t="n">
        <v>6322</v>
      </c>
      <c r="B6323" s="14" t="n">
        <v>119027.406245914</v>
      </c>
      <c r="C6323" s="15" t="n">
        <v>0.0628541748906739</v>
      </c>
      <c r="D6323" s="14" t="n">
        <f aca="false">Summary!$B$5-B6323</f>
        <v>-19027.4062459139</v>
      </c>
      <c r="E6323" s="15" t="n">
        <f aca="false">B6323/Summary!$B$5-1</f>
        <v>0.190274062459139</v>
      </c>
    </row>
    <row r="6324" customFormat="false" ht="15" hidden="false" customHeight="false" outlineLevel="0" collapsed="false">
      <c r="A6324" s="0" t="n">
        <v>6323</v>
      </c>
      <c r="B6324" s="14" t="n">
        <v>126865.693511171</v>
      </c>
      <c r="C6324" s="15" t="n">
        <v>0.0837484005017163</v>
      </c>
      <c r="D6324" s="14" t="n">
        <f aca="false">Summary!$B$5-B6324</f>
        <v>-26865.6935111712</v>
      </c>
      <c r="E6324" s="15" t="n">
        <f aca="false">B6324/Summary!$B$5-1</f>
        <v>0.268656935111712</v>
      </c>
    </row>
    <row r="6325" customFormat="false" ht="15" hidden="false" customHeight="false" outlineLevel="0" collapsed="false">
      <c r="A6325" s="0" t="n">
        <v>6324</v>
      </c>
      <c r="B6325" s="14" t="n">
        <v>106213.565957478</v>
      </c>
      <c r="C6325" s="15" t="n">
        <v>0.0880616745299933</v>
      </c>
      <c r="D6325" s="14" t="n">
        <f aca="false">Summary!$B$5-B6325</f>
        <v>-6213.56595747751</v>
      </c>
      <c r="E6325" s="15" t="n">
        <f aca="false">B6325/Summary!$B$5-1</f>
        <v>0.0621356595747751</v>
      </c>
    </row>
    <row r="6326" customFormat="false" ht="15" hidden="false" customHeight="false" outlineLevel="0" collapsed="false">
      <c r="A6326" s="0" t="n">
        <v>6325</v>
      </c>
      <c r="B6326" s="14" t="n">
        <v>97793.9737359961</v>
      </c>
      <c r="C6326" s="15" t="n">
        <v>0.119638635413528</v>
      </c>
      <c r="D6326" s="14" t="n">
        <f aca="false">Summary!$B$5-B6326</f>
        <v>2206.02626400389</v>
      </c>
      <c r="E6326" s="15" t="n">
        <f aca="false">B6326/Summary!$B$5-1</f>
        <v>-0.0220602626400389</v>
      </c>
    </row>
    <row r="6327" customFormat="false" ht="15" hidden="false" customHeight="false" outlineLevel="0" collapsed="false">
      <c r="A6327" s="0" t="n">
        <v>6326</v>
      </c>
      <c r="B6327" s="14" t="n">
        <v>118797.320949618</v>
      </c>
      <c r="C6327" s="15" t="n">
        <v>0.0861957855071809</v>
      </c>
      <c r="D6327" s="14" t="n">
        <f aca="false">Summary!$B$5-B6327</f>
        <v>-18797.3209496177</v>
      </c>
      <c r="E6327" s="15" t="n">
        <f aca="false">B6327/Summary!$B$5-1</f>
        <v>0.187973209496177</v>
      </c>
    </row>
    <row r="6328" customFormat="false" ht="15" hidden="false" customHeight="false" outlineLevel="0" collapsed="false">
      <c r="A6328" s="0" t="n">
        <v>6327</v>
      </c>
      <c r="B6328" s="14" t="n">
        <v>84388.8561688475</v>
      </c>
      <c r="C6328" s="15" t="n">
        <v>0.181370931768545</v>
      </c>
      <c r="D6328" s="14" t="n">
        <f aca="false">Summary!$B$5-B6328</f>
        <v>15611.1438311525</v>
      </c>
      <c r="E6328" s="15" t="n">
        <f aca="false">B6328/Summary!$B$5-1</f>
        <v>-0.156111438311525</v>
      </c>
    </row>
    <row r="6329" customFormat="false" ht="15" hidden="false" customHeight="false" outlineLevel="0" collapsed="false">
      <c r="A6329" s="0" t="n">
        <v>6328</v>
      </c>
      <c r="B6329" s="14" t="n">
        <v>99649.7373848779</v>
      </c>
      <c r="C6329" s="15" t="n">
        <v>0.170007256818907</v>
      </c>
      <c r="D6329" s="14" t="n">
        <f aca="false">Summary!$B$5-B6329</f>
        <v>350.262615122076</v>
      </c>
      <c r="E6329" s="15" t="n">
        <f aca="false">B6329/Summary!$B$5-1</f>
        <v>-0.00350262615122077</v>
      </c>
    </row>
    <row r="6330" customFormat="false" ht="15" hidden="false" customHeight="false" outlineLevel="0" collapsed="false">
      <c r="A6330" s="0" t="n">
        <v>6329</v>
      </c>
      <c r="B6330" s="14" t="n">
        <v>94609.110742141</v>
      </c>
      <c r="C6330" s="15" t="n">
        <v>0.118797713204728</v>
      </c>
      <c r="D6330" s="14" t="n">
        <f aca="false">Summary!$B$5-B6330</f>
        <v>5390.88925785905</v>
      </c>
      <c r="E6330" s="15" t="n">
        <f aca="false">B6330/Summary!$B$5-1</f>
        <v>-0.0539088925785904</v>
      </c>
    </row>
    <row r="6331" customFormat="false" ht="15" hidden="false" customHeight="false" outlineLevel="0" collapsed="false">
      <c r="A6331" s="0" t="n">
        <v>6330</v>
      </c>
      <c r="B6331" s="14" t="n">
        <v>97342.5604801384</v>
      </c>
      <c r="C6331" s="15" t="n">
        <v>0.0997503189449702</v>
      </c>
      <c r="D6331" s="14" t="n">
        <f aca="false">Summary!$B$5-B6331</f>
        <v>2657.43951986166</v>
      </c>
      <c r="E6331" s="15" t="n">
        <f aca="false">B6331/Summary!$B$5-1</f>
        <v>-0.0265743951986166</v>
      </c>
    </row>
    <row r="6332" customFormat="false" ht="15" hidden="false" customHeight="false" outlineLevel="0" collapsed="false">
      <c r="A6332" s="0" t="n">
        <v>6331</v>
      </c>
      <c r="B6332" s="14" t="n">
        <v>113486.596435982</v>
      </c>
      <c r="C6332" s="15" t="n">
        <v>0.0630980640890452</v>
      </c>
      <c r="D6332" s="14" t="n">
        <f aca="false">Summary!$B$5-B6332</f>
        <v>-13486.5964359816</v>
      </c>
      <c r="E6332" s="15" t="n">
        <f aca="false">B6332/Summary!$B$5-1</f>
        <v>0.134865964359816</v>
      </c>
    </row>
    <row r="6333" customFormat="false" ht="15" hidden="false" customHeight="false" outlineLevel="0" collapsed="false">
      <c r="A6333" s="0" t="n">
        <v>6332</v>
      </c>
      <c r="B6333" s="14" t="n">
        <v>97515.2742371511</v>
      </c>
      <c r="C6333" s="15" t="n">
        <v>0.0760632615490805</v>
      </c>
      <c r="D6333" s="14" t="n">
        <f aca="false">Summary!$B$5-B6333</f>
        <v>2484.72576284887</v>
      </c>
      <c r="E6333" s="15" t="n">
        <f aca="false">B6333/Summary!$B$5-1</f>
        <v>-0.0248472576284887</v>
      </c>
    </row>
    <row r="6334" customFormat="false" ht="15" hidden="false" customHeight="false" outlineLevel="0" collapsed="false">
      <c r="A6334" s="0" t="n">
        <v>6333</v>
      </c>
      <c r="B6334" s="14" t="n">
        <v>102144.583694285</v>
      </c>
      <c r="C6334" s="15" t="n">
        <v>0.130196171551056</v>
      </c>
      <c r="D6334" s="14" t="n">
        <f aca="false">Summary!$B$5-B6334</f>
        <v>-2144.58369428451</v>
      </c>
      <c r="E6334" s="15" t="n">
        <f aca="false">B6334/Summary!$B$5-1</f>
        <v>0.021445836942845</v>
      </c>
    </row>
    <row r="6335" customFormat="false" ht="15" hidden="false" customHeight="false" outlineLevel="0" collapsed="false">
      <c r="A6335" s="0" t="n">
        <v>6334</v>
      </c>
      <c r="B6335" s="14" t="n">
        <v>102979.064019115</v>
      </c>
      <c r="C6335" s="15" t="n">
        <v>0.085560444375146</v>
      </c>
      <c r="D6335" s="14" t="n">
        <f aca="false">Summary!$B$5-B6335</f>
        <v>-2979.06401911531</v>
      </c>
      <c r="E6335" s="15" t="n">
        <f aca="false">B6335/Summary!$B$5-1</f>
        <v>0.029790640191153</v>
      </c>
    </row>
    <row r="6336" customFormat="false" ht="15" hidden="false" customHeight="false" outlineLevel="0" collapsed="false">
      <c r="A6336" s="0" t="n">
        <v>6335</v>
      </c>
      <c r="B6336" s="14" t="n">
        <v>134398.848112984</v>
      </c>
      <c r="C6336" s="15" t="n">
        <v>0.0423823050469158</v>
      </c>
      <c r="D6336" s="14" t="n">
        <f aca="false">Summary!$B$5-B6336</f>
        <v>-34398.848112984</v>
      </c>
      <c r="E6336" s="15" t="n">
        <f aca="false">B6336/Summary!$B$5-1</f>
        <v>0.34398848112984</v>
      </c>
    </row>
    <row r="6337" customFormat="false" ht="15" hidden="false" customHeight="false" outlineLevel="0" collapsed="false">
      <c r="A6337" s="0" t="n">
        <v>6336</v>
      </c>
      <c r="B6337" s="14" t="n">
        <v>106202.056262735</v>
      </c>
      <c r="C6337" s="15" t="n">
        <v>0.151322070271495</v>
      </c>
      <c r="D6337" s="14" t="n">
        <f aca="false">Summary!$B$5-B6337</f>
        <v>-6202.056262735</v>
      </c>
      <c r="E6337" s="15" t="n">
        <f aca="false">B6337/Summary!$B$5-1</f>
        <v>0.06202056262735</v>
      </c>
    </row>
    <row r="6338" customFormat="false" ht="15" hidden="false" customHeight="false" outlineLevel="0" collapsed="false">
      <c r="A6338" s="0" t="n">
        <v>6337</v>
      </c>
      <c r="B6338" s="14" t="n">
        <v>100659.875426933</v>
      </c>
      <c r="C6338" s="15" t="n">
        <v>0.154183214605873</v>
      </c>
      <c r="D6338" s="14" t="n">
        <f aca="false">Summary!$B$5-B6338</f>
        <v>-659.8754269333</v>
      </c>
      <c r="E6338" s="15" t="n">
        <f aca="false">B6338/Summary!$B$5-1</f>
        <v>0.0065987542693331</v>
      </c>
    </row>
    <row r="6339" customFormat="false" ht="15" hidden="false" customHeight="false" outlineLevel="0" collapsed="false">
      <c r="A6339" s="0" t="n">
        <v>6338</v>
      </c>
      <c r="B6339" s="14" t="n">
        <v>111663.594376966</v>
      </c>
      <c r="C6339" s="15" t="n">
        <v>0.0757148969399045</v>
      </c>
      <c r="D6339" s="14" t="n">
        <f aca="false">Summary!$B$5-B6339</f>
        <v>-11663.5943769656</v>
      </c>
      <c r="E6339" s="15" t="n">
        <f aca="false">B6339/Summary!$B$5-1</f>
        <v>0.116635943769656</v>
      </c>
    </row>
    <row r="6340" customFormat="false" ht="15" hidden="false" customHeight="false" outlineLevel="0" collapsed="false">
      <c r="A6340" s="0" t="n">
        <v>6339</v>
      </c>
      <c r="B6340" s="14" t="n">
        <v>102578.915552958</v>
      </c>
      <c r="C6340" s="15" t="n">
        <v>0.1341740572169</v>
      </c>
      <c r="D6340" s="14" t="n">
        <f aca="false">Summary!$B$5-B6340</f>
        <v>-2578.91555295759</v>
      </c>
      <c r="E6340" s="15" t="n">
        <f aca="false">B6340/Summary!$B$5-1</f>
        <v>0.0257891555295759</v>
      </c>
    </row>
    <row r="6341" customFormat="false" ht="15" hidden="false" customHeight="false" outlineLevel="0" collapsed="false">
      <c r="A6341" s="0" t="n">
        <v>6340</v>
      </c>
      <c r="B6341" s="14" t="n">
        <v>111804.852198631</v>
      </c>
      <c r="C6341" s="15" t="n">
        <v>0.117380324581118</v>
      </c>
      <c r="D6341" s="14" t="n">
        <f aca="false">Summary!$B$5-B6341</f>
        <v>-11804.8521986308</v>
      </c>
      <c r="E6341" s="15" t="n">
        <f aca="false">B6341/Summary!$B$5-1</f>
        <v>0.118048521986308</v>
      </c>
    </row>
    <row r="6342" customFormat="false" ht="15" hidden="false" customHeight="false" outlineLevel="0" collapsed="false">
      <c r="A6342" s="0" t="n">
        <v>6341</v>
      </c>
      <c r="B6342" s="14" t="n">
        <v>102478.550486901</v>
      </c>
      <c r="C6342" s="15" t="n">
        <v>0.120694729059636</v>
      </c>
      <c r="D6342" s="14" t="n">
        <f aca="false">Summary!$B$5-B6342</f>
        <v>-2478.550486901</v>
      </c>
      <c r="E6342" s="15" t="n">
        <f aca="false">B6342/Summary!$B$5-1</f>
        <v>0.02478550486901</v>
      </c>
    </row>
    <row r="6343" customFormat="false" ht="15" hidden="false" customHeight="false" outlineLevel="0" collapsed="false">
      <c r="A6343" s="0" t="n">
        <v>6342</v>
      </c>
      <c r="B6343" s="14" t="n">
        <v>99662.8441506194</v>
      </c>
      <c r="C6343" s="15" t="n">
        <v>0.1021316329852</v>
      </c>
      <c r="D6343" s="14" t="n">
        <f aca="false">Summary!$B$5-B6343</f>
        <v>337.155849380593</v>
      </c>
      <c r="E6343" s="15" t="n">
        <f aca="false">B6343/Summary!$B$5-1</f>
        <v>-0.00337155849380588</v>
      </c>
    </row>
    <row r="6344" customFormat="false" ht="15" hidden="false" customHeight="false" outlineLevel="0" collapsed="false">
      <c r="A6344" s="0" t="n">
        <v>6343</v>
      </c>
      <c r="B6344" s="14" t="n">
        <v>91435.3340718287</v>
      </c>
      <c r="C6344" s="15" t="n">
        <v>0.154141846211817</v>
      </c>
      <c r="D6344" s="14" t="n">
        <f aca="false">Summary!$B$5-B6344</f>
        <v>8564.66592817131</v>
      </c>
      <c r="E6344" s="15" t="n">
        <f aca="false">B6344/Summary!$B$5-1</f>
        <v>-0.0856466592817131</v>
      </c>
    </row>
    <row r="6345" customFormat="false" ht="15" hidden="false" customHeight="false" outlineLevel="0" collapsed="false">
      <c r="A6345" s="0" t="n">
        <v>6344</v>
      </c>
      <c r="B6345" s="14" t="n">
        <v>114453.170704521</v>
      </c>
      <c r="C6345" s="15" t="n">
        <v>0.09476666126235</v>
      </c>
      <c r="D6345" s="14" t="n">
        <f aca="false">Summary!$B$5-B6345</f>
        <v>-14453.170704521</v>
      </c>
      <c r="E6345" s="15" t="n">
        <f aca="false">B6345/Summary!$B$5-1</f>
        <v>0.14453170704521</v>
      </c>
    </row>
    <row r="6346" customFormat="false" ht="15" hidden="false" customHeight="false" outlineLevel="0" collapsed="false">
      <c r="A6346" s="0" t="n">
        <v>6345</v>
      </c>
      <c r="B6346" s="14" t="n">
        <v>129996.264961458</v>
      </c>
      <c r="C6346" s="15" t="n">
        <v>0.0772215934736613</v>
      </c>
      <c r="D6346" s="14" t="n">
        <f aca="false">Summary!$B$5-B6346</f>
        <v>-29996.2649614576</v>
      </c>
      <c r="E6346" s="15" t="n">
        <f aca="false">B6346/Summary!$B$5-1</f>
        <v>0.299962649614576</v>
      </c>
    </row>
    <row r="6347" customFormat="false" ht="15" hidden="false" customHeight="false" outlineLevel="0" collapsed="false">
      <c r="A6347" s="0" t="n">
        <v>6346</v>
      </c>
      <c r="B6347" s="14" t="n">
        <v>184831.087315756</v>
      </c>
      <c r="C6347" s="15" t="n">
        <v>0.0478276764010447</v>
      </c>
      <c r="D6347" s="14" t="n">
        <f aca="false">Summary!$B$5-B6347</f>
        <v>-84831.0873157563</v>
      </c>
      <c r="E6347" s="15" t="n">
        <f aca="false">B6347/Summary!$B$5-1</f>
        <v>0.848310873157563</v>
      </c>
    </row>
    <row r="6348" customFormat="false" ht="15" hidden="false" customHeight="false" outlineLevel="0" collapsed="false">
      <c r="A6348" s="0" t="n">
        <v>6347</v>
      </c>
      <c r="B6348" s="14" t="n">
        <v>108007.839976562</v>
      </c>
      <c r="C6348" s="15" t="n">
        <v>0.0744349259043907</v>
      </c>
      <c r="D6348" s="14" t="n">
        <f aca="false">Summary!$B$5-B6348</f>
        <v>-8007.83997656179</v>
      </c>
      <c r="E6348" s="15" t="n">
        <f aca="false">B6348/Summary!$B$5-1</f>
        <v>0.080078399765618</v>
      </c>
    </row>
    <row r="6349" customFormat="false" ht="15" hidden="false" customHeight="false" outlineLevel="0" collapsed="false">
      <c r="A6349" s="0" t="n">
        <v>6348</v>
      </c>
      <c r="B6349" s="14" t="n">
        <v>104119.798825627</v>
      </c>
      <c r="C6349" s="15" t="n">
        <v>0.0903622490550663</v>
      </c>
      <c r="D6349" s="14" t="n">
        <f aca="false">Summary!$B$5-B6349</f>
        <v>-4119.7988256268</v>
      </c>
      <c r="E6349" s="15" t="n">
        <f aca="false">B6349/Summary!$B$5-1</f>
        <v>0.0411979882562681</v>
      </c>
    </row>
    <row r="6350" customFormat="false" ht="15" hidden="false" customHeight="false" outlineLevel="0" collapsed="false">
      <c r="A6350" s="0" t="n">
        <v>6349</v>
      </c>
      <c r="B6350" s="14" t="n">
        <v>92616.9846607662</v>
      </c>
      <c r="C6350" s="15" t="n">
        <v>0.16220289415401</v>
      </c>
      <c r="D6350" s="14" t="n">
        <f aca="false">Summary!$B$5-B6350</f>
        <v>7383.01533923383</v>
      </c>
      <c r="E6350" s="15" t="n">
        <f aca="false">B6350/Summary!$B$5-1</f>
        <v>-0.0738301533923382</v>
      </c>
    </row>
    <row r="6351" customFormat="false" ht="15" hidden="false" customHeight="false" outlineLevel="0" collapsed="false">
      <c r="A6351" s="0" t="n">
        <v>6350</v>
      </c>
      <c r="B6351" s="14" t="n">
        <v>107230.095191891</v>
      </c>
      <c r="C6351" s="15" t="n">
        <v>0.106081067139575</v>
      </c>
      <c r="D6351" s="14" t="n">
        <f aca="false">Summary!$B$5-B6351</f>
        <v>-7230.0951918912</v>
      </c>
      <c r="E6351" s="15" t="n">
        <f aca="false">B6351/Summary!$B$5-1</f>
        <v>0.072300951918912</v>
      </c>
    </row>
    <row r="6352" customFormat="false" ht="15" hidden="false" customHeight="false" outlineLevel="0" collapsed="false">
      <c r="A6352" s="0" t="n">
        <v>6351</v>
      </c>
      <c r="B6352" s="14" t="n">
        <v>103565.305151606</v>
      </c>
      <c r="C6352" s="15" t="n">
        <v>0.0921057896719012</v>
      </c>
      <c r="D6352" s="14" t="n">
        <f aca="false">Summary!$B$5-B6352</f>
        <v>-3565.3051516056</v>
      </c>
      <c r="E6352" s="15" t="n">
        <f aca="false">B6352/Summary!$B$5-1</f>
        <v>0.035653051516056</v>
      </c>
    </row>
    <row r="6353" customFormat="false" ht="15" hidden="false" customHeight="false" outlineLevel="0" collapsed="false">
      <c r="A6353" s="0" t="n">
        <v>6352</v>
      </c>
      <c r="B6353" s="14" t="n">
        <v>118720.361624386</v>
      </c>
      <c r="C6353" s="15" t="n">
        <v>0.0770265840557635</v>
      </c>
      <c r="D6353" s="14" t="n">
        <f aca="false">Summary!$B$5-B6353</f>
        <v>-18720.361624386</v>
      </c>
      <c r="E6353" s="15" t="n">
        <f aca="false">B6353/Summary!$B$5-1</f>
        <v>0.18720361624386</v>
      </c>
    </row>
    <row r="6354" customFormat="false" ht="15" hidden="false" customHeight="false" outlineLevel="0" collapsed="false">
      <c r="A6354" s="0" t="n">
        <v>6353</v>
      </c>
      <c r="B6354" s="14" t="n">
        <v>94419.7800754408</v>
      </c>
      <c r="C6354" s="15" t="n">
        <v>0.144071871029657</v>
      </c>
      <c r="D6354" s="14" t="n">
        <f aca="false">Summary!$B$5-B6354</f>
        <v>5580.21992455918</v>
      </c>
      <c r="E6354" s="15" t="n">
        <f aca="false">B6354/Summary!$B$5-1</f>
        <v>-0.0558021992455917</v>
      </c>
    </row>
    <row r="6355" customFormat="false" ht="15" hidden="false" customHeight="false" outlineLevel="0" collapsed="false">
      <c r="A6355" s="0" t="n">
        <v>6354</v>
      </c>
      <c r="B6355" s="14" t="n">
        <v>119553.226450606</v>
      </c>
      <c r="C6355" s="15" t="n">
        <v>0.0901257287065613</v>
      </c>
      <c r="D6355" s="14" t="n">
        <f aca="false">Summary!$B$5-B6355</f>
        <v>-19553.2264506063</v>
      </c>
      <c r="E6355" s="15" t="n">
        <f aca="false">B6355/Summary!$B$5-1</f>
        <v>0.195532264506063</v>
      </c>
    </row>
    <row r="6356" customFormat="false" ht="15" hidden="false" customHeight="false" outlineLevel="0" collapsed="false">
      <c r="A6356" s="0" t="n">
        <v>6355</v>
      </c>
      <c r="B6356" s="14" t="n">
        <v>110726.379303747</v>
      </c>
      <c r="C6356" s="15" t="n">
        <v>0.110233688188655</v>
      </c>
      <c r="D6356" s="14" t="n">
        <f aca="false">Summary!$B$5-B6356</f>
        <v>-10726.3793037467</v>
      </c>
      <c r="E6356" s="15" t="n">
        <f aca="false">B6356/Summary!$B$5-1</f>
        <v>0.107263793037467</v>
      </c>
    </row>
    <row r="6357" customFormat="false" ht="15" hidden="false" customHeight="false" outlineLevel="0" collapsed="false">
      <c r="A6357" s="0" t="n">
        <v>6356</v>
      </c>
      <c r="B6357" s="14" t="n">
        <v>123735.27185526</v>
      </c>
      <c r="C6357" s="15" t="n">
        <v>0.0690084200115033</v>
      </c>
      <c r="D6357" s="14" t="n">
        <f aca="false">Summary!$B$5-B6357</f>
        <v>-23735.2718552604</v>
      </c>
      <c r="E6357" s="15" t="n">
        <f aca="false">B6357/Summary!$B$5-1</f>
        <v>0.237352718552604</v>
      </c>
    </row>
    <row r="6358" customFormat="false" ht="15" hidden="false" customHeight="false" outlineLevel="0" collapsed="false">
      <c r="A6358" s="0" t="n">
        <v>6357</v>
      </c>
      <c r="B6358" s="14" t="n">
        <v>92651.8138326628</v>
      </c>
      <c r="C6358" s="15" t="n">
        <v>0.152989945324758</v>
      </c>
      <c r="D6358" s="14" t="n">
        <f aca="false">Summary!$B$5-B6358</f>
        <v>7348.18616733725</v>
      </c>
      <c r="E6358" s="15" t="n">
        <f aca="false">B6358/Summary!$B$5-1</f>
        <v>-0.0734818616733725</v>
      </c>
    </row>
    <row r="6359" customFormat="false" ht="15" hidden="false" customHeight="false" outlineLevel="0" collapsed="false">
      <c r="A6359" s="0" t="n">
        <v>6358</v>
      </c>
      <c r="B6359" s="14" t="n">
        <v>91911.6335501297</v>
      </c>
      <c r="C6359" s="15" t="n">
        <v>0.189778748543452</v>
      </c>
      <c r="D6359" s="14" t="n">
        <f aca="false">Summary!$B$5-B6359</f>
        <v>8088.3664498703</v>
      </c>
      <c r="E6359" s="15" t="n">
        <f aca="false">B6359/Summary!$B$5-1</f>
        <v>-0.080883664498703</v>
      </c>
    </row>
    <row r="6360" customFormat="false" ht="15" hidden="false" customHeight="false" outlineLevel="0" collapsed="false">
      <c r="A6360" s="0" t="n">
        <v>6359</v>
      </c>
      <c r="B6360" s="14" t="n">
        <v>99815.2470099878</v>
      </c>
      <c r="C6360" s="15" t="n">
        <v>0.125998436536624</v>
      </c>
      <c r="D6360" s="14" t="n">
        <f aca="false">Summary!$B$5-B6360</f>
        <v>184.752990012203</v>
      </c>
      <c r="E6360" s="15" t="n">
        <f aca="false">B6360/Summary!$B$5-1</f>
        <v>-0.00184752990012205</v>
      </c>
    </row>
    <row r="6361" customFormat="false" ht="15" hidden="false" customHeight="false" outlineLevel="0" collapsed="false">
      <c r="A6361" s="0" t="n">
        <v>6360</v>
      </c>
      <c r="B6361" s="14" t="n">
        <v>131359.55960616</v>
      </c>
      <c r="C6361" s="15" t="n">
        <v>0.0698560061814433</v>
      </c>
      <c r="D6361" s="14" t="n">
        <f aca="false">Summary!$B$5-B6361</f>
        <v>-31359.5596061603</v>
      </c>
      <c r="E6361" s="15" t="n">
        <f aca="false">B6361/Summary!$B$5-1</f>
        <v>0.313595596061603</v>
      </c>
    </row>
    <row r="6362" customFormat="false" ht="15" hidden="false" customHeight="false" outlineLevel="0" collapsed="false">
      <c r="A6362" s="0" t="n">
        <v>6361</v>
      </c>
      <c r="B6362" s="14" t="n">
        <v>116595.379626958</v>
      </c>
      <c r="C6362" s="15" t="n">
        <v>0.0756652459480328</v>
      </c>
      <c r="D6362" s="14" t="n">
        <f aca="false">Summary!$B$5-B6362</f>
        <v>-16595.3796269579</v>
      </c>
      <c r="E6362" s="15" t="n">
        <f aca="false">B6362/Summary!$B$5-1</f>
        <v>0.165953796269579</v>
      </c>
    </row>
    <row r="6363" customFormat="false" ht="15" hidden="false" customHeight="false" outlineLevel="0" collapsed="false">
      <c r="A6363" s="0" t="n">
        <v>6362</v>
      </c>
      <c r="B6363" s="14" t="n">
        <v>100323.907318478</v>
      </c>
      <c r="C6363" s="15" t="n">
        <v>0.135808811166498</v>
      </c>
      <c r="D6363" s="14" t="n">
        <f aca="false">Summary!$B$5-B6363</f>
        <v>-323.907318477504</v>
      </c>
      <c r="E6363" s="15" t="n">
        <f aca="false">B6363/Summary!$B$5-1</f>
        <v>0.00323907318477512</v>
      </c>
    </row>
    <row r="6364" customFormat="false" ht="15" hidden="false" customHeight="false" outlineLevel="0" collapsed="false">
      <c r="A6364" s="0" t="n">
        <v>6363</v>
      </c>
      <c r="B6364" s="14" t="n">
        <v>100915.35665395</v>
      </c>
      <c r="C6364" s="15" t="n">
        <v>0.109013955977178</v>
      </c>
      <c r="D6364" s="14" t="n">
        <f aca="false">Summary!$B$5-B6364</f>
        <v>-915.356653949799</v>
      </c>
      <c r="E6364" s="15" t="n">
        <f aca="false">B6364/Summary!$B$5-1</f>
        <v>0.00915356653949795</v>
      </c>
    </row>
    <row r="6365" customFormat="false" ht="15" hidden="false" customHeight="false" outlineLevel="0" collapsed="false">
      <c r="A6365" s="0" t="n">
        <v>6364</v>
      </c>
      <c r="B6365" s="14" t="n">
        <v>112963.940179528</v>
      </c>
      <c r="C6365" s="15" t="n">
        <v>0.122117433888345</v>
      </c>
      <c r="D6365" s="14" t="n">
        <f aca="false">Summary!$B$5-B6365</f>
        <v>-12963.9401795275</v>
      </c>
      <c r="E6365" s="15" t="n">
        <f aca="false">B6365/Summary!$B$5-1</f>
        <v>0.129639401795275</v>
      </c>
    </row>
    <row r="6366" customFormat="false" ht="15" hidden="false" customHeight="false" outlineLevel="0" collapsed="false">
      <c r="A6366" s="0" t="n">
        <v>6365</v>
      </c>
      <c r="B6366" s="14" t="n">
        <v>99672.1656219785</v>
      </c>
      <c r="C6366" s="15" t="n">
        <v>0.103254388915899</v>
      </c>
      <c r="D6366" s="14" t="n">
        <f aca="false">Summary!$B$5-B6366</f>
        <v>327.834378021478</v>
      </c>
      <c r="E6366" s="15" t="n">
        <f aca="false">B6366/Summary!$B$5-1</f>
        <v>-0.00327834378021474</v>
      </c>
    </row>
    <row r="6367" customFormat="false" ht="15" hidden="false" customHeight="false" outlineLevel="0" collapsed="false">
      <c r="A6367" s="0" t="n">
        <v>6366</v>
      </c>
      <c r="B6367" s="14" t="n">
        <v>89855.7636242288</v>
      </c>
      <c r="C6367" s="15" t="n">
        <v>0.139468809893866</v>
      </c>
      <c r="D6367" s="14" t="n">
        <f aca="false">Summary!$B$5-B6367</f>
        <v>10144.2363757712</v>
      </c>
      <c r="E6367" s="15" t="n">
        <f aca="false">B6367/Summary!$B$5-1</f>
        <v>-0.101442363757712</v>
      </c>
    </row>
    <row r="6368" customFormat="false" ht="15" hidden="false" customHeight="false" outlineLevel="0" collapsed="false">
      <c r="A6368" s="0" t="n">
        <v>6367</v>
      </c>
      <c r="B6368" s="14" t="n">
        <v>90091.5717921807</v>
      </c>
      <c r="C6368" s="15" t="n">
        <v>0.14877766468782</v>
      </c>
      <c r="D6368" s="14" t="n">
        <f aca="false">Summary!$B$5-B6368</f>
        <v>9908.42820781931</v>
      </c>
      <c r="E6368" s="15" t="n">
        <f aca="false">B6368/Summary!$B$5-1</f>
        <v>-0.0990842820781931</v>
      </c>
    </row>
    <row r="6369" customFormat="false" ht="15" hidden="false" customHeight="false" outlineLevel="0" collapsed="false">
      <c r="A6369" s="0" t="n">
        <v>6368</v>
      </c>
      <c r="B6369" s="14" t="n">
        <v>115012.959702312</v>
      </c>
      <c r="C6369" s="15" t="n">
        <v>0.0854950327870858</v>
      </c>
      <c r="D6369" s="14" t="n">
        <f aca="false">Summary!$B$5-B6369</f>
        <v>-15012.9597023124</v>
      </c>
      <c r="E6369" s="15" t="n">
        <f aca="false">B6369/Summary!$B$5-1</f>
        <v>0.150129597023124</v>
      </c>
    </row>
    <row r="6370" customFormat="false" ht="15" hidden="false" customHeight="false" outlineLevel="0" collapsed="false">
      <c r="A6370" s="0" t="n">
        <v>6369</v>
      </c>
      <c r="B6370" s="14" t="n">
        <v>89404.8850149416</v>
      </c>
      <c r="C6370" s="15" t="n">
        <v>0.16475243986151</v>
      </c>
      <c r="D6370" s="14" t="n">
        <f aca="false">Summary!$B$5-B6370</f>
        <v>10595.1149850584</v>
      </c>
      <c r="E6370" s="15" t="n">
        <f aca="false">B6370/Summary!$B$5-1</f>
        <v>-0.105951149850584</v>
      </c>
    </row>
    <row r="6371" customFormat="false" ht="15" hidden="false" customHeight="false" outlineLevel="0" collapsed="false">
      <c r="A6371" s="0" t="n">
        <v>6370</v>
      </c>
      <c r="B6371" s="14" t="n">
        <v>116238.265579171</v>
      </c>
      <c r="C6371" s="15" t="n">
        <v>0.0884318938976942</v>
      </c>
      <c r="D6371" s="14" t="n">
        <f aca="false">Summary!$B$5-B6371</f>
        <v>-16238.2655791705</v>
      </c>
      <c r="E6371" s="15" t="n">
        <f aca="false">B6371/Summary!$B$5-1</f>
        <v>0.162382655791705</v>
      </c>
    </row>
    <row r="6372" customFormat="false" ht="15" hidden="false" customHeight="false" outlineLevel="0" collapsed="false">
      <c r="A6372" s="0" t="n">
        <v>6371</v>
      </c>
      <c r="B6372" s="14" t="n">
        <v>100276.877705757</v>
      </c>
      <c r="C6372" s="15" t="n">
        <v>0.112654893063594</v>
      </c>
      <c r="D6372" s="14" t="n">
        <f aca="false">Summary!$B$5-B6372</f>
        <v>-276.877705757302</v>
      </c>
      <c r="E6372" s="15" t="n">
        <f aca="false">B6372/Summary!$B$5-1</f>
        <v>0.00276877705757306</v>
      </c>
    </row>
    <row r="6373" customFormat="false" ht="15" hidden="false" customHeight="false" outlineLevel="0" collapsed="false">
      <c r="A6373" s="0" t="n">
        <v>6372</v>
      </c>
      <c r="B6373" s="14" t="n">
        <v>103666.697749991</v>
      </c>
      <c r="C6373" s="15" t="n">
        <v>0.113726563843206</v>
      </c>
      <c r="D6373" s="14" t="n">
        <f aca="false">Summary!$B$5-B6373</f>
        <v>-3666.6977499908</v>
      </c>
      <c r="E6373" s="15" t="n">
        <f aca="false">B6373/Summary!$B$5-1</f>
        <v>0.036666977499908</v>
      </c>
    </row>
    <row r="6374" customFormat="false" ht="15" hidden="false" customHeight="false" outlineLevel="0" collapsed="false">
      <c r="A6374" s="0" t="n">
        <v>6373</v>
      </c>
      <c r="B6374" s="14" t="n">
        <v>104181.445312159</v>
      </c>
      <c r="C6374" s="15" t="n">
        <v>0.116622262675933</v>
      </c>
      <c r="D6374" s="14" t="n">
        <f aca="false">Summary!$B$5-B6374</f>
        <v>-4181.4453121587</v>
      </c>
      <c r="E6374" s="15" t="n">
        <f aca="false">B6374/Summary!$B$5-1</f>
        <v>0.0418144531215869</v>
      </c>
    </row>
    <row r="6375" customFormat="false" ht="15" hidden="false" customHeight="false" outlineLevel="0" collapsed="false">
      <c r="A6375" s="0" t="n">
        <v>6374</v>
      </c>
      <c r="B6375" s="14" t="n">
        <v>116136.575409975</v>
      </c>
      <c r="C6375" s="15" t="n">
        <v>0.0633066048387322</v>
      </c>
      <c r="D6375" s="14" t="n">
        <f aca="false">Summary!$B$5-B6375</f>
        <v>-16136.5754099748</v>
      </c>
      <c r="E6375" s="15" t="n">
        <f aca="false">B6375/Summary!$B$5-1</f>
        <v>0.161365754099748</v>
      </c>
    </row>
    <row r="6376" customFormat="false" ht="15" hidden="false" customHeight="false" outlineLevel="0" collapsed="false">
      <c r="A6376" s="0" t="n">
        <v>6375</v>
      </c>
      <c r="B6376" s="14" t="n">
        <v>115473.188273835</v>
      </c>
      <c r="C6376" s="15" t="n">
        <v>0.0480503801430451</v>
      </c>
      <c r="D6376" s="14" t="n">
        <f aca="false">Summary!$B$5-B6376</f>
        <v>-15473.1882738347</v>
      </c>
      <c r="E6376" s="15" t="n">
        <f aca="false">B6376/Summary!$B$5-1</f>
        <v>0.154731882738347</v>
      </c>
    </row>
    <row r="6377" customFormat="false" ht="15" hidden="false" customHeight="false" outlineLevel="0" collapsed="false">
      <c r="A6377" s="0" t="n">
        <v>6376</v>
      </c>
      <c r="B6377" s="14" t="n">
        <v>106289.50692032</v>
      </c>
      <c r="C6377" s="15" t="n">
        <v>0.0819186253634116</v>
      </c>
      <c r="D6377" s="14" t="n">
        <f aca="false">Summary!$B$5-B6377</f>
        <v>-6289.50692031971</v>
      </c>
      <c r="E6377" s="15" t="n">
        <f aca="false">B6377/Summary!$B$5-1</f>
        <v>0.0628950692031971</v>
      </c>
    </row>
    <row r="6378" customFormat="false" ht="15" hidden="false" customHeight="false" outlineLevel="0" collapsed="false">
      <c r="A6378" s="0" t="n">
        <v>6377</v>
      </c>
      <c r="B6378" s="14" t="n">
        <v>101281.774909721</v>
      </c>
      <c r="C6378" s="15" t="n">
        <v>0.109559343973515</v>
      </c>
      <c r="D6378" s="14" t="n">
        <f aca="false">Summary!$B$5-B6378</f>
        <v>-1281.774909721</v>
      </c>
      <c r="E6378" s="15" t="n">
        <f aca="false">B6378/Summary!$B$5-1</f>
        <v>0.0128177490972101</v>
      </c>
    </row>
    <row r="6379" customFormat="false" ht="15" hidden="false" customHeight="false" outlineLevel="0" collapsed="false">
      <c r="A6379" s="0" t="n">
        <v>6378</v>
      </c>
      <c r="B6379" s="14" t="n">
        <v>125600.591323686</v>
      </c>
      <c r="C6379" s="15" t="n">
        <v>0.0657322747466989</v>
      </c>
      <c r="D6379" s="14" t="n">
        <f aca="false">Summary!$B$5-B6379</f>
        <v>-25600.5913236863</v>
      </c>
      <c r="E6379" s="15" t="n">
        <f aca="false">B6379/Summary!$B$5-1</f>
        <v>0.256005913236863</v>
      </c>
    </row>
    <row r="6380" customFormat="false" ht="15" hidden="false" customHeight="false" outlineLevel="0" collapsed="false">
      <c r="A6380" s="0" t="n">
        <v>6379</v>
      </c>
      <c r="B6380" s="14" t="n">
        <v>129043.727432534</v>
      </c>
      <c r="C6380" s="15" t="n">
        <v>0.0632320962061892</v>
      </c>
      <c r="D6380" s="14" t="n">
        <f aca="false">Summary!$B$5-B6380</f>
        <v>-29043.7274325341</v>
      </c>
      <c r="E6380" s="15" t="n">
        <f aca="false">B6380/Summary!$B$5-1</f>
        <v>0.290437274325341</v>
      </c>
    </row>
    <row r="6381" customFormat="false" ht="15" hidden="false" customHeight="false" outlineLevel="0" collapsed="false">
      <c r="A6381" s="0" t="n">
        <v>6380</v>
      </c>
      <c r="B6381" s="14" t="n">
        <v>123235.432759884</v>
      </c>
      <c r="C6381" s="15" t="n">
        <v>0.0757185095664299</v>
      </c>
      <c r="D6381" s="14" t="n">
        <f aca="false">Summary!$B$5-B6381</f>
        <v>-23235.4327598837</v>
      </c>
      <c r="E6381" s="15" t="n">
        <f aca="false">B6381/Summary!$B$5-1</f>
        <v>0.232354327598837</v>
      </c>
    </row>
    <row r="6382" customFormat="false" ht="15" hidden="false" customHeight="false" outlineLevel="0" collapsed="false">
      <c r="A6382" s="0" t="n">
        <v>6381</v>
      </c>
      <c r="B6382" s="14" t="n">
        <v>112455.695593232</v>
      </c>
      <c r="C6382" s="15" t="n">
        <v>0.0866720228373221</v>
      </c>
      <c r="D6382" s="14" t="n">
        <f aca="false">Summary!$B$5-B6382</f>
        <v>-12455.695593232</v>
      </c>
      <c r="E6382" s="15" t="n">
        <f aca="false">B6382/Summary!$B$5-1</f>
        <v>0.12455695593232</v>
      </c>
    </row>
    <row r="6383" customFormat="false" ht="15" hidden="false" customHeight="false" outlineLevel="0" collapsed="false">
      <c r="A6383" s="0" t="n">
        <v>6382</v>
      </c>
      <c r="B6383" s="14" t="n">
        <v>105275.901961565</v>
      </c>
      <c r="C6383" s="15" t="n">
        <v>0.0703126100712225</v>
      </c>
      <c r="D6383" s="14" t="n">
        <f aca="false">Summary!$B$5-B6383</f>
        <v>-5275.9019615648</v>
      </c>
      <c r="E6383" s="15" t="n">
        <f aca="false">B6383/Summary!$B$5-1</f>
        <v>0.052759019615648</v>
      </c>
    </row>
    <row r="6384" customFormat="false" ht="15" hidden="false" customHeight="false" outlineLevel="0" collapsed="false">
      <c r="A6384" s="0" t="n">
        <v>6383</v>
      </c>
      <c r="B6384" s="14" t="n">
        <v>99890.1895033553</v>
      </c>
      <c r="C6384" s="15" t="n">
        <v>0.0811798728755083</v>
      </c>
      <c r="D6384" s="14" t="n">
        <f aca="false">Summary!$B$5-B6384</f>
        <v>109.810496644699</v>
      </c>
      <c r="E6384" s="15" t="n">
        <f aca="false">B6384/Summary!$B$5-1</f>
        <v>-0.00109810496644702</v>
      </c>
    </row>
    <row r="6385" customFormat="false" ht="15" hidden="false" customHeight="false" outlineLevel="0" collapsed="false">
      <c r="A6385" s="0" t="n">
        <v>6384</v>
      </c>
      <c r="B6385" s="14" t="n">
        <v>102844.960219639</v>
      </c>
      <c r="C6385" s="15" t="n">
        <v>0.118788621681625</v>
      </c>
      <c r="D6385" s="14" t="n">
        <f aca="false">Summary!$B$5-B6385</f>
        <v>-2844.9602196388</v>
      </c>
      <c r="E6385" s="15" t="n">
        <f aca="false">B6385/Summary!$B$5-1</f>
        <v>0.028449602196388</v>
      </c>
    </row>
    <row r="6386" customFormat="false" ht="15" hidden="false" customHeight="false" outlineLevel="0" collapsed="false">
      <c r="A6386" s="0" t="n">
        <v>6385</v>
      </c>
      <c r="B6386" s="14" t="n">
        <v>115033.616960415</v>
      </c>
      <c r="C6386" s="15" t="n">
        <v>0.0838708984080497</v>
      </c>
      <c r="D6386" s="14" t="n">
        <f aca="false">Summary!$B$5-B6386</f>
        <v>-15033.6169604147</v>
      </c>
      <c r="E6386" s="15" t="n">
        <f aca="false">B6386/Summary!$B$5-1</f>
        <v>0.150336169604147</v>
      </c>
    </row>
    <row r="6387" customFormat="false" ht="15" hidden="false" customHeight="false" outlineLevel="0" collapsed="false">
      <c r="A6387" s="0" t="n">
        <v>6386</v>
      </c>
      <c r="B6387" s="14" t="n">
        <v>108533.007217356</v>
      </c>
      <c r="C6387" s="15" t="n">
        <v>0.0722588715462557</v>
      </c>
      <c r="D6387" s="14" t="n">
        <f aca="false">Summary!$B$5-B6387</f>
        <v>-8533.0072173563</v>
      </c>
      <c r="E6387" s="15" t="n">
        <f aca="false">B6387/Summary!$B$5-1</f>
        <v>0.085330072173563</v>
      </c>
    </row>
    <row r="6388" customFormat="false" ht="15" hidden="false" customHeight="false" outlineLevel="0" collapsed="false">
      <c r="A6388" s="0" t="n">
        <v>6387</v>
      </c>
      <c r="B6388" s="14" t="n">
        <v>122242.119478924</v>
      </c>
      <c r="C6388" s="15" t="n">
        <v>0.0997813755179923</v>
      </c>
      <c r="D6388" s="14" t="n">
        <f aca="false">Summary!$B$5-B6388</f>
        <v>-22242.1194789236</v>
      </c>
      <c r="E6388" s="15" t="n">
        <f aca="false">B6388/Summary!$B$5-1</f>
        <v>0.222421194789236</v>
      </c>
    </row>
    <row r="6389" customFormat="false" ht="15" hidden="false" customHeight="false" outlineLevel="0" collapsed="false">
      <c r="A6389" s="0" t="n">
        <v>6388</v>
      </c>
      <c r="B6389" s="14" t="n">
        <v>110791.29202481</v>
      </c>
      <c r="C6389" s="15" t="n">
        <v>0.0653625565192778</v>
      </c>
      <c r="D6389" s="14" t="n">
        <f aca="false">Summary!$B$5-B6389</f>
        <v>-10791.2920248103</v>
      </c>
      <c r="E6389" s="15" t="n">
        <f aca="false">B6389/Summary!$B$5-1</f>
        <v>0.107912920248103</v>
      </c>
    </row>
    <row r="6390" customFormat="false" ht="15" hidden="false" customHeight="false" outlineLevel="0" collapsed="false">
      <c r="A6390" s="0" t="n">
        <v>6389</v>
      </c>
      <c r="B6390" s="14" t="n">
        <v>104505.214603116</v>
      </c>
      <c r="C6390" s="15" t="n">
        <v>0.10296040162524</v>
      </c>
      <c r="D6390" s="14" t="n">
        <f aca="false">Summary!$B$5-B6390</f>
        <v>-4505.2146031164</v>
      </c>
      <c r="E6390" s="15" t="n">
        <f aca="false">B6390/Summary!$B$5-1</f>
        <v>0.0450521460311639</v>
      </c>
    </row>
    <row r="6391" customFormat="false" ht="15" hidden="false" customHeight="false" outlineLevel="0" collapsed="false">
      <c r="A6391" s="0" t="n">
        <v>6390</v>
      </c>
      <c r="B6391" s="14" t="n">
        <v>114415.98450387</v>
      </c>
      <c r="C6391" s="15" t="n">
        <v>0.0749599493229786</v>
      </c>
      <c r="D6391" s="14" t="n">
        <f aca="false">Summary!$B$5-B6391</f>
        <v>-14415.9845038695</v>
      </c>
      <c r="E6391" s="15" t="n">
        <f aca="false">B6391/Summary!$B$5-1</f>
        <v>0.144159845038695</v>
      </c>
    </row>
    <row r="6392" customFormat="false" ht="15" hidden="false" customHeight="false" outlineLevel="0" collapsed="false">
      <c r="A6392" s="0" t="n">
        <v>6391</v>
      </c>
      <c r="B6392" s="14" t="n">
        <v>108921.627045844</v>
      </c>
      <c r="C6392" s="15" t="n">
        <v>0.134048725694477</v>
      </c>
      <c r="D6392" s="14" t="n">
        <f aca="false">Summary!$B$5-B6392</f>
        <v>-8921.62704584379</v>
      </c>
      <c r="E6392" s="15" t="n">
        <f aca="false">B6392/Summary!$B$5-1</f>
        <v>0.0892162704584378</v>
      </c>
    </row>
    <row r="6393" customFormat="false" ht="15" hidden="false" customHeight="false" outlineLevel="0" collapsed="false">
      <c r="A6393" s="0" t="n">
        <v>6392</v>
      </c>
      <c r="B6393" s="14" t="n">
        <v>121507.544786429</v>
      </c>
      <c r="C6393" s="15" t="n">
        <v>0.0830602245522526</v>
      </c>
      <c r="D6393" s="14" t="n">
        <f aca="false">Summary!$B$5-B6393</f>
        <v>-21507.5447864291</v>
      </c>
      <c r="E6393" s="15" t="n">
        <f aca="false">B6393/Summary!$B$5-1</f>
        <v>0.215075447864291</v>
      </c>
    </row>
    <row r="6394" customFormat="false" ht="15" hidden="false" customHeight="false" outlineLevel="0" collapsed="false">
      <c r="A6394" s="0" t="n">
        <v>6393</v>
      </c>
      <c r="B6394" s="14" t="n">
        <v>119026.443010871</v>
      </c>
      <c r="C6394" s="15" t="n">
        <v>0.0874511536966683</v>
      </c>
      <c r="D6394" s="14" t="n">
        <f aca="false">Summary!$B$5-B6394</f>
        <v>-19026.4430108705</v>
      </c>
      <c r="E6394" s="15" t="n">
        <f aca="false">B6394/Summary!$B$5-1</f>
        <v>0.190264430108705</v>
      </c>
    </row>
    <row r="6395" customFormat="false" ht="15" hidden="false" customHeight="false" outlineLevel="0" collapsed="false">
      <c r="A6395" s="0" t="n">
        <v>6394</v>
      </c>
      <c r="B6395" s="14" t="n">
        <v>115789.435564835</v>
      </c>
      <c r="C6395" s="15" t="n">
        <v>0.102496412774727</v>
      </c>
      <c r="D6395" s="14" t="n">
        <f aca="false">Summary!$B$5-B6395</f>
        <v>-15789.4355648354</v>
      </c>
      <c r="E6395" s="15" t="n">
        <f aca="false">B6395/Summary!$B$5-1</f>
        <v>0.157894355648354</v>
      </c>
    </row>
    <row r="6396" customFormat="false" ht="15" hidden="false" customHeight="false" outlineLevel="0" collapsed="false">
      <c r="A6396" s="0" t="n">
        <v>6395</v>
      </c>
      <c r="B6396" s="14" t="n">
        <v>110952.648407116</v>
      </c>
      <c r="C6396" s="15" t="n">
        <v>0.0913616574373887</v>
      </c>
      <c r="D6396" s="14" t="n">
        <f aca="false">Summary!$B$5-B6396</f>
        <v>-10952.6484071158</v>
      </c>
      <c r="E6396" s="15" t="n">
        <f aca="false">B6396/Summary!$B$5-1</f>
        <v>0.109526484071158</v>
      </c>
    </row>
    <row r="6397" customFormat="false" ht="15" hidden="false" customHeight="false" outlineLevel="0" collapsed="false">
      <c r="A6397" s="0" t="n">
        <v>6396</v>
      </c>
      <c r="B6397" s="14" t="n">
        <v>125938.02873348</v>
      </c>
      <c r="C6397" s="15" t="n">
        <v>0.0821179023930787</v>
      </c>
      <c r="D6397" s="14" t="n">
        <f aca="false">Summary!$B$5-B6397</f>
        <v>-25938.0287334803</v>
      </c>
      <c r="E6397" s="15" t="n">
        <f aca="false">B6397/Summary!$B$5-1</f>
        <v>0.259380287334803</v>
      </c>
    </row>
    <row r="6398" customFormat="false" ht="15" hidden="false" customHeight="false" outlineLevel="0" collapsed="false">
      <c r="A6398" s="0" t="n">
        <v>6397</v>
      </c>
      <c r="B6398" s="14" t="n">
        <v>118159.827420308</v>
      </c>
      <c r="C6398" s="15" t="n">
        <v>0.0495787684672503</v>
      </c>
      <c r="D6398" s="14" t="n">
        <f aca="false">Summary!$B$5-B6398</f>
        <v>-18159.8274203078</v>
      </c>
      <c r="E6398" s="15" t="n">
        <f aca="false">B6398/Summary!$B$5-1</f>
        <v>0.181598274203078</v>
      </c>
    </row>
    <row r="6399" customFormat="false" ht="15" hidden="false" customHeight="false" outlineLevel="0" collapsed="false">
      <c r="A6399" s="0" t="n">
        <v>6398</v>
      </c>
      <c r="B6399" s="14" t="n">
        <v>119524.376559708</v>
      </c>
      <c r="C6399" s="15" t="n">
        <v>0.0643141366584126</v>
      </c>
      <c r="D6399" s="14" t="n">
        <f aca="false">Summary!$B$5-B6399</f>
        <v>-19524.3765597084</v>
      </c>
      <c r="E6399" s="15" t="n">
        <f aca="false">B6399/Summary!$B$5-1</f>
        <v>0.195243765597084</v>
      </c>
    </row>
    <row r="6400" customFormat="false" ht="15" hidden="false" customHeight="false" outlineLevel="0" collapsed="false">
      <c r="A6400" s="0" t="n">
        <v>6399</v>
      </c>
      <c r="B6400" s="14" t="n">
        <v>98823.3932792222</v>
      </c>
      <c r="C6400" s="15" t="n">
        <v>0.0978310027932711</v>
      </c>
      <c r="D6400" s="14" t="n">
        <f aca="false">Summary!$B$5-B6400</f>
        <v>1176.60672077784</v>
      </c>
      <c r="E6400" s="15" t="n">
        <f aca="false">B6400/Summary!$B$5-1</f>
        <v>-0.0117660672077784</v>
      </c>
    </row>
    <row r="6401" customFormat="false" ht="15" hidden="false" customHeight="false" outlineLevel="0" collapsed="false">
      <c r="A6401" s="0" t="n">
        <v>6400</v>
      </c>
      <c r="B6401" s="14" t="n">
        <v>113147.099139524</v>
      </c>
      <c r="C6401" s="15" t="n">
        <v>0.0741758499493703</v>
      </c>
      <c r="D6401" s="14" t="n">
        <f aca="false">Summary!$B$5-B6401</f>
        <v>-13147.099139524</v>
      </c>
      <c r="E6401" s="15" t="n">
        <f aca="false">B6401/Summary!$B$5-1</f>
        <v>0.13147099139524</v>
      </c>
    </row>
    <row r="6402" customFormat="false" ht="15" hidden="false" customHeight="false" outlineLevel="0" collapsed="false">
      <c r="A6402" s="0" t="n">
        <v>6401</v>
      </c>
      <c r="B6402" s="14" t="n">
        <v>108128.448197638</v>
      </c>
      <c r="C6402" s="15" t="n">
        <v>0.143066045400134</v>
      </c>
      <c r="D6402" s="14" t="n">
        <f aca="false">Summary!$B$5-B6402</f>
        <v>-8128.4481976379</v>
      </c>
      <c r="E6402" s="15" t="n">
        <f aca="false">B6402/Summary!$B$5-1</f>
        <v>0.0812844819763789</v>
      </c>
    </row>
    <row r="6403" customFormat="false" ht="15" hidden="false" customHeight="false" outlineLevel="0" collapsed="false">
      <c r="A6403" s="0" t="n">
        <v>6402</v>
      </c>
      <c r="B6403" s="14" t="n">
        <v>137097.32173054</v>
      </c>
      <c r="C6403" s="15" t="n">
        <v>0.0568311633369658</v>
      </c>
      <c r="D6403" s="14" t="n">
        <f aca="false">Summary!$B$5-B6403</f>
        <v>-37097.3217305397</v>
      </c>
      <c r="E6403" s="15" t="n">
        <f aca="false">B6403/Summary!$B$5-1</f>
        <v>0.370973217305397</v>
      </c>
    </row>
    <row r="6404" customFormat="false" ht="15" hidden="false" customHeight="false" outlineLevel="0" collapsed="false">
      <c r="A6404" s="0" t="n">
        <v>6403</v>
      </c>
      <c r="B6404" s="14" t="n">
        <v>111121.716927332</v>
      </c>
      <c r="C6404" s="15" t="n">
        <v>0.115324566495601</v>
      </c>
      <c r="D6404" s="14" t="n">
        <f aca="false">Summary!$B$5-B6404</f>
        <v>-11121.716927332</v>
      </c>
      <c r="E6404" s="15" t="n">
        <f aca="false">B6404/Summary!$B$5-1</f>
        <v>0.11121716927332</v>
      </c>
    </row>
    <row r="6405" customFormat="false" ht="15" hidden="false" customHeight="false" outlineLevel="0" collapsed="false">
      <c r="A6405" s="0" t="n">
        <v>6404</v>
      </c>
      <c r="B6405" s="14" t="n">
        <v>110697.541427167</v>
      </c>
      <c r="C6405" s="15" t="n">
        <v>0.0874017402188618</v>
      </c>
      <c r="D6405" s="14" t="n">
        <f aca="false">Summary!$B$5-B6405</f>
        <v>-10697.5414271674</v>
      </c>
      <c r="E6405" s="15" t="n">
        <f aca="false">B6405/Summary!$B$5-1</f>
        <v>0.106975414271674</v>
      </c>
    </row>
    <row r="6406" customFormat="false" ht="15" hidden="false" customHeight="false" outlineLevel="0" collapsed="false">
      <c r="A6406" s="0" t="n">
        <v>6405</v>
      </c>
      <c r="B6406" s="14" t="n">
        <v>86264.732976883</v>
      </c>
      <c r="C6406" s="15" t="n">
        <v>0.171978127044643</v>
      </c>
      <c r="D6406" s="14" t="n">
        <f aca="false">Summary!$B$5-B6406</f>
        <v>13735.267023117</v>
      </c>
      <c r="E6406" s="15" t="n">
        <f aca="false">B6406/Summary!$B$5-1</f>
        <v>-0.13735267023117</v>
      </c>
    </row>
    <row r="6407" customFormat="false" ht="15" hidden="false" customHeight="false" outlineLevel="0" collapsed="false">
      <c r="A6407" s="0" t="n">
        <v>6406</v>
      </c>
      <c r="B6407" s="14" t="n">
        <v>103791.175851479</v>
      </c>
      <c r="C6407" s="15" t="n">
        <v>0.0527694519766834</v>
      </c>
      <c r="D6407" s="14" t="n">
        <f aca="false">Summary!$B$5-B6407</f>
        <v>-3791.1758514792</v>
      </c>
      <c r="E6407" s="15" t="n">
        <f aca="false">B6407/Summary!$B$5-1</f>
        <v>0.0379117585147921</v>
      </c>
    </row>
    <row r="6408" customFormat="false" ht="15" hidden="false" customHeight="false" outlineLevel="0" collapsed="false">
      <c r="A6408" s="0" t="n">
        <v>6407</v>
      </c>
      <c r="B6408" s="14" t="n">
        <v>82841.2001872521</v>
      </c>
      <c r="C6408" s="15" t="n">
        <v>0.204027199773958</v>
      </c>
      <c r="D6408" s="14" t="n">
        <f aca="false">Summary!$B$5-B6408</f>
        <v>17158.7998127479</v>
      </c>
      <c r="E6408" s="15" t="n">
        <f aca="false">B6408/Summary!$B$5-1</f>
        <v>-0.171587998127479</v>
      </c>
    </row>
    <row r="6409" customFormat="false" ht="15" hidden="false" customHeight="false" outlineLevel="0" collapsed="false">
      <c r="A6409" s="0" t="n">
        <v>6408</v>
      </c>
      <c r="B6409" s="14" t="n">
        <v>133544.70156417</v>
      </c>
      <c r="C6409" s="15" t="n">
        <v>0.0902579313828711</v>
      </c>
      <c r="D6409" s="14" t="n">
        <f aca="false">Summary!$B$5-B6409</f>
        <v>-33544.7015641702</v>
      </c>
      <c r="E6409" s="15" t="n">
        <f aca="false">B6409/Summary!$B$5-1</f>
        <v>0.335447015641702</v>
      </c>
    </row>
    <row r="6410" customFormat="false" ht="15" hidden="false" customHeight="false" outlineLevel="0" collapsed="false">
      <c r="A6410" s="0" t="n">
        <v>6409</v>
      </c>
      <c r="B6410" s="14" t="n">
        <v>104641.437475603</v>
      </c>
      <c r="C6410" s="15" t="n">
        <v>0.109263869126298</v>
      </c>
      <c r="D6410" s="14" t="n">
        <f aca="false">Summary!$B$5-B6410</f>
        <v>-4641.4374756027</v>
      </c>
      <c r="E6410" s="15" t="n">
        <f aca="false">B6410/Summary!$B$5-1</f>
        <v>0.0464143747560271</v>
      </c>
    </row>
    <row r="6411" customFormat="false" ht="15" hidden="false" customHeight="false" outlineLevel="0" collapsed="false">
      <c r="A6411" s="0" t="n">
        <v>6410</v>
      </c>
      <c r="B6411" s="14" t="n">
        <v>115142.743990516</v>
      </c>
      <c r="C6411" s="15" t="n">
        <v>0.0874954556022958</v>
      </c>
      <c r="D6411" s="14" t="n">
        <f aca="false">Summary!$B$5-B6411</f>
        <v>-15142.7439905159</v>
      </c>
      <c r="E6411" s="15" t="n">
        <f aca="false">B6411/Summary!$B$5-1</f>
        <v>0.151427439905159</v>
      </c>
    </row>
    <row r="6412" customFormat="false" ht="15" hidden="false" customHeight="false" outlineLevel="0" collapsed="false">
      <c r="A6412" s="0" t="n">
        <v>6411</v>
      </c>
      <c r="B6412" s="14" t="n">
        <v>122951.365951839</v>
      </c>
      <c r="C6412" s="15" t="n">
        <v>0.0720363993275687</v>
      </c>
      <c r="D6412" s="14" t="n">
        <f aca="false">Summary!$B$5-B6412</f>
        <v>-22951.3659518388</v>
      </c>
      <c r="E6412" s="15" t="n">
        <f aca="false">B6412/Summary!$B$5-1</f>
        <v>0.229513659518388</v>
      </c>
    </row>
    <row r="6413" customFormat="false" ht="15" hidden="false" customHeight="false" outlineLevel="0" collapsed="false">
      <c r="A6413" s="0" t="n">
        <v>6412</v>
      </c>
      <c r="B6413" s="14" t="n">
        <v>95381.8036907534</v>
      </c>
      <c r="C6413" s="15" t="n">
        <v>0.123233429514715</v>
      </c>
      <c r="D6413" s="14" t="n">
        <f aca="false">Summary!$B$5-B6413</f>
        <v>4618.19630924656</v>
      </c>
      <c r="E6413" s="15" t="n">
        <f aca="false">B6413/Summary!$B$5-1</f>
        <v>-0.0461819630924656</v>
      </c>
    </row>
    <row r="6414" customFormat="false" ht="15" hidden="false" customHeight="false" outlineLevel="0" collapsed="false">
      <c r="A6414" s="0" t="n">
        <v>6413</v>
      </c>
      <c r="B6414" s="14" t="n">
        <v>116119.644093065</v>
      </c>
      <c r="C6414" s="15" t="n">
        <v>0.0782089954198549</v>
      </c>
      <c r="D6414" s="14" t="n">
        <f aca="false">Summary!$B$5-B6414</f>
        <v>-16119.6440930646</v>
      </c>
      <c r="E6414" s="15" t="n">
        <f aca="false">B6414/Summary!$B$5-1</f>
        <v>0.161196440930646</v>
      </c>
    </row>
    <row r="6415" customFormat="false" ht="15" hidden="false" customHeight="false" outlineLevel="0" collapsed="false">
      <c r="A6415" s="0" t="n">
        <v>6414</v>
      </c>
      <c r="B6415" s="14" t="n">
        <v>111805.294010567</v>
      </c>
      <c r="C6415" s="15" t="n">
        <v>0.0896504616832338</v>
      </c>
      <c r="D6415" s="14" t="n">
        <f aca="false">Summary!$B$5-B6415</f>
        <v>-11805.2940105673</v>
      </c>
      <c r="E6415" s="15" t="n">
        <f aca="false">B6415/Summary!$B$5-1</f>
        <v>0.118052940105673</v>
      </c>
    </row>
    <row r="6416" customFormat="false" ht="15" hidden="false" customHeight="false" outlineLevel="0" collapsed="false">
      <c r="A6416" s="0" t="n">
        <v>6415</v>
      </c>
      <c r="B6416" s="14" t="n">
        <v>121486.881550976</v>
      </c>
      <c r="C6416" s="15" t="n">
        <v>0.0553626355716927</v>
      </c>
      <c r="D6416" s="14" t="n">
        <f aca="false">Summary!$B$5-B6416</f>
        <v>-21486.8815509756</v>
      </c>
      <c r="E6416" s="15" t="n">
        <f aca="false">B6416/Summary!$B$5-1</f>
        <v>0.214868815509756</v>
      </c>
    </row>
    <row r="6417" customFormat="false" ht="15" hidden="false" customHeight="false" outlineLevel="0" collapsed="false">
      <c r="A6417" s="0" t="n">
        <v>6416</v>
      </c>
      <c r="B6417" s="14" t="n">
        <v>96778.3342540155</v>
      </c>
      <c r="C6417" s="15" t="n">
        <v>0.130224327381503</v>
      </c>
      <c r="D6417" s="14" t="n">
        <f aca="false">Summary!$B$5-B6417</f>
        <v>3221.66574598453</v>
      </c>
      <c r="E6417" s="15" t="n">
        <f aca="false">B6417/Summary!$B$5-1</f>
        <v>-0.0322166574598453</v>
      </c>
    </row>
    <row r="6418" customFormat="false" ht="15" hidden="false" customHeight="false" outlineLevel="0" collapsed="false">
      <c r="A6418" s="0" t="n">
        <v>6417</v>
      </c>
      <c r="B6418" s="14" t="n">
        <v>111552.821038644</v>
      </c>
      <c r="C6418" s="15" t="n">
        <v>0.0737430622382004</v>
      </c>
      <c r="D6418" s="14" t="n">
        <f aca="false">Summary!$B$5-B6418</f>
        <v>-11552.8210386437</v>
      </c>
      <c r="E6418" s="15" t="n">
        <f aca="false">B6418/Summary!$B$5-1</f>
        <v>0.115528210386437</v>
      </c>
    </row>
    <row r="6419" customFormat="false" ht="15" hidden="false" customHeight="false" outlineLevel="0" collapsed="false">
      <c r="A6419" s="0" t="n">
        <v>6418</v>
      </c>
      <c r="B6419" s="14" t="n">
        <v>106435.003173177</v>
      </c>
      <c r="C6419" s="15" t="n">
        <v>0.14308828583661</v>
      </c>
      <c r="D6419" s="14" t="n">
        <f aca="false">Summary!$B$5-B6419</f>
        <v>-6435.0031731771</v>
      </c>
      <c r="E6419" s="15" t="n">
        <f aca="false">B6419/Summary!$B$5-1</f>
        <v>0.0643500317317711</v>
      </c>
    </row>
    <row r="6420" customFormat="false" ht="15" hidden="false" customHeight="false" outlineLevel="0" collapsed="false">
      <c r="A6420" s="0" t="n">
        <v>6419</v>
      </c>
      <c r="B6420" s="14" t="n">
        <v>103786.664650929</v>
      </c>
      <c r="C6420" s="15" t="n">
        <v>0.0896717220261381</v>
      </c>
      <c r="D6420" s="14" t="n">
        <f aca="false">Summary!$B$5-B6420</f>
        <v>-3786.66465092859</v>
      </c>
      <c r="E6420" s="15" t="n">
        <f aca="false">B6420/Summary!$B$5-1</f>
        <v>0.0378666465092858</v>
      </c>
    </row>
    <row r="6421" customFormat="false" ht="15" hidden="false" customHeight="false" outlineLevel="0" collapsed="false">
      <c r="A6421" s="0" t="n">
        <v>6420</v>
      </c>
      <c r="B6421" s="14" t="n">
        <v>99217.5420467955</v>
      </c>
      <c r="C6421" s="15" t="n">
        <v>0.113876345089286</v>
      </c>
      <c r="D6421" s="14" t="n">
        <f aca="false">Summary!$B$5-B6421</f>
        <v>782.457953204459</v>
      </c>
      <c r="E6421" s="15" t="n">
        <f aca="false">B6421/Summary!$B$5-1</f>
        <v>-0.00782457953204463</v>
      </c>
    </row>
    <row r="6422" customFormat="false" ht="15" hidden="false" customHeight="false" outlineLevel="0" collapsed="false">
      <c r="A6422" s="0" t="n">
        <v>6421</v>
      </c>
      <c r="B6422" s="14" t="n">
        <v>85752.2872645645</v>
      </c>
      <c r="C6422" s="15" t="n">
        <v>0.142477127354355</v>
      </c>
      <c r="D6422" s="14" t="n">
        <f aca="false">Summary!$B$5-B6422</f>
        <v>14247.7127354355</v>
      </c>
      <c r="E6422" s="15" t="n">
        <f aca="false">B6422/Summary!$B$5-1</f>
        <v>-0.142477127354355</v>
      </c>
    </row>
    <row r="6423" customFormat="false" ht="15" hidden="false" customHeight="false" outlineLevel="0" collapsed="false">
      <c r="A6423" s="0" t="n">
        <v>6422</v>
      </c>
      <c r="B6423" s="14" t="n">
        <v>113543.987830196</v>
      </c>
      <c r="C6423" s="15" t="n">
        <v>0.0707777421431097</v>
      </c>
      <c r="D6423" s="14" t="n">
        <f aca="false">Summary!$B$5-B6423</f>
        <v>-13543.9878301959</v>
      </c>
      <c r="E6423" s="15" t="n">
        <f aca="false">B6423/Summary!$B$5-1</f>
        <v>0.135439878301959</v>
      </c>
    </row>
    <row r="6424" customFormat="false" ht="15" hidden="false" customHeight="false" outlineLevel="0" collapsed="false">
      <c r="A6424" s="0" t="n">
        <v>6423</v>
      </c>
      <c r="B6424" s="14" t="n">
        <v>111576.142501374</v>
      </c>
      <c r="C6424" s="15" t="n">
        <v>0.08140747587807</v>
      </c>
      <c r="D6424" s="14" t="n">
        <f aca="false">Summary!$B$5-B6424</f>
        <v>-11576.1425013744</v>
      </c>
      <c r="E6424" s="15" t="n">
        <f aca="false">B6424/Summary!$B$5-1</f>
        <v>0.115761425013744</v>
      </c>
    </row>
    <row r="6425" customFormat="false" ht="15" hidden="false" customHeight="false" outlineLevel="0" collapsed="false">
      <c r="A6425" s="0" t="n">
        <v>6424</v>
      </c>
      <c r="B6425" s="14" t="n">
        <v>119189.077088587</v>
      </c>
      <c r="C6425" s="15" t="n">
        <v>0.0750476277689626</v>
      </c>
      <c r="D6425" s="14" t="n">
        <f aca="false">Summary!$B$5-B6425</f>
        <v>-19189.0770885867</v>
      </c>
      <c r="E6425" s="15" t="n">
        <f aca="false">B6425/Summary!$B$5-1</f>
        <v>0.191890770885867</v>
      </c>
    </row>
    <row r="6426" customFormat="false" ht="15" hidden="false" customHeight="false" outlineLevel="0" collapsed="false">
      <c r="A6426" s="0" t="n">
        <v>6425</v>
      </c>
      <c r="B6426" s="14" t="n">
        <v>112420.564086134</v>
      </c>
      <c r="C6426" s="15" t="n">
        <v>0.0597398029650511</v>
      </c>
      <c r="D6426" s="14" t="n">
        <f aca="false">Summary!$B$5-B6426</f>
        <v>-12420.5640861337</v>
      </c>
      <c r="E6426" s="15" t="n">
        <f aca="false">B6426/Summary!$B$5-1</f>
        <v>0.124205640861337</v>
      </c>
    </row>
    <row r="6427" customFormat="false" ht="15" hidden="false" customHeight="false" outlineLevel="0" collapsed="false">
      <c r="A6427" s="0" t="n">
        <v>6426</v>
      </c>
      <c r="B6427" s="14" t="n">
        <v>109957.784736401</v>
      </c>
      <c r="C6427" s="15" t="n">
        <v>0.0577553477307571</v>
      </c>
      <c r="D6427" s="14" t="n">
        <f aca="false">Summary!$B$5-B6427</f>
        <v>-9957.7847364006</v>
      </c>
      <c r="E6427" s="15" t="n">
        <f aca="false">B6427/Summary!$B$5-1</f>
        <v>0.0995778473640061</v>
      </c>
    </row>
    <row r="6428" customFormat="false" ht="15" hidden="false" customHeight="false" outlineLevel="0" collapsed="false">
      <c r="A6428" s="0" t="n">
        <v>6427</v>
      </c>
      <c r="B6428" s="14" t="n">
        <v>85450.7131601963</v>
      </c>
      <c r="C6428" s="15" t="n">
        <v>0.188576864887616</v>
      </c>
      <c r="D6428" s="14" t="n">
        <f aca="false">Summary!$B$5-B6428</f>
        <v>14549.2868398037</v>
      </c>
      <c r="E6428" s="15" t="n">
        <f aca="false">B6428/Summary!$B$5-1</f>
        <v>-0.145492868398037</v>
      </c>
    </row>
    <row r="6429" customFormat="false" ht="15" hidden="false" customHeight="false" outlineLevel="0" collapsed="false">
      <c r="A6429" s="0" t="n">
        <v>6428</v>
      </c>
      <c r="B6429" s="14" t="n">
        <v>90828.1073113325</v>
      </c>
      <c r="C6429" s="15" t="n">
        <v>0.167064102083108</v>
      </c>
      <c r="D6429" s="14" t="n">
        <f aca="false">Summary!$B$5-B6429</f>
        <v>9171.89268866749</v>
      </c>
      <c r="E6429" s="15" t="n">
        <f aca="false">B6429/Summary!$B$5-1</f>
        <v>-0.0917189268866749</v>
      </c>
    </row>
    <row r="6430" customFormat="false" ht="15" hidden="false" customHeight="false" outlineLevel="0" collapsed="false">
      <c r="A6430" s="0" t="n">
        <v>6429</v>
      </c>
      <c r="B6430" s="14" t="n">
        <v>115905.823464646</v>
      </c>
      <c r="C6430" s="15" t="n">
        <v>0.096119546514034</v>
      </c>
      <c r="D6430" s="14" t="n">
        <f aca="false">Summary!$B$5-B6430</f>
        <v>-15905.8234646457</v>
      </c>
      <c r="E6430" s="15" t="n">
        <f aca="false">B6430/Summary!$B$5-1</f>
        <v>0.159058234646457</v>
      </c>
    </row>
    <row r="6431" customFormat="false" ht="15" hidden="false" customHeight="false" outlineLevel="0" collapsed="false">
      <c r="A6431" s="0" t="n">
        <v>6430</v>
      </c>
      <c r="B6431" s="14" t="n">
        <v>110242.345903084</v>
      </c>
      <c r="C6431" s="15" t="n">
        <v>0.064382428464449</v>
      </c>
      <c r="D6431" s="14" t="n">
        <f aca="false">Summary!$B$5-B6431</f>
        <v>-10242.3459030844</v>
      </c>
      <c r="E6431" s="15" t="n">
        <f aca="false">B6431/Summary!$B$5-1</f>
        <v>0.102423459030844</v>
      </c>
    </row>
    <row r="6432" customFormat="false" ht="15" hidden="false" customHeight="false" outlineLevel="0" collapsed="false">
      <c r="A6432" s="0" t="n">
        <v>6431</v>
      </c>
      <c r="B6432" s="14" t="n">
        <v>95714.7274121973</v>
      </c>
      <c r="C6432" s="15" t="n">
        <v>0.101320641927012</v>
      </c>
      <c r="D6432" s="14" t="n">
        <f aca="false">Summary!$B$5-B6432</f>
        <v>4285.27258780267</v>
      </c>
      <c r="E6432" s="15" t="n">
        <f aca="false">B6432/Summary!$B$5-1</f>
        <v>-0.0428527258780267</v>
      </c>
    </row>
    <row r="6433" customFormat="false" ht="15" hidden="false" customHeight="false" outlineLevel="0" collapsed="false">
      <c r="A6433" s="0" t="n">
        <v>6432</v>
      </c>
      <c r="B6433" s="14" t="n">
        <v>101223.905667183</v>
      </c>
      <c r="C6433" s="15" t="n">
        <v>0.132336299301199</v>
      </c>
      <c r="D6433" s="14" t="n">
        <f aca="false">Summary!$B$5-B6433</f>
        <v>-1223.90566718249</v>
      </c>
      <c r="E6433" s="15" t="n">
        <f aca="false">B6433/Summary!$B$5-1</f>
        <v>0.0122390566718249</v>
      </c>
    </row>
    <row r="6434" customFormat="false" ht="15" hidden="false" customHeight="false" outlineLevel="0" collapsed="false">
      <c r="A6434" s="0" t="n">
        <v>6433</v>
      </c>
      <c r="B6434" s="14" t="n">
        <v>117649.611549398</v>
      </c>
      <c r="C6434" s="15" t="n">
        <v>0.0876009822091701</v>
      </c>
      <c r="D6434" s="14" t="n">
        <f aca="false">Summary!$B$5-B6434</f>
        <v>-17649.6115493982</v>
      </c>
      <c r="E6434" s="15" t="n">
        <f aca="false">B6434/Summary!$B$5-1</f>
        <v>0.176496115493982</v>
      </c>
    </row>
    <row r="6435" customFormat="false" ht="15" hidden="false" customHeight="false" outlineLevel="0" collapsed="false">
      <c r="A6435" s="0" t="n">
        <v>6434</v>
      </c>
      <c r="B6435" s="14" t="n">
        <v>106097.241166602</v>
      </c>
      <c r="C6435" s="15" t="n">
        <v>0.094521206682553</v>
      </c>
      <c r="D6435" s="14" t="n">
        <f aca="false">Summary!$B$5-B6435</f>
        <v>-6097.2411666015</v>
      </c>
      <c r="E6435" s="15" t="n">
        <f aca="false">B6435/Summary!$B$5-1</f>
        <v>0.0609724116660149</v>
      </c>
    </row>
    <row r="6436" customFormat="false" ht="15" hidden="false" customHeight="false" outlineLevel="0" collapsed="false">
      <c r="A6436" s="0" t="n">
        <v>6435</v>
      </c>
      <c r="B6436" s="14" t="n">
        <v>90344.7207497723</v>
      </c>
      <c r="C6436" s="15" t="n">
        <v>0.197382289188943</v>
      </c>
      <c r="D6436" s="14" t="n">
        <f aca="false">Summary!$B$5-B6436</f>
        <v>9655.27925022772</v>
      </c>
      <c r="E6436" s="15" t="n">
        <f aca="false">B6436/Summary!$B$5-1</f>
        <v>-0.0965527925022771</v>
      </c>
    </row>
    <row r="6437" customFormat="false" ht="15" hidden="false" customHeight="false" outlineLevel="0" collapsed="false">
      <c r="A6437" s="0" t="n">
        <v>6436</v>
      </c>
      <c r="B6437" s="14" t="n">
        <v>116618.099158862</v>
      </c>
      <c r="C6437" s="15" t="n">
        <v>0.0550157681748217</v>
      </c>
      <c r="D6437" s="14" t="n">
        <f aca="false">Summary!$B$5-B6437</f>
        <v>-16618.0991588615</v>
      </c>
      <c r="E6437" s="15" t="n">
        <f aca="false">B6437/Summary!$B$5-1</f>
        <v>0.166180991588615</v>
      </c>
    </row>
    <row r="6438" customFormat="false" ht="15" hidden="false" customHeight="false" outlineLevel="0" collapsed="false">
      <c r="A6438" s="0" t="n">
        <v>6437</v>
      </c>
      <c r="B6438" s="14" t="n">
        <v>90582.6967179909</v>
      </c>
      <c r="C6438" s="15" t="n">
        <v>0.137075917016898</v>
      </c>
      <c r="D6438" s="14" t="n">
        <f aca="false">Summary!$B$5-B6438</f>
        <v>9417.30328200906</v>
      </c>
      <c r="E6438" s="15" t="n">
        <f aca="false">B6438/Summary!$B$5-1</f>
        <v>-0.0941730328200906</v>
      </c>
    </row>
    <row r="6439" customFormat="false" ht="15" hidden="false" customHeight="false" outlineLevel="0" collapsed="false">
      <c r="A6439" s="0" t="n">
        <v>6438</v>
      </c>
      <c r="B6439" s="14" t="n">
        <v>99616.015878581</v>
      </c>
      <c r="C6439" s="15" t="n">
        <v>0.130891889134415</v>
      </c>
      <c r="D6439" s="14" t="n">
        <f aca="false">Summary!$B$5-B6439</f>
        <v>383.984121419024</v>
      </c>
      <c r="E6439" s="15" t="n">
        <f aca="false">B6439/Summary!$B$5-1</f>
        <v>-0.00383984121419023</v>
      </c>
    </row>
    <row r="6440" customFormat="false" ht="15" hidden="false" customHeight="false" outlineLevel="0" collapsed="false">
      <c r="A6440" s="0" t="n">
        <v>6439</v>
      </c>
      <c r="B6440" s="14" t="n">
        <v>114467.158621911</v>
      </c>
      <c r="C6440" s="15" t="n">
        <v>0.0728388901178719</v>
      </c>
      <c r="D6440" s="14" t="n">
        <f aca="false">Summary!$B$5-B6440</f>
        <v>-14467.1586219111</v>
      </c>
      <c r="E6440" s="15" t="n">
        <f aca="false">B6440/Summary!$B$5-1</f>
        <v>0.144671586219111</v>
      </c>
    </row>
    <row r="6441" customFormat="false" ht="15" hidden="false" customHeight="false" outlineLevel="0" collapsed="false">
      <c r="A6441" s="0" t="n">
        <v>6440</v>
      </c>
      <c r="B6441" s="14" t="n">
        <v>121407.521934093</v>
      </c>
      <c r="C6441" s="15" t="n">
        <v>0.0907479796032764</v>
      </c>
      <c r="D6441" s="14" t="n">
        <f aca="false">Summary!$B$5-B6441</f>
        <v>-21407.5219340927</v>
      </c>
      <c r="E6441" s="15" t="n">
        <f aca="false">B6441/Summary!$B$5-1</f>
        <v>0.214075219340927</v>
      </c>
    </row>
    <row r="6442" customFormat="false" ht="15" hidden="false" customHeight="false" outlineLevel="0" collapsed="false">
      <c r="A6442" s="0" t="n">
        <v>6441</v>
      </c>
      <c r="B6442" s="14" t="n">
        <v>121002.421063821</v>
      </c>
      <c r="C6442" s="15" t="n">
        <v>0.0845654950896726</v>
      </c>
      <c r="D6442" s="14" t="n">
        <f aca="false">Summary!$B$5-B6442</f>
        <v>-21002.4210638205</v>
      </c>
      <c r="E6442" s="15" t="n">
        <f aca="false">B6442/Summary!$B$5-1</f>
        <v>0.210024210638205</v>
      </c>
    </row>
    <row r="6443" customFormat="false" ht="15" hidden="false" customHeight="false" outlineLevel="0" collapsed="false">
      <c r="A6443" s="0" t="n">
        <v>6442</v>
      </c>
      <c r="B6443" s="14" t="n">
        <v>110802.903778226</v>
      </c>
      <c r="C6443" s="15" t="n">
        <v>0.112524154875475</v>
      </c>
      <c r="D6443" s="14" t="n">
        <f aca="false">Summary!$B$5-B6443</f>
        <v>-10802.9037782263</v>
      </c>
      <c r="E6443" s="15" t="n">
        <f aca="false">B6443/Summary!$B$5-1</f>
        <v>0.108029037782263</v>
      </c>
    </row>
    <row r="6444" customFormat="false" ht="15" hidden="false" customHeight="false" outlineLevel="0" collapsed="false">
      <c r="A6444" s="0" t="n">
        <v>6443</v>
      </c>
      <c r="B6444" s="14" t="n">
        <v>114857.447010153</v>
      </c>
      <c r="C6444" s="15" t="n">
        <v>0.0772973600319535</v>
      </c>
      <c r="D6444" s="14" t="n">
        <f aca="false">Summary!$B$5-B6444</f>
        <v>-14857.4470101533</v>
      </c>
      <c r="E6444" s="15" t="n">
        <f aca="false">B6444/Summary!$B$5-1</f>
        <v>0.148574470101533</v>
      </c>
    </row>
    <row r="6445" customFormat="false" ht="15" hidden="false" customHeight="false" outlineLevel="0" collapsed="false">
      <c r="A6445" s="0" t="n">
        <v>6444</v>
      </c>
      <c r="B6445" s="14" t="n">
        <v>106856.941512429</v>
      </c>
      <c r="C6445" s="15" t="n">
        <v>0.0951831772740543</v>
      </c>
      <c r="D6445" s="14" t="n">
        <f aca="false">Summary!$B$5-B6445</f>
        <v>-6856.94151242889</v>
      </c>
      <c r="E6445" s="15" t="n">
        <f aca="false">B6445/Summary!$B$5-1</f>
        <v>0.0685694151242888</v>
      </c>
    </row>
    <row r="6446" customFormat="false" ht="15" hidden="false" customHeight="false" outlineLevel="0" collapsed="false">
      <c r="A6446" s="0" t="n">
        <v>6445</v>
      </c>
      <c r="B6446" s="14" t="n">
        <v>133736.271020179</v>
      </c>
      <c r="C6446" s="15" t="n">
        <v>0.0401914118189353</v>
      </c>
      <c r="D6446" s="14" t="n">
        <f aca="false">Summary!$B$5-B6446</f>
        <v>-33736.2710201785</v>
      </c>
      <c r="E6446" s="15" t="n">
        <f aca="false">B6446/Summary!$B$5-1</f>
        <v>0.337362710201785</v>
      </c>
    </row>
    <row r="6447" customFormat="false" ht="15" hidden="false" customHeight="false" outlineLevel="0" collapsed="false">
      <c r="A6447" s="0" t="n">
        <v>6446</v>
      </c>
      <c r="B6447" s="14" t="n">
        <v>110711.771982044</v>
      </c>
      <c r="C6447" s="15" t="n">
        <v>0.117741851591352</v>
      </c>
      <c r="D6447" s="14" t="n">
        <f aca="false">Summary!$B$5-B6447</f>
        <v>-10711.7719820437</v>
      </c>
      <c r="E6447" s="15" t="n">
        <f aca="false">B6447/Summary!$B$5-1</f>
        <v>0.107117719820437</v>
      </c>
    </row>
    <row r="6448" customFormat="false" ht="15" hidden="false" customHeight="false" outlineLevel="0" collapsed="false">
      <c r="A6448" s="0" t="n">
        <v>6447</v>
      </c>
      <c r="B6448" s="14" t="n">
        <v>90260.0048063667</v>
      </c>
      <c r="C6448" s="15" t="n">
        <v>0.150918405898434</v>
      </c>
      <c r="D6448" s="14" t="n">
        <f aca="false">Summary!$B$5-B6448</f>
        <v>9739.99519363334</v>
      </c>
      <c r="E6448" s="15" t="n">
        <f aca="false">B6448/Summary!$B$5-1</f>
        <v>-0.0973999519363333</v>
      </c>
    </row>
    <row r="6449" customFormat="false" ht="15" hidden="false" customHeight="false" outlineLevel="0" collapsed="false">
      <c r="A6449" s="0" t="n">
        <v>6448</v>
      </c>
      <c r="B6449" s="14" t="n">
        <v>100206.06258856</v>
      </c>
      <c r="C6449" s="15" t="n">
        <v>0.132116291082104</v>
      </c>
      <c r="D6449" s="14" t="n">
        <f aca="false">Summary!$B$5-B6449</f>
        <v>-206.062588559798</v>
      </c>
      <c r="E6449" s="15" t="n">
        <f aca="false">B6449/Summary!$B$5-1</f>
        <v>0.00206062588559797</v>
      </c>
    </row>
    <row r="6450" customFormat="false" ht="15" hidden="false" customHeight="false" outlineLevel="0" collapsed="false">
      <c r="A6450" s="0" t="n">
        <v>6449</v>
      </c>
      <c r="B6450" s="14" t="n">
        <v>105607.643260725</v>
      </c>
      <c r="C6450" s="15" t="n">
        <v>0.0845787266450698</v>
      </c>
      <c r="D6450" s="14" t="n">
        <f aca="false">Summary!$B$5-B6450</f>
        <v>-5607.643260725</v>
      </c>
      <c r="E6450" s="15" t="n">
        <f aca="false">B6450/Summary!$B$5-1</f>
        <v>0.05607643260725</v>
      </c>
    </row>
    <row r="6451" customFormat="false" ht="15" hidden="false" customHeight="false" outlineLevel="0" collapsed="false">
      <c r="A6451" s="0" t="n">
        <v>6450</v>
      </c>
      <c r="B6451" s="14" t="n">
        <v>105463.19971501</v>
      </c>
      <c r="C6451" s="15" t="n">
        <v>0.15716361655909</v>
      </c>
      <c r="D6451" s="14" t="n">
        <f aca="false">Summary!$B$5-B6451</f>
        <v>-5463.1997150095</v>
      </c>
      <c r="E6451" s="15" t="n">
        <f aca="false">B6451/Summary!$B$5-1</f>
        <v>0.054631997150095</v>
      </c>
    </row>
    <row r="6452" customFormat="false" ht="15" hidden="false" customHeight="false" outlineLevel="0" collapsed="false">
      <c r="A6452" s="0" t="n">
        <v>6451</v>
      </c>
      <c r="B6452" s="14" t="n">
        <v>103360.786755456</v>
      </c>
      <c r="C6452" s="15" t="n">
        <v>0.130658132407697</v>
      </c>
      <c r="D6452" s="14" t="n">
        <f aca="false">Summary!$B$5-B6452</f>
        <v>-3360.7867554556</v>
      </c>
      <c r="E6452" s="15" t="n">
        <f aca="false">B6452/Summary!$B$5-1</f>
        <v>0.0336078675545559</v>
      </c>
    </row>
    <row r="6453" customFormat="false" ht="15" hidden="false" customHeight="false" outlineLevel="0" collapsed="false">
      <c r="A6453" s="0" t="n">
        <v>6452</v>
      </c>
      <c r="B6453" s="14" t="n">
        <v>125724.378035635</v>
      </c>
      <c r="C6453" s="15" t="n">
        <v>0.0720093724011399</v>
      </c>
      <c r="D6453" s="14" t="n">
        <f aca="false">Summary!$B$5-B6453</f>
        <v>-25724.3780356346</v>
      </c>
      <c r="E6453" s="15" t="n">
        <f aca="false">B6453/Summary!$B$5-1</f>
        <v>0.257243780356346</v>
      </c>
    </row>
    <row r="6454" customFormat="false" ht="15" hidden="false" customHeight="false" outlineLevel="0" collapsed="false">
      <c r="A6454" s="0" t="n">
        <v>6453</v>
      </c>
      <c r="B6454" s="14" t="n">
        <v>123462.331246096</v>
      </c>
      <c r="C6454" s="15" t="n">
        <v>0.0702943242629665</v>
      </c>
      <c r="D6454" s="14" t="n">
        <f aca="false">Summary!$B$5-B6454</f>
        <v>-23462.3312460962</v>
      </c>
      <c r="E6454" s="15" t="n">
        <f aca="false">B6454/Summary!$B$5-1</f>
        <v>0.234623312460962</v>
      </c>
    </row>
    <row r="6455" customFormat="false" ht="15" hidden="false" customHeight="false" outlineLevel="0" collapsed="false">
      <c r="A6455" s="0" t="n">
        <v>6454</v>
      </c>
      <c r="B6455" s="14" t="n">
        <v>112805.791838333</v>
      </c>
      <c r="C6455" s="15" t="n">
        <v>0.134242386330421</v>
      </c>
      <c r="D6455" s="14" t="n">
        <f aca="false">Summary!$B$5-B6455</f>
        <v>-12805.791838333</v>
      </c>
      <c r="E6455" s="15" t="n">
        <f aca="false">B6455/Summary!$B$5-1</f>
        <v>0.12805791838333</v>
      </c>
    </row>
    <row r="6456" customFormat="false" ht="15" hidden="false" customHeight="false" outlineLevel="0" collapsed="false">
      <c r="A6456" s="0" t="n">
        <v>6455</v>
      </c>
      <c r="B6456" s="14" t="n">
        <v>99795.503488357</v>
      </c>
      <c r="C6456" s="15" t="n">
        <v>0.148196801757124</v>
      </c>
      <c r="D6456" s="14" t="n">
        <f aca="false">Summary!$B$5-B6456</f>
        <v>204.496511643054</v>
      </c>
      <c r="E6456" s="15" t="n">
        <f aca="false">B6456/Summary!$B$5-1</f>
        <v>-0.00204496511643049</v>
      </c>
    </row>
    <row r="6457" customFormat="false" ht="15" hidden="false" customHeight="false" outlineLevel="0" collapsed="false">
      <c r="A6457" s="0" t="n">
        <v>6456</v>
      </c>
      <c r="B6457" s="14" t="n">
        <v>101802.627779109</v>
      </c>
      <c r="C6457" s="15" t="n">
        <v>0.0887370296293303</v>
      </c>
      <c r="D6457" s="14" t="n">
        <f aca="false">Summary!$B$5-B6457</f>
        <v>-1802.62777910889</v>
      </c>
      <c r="E6457" s="15" t="n">
        <f aca="false">B6457/Summary!$B$5-1</f>
        <v>0.0180262777910889</v>
      </c>
    </row>
    <row r="6458" customFormat="false" ht="15" hidden="false" customHeight="false" outlineLevel="0" collapsed="false">
      <c r="A6458" s="0" t="n">
        <v>6457</v>
      </c>
      <c r="B6458" s="14" t="n">
        <v>92806.6992791542</v>
      </c>
      <c r="C6458" s="15" t="n">
        <v>0.177463645838292</v>
      </c>
      <c r="D6458" s="14" t="n">
        <f aca="false">Summary!$B$5-B6458</f>
        <v>7193.30072084584</v>
      </c>
      <c r="E6458" s="15" t="n">
        <f aca="false">B6458/Summary!$B$5-1</f>
        <v>-0.0719330072084584</v>
      </c>
    </row>
    <row r="6459" customFormat="false" ht="15" hidden="false" customHeight="false" outlineLevel="0" collapsed="false">
      <c r="A6459" s="0" t="n">
        <v>6458</v>
      </c>
      <c r="B6459" s="14" t="n">
        <v>128478.699020319</v>
      </c>
      <c r="C6459" s="15" t="n">
        <v>0.0463424436672889</v>
      </c>
      <c r="D6459" s="14" t="n">
        <f aca="false">Summary!$B$5-B6459</f>
        <v>-28478.6990203193</v>
      </c>
      <c r="E6459" s="15" t="n">
        <f aca="false">B6459/Summary!$B$5-1</f>
        <v>0.284786990203193</v>
      </c>
    </row>
    <row r="6460" customFormat="false" ht="15" hidden="false" customHeight="false" outlineLevel="0" collapsed="false">
      <c r="A6460" s="0" t="n">
        <v>6459</v>
      </c>
      <c r="B6460" s="14" t="n">
        <v>107271.288892295</v>
      </c>
      <c r="C6460" s="15" t="n">
        <v>0.0556180521650406</v>
      </c>
      <c r="D6460" s="14" t="n">
        <f aca="false">Summary!$B$5-B6460</f>
        <v>-7271.2888922951</v>
      </c>
      <c r="E6460" s="15" t="n">
        <f aca="false">B6460/Summary!$B$5-1</f>
        <v>0.0727128889229509</v>
      </c>
    </row>
    <row r="6461" customFormat="false" ht="15" hidden="false" customHeight="false" outlineLevel="0" collapsed="false">
      <c r="A6461" s="0" t="n">
        <v>6460</v>
      </c>
      <c r="B6461" s="14" t="n">
        <v>110106.385656751</v>
      </c>
      <c r="C6461" s="15" t="n">
        <v>0.0834605005575914</v>
      </c>
      <c r="D6461" s="14" t="n">
        <f aca="false">Summary!$B$5-B6461</f>
        <v>-10106.3856567508</v>
      </c>
      <c r="E6461" s="15" t="n">
        <f aca="false">B6461/Summary!$B$5-1</f>
        <v>0.101063856567508</v>
      </c>
    </row>
    <row r="6462" customFormat="false" ht="15" hidden="false" customHeight="false" outlineLevel="0" collapsed="false">
      <c r="A6462" s="0" t="n">
        <v>6461</v>
      </c>
      <c r="B6462" s="14" t="n">
        <v>86640.2156497249</v>
      </c>
      <c r="C6462" s="15" t="n">
        <v>0.243134878936545</v>
      </c>
      <c r="D6462" s="14" t="n">
        <f aca="false">Summary!$B$5-B6462</f>
        <v>13359.7843502751</v>
      </c>
      <c r="E6462" s="15" t="n">
        <f aca="false">B6462/Summary!$B$5-1</f>
        <v>-0.133597843502751</v>
      </c>
    </row>
    <row r="6463" customFormat="false" ht="15" hidden="false" customHeight="false" outlineLevel="0" collapsed="false">
      <c r="A6463" s="0" t="n">
        <v>6462</v>
      </c>
      <c r="B6463" s="14" t="n">
        <v>103164.738929933</v>
      </c>
      <c r="C6463" s="15" t="n">
        <v>0.0936461033399415</v>
      </c>
      <c r="D6463" s="14" t="n">
        <f aca="false">Summary!$B$5-B6463</f>
        <v>-3164.7389299332</v>
      </c>
      <c r="E6463" s="15" t="n">
        <f aca="false">B6463/Summary!$B$5-1</f>
        <v>0.0316473892993321</v>
      </c>
    </row>
    <row r="6464" customFormat="false" ht="15" hidden="false" customHeight="false" outlineLevel="0" collapsed="false">
      <c r="A6464" s="0" t="n">
        <v>6463</v>
      </c>
      <c r="B6464" s="14" t="n">
        <v>123734.051371255</v>
      </c>
      <c r="C6464" s="15" t="n">
        <v>0.10334046440295</v>
      </c>
      <c r="D6464" s="14" t="n">
        <f aca="false">Summary!$B$5-B6464</f>
        <v>-23734.0513712553</v>
      </c>
      <c r="E6464" s="15" t="n">
        <f aca="false">B6464/Summary!$B$5-1</f>
        <v>0.237340513712553</v>
      </c>
    </row>
    <row r="6465" customFormat="false" ht="15" hidden="false" customHeight="false" outlineLevel="0" collapsed="false">
      <c r="A6465" s="0" t="n">
        <v>6464</v>
      </c>
      <c r="B6465" s="14" t="n">
        <v>97637.5326100929</v>
      </c>
      <c r="C6465" s="15" t="n">
        <v>0.135125982463916</v>
      </c>
      <c r="D6465" s="14" t="n">
        <f aca="false">Summary!$B$5-B6465</f>
        <v>2362.46738990711</v>
      </c>
      <c r="E6465" s="15" t="n">
        <f aca="false">B6465/Summary!$B$5-1</f>
        <v>-0.0236246738990711</v>
      </c>
    </row>
    <row r="6466" customFormat="false" ht="15" hidden="false" customHeight="false" outlineLevel="0" collapsed="false">
      <c r="A6466" s="0" t="n">
        <v>6465</v>
      </c>
      <c r="B6466" s="14" t="n">
        <v>91787.9940354775</v>
      </c>
      <c r="C6466" s="15" t="n">
        <v>0.161538977513777</v>
      </c>
      <c r="D6466" s="14" t="n">
        <f aca="false">Summary!$B$5-B6466</f>
        <v>8212.00596452248</v>
      </c>
      <c r="E6466" s="15" t="n">
        <f aca="false">B6466/Summary!$B$5-1</f>
        <v>-0.0821200596452248</v>
      </c>
    </row>
    <row r="6467" customFormat="false" ht="15" hidden="false" customHeight="false" outlineLevel="0" collapsed="false">
      <c r="A6467" s="0" t="n">
        <v>6466</v>
      </c>
      <c r="B6467" s="14" t="n">
        <v>102369.47437226</v>
      </c>
      <c r="C6467" s="15" t="n">
        <v>0.080891599407507</v>
      </c>
      <c r="D6467" s="14" t="n">
        <f aca="false">Summary!$B$5-B6467</f>
        <v>-2369.4743722601</v>
      </c>
      <c r="E6467" s="15" t="n">
        <f aca="false">B6467/Summary!$B$5-1</f>
        <v>0.0236947437226009</v>
      </c>
    </row>
    <row r="6468" customFormat="false" ht="15" hidden="false" customHeight="false" outlineLevel="0" collapsed="false">
      <c r="A6468" s="0" t="n">
        <v>6467</v>
      </c>
      <c r="B6468" s="14" t="n">
        <v>123565.712147278</v>
      </c>
      <c r="C6468" s="15" t="n">
        <v>0.0513583214095394</v>
      </c>
      <c r="D6468" s="14" t="n">
        <f aca="false">Summary!$B$5-B6468</f>
        <v>-23565.7121472775</v>
      </c>
      <c r="E6468" s="15" t="n">
        <f aca="false">B6468/Summary!$B$5-1</f>
        <v>0.235657121472775</v>
      </c>
    </row>
    <row r="6469" customFormat="false" ht="15" hidden="false" customHeight="false" outlineLevel="0" collapsed="false">
      <c r="A6469" s="0" t="n">
        <v>6468</v>
      </c>
      <c r="B6469" s="14" t="n">
        <v>115595.588081153</v>
      </c>
      <c r="C6469" s="15" t="n">
        <v>0.0596520345472392</v>
      </c>
      <c r="D6469" s="14" t="n">
        <f aca="false">Summary!$B$5-B6469</f>
        <v>-15595.5880811531</v>
      </c>
      <c r="E6469" s="15" t="n">
        <f aca="false">B6469/Summary!$B$5-1</f>
        <v>0.155955880811531</v>
      </c>
    </row>
    <row r="6470" customFormat="false" ht="15" hidden="false" customHeight="false" outlineLevel="0" collapsed="false">
      <c r="A6470" s="0" t="n">
        <v>6469</v>
      </c>
      <c r="B6470" s="14" t="n">
        <v>100731.62319834</v>
      </c>
      <c r="C6470" s="15" t="n">
        <v>0.103426461677372</v>
      </c>
      <c r="D6470" s="14" t="n">
        <f aca="false">Summary!$B$5-B6470</f>
        <v>-731.623198339701</v>
      </c>
      <c r="E6470" s="15" t="n">
        <f aca="false">B6470/Summary!$B$5-1</f>
        <v>0.00731623198339704</v>
      </c>
    </row>
    <row r="6471" customFormat="false" ht="15" hidden="false" customHeight="false" outlineLevel="0" collapsed="false">
      <c r="A6471" s="0" t="n">
        <v>6470</v>
      </c>
      <c r="B6471" s="14" t="n">
        <v>87624.1724072594</v>
      </c>
      <c r="C6471" s="15" t="n">
        <v>0.162160243760819</v>
      </c>
      <c r="D6471" s="14" t="n">
        <f aca="false">Summary!$B$5-B6471</f>
        <v>12375.8275927406</v>
      </c>
      <c r="E6471" s="15" t="n">
        <f aca="false">B6471/Summary!$B$5-1</f>
        <v>-0.123758275927406</v>
      </c>
    </row>
    <row r="6472" customFormat="false" ht="15" hidden="false" customHeight="false" outlineLevel="0" collapsed="false">
      <c r="A6472" s="0" t="n">
        <v>6471</v>
      </c>
      <c r="B6472" s="14" t="n">
        <v>119637.39982326</v>
      </c>
      <c r="C6472" s="15" t="n">
        <v>0.0929138069786205</v>
      </c>
      <c r="D6472" s="14" t="n">
        <f aca="false">Summary!$B$5-B6472</f>
        <v>-19637.39982326</v>
      </c>
      <c r="E6472" s="15" t="n">
        <f aca="false">B6472/Summary!$B$5-1</f>
        <v>0.1963739982326</v>
      </c>
    </row>
    <row r="6473" customFormat="false" ht="15" hidden="false" customHeight="false" outlineLevel="0" collapsed="false">
      <c r="A6473" s="0" t="n">
        <v>6472</v>
      </c>
      <c r="B6473" s="14" t="n">
        <v>133455.424496805</v>
      </c>
      <c r="C6473" s="15" t="n">
        <v>0.0688617716106225</v>
      </c>
      <c r="D6473" s="14" t="n">
        <f aca="false">Summary!$B$5-B6473</f>
        <v>-33455.4244968046</v>
      </c>
      <c r="E6473" s="15" t="n">
        <f aca="false">B6473/Summary!$B$5-1</f>
        <v>0.334554244968046</v>
      </c>
    </row>
    <row r="6474" customFormat="false" ht="15" hidden="false" customHeight="false" outlineLevel="0" collapsed="false">
      <c r="A6474" s="0" t="n">
        <v>6473</v>
      </c>
      <c r="B6474" s="14" t="n">
        <v>107728.23040481</v>
      </c>
      <c r="C6474" s="15" t="n">
        <v>0.11180680248791</v>
      </c>
      <c r="D6474" s="14" t="n">
        <f aca="false">Summary!$B$5-B6474</f>
        <v>-7728.2304048104</v>
      </c>
      <c r="E6474" s="15" t="n">
        <f aca="false">B6474/Summary!$B$5-1</f>
        <v>0.0772823040481039</v>
      </c>
    </row>
    <row r="6475" customFormat="false" ht="15" hidden="false" customHeight="false" outlineLevel="0" collapsed="false">
      <c r="A6475" s="0" t="n">
        <v>6474</v>
      </c>
      <c r="B6475" s="14" t="n">
        <v>101977.311673789</v>
      </c>
      <c r="C6475" s="15" t="n">
        <v>0.12011852578471</v>
      </c>
      <c r="D6475" s="14" t="n">
        <f aca="false">Summary!$B$5-B6475</f>
        <v>-1977.3116737887</v>
      </c>
      <c r="E6475" s="15" t="n">
        <f aca="false">B6475/Summary!$B$5-1</f>
        <v>0.019773116737887</v>
      </c>
    </row>
    <row r="6476" customFormat="false" ht="15" hidden="false" customHeight="false" outlineLevel="0" collapsed="false">
      <c r="A6476" s="0" t="n">
        <v>6475</v>
      </c>
      <c r="B6476" s="14" t="n">
        <v>105097.23099918</v>
      </c>
      <c r="C6476" s="15" t="n">
        <v>0.140929756644129</v>
      </c>
      <c r="D6476" s="14" t="n">
        <f aca="false">Summary!$B$5-B6476</f>
        <v>-5097.23099917969</v>
      </c>
      <c r="E6476" s="15" t="n">
        <f aca="false">B6476/Summary!$B$5-1</f>
        <v>0.0509723099917969</v>
      </c>
    </row>
    <row r="6477" customFormat="false" ht="15" hidden="false" customHeight="false" outlineLevel="0" collapsed="false">
      <c r="A6477" s="0" t="n">
        <v>6476</v>
      </c>
      <c r="B6477" s="14" t="n">
        <v>109491.701030979</v>
      </c>
      <c r="C6477" s="15" t="n">
        <v>0.072418860759248</v>
      </c>
      <c r="D6477" s="14" t="n">
        <f aca="false">Summary!$B$5-B6477</f>
        <v>-9491.7010309792</v>
      </c>
      <c r="E6477" s="15" t="n">
        <f aca="false">B6477/Summary!$B$5-1</f>
        <v>0.0949170103097921</v>
      </c>
    </row>
    <row r="6478" customFormat="false" ht="15" hidden="false" customHeight="false" outlineLevel="0" collapsed="false">
      <c r="A6478" s="0" t="n">
        <v>6477</v>
      </c>
      <c r="B6478" s="14" t="n">
        <v>108384.980277383</v>
      </c>
      <c r="C6478" s="15" t="n">
        <v>0.0713327029494791</v>
      </c>
      <c r="D6478" s="14" t="n">
        <f aca="false">Summary!$B$5-B6478</f>
        <v>-8384.9802773829</v>
      </c>
      <c r="E6478" s="15" t="n">
        <f aca="false">B6478/Summary!$B$5-1</f>
        <v>0.083849802773829</v>
      </c>
    </row>
    <row r="6479" customFormat="false" ht="15" hidden="false" customHeight="false" outlineLevel="0" collapsed="false">
      <c r="A6479" s="0" t="n">
        <v>6478</v>
      </c>
      <c r="B6479" s="14" t="n">
        <v>102150.921223693</v>
      </c>
      <c r="C6479" s="15" t="n">
        <v>0.0901562848750489</v>
      </c>
      <c r="D6479" s="14" t="n">
        <f aca="false">Summary!$B$5-B6479</f>
        <v>-2150.92122369329</v>
      </c>
      <c r="E6479" s="15" t="n">
        <f aca="false">B6479/Summary!$B$5-1</f>
        <v>0.0215092122369329</v>
      </c>
    </row>
    <row r="6480" customFormat="false" ht="15" hidden="false" customHeight="false" outlineLevel="0" collapsed="false">
      <c r="A6480" s="0" t="n">
        <v>6479</v>
      </c>
      <c r="B6480" s="14" t="n">
        <v>107431.656940134</v>
      </c>
      <c r="C6480" s="15" t="n">
        <v>0.0638822352977708</v>
      </c>
      <c r="D6480" s="14" t="n">
        <f aca="false">Summary!$B$5-B6480</f>
        <v>-7431.6569401336</v>
      </c>
      <c r="E6480" s="15" t="n">
        <f aca="false">B6480/Summary!$B$5-1</f>
        <v>0.0743165694013359</v>
      </c>
    </row>
    <row r="6481" customFormat="false" ht="15" hidden="false" customHeight="false" outlineLevel="0" collapsed="false">
      <c r="A6481" s="0" t="n">
        <v>6480</v>
      </c>
      <c r="B6481" s="14" t="n">
        <v>111037.737050694</v>
      </c>
      <c r="C6481" s="15" t="n">
        <v>0.106335102985019</v>
      </c>
      <c r="D6481" s="14" t="n">
        <f aca="false">Summary!$B$5-B6481</f>
        <v>-11037.7370506936</v>
      </c>
      <c r="E6481" s="15" t="n">
        <f aca="false">B6481/Summary!$B$5-1</f>
        <v>0.110377370506936</v>
      </c>
    </row>
    <row r="6482" customFormat="false" ht="15" hidden="false" customHeight="false" outlineLevel="0" collapsed="false">
      <c r="A6482" s="0" t="n">
        <v>6481</v>
      </c>
      <c r="B6482" s="14" t="n">
        <v>101545.466382641</v>
      </c>
      <c r="C6482" s="15" t="n">
        <v>0.108997142793313</v>
      </c>
      <c r="D6482" s="14" t="n">
        <f aca="false">Summary!$B$5-B6482</f>
        <v>-1545.4663826412</v>
      </c>
      <c r="E6482" s="15" t="n">
        <f aca="false">B6482/Summary!$B$5-1</f>
        <v>0.0154546638264119</v>
      </c>
    </row>
    <row r="6483" customFormat="false" ht="15" hidden="false" customHeight="false" outlineLevel="0" collapsed="false">
      <c r="A6483" s="0" t="n">
        <v>6482</v>
      </c>
      <c r="B6483" s="14" t="n">
        <v>128703.062252146</v>
      </c>
      <c r="C6483" s="15" t="n">
        <v>0.0584572020490002</v>
      </c>
      <c r="D6483" s="14" t="n">
        <f aca="false">Summary!$B$5-B6483</f>
        <v>-28703.0622521457</v>
      </c>
      <c r="E6483" s="15" t="n">
        <f aca="false">B6483/Summary!$B$5-1</f>
        <v>0.287030622521457</v>
      </c>
    </row>
    <row r="6484" customFormat="false" ht="15" hidden="false" customHeight="false" outlineLevel="0" collapsed="false">
      <c r="A6484" s="0" t="n">
        <v>6483</v>
      </c>
      <c r="B6484" s="14" t="n">
        <v>115232.514008728</v>
      </c>
      <c r="C6484" s="15" t="n">
        <v>0.112020410004359</v>
      </c>
      <c r="D6484" s="14" t="n">
        <f aca="false">Summary!$B$5-B6484</f>
        <v>-15232.514008728</v>
      </c>
      <c r="E6484" s="15" t="n">
        <f aca="false">B6484/Summary!$B$5-1</f>
        <v>0.15232514008728</v>
      </c>
    </row>
    <row r="6485" customFormat="false" ht="15" hidden="false" customHeight="false" outlineLevel="0" collapsed="false">
      <c r="A6485" s="0" t="n">
        <v>6484</v>
      </c>
      <c r="B6485" s="14" t="n">
        <v>110653.399439683</v>
      </c>
      <c r="C6485" s="15" t="n">
        <v>0.130647284859041</v>
      </c>
      <c r="D6485" s="14" t="n">
        <f aca="false">Summary!$B$5-B6485</f>
        <v>-10653.3994396829</v>
      </c>
      <c r="E6485" s="15" t="n">
        <f aca="false">B6485/Summary!$B$5-1</f>
        <v>0.106533994396829</v>
      </c>
    </row>
    <row r="6486" customFormat="false" ht="15" hidden="false" customHeight="false" outlineLevel="0" collapsed="false">
      <c r="A6486" s="0" t="n">
        <v>6485</v>
      </c>
      <c r="B6486" s="14" t="n">
        <v>116674.975550565</v>
      </c>
      <c r="C6486" s="15" t="n">
        <v>0.0805226666882351</v>
      </c>
      <c r="D6486" s="14" t="n">
        <f aca="false">Summary!$B$5-B6486</f>
        <v>-16674.9755505648</v>
      </c>
      <c r="E6486" s="15" t="n">
        <f aca="false">B6486/Summary!$B$5-1</f>
        <v>0.166749755505648</v>
      </c>
    </row>
    <row r="6487" customFormat="false" ht="15" hidden="false" customHeight="false" outlineLevel="0" collapsed="false">
      <c r="A6487" s="0" t="n">
        <v>6486</v>
      </c>
      <c r="B6487" s="14" t="n">
        <v>131315.682768104</v>
      </c>
      <c r="C6487" s="15" t="n">
        <v>0.0538477743145581</v>
      </c>
      <c r="D6487" s="14" t="n">
        <f aca="false">Summary!$B$5-B6487</f>
        <v>-31315.682768104</v>
      </c>
      <c r="E6487" s="15" t="n">
        <f aca="false">B6487/Summary!$B$5-1</f>
        <v>0.31315682768104</v>
      </c>
    </row>
    <row r="6488" customFormat="false" ht="15" hidden="false" customHeight="false" outlineLevel="0" collapsed="false">
      <c r="A6488" s="0" t="n">
        <v>6487</v>
      </c>
      <c r="B6488" s="14" t="n">
        <v>110002.163324366</v>
      </c>
      <c r="C6488" s="15" t="n">
        <v>0.0922732087031605</v>
      </c>
      <c r="D6488" s="14" t="n">
        <f aca="false">Summary!$B$5-B6488</f>
        <v>-10002.1633243655</v>
      </c>
      <c r="E6488" s="15" t="n">
        <f aca="false">B6488/Summary!$B$5-1</f>
        <v>0.100021633243655</v>
      </c>
    </row>
    <row r="6489" customFormat="false" ht="15" hidden="false" customHeight="false" outlineLevel="0" collapsed="false">
      <c r="A6489" s="0" t="n">
        <v>6488</v>
      </c>
      <c r="B6489" s="14" t="n">
        <v>97941.013768885</v>
      </c>
      <c r="C6489" s="15" t="n">
        <v>0.125607248758926</v>
      </c>
      <c r="D6489" s="14" t="n">
        <f aca="false">Summary!$B$5-B6489</f>
        <v>2058.98623111502</v>
      </c>
      <c r="E6489" s="15" t="n">
        <f aca="false">B6489/Summary!$B$5-1</f>
        <v>-0.0205898623111502</v>
      </c>
    </row>
    <row r="6490" customFormat="false" ht="15" hidden="false" customHeight="false" outlineLevel="0" collapsed="false">
      <c r="A6490" s="0" t="n">
        <v>6489</v>
      </c>
      <c r="B6490" s="14" t="n">
        <v>133971.638341009</v>
      </c>
      <c r="C6490" s="15" t="n">
        <v>0.0594810051700825</v>
      </c>
      <c r="D6490" s="14" t="n">
        <f aca="false">Summary!$B$5-B6490</f>
        <v>-33971.6383410092</v>
      </c>
      <c r="E6490" s="15" t="n">
        <f aca="false">B6490/Summary!$B$5-1</f>
        <v>0.339716383410092</v>
      </c>
    </row>
    <row r="6491" customFormat="false" ht="15" hidden="false" customHeight="false" outlineLevel="0" collapsed="false">
      <c r="A6491" s="0" t="n">
        <v>6490</v>
      </c>
      <c r="B6491" s="14" t="n">
        <v>106674.191026862</v>
      </c>
      <c r="C6491" s="15" t="n">
        <v>0.0852392264403954</v>
      </c>
      <c r="D6491" s="14" t="n">
        <f aca="false">Summary!$B$5-B6491</f>
        <v>-6674.1910268623</v>
      </c>
      <c r="E6491" s="15" t="n">
        <f aca="false">B6491/Summary!$B$5-1</f>
        <v>0.0667419102686231</v>
      </c>
    </row>
    <row r="6492" customFormat="false" ht="15" hidden="false" customHeight="false" outlineLevel="0" collapsed="false">
      <c r="A6492" s="0" t="n">
        <v>6491</v>
      </c>
      <c r="B6492" s="14" t="n">
        <v>83770.0244546682</v>
      </c>
      <c r="C6492" s="15" t="n">
        <v>0.228370875667593</v>
      </c>
      <c r="D6492" s="14" t="n">
        <f aca="false">Summary!$B$5-B6492</f>
        <v>16229.9755453319</v>
      </c>
      <c r="E6492" s="15" t="n">
        <f aca="false">B6492/Summary!$B$5-1</f>
        <v>-0.162299755453319</v>
      </c>
    </row>
    <row r="6493" customFormat="false" ht="15" hidden="false" customHeight="false" outlineLevel="0" collapsed="false">
      <c r="A6493" s="0" t="n">
        <v>6492</v>
      </c>
      <c r="B6493" s="14" t="n">
        <v>131559.274674297</v>
      </c>
      <c r="C6493" s="15" t="n">
        <v>0.0681835512378297</v>
      </c>
      <c r="D6493" s="14" t="n">
        <f aca="false">Summary!$B$5-B6493</f>
        <v>-31559.2746742966</v>
      </c>
      <c r="E6493" s="15" t="n">
        <f aca="false">B6493/Summary!$B$5-1</f>
        <v>0.315592746742966</v>
      </c>
    </row>
    <row r="6494" customFormat="false" ht="15" hidden="false" customHeight="false" outlineLevel="0" collapsed="false">
      <c r="A6494" s="0" t="n">
        <v>6493</v>
      </c>
      <c r="B6494" s="14" t="n">
        <v>98929.0113427613</v>
      </c>
      <c r="C6494" s="15" t="n">
        <v>0.12604467207105</v>
      </c>
      <c r="D6494" s="14" t="n">
        <f aca="false">Summary!$B$5-B6494</f>
        <v>1070.98865723869</v>
      </c>
      <c r="E6494" s="15" t="n">
        <f aca="false">B6494/Summary!$B$5-1</f>
        <v>-0.0107098865723869</v>
      </c>
    </row>
    <row r="6495" customFormat="false" ht="15" hidden="false" customHeight="false" outlineLevel="0" collapsed="false">
      <c r="A6495" s="0" t="n">
        <v>6494</v>
      </c>
      <c r="B6495" s="14" t="n">
        <v>117122.714927441</v>
      </c>
      <c r="C6495" s="15" t="n">
        <v>0.0934901597191926</v>
      </c>
      <c r="D6495" s="14" t="n">
        <f aca="false">Summary!$B$5-B6495</f>
        <v>-17122.7149274414</v>
      </c>
      <c r="E6495" s="15" t="n">
        <f aca="false">B6495/Summary!$B$5-1</f>
        <v>0.171227149274414</v>
      </c>
    </row>
    <row r="6496" customFormat="false" ht="15" hidden="false" customHeight="false" outlineLevel="0" collapsed="false">
      <c r="A6496" s="0" t="n">
        <v>6495</v>
      </c>
      <c r="B6496" s="14" t="n">
        <v>85431.1092531657</v>
      </c>
      <c r="C6496" s="15" t="n">
        <v>0.212404698191412</v>
      </c>
      <c r="D6496" s="14" t="n">
        <f aca="false">Summary!$B$5-B6496</f>
        <v>14568.8907468343</v>
      </c>
      <c r="E6496" s="15" t="n">
        <f aca="false">B6496/Summary!$B$5-1</f>
        <v>-0.145688907468343</v>
      </c>
    </row>
    <row r="6497" customFormat="false" ht="15" hidden="false" customHeight="false" outlineLevel="0" collapsed="false">
      <c r="A6497" s="0" t="n">
        <v>6496</v>
      </c>
      <c r="B6497" s="14" t="n">
        <v>115812.384084034</v>
      </c>
      <c r="C6497" s="15" t="n">
        <v>0.0632687797912568</v>
      </c>
      <c r="D6497" s="14" t="n">
        <f aca="false">Summary!$B$5-B6497</f>
        <v>-15812.3840840342</v>
      </c>
      <c r="E6497" s="15" t="n">
        <f aca="false">B6497/Summary!$B$5-1</f>
        <v>0.158123840840342</v>
      </c>
    </row>
    <row r="6498" customFormat="false" ht="15" hidden="false" customHeight="false" outlineLevel="0" collapsed="false">
      <c r="A6498" s="0" t="n">
        <v>6497</v>
      </c>
      <c r="B6498" s="14" t="n">
        <v>114736.958926356</v>
      </c>
      <c r="C6498" s="15" t="n">
        <v>0.0963324025314107</v>
      </c>
      <c r="D6498" s="14" t="n">
        <f aca="false">Summary!$B$5-B6498</f>
        <v>-14736.9589263558</v>
      </c>
      <c r="E6498" s="15" t="n">
        <f aca="false">B6498/Summary!$B$5-1</f>
        <v>0.147369589263558</v>
      </c>
    </row>
    <row r="6499" customFormat="false" ht="15" hidden="false" customHeight="false" outlineLevel="0" collapsed="false">
      <c r="A6499" s="0" t="n">
        <v>6498</v>
      </c>
      <c r="B6499" s="14" t="n">
        <v>115775.568390625</v>
      </c>
      <c r="C6499" s="15" t="n">
        <v>0.0521443773244911</v>
      </c>
      <c r="D6499" s="14" t="n">
        <f aca="false">Summary!$B$5-B6499</f>
        <v>-15775.5683906253</v>
      </c>
      <c r="E6499" s="15" t="n">
        <f aca="false">B6499/Summary!$B$5-1</f>
        <v>0.157755683906253</v>
      </c>
    </row>
    <row r="6500" customFormat="false" ht="15" hidden="false" customHeight="false" outlineLevel="0" collapsed="false">
      <c r="A6500" s="0" t="n">
        <v>6499</v>
      </c>
      <c r="B6500" s="14" t="n">
        <v>90278.1239649953</v>
      </c>
      <c r="C6500" s="15" t="n">
        <v>0.186337319473193</v>
      </c>
      <c r="D6500" s="14" t="n">
        <f aca="false">Summary!$B$5-B6500</f>
        <v>9721.87603500469</v>
      </c>
      <c r="E6500" s="15" t="n">
        <f aca="false">B6500/Summary!$B$5-1</f>
        <v>-0.097218760350047</v>
      </c>
    </row>
    <row r="6501" customFormat="false" ht="15" hidden="false" customHeight="false" outlineLevel="0" collapsed="false">
      <c r="A6501" s="0" t="n">
        <v>6500</v>
      </c>
      <c r="B6501" s="14" t="n">
        <v>96073.0874160571</v>
      </c>
      <c r="C6501" s="15" t="n">
        <v>0.117240785673003</v>
      </c>
      <c r="D6501" s="14" t="n">
        <f aca="false">Summary!$B$5-B6501</f>
        <v>3926.91258394292</v>
      </c>
      <c r="E6501" s="15" t="n">
        <f aca="false">B6501/Summary!$B$5-1</f>
        <v>-0.0392691258394292</v>
      </c>
    </row>
    <row r="6502" customFormat="false" ht="15" hidden="false" customHeight="false" outlineLevel="0" collapsed="false">
      <c r="A6502" s="0" t="n">
        <v>6501</v>
      </c>
      <c r="B6502" s="14" t="n">
        <v>106442.911483568</v>
      </c>
      <c r="C6502" s="15" t="n">
        <v>0.0975145051504324</v>
      </c>
      <c r="D6502" s="14" t="n">
        <f aca="false">Summary!$B$5-B6502</f>
        <v>-6442.9114835684</v>
      </c>
      <c r="E6502" s="15" t="n">
        <f aca="false">B6502/Summary!$B$5-1</f>
        <v>0.0644291148356839</v>
      </c>
    </row>
    <row r="6503" customFormat="false" ht="15" hidden="false" customHeight="false" outlineLevel="0" collapsed="false">
      <c r="A6503" s="0" t="n">
        <v>6502</v>
      </c>
      <c r="B6503" s="14" t="n">
        <v>130349.288764222</v>
      </c>
      <c r="C6503" s="15" t="n">
        <v>0.0634342940107339</v>
      </c>
      <c r="D6503" s="14" t="n">
        <f aca="false">Summary!$B$5-B6503</f>
        <v>-30349.2887642222</v>
      </c>
      <c r="E6503" s="15" t="n">
        <f aca="false">B6503/Summary!$B$5-1</f>
        <v>0.303492887642222</v>
      </c>
    </row>
    <row r="6504" customFormat="false" ht="15" hidden="false" customHeight="false" outlineLevel="0" collapsed="false">
      <c r="A6504" s="0" t="n">
        <v>6503</v>
      </c>
      <c r="B6504" s="14" t="n">
        <v>119690.983874755</v>
      </c>
      <c r="C6504" s="15" t="n">
        <v>0.114363330160508</v>
      </c>
      <c r="D6504" s="14" t="n">
        <f aca="false">Summary!$B$5-B6504</f>
        <v>-19690.9838747553</v>
      </c>
      <c r="E6504" s="15" t="n">
        <f aca="false">B6504/Summary!$B$5-1</f>
        <v>0.196909838747553</v>
      </c>
    </row>
    <row r="6505" customFormat="false" ht="15" hidden="false" customHeight="false" outlineLevel="0" collapsed="false">
      <c r="A6505" s="0" t="n">
        <v>6504</v>
      </c>
      <c r="B6505" s="14" t="n">
        <v>103820.782014366</v>
      </c>
      <c r="C6505" s="15" t="n">
        <v>0.176449032643764</v>
      </c>
      <c r="D6505" s="14" t="n">
        <f aca="false">Summary!$B$5-B6505</f>
        <v>-3820.7820143662</v>
      </c>
      <c r="E6505" s="15" t="n">
        <f aca="false">B6505/Summary!$B$5-1</f>
        <v>0.038207820143662</v>
      </c>
    </row>
    <row r="6506" customFormat="false" ht="15" hidden="false" customHeight="false" outlineLevel="0" collapsed="false">
      <c r="A6506" s="0" t="n">
        <v>6505</v>
      </c>
      <c r="B6506" s="14" t="n">
        <v>81259.6010554492</v>
      </c>
      <c r="C6506" s="15" t="n">
        <v>0.21073298807195</v>
      </c>
      <c r="D6506" s="14" t="n">
        <f aca="false">Summary!$B$5-B6506</f>
        <v>18740.3989445508</v>
      </c>
      <c r="E6506" s="15" t="n">
        <f aca="false">B6506/Summary!$B$5-1</f>
        <v>-0.187403989445508</v>
      </c>
    </row>
    <row r="6507" customFormat="false" ht="15" hidden="false" customHeight="false" outlineLevel="0" collapsed="false">
      <c r="A6507" s="0" t="n">
        <v>6506</v>
      </c>
      <c r="B6507" s="14" t="n">
        <v>125570.985385823</v>
      </c>
      <c r="C6507" s="15" t="n">
        <v>0.0953998822810738</v>
      </c>
      <c r="D6507" s="14" t="n">
        <f aca="false">Summary!$B$5-B6507</f>
        <v>-25570.9853858229</v>
      </c>
      <c r="E6507" s="15" t="n">
        <f aca="false">B6507/Summary!$B$5-1</f>
        <v>0.255709853858229</v>
      </c>
    </row>
    <row r="6508" customFormat="false" ht="15" hidden="false" customHeight="false" outlineLevel="0" collapsed="false">
      <c r="A6508" s="0" t="n">
        <v>6507</v>
      </c>
      <c r="B6508" s="14" t="n">
        <v>124787.103787699</v>
      </c>
      <c r="C6508" s="15" t="n">
        <v>0.0838449696303315</v>
      </c>
      <c r="D6508" s="14" t="n">
        <f aca="false">Summary!$B$5-B6508</f>
        <v>-24787.1037876987</v>
      </c>
      <c r="E6508" s="15" t="n">
        <f aca="false">B6508/Summary!$B$5-1</f>
        <v>0.247871037876987</v>
      </c>
    </row>
    <row r="6509" customFormat="false" ht="15" hidden="false" customHeight="false" outlineLevel="0" collapsed="false">
      <c r="A6509" s="0" t="n">
        <v>6508</v>
      </c>
      <c r="B6509" s="14" t="n">
        <v>98875.6785536835</v>
      </c>
      <c r="C6509" s="15" t="n">
        <v>0.0915612542103567</v>
      </c>
      <c r="D6509" s="14" t="n">
        <f aca="false">Summary!$B$5-B6509</f>
        <v>1124.32144631652</v>
      </c>
      <c r="E6509" s="15" t="n">
        <f aca="false">B6509/Summary!$B$5-1</f>
        <v>-0.0112432144631652</v>
      </c>
    </row>
    <row r="6510" customFormat="false" ht="15" hidden="false" customHeight="false" outlineLevel="0" collapsed="false">
      <c r="A6510" s="0" t="n">
        <v>6509</v>
      </c>
      <c r="B6510" s="14" t="n">
        <v>129504.014671564</v>
      </c>
      <c r="C6510" s="15" t="n">
        <v>0.0495829340841233</v>
      </c>
      <c r="D6510" s="14" t="n">
        <f aca="false">Summary!$B$5-B6510</f>
        <v>-29504.0146715636</v>
      </c>
      <c r="E6510" s="15" t="n">
        <f aca="false">B6510/Summary!$B$5-1</f>
        <v>0.295040146715636</v>
      </c>
    </row>
    <row r="6511" customFormat="false" ht="15" hidden="false" customHeight="false" outlineLevel="0" collapsed="false">
      <c r="A6511" s="0" t="n">
        <v>6510</v>
      </c>
      <c r="B6511" s="14" t="n">
        <v>91122.3890177232</v>
      </c>
      <c r="C6511" s="15" t="n">
        <v>0.176297886601785</v>
      </c>
      <c r="D6511" s="14" t="n">
        <f aca="false">Summary!$B$5-B6511</f>
        <v>8877.61098227681</v>
      </c>
      <c r="E6511" s="15" t="n">
        <f aca="false">B6511/Summary!$B$5-1</f>
        <v>-0.0887761098227681</v>
      </c>
    </row>
    <row r="6512" customFormat="false" ht="15" hidden="false" customHeight="false" outlineLevel="0" collapsed="false">
      <c r="A6512" s="0" t="n">
        <v>6511</v>
      </c>
      <c r="B6512" s="14" t="n">
        <v>99399.029571729</v>
      </c>
      <c r="C6512" s="15" t="n">
        <v>0.0854761567680656</v>
      </c>
      <c r="D6512" s="14" t="n">
        <f aca="false">Summary!$B$5-B6512</f>
        <v>600.970428270957</v>
      </c>
      <c r="E6512" s="15" t="n">
        <f aca="false">B6512/Summary!$B$5-1</f>
        <v>-0.00600970428270953</v>
      </c>
    </row>
    <row r="6513" customFormat="false" ht="15" hidden="false" customHeight="false" outlineLevel="0" collapsed="false">
      <c r="A6513" s="0" t="n">
        <v>6512</v>
      </c>
      <c r="B6513" s="14" t="n">
        <v>127896.887526219</v>
      </c>
      <c r="C6513" s="15" t="n">
        <v>0.048409944596841</v>
      </c>
      <c r="D6513" s="14" t="n">
        <f aca="false">Summary!$B$5-B6513</f>
        <v>-27896.8875262192</v>
      </c>
      <c r="E6513" s="15" t="n">
        <f aca="false">B6513/Summary!$B$5-1</f>
        <v>0.278968875262192</v>
      </c>
    </row>
    <row r="6514" customFormat="false" ht="15" hidden="false" customHeight="false" outlineLevel="0" collapsed="false">
      <c r="A6514" s="0" t="n">
        <v>6513</v>
      </c>
      <c r="B6514" s="14" t="n">
        <v>102747.815535027</v>
      </c>
      <c r="C6514" s="15" t="n">
        <v>0.0757437282497681</v>
      </c>
      <c r="D6514" s="14" t="n">
        <f aca="false">Summary!$B$5-B6514</f>
        <v>-2747.8155350267</v>
      </c>
      <c r="E6514" s="15" t="n">
        <f aca="false">B6514/Summary!$B$5-1</f>
        <v>0.027478155350267</v>
      </c>
    </row>
    <row r="6515" customFormat="false" ht="15" hidden="false" customHeight="false" outlineLevel="0" collapsed="false">
      <c r="A6515" s="0" t="n">
        <v>6514</v>
      </c>
      <c r="B6515" s="14" t="n">
        <v>107958.741938463</v>
      </c>
      <c r="C6515" s="15" t="n">
        <v>0.0648931802872421</v>
      </c>
      <c r="D6515" s="14" t="n">
        <f aca="false">Summary!$B$5-B6515</f>
        <v>-7958.7419384627</v>
      </c>
      <c r="E6515" s="15" t="n">
        <f aca="false">B6515/Summary!$B$5-1</f>
        <v>0.0795874193846271</v>
      </c>
    </row>
    <row r="6516" customFormat="false" ht="15" hidden="false" customHeight="false" outlineLevel="0" collapsed="false">
      <c r="A6516" s="0" t="n">
        <v>6515</v>
      </c>
      <c r="B6516" s="14" t="n">
        <v>131900.721699395</v>
      </c>
      <c r="C6516" s="15" t="n">
        <v>0.0551095073543341</v>
      </c>
      <c r="D6516" s="14" t="n">
        <f aca="false">Summary!$B$5-B6516</f>
        <v>-31900.7216993945</v>
      </c>
      <c r="E6516" s="15" t="n">
        <f aca="false">B6516/Summary!$B$5-1</f>
        <v>0.319007216993945</v>
      </c>
    </row>
    <row r="6517" customFormat="false" ht="15" hidden="false" customHeight="false" outlineLevel="0" collapsed="false">
      <c r="A6517" s="0" t="n">
        <v>6516</v>
      </c>
      <c r="B6517" s="14" t="n">
        <v>104990.178633385</v>
      </c>
      <c r="C6517" s="15" t="n">
        <v>0.108228662041154</v>
      </c>
      <c r="D6517" s="14" t="n">
        <f aca="false">Summary!$B$5-B6517</f>
        <v>-4990.1786333846</v>
      </c>
      <c r="E6517" s="15" t="n">
        <f aca="false">B6517/Summary!$B$5-1</f>
        <v>0.049901786333846</v>
      </c>
    </row>
    <row r="6518" customFormat="false" ht="15" hidden="false" customHeight="false" outlineLevel="0" collapsed="false">
      <c r="A6518" s="0" t="n">
        <v>6517</v>
      </c>
      <c r="B6518" s="14" t="n">
        <v>107009.414475187</v>
      </c>
      <c r="C6518" s="15" t="n">
        <v>0.0989369190480348</v>
      </c>
      <c r="D6518" s="14" t="n">
        <f aca="false">Summary!$B$5-B6518</f>
        <v>-7009.4144751866</v>
      </c>
      <c r="E6518" s="15" t="n">
        <f aca="false">B6518/Summary!$B$5-1</f>
        <v>0.0700941447518659</v>
      </c>
    </row>
    <row r="6519" customFormat="false" ht="15" hidden="false" customHeight="false" outlineLevel="0" collapsed="false">
      <c r="A6519" s="0" t="n">
        <v>6518</v>
      </c>
      <c r="B6519" s="14" t="n">
        <v>108681.734198071</v>
      </c>
      <c r="C6519" s="15" t="n">
        <v>0.106653159655139</v>
      </c>
      <c r="D6519" s="14" t="n">
        <f aca="false">Summary!$B$5-B6519</f>
        <v>-8681.7341980706</v>
      </c>
      <c r="E6519" s="15" t="n">
        <f aca="false">B6519/Summary!$B$5-1</f>
        <v>0.0868173419807059</v>
      </c>
    </row>
    <row r="6520" customFormat="false" ht="15" hidden="false" customHeight="false" outlineLevel="0" collapsed="false">
      <c r="A6520" s="0" t="n">
        <v>6519</v>
      </c>
      <c r="B6520" s="14" t="n">
        <v>108166.753711609</v>
      </c>
      <c r="C6520" s="15" t="n">
        <v>0.0866512635247256</v>
      </c>
      <c r="D6520" s="14" t="n">
        <f aca="false">Summary!$B$5-B6520</f>
        <v>-8166.7537116085</v>
      </c>
      <c r="E6520" s="15" t="n">
        <f aca="false">B6520/Summary!$B$5-1</f>
        <v>0.0816675371160851</v>
      </c>
    </row>
    <row r="6521" customFormat="false" ht="15" hidden="false" customHeight="false" outlineLevel="0" collapsed="false">
      <c r="A6521" s="0" t="n">
        <v>6520</v>
      </c>
      <c r="B6521" s="14" t="n">
        <v>98849.2234459047</v>
      </c>
      <c r="C6521" s="15" t="n">
        <v>0.132269930058625</v>
      </c>
      <c r="D6521" s="14" t="n">
        <f aca="false">Summary!$B$5-B6521</f>
        <v>1150.77655409531</v>
      </c>
      <c r="E6521" s="15" t="n">
        <f aca="false">B6521/Summary!$B$5-1</f>
        <v>-0.0115077655409531</v>
      </c>
    </row>
    <row r="6522" customFormat="false" ht="15" hidden="false" customHeight="false" outlineLevel="0" collapsed="false">
      <c r="A6522" s="0" t="n">
        <v>6521</v>
      </c>
      <c r="B6522" s="14" t="n">
        <v>100972.024439505</v>
      </c>
      <c r="C6522" s="15" t="n">
        <v>0.0971854064194606</v>
      </c>
      <c r="D6522" s="14" t="n">
        <f aca="false">Summary!$B$5-B6522</f>
        <v>-972.024439505098</v>
      </c>
      <c r="E6522" s="15" t="n">
        <f aca="false">B6522/Summary!$B$5-1</f>
        <v>0.00972024439505104</v>
      </c>
    </row>
    <row r="6523" customFormat="false" ht="15" hidden="false" customHeight="false" outlineLevel="0" collapsed="false">
      <c r="A6523" s="0" t="n">
        <v>6522</v>
      </c>
      <c r="B6523" s="14" t="n">
        <v>107459.52558134</v>
      </c>
      <c r="C6523" s="15" t="n">
        <v>0.137577765748006</v>
      </c>
      <c r="D6523" s="14" t="n">
        <f aca="false">Summary!$B$5-B6523</f>
        <v>-7459.5255813399</v>
      </c>
      <c r="E6523" s="15" t="n">
        <f aca="false">B6523/Summary!$B$5-1</f>
        <v>0.0745952558133989</v>
      </c>
    </row>
    <row r="6524" customFormat="false" ht="15" hidden="false" customHeight="false" outlineLevel="0" collapsed="false">
      <c r="A6524" s="0" t="n">
        <v>6523</v>
      </c>
      <c r="B6524" s="14" t="n">
        <v>115272.650900632</v>
      </c>
      <c r="C6524" s="15" t="n">
        <v>0.0513001378286685</v>
      </c>
      <c r="D6524" s="14" t="n">
        <f aca="false">Summary!$B$5-B6524</f>
        <v>-15272.650900632</v>
      </c>
      <c r="E6524" s="15" t="n">
        <f aca="false">B6524/Summary!$B$5-1</f>
        <v>0.15272650900632</v>
      </c>
    </row>
    <row r="6525" customFormat="false" ht="15" hidden="false" customHeight="false" outlineLevel="0" collapsed="false">
      <c r="A6525" s="0" t="n">
        <v>6524</v>
      </c>
      <c r="B6525" s="14" t="n">
        <v>119378.46919429</v>
      </c>
      <c r="C6525" s="15" t="n">
        <v>0.106568620246916</v>
      </c>
      <c r="D6525" s="14" t="n">
        <f aca="false">Summary!$B$5-B6525</f>
        <v>-19378.4691942896</v>
      </c>
      <c r="E6525" s="15" t="n">
        <f aca="false">B6525/Summary!$B$5-1</f>
        <v>0.193784691942896</v>
      </c>
    </row>
    <row r="6526" customFormat="false" ht="15" hidden="false" customHeight="false" outlineLevel="0" collapsed="false">
      <c r="A6526" s="0" t="n">
        <v>6525</v>
      </c>
      <c r="B6526" s="14" t="n">
        <v>95687.6474382823</v>
      </c>
      <c r="C6526" s="15" t="n">
        <v>0.170332499882674</v>
      </c>
      <c r="D6526" s="14" t="n">
        <f aca="false">Summary!$B$5-B6526</f>
        <v>4312.35256171775</v>
      </c>
      <c r="E6526" s="15" t="n">
        <f aca="false">B6526/Summary!$B$5-1</f>
        <v>-0.0431235256171775</v>
      </c>
    </row>
    <row r="6527" customFormat="false" ht="15" hidden="false" customHeight="false" outlineLevel="0" collapsed="false">
      <c r="A6527" s="0" t="n">
        <v>6526</v>
      </c>
      <c r="B6527" s="14" t="n">
        <v>100732.218278921</v>
      </c>
      <c r="C6527" s="15" t="n">
        <v>0.0930865226211532</v>
      </c>
      <c r="D6527" s="14" t="n">
        <f aca="false">Summary!$B$5-B6527</f>
        <v>-732.218278921006</v>
      </c>
      <c r="E6527" s="15" t="n">
        <f aca="false">B6527/Summary!$B$5-1</f>
        <v>0.00732218278921004</v>
      </c>
    </row>
    <row r="6528" customFormat="false" ht="15" hidden="false" customHeight="false" outlineLevel="0" collapsed="false">
      <c r="A6528" s="0" t="n">
        <v>6527</v>
      </c>
      <c r="B6528" s="14" t="n">
        <v>113924.012445832</v>
      </c>
      <c r="C6528" s="15" t="n">
        <v>0.062163782757256</v>
      </c>
      <c r="D6528" s="14" t="n">
        <f aca="false">Summary!$B$5-B6528</f>
        <v>-13924.0124458321</v>
      </c>
      <c r="E6528" s="15" t="n">
        <f aca="false">B6528/Summary!$B$5-1</f>
        <v>0.139240124458321</v>
      </c>
    </row>
    <row r="6529" customFormat="false" ht="15" hidden="false" customHeight="false" outlineLevel="0" collapsed="false">
      <c r="A6529" s="0" t="n">
        <v>6528</v>
      </c>
      <c r="B6529" s="14" t="n">
        <v>104000.441457784</v>
      </c>
      <c r="C6529" s="15" t="n">
        <v>0.0798316691639026</v>
      </c>
      <c r="D6529" s="14" t="n">
        <f aca="false">Summary!$B$5-B6529</f>
        <v>-4000.44145778401</v>
      </c>
      <c r="E6529" s="15" t="n">
        <f aca="false">B6529/Summary!$B$5-1</f>
        <v>0.04000441457784</v>
      </c>
    </row>
    <row r="6530" customFormat="false" ht="15" hidden="false" customHeight="false" outlineLevel="0" collapsed="false">
      <c r="A6530" s="0" t="n">
        <v>6529</v>
      </c>
      <c r="B6530" s="14" t="n">
        <v>124585.942151596</v>
      </c>
      <c r="C6530" s="15" t="n">
        <v>0.0569593959668171</v>
      </c>
      <c r="D6530" s="14" t="n">
        <f aca="false">Summary!$B$5-B6530</f>
        <v>-24585.942151596</v>
      </c>
      <c r="E6530" s="15" t="n">
        <f aca="false">B6530/Summary!$B$5-1</f>
        <v>0.24585942151596</v>
      </c>
    </row>
    <row r="6531" customFormat="false" ht="15" hidden="false" customHeight="false" outlineLevel="0" collapsed="false">
      <c r="A6531" s="0" t="n">
        <v>6530</v>
      </c>
      <c r="B6531" s="14" t="n">
        <v>103375.126991147</v>
      </c>
      <c r="C6531" s="15" t="n">
        <v>0.120330721665513</v>
      </c>
      <c r="D6531" s="14" t="n">
        <f aca="false">Summary!$B$5-B6531</f>
        <v>-3375.12699114739</v>
      </c>
      <c r="E6531" s="15" t="n">
        <f aca="false">B6531/Summary!$B$5-1</f>
        <v>0.0337512699114739</v>
      </c>
    </row>
    <row r="6532" customFormat="false" ht="15" hidden="false" customHeight="false" outlineLevel="0" collapsed="false">
      <c r="A6532" s="0" t="n">
        <v>6531</v>
      </c>
      <c r="B6532" s="14" t="n">
        <v>104074.331079705</v>
      </c>
      <c r="C6532" s="15" t="n">
        <v>0.12527049167529</v>
      </c>
      <c r="D6532" s="14" t="n">
        <f aca="false">Summary!$B$5-B6532</f>
        <v>-4074.3310797047</v>
      </c>
      <c r="E6532" s="15" t="n">
        <f aca="false">B6532/Summary!$B$5-1</f>
        <v>0.040743310797047</v>
      </c>
    </row>
    <row r="6533" customFormat="false" ht="15" hidden="false" customHeight="false" outlineLevel="0" collapsed="false">
      <c r="A6533" s="0" t="n">
        <v>6532</v>
      </c>
      <c r="B6533" s="14" t="n">
        <v>114435.290227514</v>
      </c>
      <c r="C6533" s="15" t="n">
        <v>0.0904354810130139</v>
      </c>
      <c r="D6533" s="14" t="n">
        <f aca="false">Summary!$B$5-B6533</f>
        <v>-14435.2902275143</v>
      </c>
      <c r="E6533" s="15" t="n">
        <f aca="false">B6533/Summary!$B$5-1</f>
        <v>0.144352902275143</v>
      </c>
    </row>
    <row r="6534" customFormat="false" ht="15" hidden="false" customHeight="false" outlineLevel="0" collapsed="false">
      <c r="A6534" s="0" t="n">
        <v>6533</v>
      </c>
      <c r="B6534" s="14" t="n">
        <v>105844.131883023</v>
      </c>
      <c r="C6534" s="15" t="n">
        <v>0.107002158458427</v>
      </c>
      <c r="D6534" s="14" t="n">
        <f aca="false">Summary!$B$5-B6534</f>
        <v>-5844.1318830227</v>
      </c>
      <c r="E6534" s="15" t="n">
        <f aca="false">B6534/Summary!$B$5-1</f>
        <v>0.0584413188302269</v>
      </c>
    </row>
    <row r="6535" customFormat="false" ht="15" hidden="false" customHeight="false" outlineLevel="0" collapsed="false">
      <c r="A6535" s="0" t="n">
        <v>6534</v>
      </c>
      <c r="B6535" s="14" t="n">
        <v>105178.351274693</v>
      </c>
      <c r="C6535" s="15" t="n">
        <v>0.111760207284762</v>
      </c>
      <c r="D6535" s="14" t="n">
        <f aca="false">Summary!$B$5-B6535</f>
        <v>-5178.3512746925</v>
      </c>
      <c r="E6535" s="15" t="n">
        <f aca="false">B6535/Summary!$B$5-1</f>
        <v>0.0517835127469251</v>
      </c>
    </row>
    <row r="6536" customFormat="false" ht="15" hidden="false" customHeight="false" outlineLevel="0" collapsed="false">
      <c r="A6536" s="0" t="n">
        <v>6535</v>
      </c>
      <c r="B6536" s="14" t="n">
        <v>108360.855358541</v>
      </c>
      <c r="C6536" s="15" t="n">
        <v>0.0786890336457117</v>
      </c>
      <c r="D6536" s="14" t="n">
        <f aca="false">Summary!$B$5-B6536</f>
        <v>-8360.8553585413</v>
      </c>
      <c r="E6536" s="15" t="n">
        <f aca="false">B6536/Summary!$B$5-1</f>
        <v>0.083608553585413</v>
      </c>
    </row>
    <row r="6537" customFormat="false" ht="15" hidden="false" customHeight="false" outlineLevel="0" collapsed="false">
      <c r="A6537" s="0" t="n">
        <v>6536</v>
      </c>
      <c r="B6537" s="14" t="n">
        <v>90455.0555602241</v>
      </c>
      <c r="C6537" s="15" t="n">
        <v>0.134854697016853</v>
      </c>
      <c r="D6537" s="14" t="n">
        <f aca="false">Summary!$B$5-B6537</f>
        <v>9544.94443977592</v>
      </c>
      <c r="E6537" s="15" t="n">
        <f aca="false">B6537/Summary!$B$5-1</f>
        <v>-0.0954494443977593</v>
      </c>
    </row>
    <row r="6538" customFormat="false" ht="15" hidden="false" customHeight="false" outlineLevel="0" collapsed="false">
      <c r="A6538" s="0" t="n">
        <v>6537</v>
      </c>
      <c r="B6538" s="14" t="n">
        <v>96652.6592661948</v>
      </c>
      <c r="C6538" s="15" t="n">
        <v>0.137782062589251</v>
      </c>
      <c r="D6538" s="14" t="n">
        <f aca="false">Summary!$B$5-B6538</f>
        <v>3347.34073380522</v>
      </c>
      <c r="E6538" s="15" t="n">
        <f aca="false">B6538/Summary!$B$5-1</f>
        <v>-0.0334734073380522</v>
      </c>
    </row>
    <row r="6539" customFormat="false" ht="15" hidden="false" customHeight="false" outlineLevel="0" collapsed="false">
      <c r="A6539" s="0" t="n">
        <v>6538</v>
      </c>
      <c r="B6539" s="14" t="n">
        <v>95643.7313254504</v>
      </c>
      <c r="C6539" s="15" t="n">
        <v>0.141792008759561</v>
      </c>
      <c r="D6539" s="14" t="n">
        <f aca="false">Summary!$B$5-B6539</f>
        <v>4356.26867454962</v>
      </c>
      <c r="E6539" s="15" t="n">
        <f aca="false">B6539/Summary!$B$5-1</f>
        <v>-0.0435626867454961</v>
      </c>
    </row>
    <row r="6540" customFormat="false" ht="15" hidden="false" customHeight="false" outlineLevel="0" collapsed="false">
      <c r="A6540" s="0" t="n">
        <v>6539</v>
      </c>
      <c r="B6540" s="14" t="n">
        <v>117924.445081104</v>
      </c>
      <c r="C6540" s="15" t="n">
        <v>0.0599790530995805</v>
      </c>
      <c r="D6540" s="14" t="n">
        <f aca="false">Summary!$B$5-B6540</f>
        <v>-17924.4450811042</v>
      </c>
      <c r="E6540" s="15" t="n">
        <f aca="false">B6540/Summary!$B$5-1</f>
        <v>0.179244450811042</v>
      </c>
    </row>
    <row r="6541" customFormat="false" ht="15" hidden="false" customHeight="false" outlineLevel="0" collapsed="false">
      <c r="A6541" s="0" t="n">
        <v>6540</v>
      </c>
      <c r="B6541" s="14" t="n">
        <v>123998.491204514</v>
      </c>
      <c r="C6541" s="15" t="n">
        <v>0.0406972403172394</v>
      </c>
      <c r="D6541" s="14" t="n">
        <f aca="false">Summary!$B$5-B6541</f>
        <v>-23998.4912045136</v>
      </c>
      <c r="E6541" s="15" t="n">
        <f aca="false">B6541/Summary!$B$5-1</f>
        <v>0.239984912045136</v>
      </c>
    </row>
    <row r="6542" customFormat="false" ht="15" hidden="false" customHeight="false" outlineLevel="0" collapsed="false">
      <c r="A6542" s="0" t="n">
        <v>6541</v>
      </c>
      <c r="B6542" s="14" t="n">
        <v>122520.213922088</v>
      </c>
      <c r="C6542" s="15" t="n">
        <v>0.0612585753853991</v>
      </c>
      <c r="D6542" s="14" t="n">
        <f aca="false">Summary!$B$5-B6542</f>
        <v>-22520.213922088</v>
      </c>
      <c r="E6542" s="15" t="n">
        <f aca="false">B6542/Summary!$B$5-1</f>
        <v>0.22520213922088</v>
      </c>
    </row>
    <row r="6543" customFormat="false" ht="15" hidden="false" customHeight="false" outlineLevel="0" collapsed="false">
      <c r="A6543" s="0" t="n">
        <v>6542</v>
      </c>
      <c r="B6543" s="14" t="n">
        <v>102474.481516466</v>
      </c>
      <c r="C6543" s="15" t="n">
        <v>0.167702719586067</v>
      </c>
      <c r="D6543" s="14" t="n">
        <f aca="false">Summary!$B$5-B6543</f>
        <v>-2474.48151646581</v>
      </c>
      <c r="E6543" s="15" t="n">
        <f aca="false">B6543/Summary!$B$5-1</f>
        <v>0.0247448151646581</v>
      </c>
    </row>
    <row r="6544" customFormat="false" ht="15" hidden="false" customHeight="false" outlineLevel="0" collapsed="false">
      <c r="A6544" s="0" t="n">
        <v>6543</v>
      </c>
      <c r="B6544" s="14" t="n">
        <v>117302.359822044</v>
      </c>
      <c r="C6544" s="15" t="n">
        <v>0.0667063001861579</v>
      </c>
      <c r="D6544" s="14" t="n">
        <f aca="false">Summary!$B$5-B6544</f>
        <v>-17302.3598220441</v>
      </c>
      <c r="E6544" s="15" t="n">
        <f aca="false">B6544/Summary!$B$5-1</f>
        <v>0.173023598220441</v>
      </c>
    </row>
    <row r="6545" customFormat="false" ht="15" hidden="false" customHeight="false" outlineLevel="0" collapsed="false">
      <c r="A6545" s="0" t="n">
        <v>6544</v>
      </c>
      <c r="B6545" s="14" t="n">
        <v>109748.021974835</v>
      </c>
      <c r="C6545" s="15" t="n">
        <v>0.117275670266881</v>
      </c>
      <c r="D6545" s="14" t="n">
        <f aca="false">Summary!$B$5-B6545</f>
        <v>-9748.0219748354</v>
      </c>
      <c r="E6545" s="15" t="n">
        <f aca="false">B6545/Summary!$B$5-1</f>
        <v>0.097480219748354</v>
      </c>
    </row>
    <row r="6546" customFormat="false" ht="15" hidden="false" customHeight="false" outlineLevel="0" collapsed="false">
      <c r="A6546" s="0" t="n">
        <v>6545</v>
      </c>
      <c r="B6546" s="14" t="n">
        <v>106779.127375244</v>
      </c>
      <c r="C6546" s="15" t="n">
        <v>0.0699742989090564</v>
      </c>
      <c r="D6546" s="14" t="n">
        <f aca="false">Summary!$B$5-B6546</f>
        <v>-6779.12737524429</v>
      </c>
      <c r="E6546" s="15" t="n">
        <f aca="false">B6546/Summary!$B$5-1</f>
        <v>0.0677912737524429</v>
      </c>
    </row>
    <row r="6547" customFormat="false" ht="15" hidden="false" customHeight="false" outlineLevel="0" collapsed="false">
      <c r="A6547" s="0" t="n">
        <v>6546</v>
      </c>
      <c r="B6547" s="14" t="n">
        <v>114296.149980303</v>
      </c>
      <c r="C6547" s="15" t="n">
        <v>0.0698799895187382</v>
      </c>
      <c r="D6547" s="14" t="n">
        <f aca="false">Summary!$B$5-B6547</f>
        <v>-14296.149980303</v>
      </c>
      <c r="E6547" s="15" t="n">
        <f aca="false">B6547/Summary!$B$5-1</f>
        <v>0.14296149980303</v>
      </c>
    </row>
    <row r="6548" customFormat="false" ht="15" hidden="false" customHeight="false" outlineLevel="0" collapsed="false">
      <c r="A6548" s="0" t="n">
        <v>6547</v>
      </c>
      <c r="B6548" s="14" t="n">
        <v>103293.255880174</v>
      </c>
      <c r="C6548" s="15" t="n">
        <v>0.12587300256966</v>
      </c>
      <c r="D6548" s="14" t="n">
        <f aca="false">Summary!$B$5-B6548</f>
        <v>-3293.2558801735</v>
      </c>
      <c r="E6548" s="15" t="n">
        <f aca="false">B6548/Summary!$B$5-1</f>
        <v>0.0329325588017351</v>
      </c>
    </row>
    <row r="6549" customFormat="false" ht="15" hidden="false" customHeight="false" outlineLevel="0" collapsed="false">
      <c r="A6549" s="0" t="n">
        <v>6548</v>
      </c>
      <c r="B6549" s="14" t="n">
        <v>104093.055020217</v>
      </c>
      <c r="C6549" s="15" t="n">
        <v>0.121879955695615</v>
      </c>
      <c r="D6549" s="14" t="n">
        <f aca="false">Summary!$B$5-B6549</f>
        <v>-4093.0550202169</v>
      </c>
      <c r="E6549" s="15" t="n">
        <f aca="false">B6549/Summary!$B$5-1</f>
        <v>0.0409305502021691</v>
      </c>
    </row>
    <row r="6550" customFormat="false" ht="15" hidden="false" customHeight="false" outlineLevel="0" collapsed="false">
      <c r="A6550" s="0" t="n">
        <v>6549</v>
      </c>
      <c r="B6550" s="14" t="n">
        <v>107496.343444124</v>
      </c>
      <c r="C6550" s="15" t="n">
        <v>0.10370091569756</v>
      </c>
      <c r="D6550" s="14" t="n">
        <f aca="false">Summary!$B$5-B6550</f>
        <v>-7496.34344412389</v>
      </c>
      <c r="E6550" s="15" t="n">
        <f aca="false">B6550/Summary!$B$5-1</f>
        <v>0.0749634344412389</v>
      </c>
    </row>
    <row r="6551" customFormat="false" ht="15" hidden="false" customHeight="false" outlineLevel="0" collapsed="false">
      <c r="A6551" s="0" t="n">
        <v>6550</v>
      </c>
      <c r="B6551" s="14" t="n">
        <v>121633.520470514</v>
      </c>
      <c r="C6551" s="15" t="n">
        <v>0.0579505415023918</v>
      </c>
      <c r="D6551" s="14" t="n">
        <f aca="false">Summary!$B$5-B6551</f>
        <v>-21633.5204705139</v>
      </c>
      <c r="E6551" s="15" t="n">
        <f aca="false">B6551/Summary!$B$5-1</f>
        <v>0.216335204705139</v>
      </c>
    </row>
    <row r="6552" customFormat="false" ht="15" hidden="false" customHeight="false" outlineLevel="0" collapsed="false">
      <c r="A6552" s="0" t="n">
        <v>6551</v>
      </c>
      <c r="B6552" s="14" t="n">
        <v>112189.59147074</v>
      </c>
      <c r="C6552" s="15" t="n">
        <v>0.116183799217228</v>
      </c>
      <c r="D6552" s="14" t="n">
        <f aca="false">Summary!$B$5-B6552</f>
        <v>-12189.5914707404</v>
      </c>
      <c r="E6552" s="15" t="n">
        <f aca="false">B6552/Summary!$B$5-1</f>
        <v>0.121895914707404</v>
      </c>
    </row>
    <row r="6553" customFormat="false" ht="15" hidden="false" customHeight="false" outlineLevel="0" collapsed="false">
      <c r="A6553" s="0" t="n">
        <v>6552</v>
      </c>
      <c r="B6553" s="14" t="n">
        <v>107779.856676903</v>
      </c>
      <c r="C6553" s="15" t="n">
        <v>0.0707741564189433</v>
      </c>
      <c r="D6553" s="14" t="n">
        <f aca="false">Summary!$B$5-B6553</f>
        <v>-7779.8566769032</v>
      </c>
      <c r="E6553" s="15" t="n">
        <f aca="false">B6553/Summary!$B$5-1</f>
        <v>0.077798566769032</v>
      </c>
    </row>
    <row r="6554" customFormat="false" ht="15" hidden="false" customHeight="false" outlineLevel="0" collapsed="false">
      <c r="A6554" s="0" t="n">
        <v>6553</v>
      </c>
      <c r="B6554" s="14" t="n">
        <v>117277.121002457</v>
      </c>
      <c r="C6554" s="15" t="n">
        <v>0.0957735307195317</v>
      </c>
      <c r="D6554" s="14" t="n">
        <f aca="false">Summary!$B$5-B6554</f>
        <v>-17277.1210024573</v>
      </c>
      <c r="E6554" s="15" t="n">
        <f aca="false">B6554/Summary!$B$5-1</f>
        <v>0.172771210024573</v>
      </c>
    </row>
    <row r="6555" customFormat="false" ht="15" hidden="false" customHeight="false" outlineLevel="0" collapsed="false">
      <c r="A6555" s="0" t="n">
        <v>6554</v>
      </c>
      <c r="B6555" s="14" t="n">
        <v>91291.9788188665</v>
      </c>
      <c r="C6555" s="15" t="n">
        <v>0.159569483405183</v>
      </c>
      <c r="D6555" s="14" t="n">
        <f aca="false">Summary!$B$5-B6555</f>
        <v>8708.02118113349</v>
      </c>
      <c r="E6555" s="15" t="n">
        <f aca="false">B6555/Summary!$B$5-1</f>
        <v>-0.0870802118113349</v>
      </c>
    </row>
    <row r="6556" customFormat="false" ht="15" hidden="false" customHeight="false" outlineLevel="0" collapsed="false">
      <c r="A6556" s="0" t="n">
        <v>6555</v>
      </c>
      <c r="B6556" s="14" t="n">
        <v>99005.3887695508</v>
      </c>
      <c r="C6556" s="15" t="n">
        <v>0.14516259022724</v>
      </c>
      <c r="D6556" s="14" t="n">
        <f aca="false">Summary!$B$5-B6556</f>
        <v>994.611230449198</v>
      </c>
      <c r="E6556" s="15" t="n">
        <f aca="false">B6556/Summary!$B$5-1</f>
        <v>-0.00994611230449194</v>
      </c>
    </row>
    <row r="6557" customFormat="false" ht="15" hidden="false" customHeight="false" outlineLevel="0" collapsed="false">
      <c r="A6557" s="0" t="n">
        <v>6556</v>
      </c>
      <c r="B6557" s="14" t="n">
        <v>115691.745898945</v>
      </c>
      <c r="C6557" s="15" t="n">
        <v>0.0522675816929167</v>
      </c>
      <c r="D6557" s="14" t="n">
        <f aca="false">Summary!$B$5-B6557</f>
        <v>-15691.7458989453</v>
      </c>
      <c r="E6557" s="15" t="n">
        <f aca="false">B6557/Summary!$B$5-1</f>
        <v>0.156917458989453</v>
      </c>
    </row>
    <row r="6558" customFormat="false" ht="15" hidden="false" customHeight="false" outlineLevel="0" collapsed="false">
      <c r="A6558" s="0" t="n">
        <v>6557</v>
      </c>
      <c r="B6558" s="14" t="n">
        <v>122336.033643012</v>
      </c>
      <c r="C6558" s="15" t="n">
        <v>0.0698563103165423</v>
      </c>
      <c r="D6558" s="14" t="n">
        <f aca="false">Summary!$B$5-B6558</f>
        <v>-22336.0336430116</v>
      </c>
      <c r="E6558" s="15" t="n">
        <f aca="false">B6558/Summary!$B$5-1</f>
        <v>0.223360336430116</v>
      </c>
    </row>
    <row r="6559" customFormat="false" ht="15" hidden="false" customHeight="false" outlineLevel="0" collapsed="false">
      <c r="A6559" s="0" t="n">
        <v>6558</v>
      </c>
      <c r="B6559" s="14" t="n">
        <v>109597.479201605</v>
      </c>
      <c r="C6559" s="15" t="n">
        <v>0.066005339690568</v>
      </c>
      <c r="D6559" s="14" t="n">
        <f aca="false">Summary!$B$5-B6559</f>
        <v>-9597.4792016046</v>
      </c>
      <c r="E6559" s="15" t="n">
        <f aca="false">B6559/Summary!$B$5-1</f>
        <v>0.0959747920160461</v>
      </c>
    </row>
    <row r="6560" customFormat="false" ht="15" hidden="false" customHeight="false" outlineLevel="0" collapsed="false">
      <c r="A6560" s="0" t="n">
        <v>6559</v>
      </c>
      <c r="B6560" s="14" t="n">
        <v>128888.568198522</v>
      </c>
      <c r="C6560" s="15" t="n">
        <v>0.0656211340941235</v>
      </c>
      <c r="D6560" s="14" t="n">
        <f aca="false">Summary!$B$5-B6560</f>
        <v>-28888.5681985219</v>
      </c>
      <c r="E6560" s="15" t="n">
        <f aca="false">B6560/Summary!$B$5-1</f>
        <v>0.288885681985219</v>
      </c>
    </row>
    <row r="6561" customFormat="false" ht="15" hidden="false" customHeight="false" outlineLevel="0" collapsed="false">
      <c r="A6561" s="0" t="n">
        <v>6560</v>
      </c>
      <c r="B6561" s="14" t="n">
        <v>114013.527086589</v>
      </c>
      <c r="C6561" s="15" t="n">
        <v>0.0970077607815781</v>
      </c>
      <c r="D6561" s="14" t="n">
        <f aca="false">Summary!$B$5-B6561</f>
        <v>-14013.5270865893</v>
      </c>
      <c r="E6561" s="15" t="n">
        <f aca="false">B6561/Summary!$B$5-1</f>
        <v>0.140135270865893</v>
      </c>
    </row>
    <row r="6562" customFormat="false" ht="15" hidden="false" customHeight="false" outlineLevel="0" collapsed="false">
      <c r="A6562" s="0" t="n">
        <v>6561</v>
      </c>
      <c r="B6562" s="14" t="n">
        <v>96178.349654805</v>
      </c>
      <c r="C6562" s="15" t="n">
        <v>0.102080018913601</v>
      </c>
      <c r="D6562" s="14" t="n">
        <f aca="false">Summary!$B$5-B6562</f>
        <v>3821.65034519498</v>
      </c>
      <c r="E6562" s="15" t="n">
        <f aca="false">B6562/Summary!$B$5-1</f>
        <v>-0.0382165034519498</v>
      </c>
    </row>
    <row r="6563" customFormat="false" ht="15" hidden="false" customHeight="false" outlineLevel="0" collapsed="false">
      <c r="A6563" s="0" t="n">
        <v>6562</v>
      </c>
      <c r="B6563" s="14" t="n">
        <v>91621.9048241096</v>
      </c>
      <c r="C6563" s="15" t="n">
        <v>0.111325093712885</v>
      </c>
      <c r="D6563" s="14" t="n">
        <f aca="false">Summary!$B$5-B6563</f>
        <v>8378.0951758904</v>
      </c>
      <c r="E6563" s="15" t="n">
        <f aca="false">B6563/Summary!$B$5-1</f>
        <v>-0.083780951758904</v>
      </c>
    </row>
    <row r="6564" customFormat="false" ht="15" hidden="false" customHeight="false" outlineLevel="0" collapsed="false">
      <c r="A6564" s="0" t="n">
        <v>6563</v>
      </c>
      <c r="B6564" s="14" t="n">
        <v>104038.418967508</v>
      </c>
      <c r="C6564" s="15" t="n">
        <v>0.116464777366256</v>
      </c>
      <c r="D6564" s="14" t="n">
        <f aca="false">Summary!$B$5-B6564</f>
        <v>-4038.4189675081</v>
      </c>
      <c r="E6564" s="15" t="n">
        <f aca="false">B6564/Summary!$B$5-1</f>
        <v>0.040384189675081</v>
      </c>
    </row>
    <row r="6565" customFormat="false" ht="15" hidden="false" customHeight="false" outlineLevel="0" collapsed="false">
      <c r="A6565" s="0" t="n">
        <v>6564</v>
      </c>
      <c r="B6565" s="14" t="n">
        <v>122847.03887818</v>
      </c>
      <c r="C6565" s="15" t="n">
        <v>0.0630935292526528</v>
      </c>
      <c r="D6565" s="14" t="n">
        <f aca="false">Summary!$B$5-B6565</f>
        <v>-22847.0388781802</v>
      </c>
      <c r="E6565" s="15" t="n">
        <f aca="false">B6565/Summary!$B$5-1</f>
        <v>0.228470388781802</v>
      </c>
    </row>
    <row r="6566" customFormat="false" ht="15" hidden="false" customHeight="false" outlineLevel="0" collapsed="false">
      <c r="A6566" s="0" t="n">
        <v>6565</v>
      </c>
      <c r="B6566" s="14" t="n">
        <v>102615.879201884</v>
      </c>
      <c r="C6566" s="15" t="n">
        <v>0.137240431854866</v>
      </c>
      <c r="D6566" s="14" t="n">
        <f aca="false">Summary!$B$5-B6566</f>
        <v>-2615.8792018838</v>
      </c>
      <c r="E6566" s="15" t="n">
        <f aca="false">B6566/Summary!$B$5-1</f>
        <v>0.026158792018838</v>
      </c>
    </row>
    <row r="6567" customFormat="false" ht="15" hidden="false" customHeight="false" outlineLevel="0" collapsed="false">
      <c r="A6567" s="0" t="n">
        <v>6566</v>
      </c>
      <c r="B6567" s="14" t="n">
        <v>112301.618021044</v>
      </c>
      <c r="C6567" s="15" t="n">
        <v>0.0629191709316834</v>
      </c>
      <c r="D6567" s="14" t="n">
        <f aca="false">Summary!$B$5-B6567</f>
        <v>-12301.618021044</v>
      </c>
      <c r="E6567" s="15" t="n">
        <f aca="false">B6567/Summary!$B$5-1</f>
        <v>0.12301618021044</v>
      </c>
    </row>
    <row r="6568" customFormat="false" ht="15" hidden="false" customHeight="false" outlineLevel="0" collapsed="false">
      <c r="A6568" s="0" t="n">
        <v>6567</v>
      </c>
      <c r="B6568" s="14" t="n">
        <v>109963.351385215</v>
      </c>
      <c r="C6568" s="15" t="n">
        <v>0.051773591699066</v>
      </c>
      <c r="D6568" s="14" t="n">
        <f aca="false">Summary!$B$5-B6568</f>
        <v>-9963.35138521509</v>
      </c>
      <c r="E6568" s="15" t="n">
        <f aca="false">B6568/Summary!$B$5-1</f>
        <v>0.0996335138521509</v>
      </c>
    </row>
    <row r="6569" customFormat="false" ht="15" hidden="false" customHeight="false" outlineLevel="0" collapsed="false">
      <c r="A6569" s="0" t="n">
        <v>6568</v>
      </c>
      <c r="B6569" s="14" t="n">
        <v>99080.5277266961</v>
      </c>
      <c r="C6569" s="15" t="n">
        <v>0.144917784522872</v>
      </c>
      <c r="D6569" s="14" t="n">
        <f aca="false">Summary!$B$5-B6569</f>
        <v>919.472273303953</v>
      </c>
      <c r="E6569" s="15" t="n">
        <f aca="false">B6569/Summary!$B$5-1</f>
        <v>-0.00919472273303956</v>
      </c>
    </row>
    <row r="6570" customFormat="false" ht="15" hidden="false" customHeight="false" outlineLevel="0" collapsed="false">
      <c r="A6570" s="0" t="n">
        <v>6569</v>
      </c>
      <c r="B6570" s="14" t="n">
        <v>90723.3362532005</v>
      </c>
      <c r="C6570" s="15" t="n">
        <v>0.165170056502867</v>
      </c>
      <c r="D6570" s="14" t="n">
        <f aca="false">Summary!$B$5-B6570</f>
        <v>9276.66374679946</v>
      </c>
      <c r="E6570" s="15" t="n">
        <f aca="false">B6570/Summary!$B$5-1</f>
        <v>-0.0927666374679946</v>
      </c>
    </row>
    <row r="6571" customFormat="false" ht="15" hidden="false" customHeight="false" outlineLevel="0" collapsed="false">
      <c r="A6571" s="0" t="n">
        <v>6570</v>
      </c>
      <c r="B6571" s="14" t="n">
        <v>126166.651186621</v>
      </c>
      <c r="C6571" s="15" t="n">
        <v>0.0637234294161717</v>
      </c>
      <c r="D6571" s="14" t="n">
        <f aca="false">Summary!$B$5-B6571</f>
        <v>-26166.6511866208</v>
      </c>
      <c r="E6571" s="15" t="n">
        <f aca="false">B6571/Summary!$B$5-1</f>
        <v>0.261666511866208</v>
      </c>
    </row>
    <row r="6572" customFormat="false" ht="15" hidden="false" customHeight="false" outlineLevel="0" collapsed="false">
      <c r="A6572" s="0" t="n">
        <v>6571</v>
      </c>
      <c r="B6572" s="14" t="n">
        <v>117812.412360412</v>
      </c>
      <c r="C6572" s="15" t="n">
        <v>0.0847459940052718</v>
      </c>
      <c r="D6572" s="14" t="n">
        <f aca="false">Summary!$B$5-B6572</f>
        <v>-17812.4123604123</v>
      </c>
      <c r="E6572" s="15" t="n">
        <f aca="false">B6572/Summary!$B$5-1</f>
        <v>0.178124123604123</v>
      </c>
    </row>
    <row r="6573" customFormat="false" ht="15" hidden="false" customHeight="false" outlineLevel="0" collapsed="false">
      <c r="A6573" s="0" t="n">
        <v>6572</v>
      </c>
      <c r="B6573" s="14" t="n">
        <v>105781.293294365</v>
      </c>
      <c r="C6573" s="15" t="n">
        <v>0.0741271287923927</v>
      </c>
      <c r="D6573" s="14" t="n">
        <f aca="false">Summary!$B$5-B6573</f>
        <v>-5781.29329436491</v>
      </c>
      <c r="E6573" s="15" t="n">
        <f aca="false">B6573/Summary!$B$5-1</f>
        <v>0.057812932943649</v>
      </c>
    </row>
    <row r="6574" customFormat="false" ht="15" hidden="false" customHeight="false" outlineLevel="0" collapsed="false">
      <c r="A6574" s="0" t="n">
        <v>6573</v>
      </c>
      <c r="B6574" s="14" t="n">
        <v>104384.270940381</v>
      </c>
      <c r="C6574" s="15" t="n">
        <v>0.0747728200829102</v>
      </c>
      <c r="D6574" s="14" t="n">
        <f aca="false">Summary!$B$5-B6574</f>
        <v>-4384.270940381</v>
      </c>
      <c r="E6574" s="15" t="n">
        <f aca="false">B6574/Summary!$B$5-1</f>
        <v>0.0438427094038101</v>
      </c>
    </row>
    <row r="6575" customFormat="false" ht="15" hidden="false" customHeight="false" outlineLevel="0" collapsed="false">
      <c r="A6575" s="0" t="n">
        <v>6574</v>
      </c>
      <c r="B6575" s="14" t="n">
        <v>120821.337645107</v>
      </c>
      <c r="C6575" s="15" t="n">
        <v>0.0558517855193896</v>
      </c>
      <c r="D6575" s="14" t="n">
        <f aca="false">Summary!$B$5-B6575</f>
        <v>-20821.337645107</v>
      </c>
      <c r="E6575" s="15" t="n">
        <f aca="false">B6575/Summary!$B$5-1</f>
        <v>0.20821337645107</v>
      </c>
    </row>
    <row r="6576" customFormat="false" ht="15" hidden="false" customHeight="false" outlineLevel="0" collapsed="false">
      <c r="A6576" s="0" t="n">
        <v>6575</v>
      </c>
      <c r="B6576" s="14" t="n">
        <v>95213.5364085276</v>
      </c>
      <c r="C6576" s="15" t="n">
        <v>0.111620919302829</v>
      </c>
      <c r="D6576" s="14" t="n">
        <f aca="false">Summary!$B$5-B6576</f>
        <v>4786.46359147236</v>
      </c>
      <c r="E6576" s="15" t="n">
        <f aca="false">B6576/Summary!$B$5-1</f>
        <v>-0.0478646359147237</v>
      </c>
    </row>
    <row r="6577" customFormat="false" ht="15" hidden="false" customHeight="false" outlineLevel="0" collapsed="false">
      <c r="A6577" s="0" t="n">
        <v>6576</v>
      </c>
      <c r="B6577" s="14" t="n">
        <v>123893.476992181</v>
      </c>
      <c r="C6577" s="15" t="n">
        <v>0.0540865837725389</v>
      </c>
      <c r="D6577" s="14" t="n">
        <f aca="false">Summary!$B$5-B6577</f>
        <v>-23893.4769921814</v>
      </c>
      <c r="E6577" s="15" t="n">
        <f aca="false">B6577/Summary!$B$5-1</f>
        <v>0.238934769921814</v>
      </c>
    </row>
    <row r="6578" customFormat="false" ht="15" hidden="false" customHeight="false" outlineLevel="0" collapsed="false">
      <c r="A6578" s="0" t="n">
        <v>6577</v>
      </c>
      <c r="B6578" s="14" t="n">
        <v>114119.199171326</v>
      </c>
      <c r="C6578" s="15" t="n">
        <v>0.0630644266917323</v>
      </c>
      <c r="D6578" s="14" t="n">
        <f aca="false">Summary!$B$5-B6578</f>
        <v>-14119.1991713261</v>
      </c>
      <c r="E6578" s="15" t="n">
        <f aca="false">B6578/Summary!$B$5-1</f>
        <v>0.141191991713261</v>
      </c>
    </row>
    <row r="6579" customFormat="false" ht="15" hidden="false" customHeight="false" outlineLevel="0" collapsed="false">
      <c r="A6579" s="0" t="n">
        <v>6578</v>
      </c>
      <c r="B6579" s="14" t="n">
        <v>99750.457794556</v>
      </c>
      <c r="C6579" s="15" t="n">
        <v>0.142415926412865</v>
      </c>
      <c r="D6579" s="14" t="n">
        <f aca="false">Summary!$B$5-B6579</f>
        <v>249.542205443984</v>
      </c>
      <c r="E6579" s="15" t="n">
        <f aca="false">B6579/Summary!$B$5-1</f>
        <v>-0.00249542205443987</v>
      </c>
    </row>
    <row r="6580" customFormat="false" ht="15" hidden="false" customHeight="false" outlineLevel="0" collapsed="false">
      <c r="A6580" s="0" t="n">
        <v>6579</v>
      </c>
      <c r="B6580" s="14" t="n">
        <v>153080.787045353</v>
      </c>
      <c r="C6580" s="15" t="n">
        <v>0.0488460229168685</v>
      </c>
      <c r="D6580" s="14" t="n">
        <f aca="false">Summary!$B$5-B6580</f>
        <v>-53080.7870453534</v>
      </c>
      <c r="E6580" s="15" t="n">
        <f aca="false">B6580/Summary!$B$5-1</f>
        <v>0.530807870453534</v>
      </c>
    </row>
    <row r="6581" customFormat="false" ht="15" hidden="false" customHeight="false" outlineLevel="0" collapsed="false">
      <c r="A6581" s="0" t="n">
        <v>6580</v>
      </c>
      <c r="B6581" s="14" t="n">
        <v>109956.56426021</v>
      </c>
      <c r="C6581" s="15" t="n">
        <v>0.0796430200797348</v>
      </c>
      <c r="D6581" s="14" t="n">
        <f aca="false">Summary!$B$5-B6581</f>
        <v>-9956.5642602095</v>
      </c>
      <c r="E6581" s="15" t="n">
        <f aca="false">B6581/Summary!$B$5-1</f>
        <v>0.099565642602095</v>
      </c>
    </row>
    <row r="6582" customFormat="false" ht="15" hidden="false" customHeight="false" outlineLevel="0" collapsed="false">
      <c r="A6582" s="0" t="n">
        <v>6581</v>
      </c>
      <c r="B6582" s="14" t="n">
        <v>82950.6107056646</v>
      </c>
      <c r="C6582" s="15" t="n">
        <v>0.211267830360618</v>
      </c>
      <c r="D6582" s="14" t="n">
        <f aca="false">Summary!$B$5-B6582</f>
        <v>17049.3892943354</v>
      </c>
      <c r="E6582" s="15" t="n">
        <f aca="false">B6582/Summary!$B$5-1</f>
        <v>-0.170493892943354</v>
      </c>
    </row>
    <row r="6583" customFormat="false" ht="15" hidden="false" customHeight="false" outlineLevel="0" collapsed="false">
      <c r="A6583" s="0" t="n">
        <v>6582</v>
      </c>
      <c r="B6583" s="14" t="n">
        <v>107248.709239075</v>
      </c>
      <c r="C6583" s="15" t="n">
        <v>0.0790529908454007</v>
      </c>
      <c r="D6583" s="14" t="n">
        <f aca="false">Summary!$B$5-B6583</f>
        <v>-7248.7092390749</v>
      </c>
      <c r="E6583" s="15" t="n">
        <f aca="false">B6583/Summary!$B$5-1</f>
        <v>0.072487092390749</v>
      </c>
    </row>
    <row r="6584" customFormat="false" ht="15" hidden="false" customHeight="false" outlineLevel="0" collapsed="false">
      <c r="A6584" s="0" t="n">
        <v>6583</v>
      </c>
      <c r="B6584" s="14" t="n">
        <v>103712.083109828</v>
      </c>
      <c r="C6584" s="15" t="n">
        <v>0.166287635585164</v>
      </c>
      <c r="D6584" s="14" t="n">
        <f aca="false">Summary!$B$5-B6584</f>
        <v>-3712.08310982749</v>
      </c>
      <c r="E6584" s="15" t="n">
        <f aca="false">B6584/Summary!$B$5-1</f>
        <v>0.0371208310982749</v>
      </c>
    </row>
    <row r="6585" customFormat="false" ht="15" hidden="false" customHeight="false" outlineLevel="0" collapsed="false">
      <c r="A6585" s="0" t="n">
        <v>6584</v>
      </c>
      <c r="B6585" s="14" t="n">
        <v>104884.980159223</v>
      </c>
      <c r="C6585" s="15" t="n">
        <v>0.119774862275532</v>
      </c>
      <c r="D6585" s="14" t="n">
        <f aca="false">Summary!$B$5-B6585</f>
        <v>-4884.9801592234</v>
      </c>
      <c r="E6585" s="15" t="n">
        <f aca="false">B6585/Summary!$B$5-1</f>
        <v>0.0488498015922341</v>
      </c>
    </row>
    <row r="6586" customFormat="false" ht="15" hidden="false" customHeight="false" outlineLevel="0" collapsed="false">
      <c r="A6586" s="0" t="n">
        <v>6585</v>
      </c>
      <c r="B6586" s="14" t="n">
        <v>106199.158940798</v>
      </c>
      <c r="C6586" s="15" t="n">
        <v>0.08678788378805</v>
      </c>
      <c r="D6586" s="14" t="n">
        <f aca="false">Summary!$B$5-B6586</f>
        <v>-6199.1589407975</v>
      </c>
      <c r="E6586" s="15" t="n">
        <f aca="false">B6586/Summary!$B$5-1</f>
        <v>0.061991589407975</v>
      </c>
    </row>
    <row r="6587" customFormat="false" ht="15" hidden="false" customHeight="false" outlineLevel="0" collapsed="false">
      <c r="A6587" s="0" t="n">
        <v>6586</v>
      </c>
      <c r="B6587" s="14" t="n">
        <v>111468.013712775</v>
      </c>
      <c r="C6587" s="15" t="n">
        <v>0.118274862085577</v>
      </c>
      <c r="D6587" s="14" t="n">
        <f aca="false">Summary!$B$5-B6587</f>
        <v>-11468.013712775</v>
      </c>
      <c r="E6587" s="15" t="n">
        <f aca="false">B6587/Summary!$B$5-1</f>
        <v>0.11468013712775</v>
      </c>
    </row>
    <row r="6588" customFormat="false" ht="15" hidden="false" customHeight="false" outlineLevel="0" collapsed="false">
      <c r="A6588" s="0" t="n">
        <v>6587</v>
      </c>
      <c r="B6588" s="14" t="n">
        <v>139197.747395812</v>
      </c>
      <c r="C6588" s="15" t="n">
        <v>0.0796098512234763</v>
      </c>
      <c r="D6588" s="14" t="n">
        <f aca="false">Summary!$B$5-B6588</f>
        <v>-39197.7473958116</v>
      </c>
      <c r="E6588" s="15" t="n">
        <f aca="false">B6588/Summary!$B$5-1</f>
        <v>0.391977473958116</v>
      </c>
    </row>
    <row r="6589" customFormat="false" ht="15" hidden="false" customHeight="false" outlineLevel="0" collapsed="false">
      <c r="A6589" s="0" t="n">
        <v>6588</v>
      </c>
      <c r="B6589" s="14" t="n">
        <v>114166.192409305</v>
      </c>
      <c r="C6589" s="15" t="n">
        <v>0.100577298029013</v>
      </c>
      <c r="D6589" s="14" t="n">
        <f aca="false">Summary!$B$5-B6589</f>
        <v>-14166.192409305</v>
      </c>
      <c r="E6589" s="15" t="n">
        <f aca="false">B6589/Summary!$B$5-1</f>
        <v>0.14166192409305</v>
      </c>
    </row>
    <row r="6590" customFormat="false" ht="15" hidden="false" customHeight="false" outlineLevel="0" collapsed="false">
      <c r="A6590" s="0" t="n">
        <v>6589</v>
      </c>
      <c r="B6590" s="14" t="n">
        <v>125258.811803661</v>
      </c>
      <c r="C6590" s="15" t="n">
        <v>0.091642225842673</v>
      </c>
      <c r="D6590" s="14" t="n">
        <f aca="false">Summary!$B$5-B6590</f>
        <v>-25258.8118036613</v>
      </c>
      <c r="E6590" s="15" t="n">
        <f aca="false">B6590/Summary!$B$5-1</f>
        <v>0.252588118036613</v>
      </c>
    </row>
    <row r="6591" customFormat="false" ht="15" hidden="false" customHeight="false" outlineLevel="0" collapsed="false">
      <c r="A6591" s="0" t="n">
        <v>6590</v>
      </c>
      <c r="B6591" s="14" t="n">
        <v>109606.538760811</v>
      </c>
      <c r="C6591" s="15" t="n">
        <v>0.057677821717366</v>
      </c>
      <c r="D6591" s="14" t="n">
        <f aca="false">Summary!$B$5-B6591</f>
        <v>-9606.5387608108</v>
      </c>
      <c r="E6591" s="15" t="n">
        <f aca="false">B6591/Summary!$B$5-1</f>
        <v>0.0960653876081079</v>
      </c>
    </row>
    <row r="6592" customFormat="false" ht="15" hidden="false" customHeight="false" outlineLevel="0" collapsed="false">
      <c r="A6592" s="0" t="n">
        <v>6591</v>
      </c>
      <c r="B6592" s="14" t="n">
        <v>94820.1412654736</v>
      </c>
      <c r="C6592" s="15" t="n">
        <v>0.165566180956653</v>
      </c>
      <c r="D6592" s="14" t="n">
        <f aca="false">Summary!$B$5-B6592</f>
        <v>5179.85873452641</v>
      </c>
      <c r="E6592" s="15" t="n">
        <f aca="false">B6592/Summary!$B$5-1</f>
        <v>-0.0517985873452641</v>
      </c>
    </row>
    <row r="6593" customFormat="false" ht="15" hidden="false" customHeight="false" outlineLevel="0" collapsed="false">
      <c r="A6593" s="0" t="n">
        <v>6592</v>
      </c>
      <c r="B6593" s="14" t="n">
        <v>98422.2968735586</v>
      </c>
      <c r="C6593" s="15" t="n">
        <v>0.0930243429191968</v>
      </c>
      <c r="D6593" s="14" t="n">
        <f aca="false">Summary!$B$5-B6593</f>
        <v>1577.70312644143</v>
      </c>
      <c r="E6593" s="15" t="n">
        <f aca="false">B6593/Summary!$B$5-1</f>
        <v>-0.0157770312644142</v>
      </c>
    </row>
    <row r="6594" customFormat="false" ht="15" hidden="false" customHeight="false" outlineLevel="0" collapsed="false">
      <c r="A6594" s="0" t="n">
        <v>6593</v>
      </c>
      <c r="B6594" s="14" t="n">
        <v>112144.354474256</v>
      </c>
      <c r="C6594" s="15" t="n">
        <v>0.0645001970945328</v>
      </c>
      <c r="D6594" s="14" t="n">
        <f aca="false">Summary!$B$5-B6594</f>
        <v>-12144.3544742557</v>
      </c>
      <c r="E6594" s="15" t="n">
        <f aca="false">B6594/Summary!$B$5-1</f>
        <v>0.121443544742557</v>
      </c>
    </row>
    <row r="6595" customFormat="false" ht="15" hidden="false" customHeight="false" outlineLevel="0" collapsed="false">
      <c r="A6595" s="0" t="n">
        <v>6594</v>
      </c>
      <c r="B6595" s="14" t="n">
        <v>128580.256609096</v>
      </c>
      <c r="C6595" s="15" t="n">
        <v>0.0570229979305458</v>
      </c>
      <c r="D6595" s="14" t="n">
        <f aca="false">Summary!$B$5-B6595</f>
        <v>-28580.2566090961</v>
      </c>
      <c r="E6595" s="15" t="n">
        <f aca="false">B6595/Summary!$B$5-1</f>
        <v>0.285802566090961</v>
      </c>
    </row>
    <row r="6596" customFormat="false" ht="15" hidden="false" customHeight="false" outlineLevel="0" collapsed="false">
      <c r="A6596" s="0" t="n">
        <v>6595</v>
      </c>
      <c r="B6596" s="14" t="n">
        <v>130177.336704386</v>
      </c>
      <c r="C6596" s="15" t="n">
        <v>0.0358454733347786</v>
      </c>
      <c r="D6596" s="14" t="n">
        <f aca="false">Summary!$B$5-B6596</f>
        <v>-30177.3367043859</v>
      </c>
      <c r="E6596" s="15" t="n">
        <f aca="false">B6596/Summary!$B$5-1</f>
        <v>0.301773367043859</v>
      </c>
    </row>
    <row r="6597" customFormat="false" ht="15" hidden="false" customHeight="false" outlineLevel="0" collapsed="false">
      <c r="A6597" s="0" t="n">
        <v>6596</v>
      </c>
      <c r="B6597" s="14" t="n">
        <v>96032.2639387299</v>
      </c>
      <c r="C6597" s="15" t="n">
        <v>0.123486243723083</v>
      </c>
      <c r="D6597" s="14" t="n">
        <f aca="false">Summary!$B$5-B6597</f>
        <v>3967.73606127015</v>
      </c>
      <c r="E6597" s="15" t="n">
        <f aca="false">B6597/Summary!$B$5-1</f>
        <v>-0.0396773606127014</v>
      </c>
    </row>
    <row r="6598" customFormat="false" ht="15" hidden="false" customHeight="false" outlineLevel="0" collapsed="false">
      <c r="A6598" s="0" t="n">
        <v>6597</v>
      </c>
      <c r="B6598" s="14" t="n">
        <v>120716.708871653</v>
      </c>
      <c r="C6598" s="15" t="n">
        <v>0.046879518207067</v>
      </c>
      <c r="D6598" s="14" t="n">
        <f aca="false">Summary!$B$5-B6598</f>
        <v>-20716.708871653</v>
      </c>
      <c r="E6598" s="15" t="n">
        <f aca="false">B6598/Summary!$B$5-1</f>
        <v>0.20716708871653</v>
      </c>
    </row>
    <row r="6599" customFormat="false" ht="15" hidden="false" customHeight="false" outlineLevel="0" collapsed="false">
      <c r="A6599" s="0" t="n">
        <v>6598</v>
      </c>
      <c r="B6599" s="14" t="n">
        <v>92283.2307127661</v>
      </c>
      <c r="C6599" s="15" t="n">
        <v>0.15070940540931</v>
      </c>
      <c r="D6599" s="14" t="n">
        <f aca="false">Summary!$B$5-B6599</f>
        <v>7716.76928723394</v>
      </c>
      <c r="E6599" s="15" t="n">
        <f aca="false">B6599/Summary!$B$5-1</f>
        <v>-0.0771676928723394</v>
      </c>
    </row>
    <row r="6600" customFormat="false" ht="15" hidden="false" customHeight="false" outlineLevel="0" collapsed="false">
      <c r="A6600" s="0" t="n">
        <v>6599</v>
      </c>
      <c r="B6600" s="14" t="n">
        <v>97558.0927192266</v>
      </c>
      <c r="C6600" s="15" t="n">
        <v>0.174676341822189</v>
      </c>
      <c r="D6600" s="14" t="n">
        <f aca="false">Summary!$B$5-B6600</f>
        <v>2441.90728077338</v>
      </c>
      <c r="E6600" s="15" t="n">
        <f aca="false">B6600/Summary!$B$5-1</f>
        <v>-0.0244190728077338</v>
      </c>
    </row>
    <row r="6601" customFormat="false" ht="15" hidden="false" customHeight="false" outlineLevel="0" collapsed="false">
      <c r="A6601" s="0" t="n">
        <v>6600</v>
      </c>
      <c r="B6601" s="14" t="n">
        <v>112179.460217812</v>
      </c>
      <c r="C6601" s="15" t="n">
        <v>0.104733773489004</v>
      </c>
      <c r="D6601" s="14" t="n">
        <f aca="false">Summary!$B$5-B6601</f>
        <v>-12179.4602178115</v>
      </c>
      <c r="E6601" s="15" t="n">
        <f aca="false">B6601/Summary!$B$5-1</f>
        <v>0.121794602178115</v>
      </c>
    </row>
    <row r="6602" customFormat="false" ht="15" hidden="false" customHeight="false" outlineLevel="0" collapsed="false">
      <c r="A6602" s="0" t="n">
        <v>6601</v>
      </c>
      <c r="B6602" s="14" t="n">
        <v>102694.207530369</v>
      </c>
      <c r="C6602" s="15" t="n">
        <v>0.0986716241035383</v>
      </c>
      <c r="D6602" s="14" t="n">
        <f aca="false">Summary!$B$5-B6602</f>
        <v>-2694.2075303686</v>
      </c>
      <c r="E6602" s="15" t="n">
        <f aca="false">B6602/Summary!$B$5-1</f>
        <v>0.026942075303686</v>
      </c>
    </row>
    <row r="6603" customFormat="false" ht="15" hidden="false" customHeight="false" outlineLevel="0" collapsed="false">
      <c r="A6603" s="0" t="n">
        <v>6602</v>
      </c>
      <c r="B6603" s="14" t="n">
        <v>114154.242447532</v>
      </c>
      <c r="C6603" s="15" t="n">
        <v>0.080018686414066</v>
      </c>
      <c r="D6603" s="14" t="n">
        <f aca="false">Summary!$B$5-B6603</f>
        <v>-14154.2424475321</v>
      </c>
      <c r="E6603" s="15" t="n">
        <f aca="false">B6603/Summary!$B$5-1</f>
        <v>0.141542424475321</v>
      </c>
    </row>
    <row r="6604" customFormat="false" ht="15" hidden="false" customHeight="false" outlineLevel="0" collapsed="false">
      <c r="A6604" s="0" t="n">
        <v>6603</v>
      </c>
      <c r="B6604" s="14" t="n">
        <v>112906.483929824</v>
      </c>
      <c r="C6604" s="15" t="n">
        <v>0.0787071475607941</v>
      </c>
      <c r="D6604" s="14" t="n">
        <f aca="false">Summary!$B$5-B6604</f>
        <v>-12906.4839298241</v>
      </c>
      <c r="E6604" s="15" t="n">
        <f aca="false">B6604/Summary!$B$5-1</f>
        <v>0.129064839298241</v>
      </c>
    </row>
    <row r="6605" customFormat="false" ht="15" hidden="false" customHeight="false" outlineLevel="0" collapsed="false">
      <c r="A6605" s="0" t="n">
        <v>6604</v>
      </c>
      <c r="B6605" s="14" t="n">
        <v>123623.365590506</v>
      </c>
      <c r="C6605" s="15" t="n">
        <v>0.0831845070156658</v>
      </c>
      <c r="D6605" s="14" t="n">
        <f aca="false">Summary!$B$5-B6605</f>
        <v>-23623.3655905063</v>
      </c>
      <c r="E6605" s="15" t="n">
        <f aca="false">B6605/Summary!$B$5-1</f>
        <v>0.236233655905063</v>
      </c>
    </row>
    <row r="6606" customFormat="false" ht="15" hidden="false" customHeight="false" outlineLevel="0" collapsed="false">
      <c r="A6606" s="0" t="n">
        <v>6605</v>
      </c>
      <c r="B6606" s="14" t="n">
        <v>108923.351898146</v>
      </c>
      <c r="C6606" s="15" t="n">
        <v>0.0873131582332503</v>
      </c>
      <c r="D6606" s="14" t="n">
        <f aca="false">Summary!$B$5-B6606</f>
        <v>-8923.3518981458</v>
      </c>
      <c r="E6606" s="15" t="n">
        <f aca="false">B6606/Summary!$B$5-1</f>
        <v>0.0892335189814579</v>
      </c>
    </row>
    <row r="6607" customFormat="false" ht="15" hidden="false" customHeight="false" outlineLevel="0" collapsed="false">
      <c r="A6607" s="0" t="n">
        <v>6606</v>
      </c>
      <c r="B6607" s="14" t="n">
        <v>99330.5306943423</v>
      </c>
      <c r="C6607" s="15" t="n">
        <v>0.0877933361857884</v>
      </c>
      <c r="D6607" s="14" t="n">
        <f aca="false">Summary!$B$5-B6607</f>
        <v>669.469305657694</v>
      </c>
      <c r="E6607" s="15" t="n">
        <f aca="false">B6607/Summary!$B$5-1</f>
        <v>-0.006694693056577</v>
      </c>
    </row>
    <row r="6608" customFormat="false" ht="15" hidden="false" customHeight="false" outlineLevel="0" collapsed="false">
      <c r="A6608" s="0" t="n">
        <v>6607</v>
      </c>
      <c r="B6608" s="14" t="n">
        <v>100458.134261181</v>
      </c>
      <c r="C6608" s="15" t="n">
        <v>0.0864250882902234</v>
      </c>
      <c r="D6608" s="14" t="n">
        <f aca="false">Summary!$B$5-B6608</f>
        <v>-458.134261180894</v>
      </c>
      <c r="E6608" s="15" t="n">
        <f aca="false">B6608/Summary!$B$5-1</f>
        <v>0.00458134261180887</v>
      </c>
    </row>
    <row r="6609" customFormat="false" ht="15" hidden="false" customHeight="false" outlineLevel="0" collapsed="false">
      <c r="A6609" s="0" t="n">
        <v>6608</v>
      </c>
      <c r="B6609" s="14" t="n">
        <v>107995.406500222</v>
      </c>
      <c r="C6609" s="15" t="n">
        <v>0.0871536109288084</v>
      </c>
      <c r="D6609" s="14" t="n">
        <f aca="false">Summary!$B$5-B6609</f>
        <v>-7995.4065002217</v>
      </c>
      <c r="E6609" s="15" t="n">
        <f aca="false">B6609/Summary!$B$5-1</f>
        <v>0.079954065002217</v>
      </c>
    </row>
    <row r="6610" customFormat="false" ht="15" hidden="false" customHeight="false" outlineLevel="0" collapsed="false">
      <c r="A6610" s="0" t="n">
        <v>6609</v>
      </c>
      <c r="B6610" s="14" t="n">
        <v>100585.232533377</v>
      </c>
      <c r="C6610" s="15" t="n">
        <v>0.0773797559914701</v>
      </c>
      <c r="D6610" s="14" t="n">
        <f aca="false">Summary!$B$5-B6610</f>
        <v>-585.232533376504</v>
      </c>
      <c r="E6610" s="15" t="n">
        <f aca="false">B6610/Summary!$B$5-1</f>
        <v>0.00585232533376501</v>
      </c>
    </row>
    <row r="6611" customFormat="false" ht="15" hidden="false" customHeight="false" outlineLevel="0" collapsed="false">
      <c r="A6611" s="0" t="n">
        <v>6610</v>
      </c>
      <c r="B6611" s="14" t="n">
        <v>111882.126979136</v>
      </c>
      <c r="C6611" s="15" t="n">
        <v>0.0897489576640597</v>
      </c>
      <c r="D6611" s="14" t="n">
        <f aca="false">Summary!$B$5-B6611</f>
        <v>-11882.1269791358</v>
      </c>
      <c r="E6611" s="15" t="n">
        <f aca="false">B6611/Summary!$B$5-1</f>
        <v>0.118821269791358</v>
      </c>
    </row>
    <row r="6612" customFormat="false" ht="15" hidden="false" customHeight="false" outlineLevel="0" collapsed="false">
      <c r="A6612" s="0" t="n">
        <v>6611</v>
      </c>
      <c r="B6612" s="14" t="n">
        <v>111678.480273876</v>
      </c>
      <c r="C6612" s="15" t="n">
        <v>0.0751051679851549</v>
      </c>
      <c r="D6612" s="14" t="n">
        <f aca="false">Summary!$B$5-B6612</f>
        <v>-11678.4802738756</v>
      </c>
      <c r="E6612" s="15" t="n">
        <f aca="false">B6612/Summary!$B$5-1</f>
        <v>0.116784802738756</v>
      </c>
    </row>
    <row r="6613" customFormat="false" ht="15" hidden="false" customHeight="false" outlineLevel="0" collapsed="false">
      <c r="A6613" s="0" t="n">
        <v>6612</v>
      </c>
      <c r="B6613" s="14" t="n">
        <v>140998.020626504</v>
      </c>
      <c r="C6613" s="15" t="n">
        <v>0.0474541185765457</v>
      </c>
      <c r="D6613" s="14" t="n">
        <f aca="false">Summary!$B$5-B6613</f>
        <v>-40998.0206265035</v>
      </c>
      <c r="E6613" s="15" t="n">
        <f aca="false">B6613/Summary!$B$5-1</f>
        <v>0.409980206265035</v>
      </c>
    </row>
    <row r="6614" customFormat="false" ht="15" hidden="false" customHeight="false" outlineLevel="0" collapsed="false">
      <c r="A6614" s="0" t="n">
        <v>6613</v>
      </c>
      <c r="B6614" s="14" t="n">
        <v>103256.731508766</v>
      </c>
      <c r="C6614" s="15" t="n">
        <v>0.0883830745541684</v>
      </c>
      <c r="D6614" s="14" t="n">
        <f aca="false">Summary!$B$5-B6614</f>
        <v>-3256.73150876589</v>
      </c>
      <c r="E6614" s="15" t="n">
        <f aca="false">B6614/Summary!$B$5-1</f>
        <v>0.0325673150876589</v>
      </c>
    </row>
    <row r="6615" customFormat="false" ht="15" hidden="false" customHeight="false" outlineLevel="0" collapsed="false">
      <c r="A6615" s="0" t="n">
        <v>6614</v>
      </c>
      <c r="B6615" s="14" t="n">
        <v>90709.3603913083</v>
      </c>
      <c r="C6615" s="15" t="n">
        <v>0.128601920651462</v>
      </c>
      <c r="D6615" s="14" t="n">
        <f aca="false">Summary!$B$5-B6615</f>
        <v>9290.63960869172</v>
      </c>
      <c r="E6615" s="15" t="n">
        <f aca="false">B6615/Summary!$B$5-1</f>
        <v>-0.0929063960869172</v>
      </c>
    </row>
    <row r="6616" customFormat="false" ht="15" hidden="false" customHeight="false" outlineLevel="0" collapsed="false">
      <c r="A6616" s="0" t="n">
        <v>6615</v>
      </c>
      <c r="B6616" s="14" t="n">
        <v>103298.533463127</v>
      </c>
      <c r="C6616" s="15" t="n">
        <v>0.0808623802961059</v>
      </c>
      <c r="D6616" s="14" t="n">
        <f aca="false">Summary!$B$5-B6616</f>
        <v>-3298.53346312691</v>
      </c>
      <c r="E6616" s="15" t="n">
        <f aca="false">B6616/Summary!$B$5-1</f>
        <v>0.0329853346312692</v>
      </c>
    </row>
    <row r="6617" customFormat="false" ht="15" hidden="false" customHeight="false" outlineLevel="0" collapsed="false">
      <c r="A6617" s="0" t="n">
        <v>6616</v>
      </c>
      <c r="B6617" s="14" t="n">
        <v>157091.818430178</v>
      </c>
      <c r="C6617" s="15" t="n">
        <v>0.0330236668073504</v>
      </c>
      <c r="D6617" s="14" t="n">
        <f aca="false">Summary!$B$5-B6617</f>
        <v>-57091.8184301784</v>
      </c>
      <c r="E6617" s="15" t="n">
        <f aca="false">B6617/Summary!$B$5-1</f>
        <v>0.570918184301784</v>
      </c>
    </row>
    <row r="6618" customFormat="false" ht="15" hidden="false" customHeight="false" outlineLevel="0" collapsed="false">
      <c r="A6618" s="0" t="n">
        <v>6617</v>
      </c>
      <c r="B6618" s="14" t="n">
        <v>116927.919995977</v>
      </c>
      <c r="C6618" s="15" t="n">
        <v>0.0551555898963594</v>
      </c>
      <c r="D6618" s="14" t="n">
        <f aca="false">Summary!$B$5-B6618</f>
        <v>-16927.919995977</v>
      </c>
      <c r="E6618" s="15" t="n">
        <f aca="false">B6618/Summary!$B$5-1</f>
        <v>0.16927919995977</v>
      </c>
    </row>
    <row r="6619" customFormat="false" ht="15" hidden="false" customHeight="false" outlineLevel="0" collapsed="false">
      <c r="A6619" s="0" t="n">
        <v>6618</v>
      </c>
      <c r="B6619" s="14" t="n">
        <v>121950.199731973</v>
      </c>
      <c r="C6619" s="15" t="n">
        <v>0.0718217556586338</v>
      </c>
      <c r="D6619" s="14" t="n">
        <f aca="false">Summary!$B$5-B6619</f>
        <v>-21950.1997319733</v>
      </c>
      <c r="E6619" s="15" t="n">
        <f aca="false">B6619/Summary!$B$5-1</f>
        <v>0.219501997319733</v>
      </c>
    </row>
    <row r="6620" customFormat="false" ht="15" hidden="false" customHeight="false" outlineLevel="0" collapsed="false">
      <c r="A6620" s="0" t="n">
        <v>6619</v>
      </c>
      <c r="B6620" s="14" t="n">
        <v>103212.382683986</v>
      </c>
      <c r="C6620" s="15" t="n">
        <v>0.0868719370554532</v>
      </c>
      <c r="D6620" s="14" t="n">
        <f aca="false">Summary!$B$5-B6620</f>
        <v>-3212.3826839855</v>
      </c>
      <c r="E6620" s="15" t="n">
        <f aca="false">B6620/Summary!$B$5-1</f>
        <v>0.0321238268398549</v>
      </c>
    </row>
    <row r="6621" customFormat="false" ht="15" hidden="false" customHeight="false" outlineLevel="0" collapsed="false">
      <c r="A6621" s="0" t="n">
        <v>6620</v>
      </c>
      <c r="B6621" s="14" t="n">
        <v>99769.8620298446</v>
      </c>
      <c r="C6621" s="15" t="n">
        <v>0.0852909318018087</v>
      </c>
      <c r="D6621" s="14" t="n">
        <f aca="false">Summary!$B$5-B6621</f>
        <v>230.137970155367</v>
      </c>
      <c r="E6621" s="15" t="n">
        <f aca="false">B6621/Summary!$B$5-1</f>
        <v>-0.00230137970155364</v>
      </c>
    </row>
    <row r="6622" customFormat="false" ht="15" hidden="false" customHeight="false" outlineLevel="0" collapsed="false">
      <c r="A6622" s="0" t="n">
        <v>6621</v>
      </c>
      <c r="B6622" s="14" t="n">
        <v>120429.80139718</v>
      </c>
      <c r="C6622" s="15" t="n">
        <v>0.0700420413118713</v>
      </c>
      <c r="D6622" s="14" t="n">
        <f aca="false">Summary!$B$5-B6622</f>
        <v>-20429.8013971802</v>
      </c>
      <c r="E6622" s="15" t="n">
        <f aca="false">B6622/Summary!$B$5-1</f>
        <v>0.204298013971802</v>
      </c>
    </row>
    <row r="6623" customFormat="false" ht="15" hidden="false" customHeight="false" outlineLevel="0" collapsed="false">
      <c r="A6623" s="0" t="n">
        <v>6622</v>
      </c>
      <c r="B6623" s="14" t="n">
        <v>103170.126716213</v>
      </c>
      <c r="C6623" s="15" t="n">
        <v>0.14442275429394</v>
      </c>
      <c r="D6623" s="14" t="n">
        <f aca="false">Summary!$B$5-B6623</f>
        <v>-3170.126716213</v>
      </c>
      <c r="E6623" s="15" t="n">
        <f aca="false">B6623/Summary!$B$5-1</f>
        <v>0.03170126716213</v>
      </c>
    </row>
    <row r="6624" customFormat="false" ht="15" hidden="false" customHeight="false" outlineLevel="0" collapsed="false">
      <c r="A6624" s="0" t="n">
        <v>6623</v>
      </c>
      <c r="B6624" s="14" t="n">
        <v>93468.1461698709</v>
      </c>
      <c r="C6624" s="15" t="n">
        <v>0.127453093451125</v>
      </c>
      <c r="D6624" s="14" t="n">
        <f aca="false">Summary!$B$5-B6624</f>
        <v>6531.85383012914</v>
      </c>
      <c r="E6624" s="15" t="n">
        <f aca="false">B6624/Summary!$B$5-1</f>
        <v>-0.0653185383012914</v>
      </c>
    </row>
    <row r="6625" customFormat="false" ht="15" hidden="false" customHeight="false" outlineLevel="0" collapsed="false">
      <c r="A6625" s="0" t="n">
        <v>6624</v>
      </c>
      <c r="B6625" s="14" t="n">
        <v>111924.724157723</v>
      </c>
      <c r="C6625" s="15" t="n">
        <v>0.0740230651051687</v>
      </c>
      <c r="D6625" s="14" t="n">
        <f aca="false">Summary!$B$5-B6625</f>
        <v>-11924.7241577227</v>
      </c>
      <c r="E6625" s="15" t="n">
        <f aca="false">B6625/Summary!$B$5-1</f>
        <v>0.119247241577227</v>
      </c>
    </row>
    <row r="6626" customFormat="false" ht="15" hidden="false" customHeight="false" outlineLevel="0" collapsed="false">
      <c r="A6626" s="0" t="n">
        <v>6625</v>
      </c>
      <c r="B6626" s="14" t="n">
        <v>104618.877314274</v>
      </c>
      <c r="C6626" s="15" t="n">
        <v>0.104304531719277</v>
      </c>
      <c r="D6626" s="14" t="n">
        <f aca="false">Summary!$B$5-B6626</f>
        <v>-4618.8773142736</v>
      </c>
      <c r="E6626" s="15" t="n">
        <f aca="false">B6626/Summary!$B$5-1</f>
        <v>0.046188773142736</v>
      </c>
    </row>
    <row r="6627" customFormat="false" ht="15" hidden="false" customHeight="false" outlineLevel="0" collapsed="false">
      <c r="A6627" s="0" t="n">
        <v>6626</v>
      </c>
      <c r="B6627" s="14" t="n">
        <v>114461.465572298</v>
      </c>
      <c r="C6627" s="15" t="n">
        <v>0.0853876787916699</v>
      </c>
      <c r="D6627" s="14" t="n">
        <f aca="false">Summary!$B$5-B6627</f>
        <v>-14461.4655722978</v>
      </c>
      <c r="E6627" s="15" t="n">
        <f aca="false">B6627/Summary!$B$5-1</f>
        <v>0.144614655722978</v>
      </c>
    </row>
    <row r="6628" customFormat="false" ht="15" hidden="false" customHeight="false" outlineLevel="0" collapsed="false">
      <c r="A6628" s="0" t="n">
        <v>6627</v>
      </c>
      <c r="B6628" s="14" t="n">
        <v>119646.207364832</v>
      </c>
      <c r="C6628" s="15" t="n">
        <v>0.10968306582957</v>
      </c>
      <c r="D6628" s="14" t="n">
        <f aca="false">Summary!$B$5-B6628</f>
        <v>-19646.2073648319</v>
      </c>
      <c r="E6628" s="15" t="n">
        <f aca="false">B6628/Summary!$B$5-1</f>
        <v>0.196462073648319</v>
      </c>
    </row>
    <row r="6629" customFormat="false" ht="15" hidden="false" customHeight="false" outlineLevel="0" collapsed="false">
      <c r="A6629" s="0" t="n">
        <v>6628</v>
      </c>
      <c r="B6629" s="14" t="n">
        <v>101433.336036943</v>
      </c>
      <c r="C6629" s="15" t="n">
        <v>0.157245180495462</v>
      </c>
      <c r="D6629" s="14" t="n">
        <f aca="false">Summary!$B$5-B6629</f>
        <v>-1433.3360369427</v>
      </c>
      <c r="E6629" s="15" t="n">
        <f aca="false">B6629/Summary!$B$5-1</f>
        <v>0.0143333603694269</v>
      </c>
    </row>
    <row r="6630" customFormat="false" ht="15" hidden="false" customHeight="false" outlineLevel="0" collapsed="false">
      <c r="A6630" s="0" t="n">
        <v>6629</v>
      </c>
      <c r="B6630" s="14" t="n">
        <v>102518.976367219</v>
      </c>
      <c r="C6630" s="15" t="n">
        <v>0.107886972551716</v>
      </c>
      <c r="D6630" s="14" t="n">
        <f aca="false">Summary!$B$5-B6630</f>
        <v>-2518.9763672194</v>
      </c>
      <c r="E6630" s="15" t="n">
        <f aca="false">B6630/Summary!$B$5-1</f>
        <v>0.0251897636721941</v>
      </c>
    </row>
    <row r="6631" customFormat="false" ht="15" hidden="false" customHeight="false" outlineLevel="0" collapsed="false">
      <c r="A6631" s="0" t="n">
        <v>6630</v>
      </c>
      <c r="B6631" s="14" t="n">
        <v>125747.471096154</v>
      </c>
      <c r="C6631" s="15" t="n">
        <v>0.0868576798551156</v>
      </c>
      <c r="D6631" s="14" t="n">
        <f aca="false">Summary!$B$5-B6631</f>
        <v>-25747.4710961543</v>
      </c>
      <c r="E6631" s="15" t="n">
        <f aca="false">B6631/Summary!$B$5-1</f>
        <v>0.257474710961543</v>
      </c>
    </row>
    <row r="6632" customFormat="false" ht="15" hidden="false" customHeight="false" outlineLevel="0" collapsed="false">
      <c r="A6632" s="0" t="n">
        <v>6631</v>
      </c>
      <c r="B6632" s="14" t="n">
        <v>123831.575051111</v>
      </c>
      <c r="C6632" s="15" t="n">
        <v>0.0890950067210345</v>
      </c>
      <c r="D6632" s="14" t="n">
        <f aca="false">Summary!$B$5-B6632</f>
        <v>-23831.5750511107</v>
      </c>
      <c r="E6632" s="15" t="n">
        <f aca="false">B6632/Summary!$B$5-1</f>
        <v>0.238315750511107</v>
      </c>
    </row>
    <row r="6633" customFormat="false" ht="15" hidden="false" customHeight="false" outlineLevel="0" collapsed="false">
      <c r="A6633" s="0" t="n">
        <v>6632</v>
      </c>
      <c r="B6633" s="14" t="n">
        <v>122263.637278161</v>
      </c>
      <c r="C6633" s="15" t="n">
        <v>0.0569014819106342</v>
      </c>
      <c r="D6633" s="14" t="n">
        <f aca="false">Summary!$B$5-B6633</f>
        <v>-22263.6372781605</v>
      </c>
      <c r="E6633" s="15" t="n">
        <f aca="false">B6633/Summary!$B$5-1</f>
        <v>0.222636372781605</v>
      </c>
    </row>
    <row r="6634" customFormat="false" ht="15" hidden="false" customHeight="false" outlineLevel="0" collapsed="false">
      <c r="A6634" s="0" t="n">
        <v>6633</v>
      </c>
      <c r="B6634" s="14" t="n">
        <v>127242.651975877</v>
      </c>
      <c r="C6634" s="15" t="n">
        <v>0.0850213185753864</v>
      </c>
      <c r="D6634" s="14" t="n">
        <f aca="false">Summary!$B$5-B6634</f>
        <v>-27242.651975877</v>
      </c>
      <c r="E6634" s="15" t="n">
        <f aca="false">B6634/Summary!$B$5-1</f>
        <v>0.27242651975877</v>
      </c>
    </row>
    <row r="6635" customFormat="false" ht="15" hidden="false" customHeight="false" outlineLevel="0" collapsed="false">
      <c r="A6635" s="0" t="n">
        <v>6634</v>
      </c>
      <c r="B6635" s="14" t="n">
        <v>108715.150139798</v>
      </c>
      <c r="C6635" s="15" t="n">
        <v>0.0903024992900187</v>
      </c>
      <c r="D6635" s="14" t="n">
        <f aca="false">Summary!$B$5-B6635</f>
        <v>-8715.1501397976</v>
      </c>
      <c r="E6635" s="15" t="n">
        <f aca="false">B6635/Summary!$B$5-1</f>
        <v>0.087151501397976</v>
      </c>
    </row>
    <row r="6636" customFormat="false" ht="15" hidden="false" customHeight="false" outlineLevel="0" collapsed="false">
      <c r="A6636" s="0" t="n">
        <v>6635</v>
      </c>
      <c r="B6636" s="14" t="n">
        <v>91311.6474235909</v>
      </c>
      <c r="C6636" s="15" t="n">
        <v>0.122606557352614</v>
      </c>
      <c r="D6636" s="14" t="n">
        <f aca="false">Summary!$B$5-B6636</f>
        <v>8688.35257640906</v>
      </c>
      <c r="E6636" s="15" t="n">
        <f aca="false">B6636/Summary!$B$5-1</f>
        <v>-0.0868835257640906</v>
      </c>
    </row>
    <row r="6637" customFormat="false" ht="15" hidden="false" customHeight="false" outlineLevel="0" collapsed="false">
      <c r="A6637" s="0" t="n">
        <v>6636</v>
      </c>
      <c r="B6637" s="14" t="n">
        <v>102073.401214517</v>
      </c>
      <c r="C6637" s="15" t="n">
        <v>0.0845306917003328</v>
      </c>
      <c r="D6637" s="14" t="n">
        <f aca="false">Summary!$B$5-B6637</f>
        <v>-2073.4012145165</v>
      </c>
      <c r="E6637" s="15" t="n">
        <f aca="false">B6637/Summary!$B$5-1</f>
        <v>0.0207340121451651</v>
      </c>
    </row>
    <row r="6638" customFormat="false" ht="15" hidden="false" customHeight="false" outlineLevel="0" collapsed="false">
      <c r="A6638" s="0" t="n">
        <v>6637</v>
      </c>
      <c r="B6638" s="14" t="n">
        <v>124805.126620864</v>
      </c>
      <c r="C6638" s="15" t="n">
        <v>0.0691604990484322</v>
      </c>
      <c r="D6638" s="14" t="n">
        <f aca="false">Summary!$B$5-B6638</f>
        <v>-24805.1266208642</v>
      </c>
      <c r="E6638" s="15" t="n">
        <f aca="false">B6638/Summary!$B$5-1</f>
        <v>0.248051266208642</v>
      </c>
    </row>
    <row r="6639" customFormat="false" ht="15" hidden="false" customHeight="false" outlineLevel="0" collapsed="false">
      <c r="A6639" s="0" t="n">
        <v>6638</v>
      </c>
      <c r="B6639" s="14" t="n">
        <v>120540.578503174</v>
      </c>
      <c r="C6639" s="15" t="n">
        <v>0.0793961019486587</v>
      </c>
      <c r="D6639" s="14" t="n">
        <f aca="false">Summary!$B$5-B6639</f>
        <v>-20540.578503174</v>
      </c>
      <c r="E6639" s="15" t="n">
        <f aca="false">B6639/Summary!$B$5-1</f>
        <v>0.20540578503174</v>
      </c>
    </row>
    <row r="6640" customFormat="false" ht="15" hidden="false" customHeight="false" outlineLevel="0" collapsed="false">
      <c r="A6640" s="0" t="n">
        <v>6639</v>
      </c>
      <c r="B6640" s="14" t="n">
        <v>100548.053574281</v>
      </c>
      <c r="C6640" s="15" t="n">
        <v>0.197971257828157</v>
      </c>
      <c r="D6640" s="14" t="n">
        <f aca="false">Summary!$B$5-B6640</f>
        <v>-548.053574281206</v>
      </c>
      <c r="E6640" s="15" t="n">
        <f aca="false">B6640/Summary!$B$5-1</f>
        <v>0.00548053574281204</v>
      </c>
    </row>
    <row r="6641" customFormat="false" ht="15" hidden="false" customHeight="false" outlineLevel="0" collapsed="false">
      <c r="A6641" s="0" t="n">
        <v>6640</v>
      </c>
      <c r="B6641" s="14" t="n">
        <v>96707.5696427787</v>
      </c>
      <c r="C6641" s="15" t="n">
        <v>0.0975230990234393</v>
      </c>
      <c r="D6641" s="14" t="n">
        <f aca="false">Summary!$B$5-B6641</f>
        <v>3292.43035722131</v>
      </c>
      <c r="E6641" s="15" t="n">
        <f aca="false">B6641/Summary!$B$5-1</f>
        <v>-0.0329243035722131</v>
      </c>
    </row>
    <row r="6642" customFormat="false" ht="15" hidden="false" customHeight="false" outlineLevel="0" collapsed="false">
      <c r="A6642" s="0" t="n">
        <v>6641</v>
      </c>
      <c r="B6642" s="14" t="n">
        <v>106022.793312404</v>
      </c>
      <c r="C6642" s="15" t="n">
        <v>0.108329411904196</v>
      </c>
      <c r="D6642" s="14" t="n">
        <f aca="false">Summary!$B$5-B6642</f>
        <v>-6022.7933124035</v>
      </c>
      <c r="E6642" s="15" t="n">
        <f aca="false">B6642/Summary!$B$5-1</f>
        <v>0.060227933124035</v>
      </c>
    </row>
    <row r="6643" customFormat="false" ht="15" hidden="false" customHeight="false" outlineLevel="0" collapsed="false">
      <c r="A6643" s="0" t="n">
        <v>6642</v>
      </c>
      <c r="B6643" s="14" t="n">
        <v>127594.365848979</v>
      </c>
      <c r="C6643" s="15" t="n">
        <v>0.0577759451914517</v>
      </c>
      <c r="D6643" s="14" t="n">
        <f aca="false">Summary!$B$5-B6643</f>
        <v>-27594.3658489787</v>
      </c>
      <c r="E6643" s="15" t="n">
        <f aca="false">B6643/Summary!$B$5-1</f>
        <v>0.275943658489787</v>
      </c>
    </row>
    <row r="6644" customFormat="false" ht="15" hidden="false" customHeight="false" outlineLevel="0" collapsed="false">
      <c r="A6644" s="0" t="n">
        <v>6643</v>
      </c>
      <c r="B6644" s="14" t="n">
        <v>124859.825842938</v>
      </c>
      <c r="C6644" s="15" t="n">
        <v>0.0428731946972212</v>
      </c>
      <c r="D6644" s="14" t="n">
        <f aca="false">Summary!$B$5-B6644</f>
        <v>-24859.8258429381</v>
      </c>
      <c r="E6644" s="15" t="n">
        <f aca="false">B6644/Summary!$B$5-1</f>
        <v>0.248598258429381</v>
      </c>
    </row>
    <row r="6645" customFormat="false" ht="15" hidden="false" customHeight="false" outlineLevel="0" collapsed="false">
      <c r="A6645" s="0" t="n">
        <v>6644</v>
      </c>
      <c r="B6645" s="14" t="n">
        <v>122155.817848183</v>
      </c>
      <c r="C6645" s="15" t="n">
        <v>0.0915751408708321</v>
      </c>
      <c r="D6645" s="14" t="n">
        <f aca="false">Summary!$B$5-B6645</f>
        <v>-22155.8178481832</v>
      </c>
      <c r="E6645" s="15" t="n">
        <f aca="false">B6645/Summary!$B$5-1</f>
        <v>0.221558178481832</v>
      </c>
    </row>
    <row r="6646" customFormat="false" ht="15" hidden="false" customHeight="false" outlineLevel="0" collapsed="false">
      <c r="A6646" s="0" t="n">
        <v>6645</v>
      </c>
      <c r="B6646" s="14" t="n">
        <v>98849.4823742</v>
      </c>
      <c r="C6646" s="15" t="n">
        <v>0.102900664814643</v>
      </c>
      <c r="D6646" s="14" t="n">
        <f aca="false">Summary!$B$5-B6646</f>
        <v>1150.51762580001</v>
      </c>
      <c r="E6646" s="15" t="n">
        <f aca="false">B6646/Summary!$B$5-1</f>
        <v>-0.0115051762580002</v>
      </c>
    </row>
    <row r="6647" customFormat="false" ht="15" hidden="false" customHeight="false" outlineLevel="0" collapsed="false">
      <c r="A6647" s="0" t="n">
        <v>6646</v>
      </c>
      <c r="B6647" s="14" t="n">
        <v>115651.836535027</v>
      </c>
      <c r="C6647" s="15" t="n">
        <v>0.0440601144208205</v>
      </c>
      <c r="D6647" s="14" t="n">
        <f aca="false">Summary!$B$5-B6647</f>
        <v>-15651.8365350271</v>
      </c>
      <c r="E6647" s="15" t="n">
        <f aca="false">B6647/Summary!$B$5-1</f>
        <v>0.156518365350271</v>
      </c>
    </row>
    <row r="6648" customFormat="false" ht="15" hidden="false" customHeight="false" outlineLevel="0" collapsed="false">
      <c r="A6648" s="0" t="n">
        <v>6647</v>
      </c>
      <c r="B6648" s="14" t="n">
        <v>121882.970581232</v>
      </c>
      <c r="C6648" s="15" t="n">
        <v>0.0728188362002195</v>
      </c>
      <c r="D6648" s="14" t="n">
        <f aca="false">Summary!$B$5-B6648</f>
        <v>-21882.9705812316</v>
      </c>
      <c r="E6648" s="15" t="n">
        <f aca="false">B6648/Summary!$B$5-1</f>
        <v>0.218829705812316</v>
      </c>
    </row>
    <row r="6649" customFormat="false" ht="15" hidden="false" customHeight="false" outlineLevel="0" collapsed="false">
      <c r="A6649" s="0" t="n">
        <v>6648</v>
      </c>
      <c r="B6649" s="14" t="n">
        <v>130509.509900632</v>
      </c>
      <c r="C6649" s="15" t="n">
        <v>0.104701135152411</v>
      </c>
      <c r="D6649" s="14" t="n">
        <f aca="false">Summary!$B$5-B6649</f>
        <v>-30509.5099006318</v>
      </c>
      <c r="E6649" s="15" t="n">
        <f aca="false">B6649/Summary!$B$5-1</f>
        <v>0.305095099006318</v>
      </c>
    </row>
    <row r="6650" customFormat="false" ht="15" hidden="false" customHeight="false" outlineLevel="0" collapsed="false">
      <c r="A6650" s="0" t="n">
        <v>6649</v>
      </c>
      <c r="B6650" s="14" t="n">
        <v>94710.8484240888</v>
      </c>
      <c r="C6650" s="15" t="n">
        <v>0.116126746964288</v>
      </c>
      <c r="D6650" s="14" t="n">
        <f aca="false">Summary!$B$5-B6650</f>
        <v>5289.15157591125</v>
      </c>
      <c r="E6650" s="15" t="n">
        <f aca="false">B6650/Summary!$B$5-1</f>
        <v>-0.0528915157591126</v>
      </c>
    </row>
    <row r="6651" customFormat="false" ht="15" hidden="false" customHeight="false" outlineLevel="0" collapsed="false">
      <c r="A6651" s="0" t="n">
        <v>6650</v>
      </c>
      <c r="B6651" s="14" t="n">
        <v>112311.093225061</v>
      </c>
      <c r="C6651" s="15" t="n">
        <v>0.0834846896624241</v>
      </c>
      <c r="D6651" s="14" t="n">
        <f aca="false">Summary!$B$5-B6651</f>
        <v>-12311.0932250611</v>
      </c>
      <c r="E6651" s="15" t="n">
        <f aca="false">B6651/Summary!$B$5-1</f>
        <v>0.123110932250611</v>
      </c>
    </row>
    <row r="6652" customFormat="false" ht="15" hidden="false" customHeight="false" outlineLevel="0" collapsed="false">
      <c r="A6652" s="0" t="n">
        <v>6651</v>
      </c>
      <c r="B6652" s="14" t="n">
        <v>122345.469455412</v>
      </c>
      <c r="C6652" s="15" t="n">
        <v>0.0870454646972565</v>
      </c>
      <c r="D6652" s="14" t="n">
        <f aca="false">Summary!$B$5-B6652</f>
        <v>-22345.469455412</v>
      </c>
      <c r="E6652" s="15" t="n">
        <f aca="false">B6652/Summary!$B$5-1</f>
        <v>0.22345469455412</v>
      </c>
    </row>
    <row r="6653" customFormat="false" ht="15" hidden="false" customHeight="false" outlineLevel="0" collapsed="false">
      <c r="A6653" s="0" t="n">
        <v>6652</v>
      </c>
      <c r="B6653" s="14" t="n">
        <v>113719.134151815</v>
      </c>
      <c r="C6653" s="15" t="n">
        <v>0.0527176974047539</v>
      </c>
      <c r="D6653" s="14" t="n">
        <f aca="false">Summary!$B$5-B6653</f>
        <v>-13719.1341518145</v>
      </c>
      <c r="E6653" s="15" t="n">
        <f aca="false">B6653/Summary!$B$5-1</f>
        <v>0.137191341518145</v>
      </c>
    </row>
    <row r="6654" customFormat="false" ht="15" hidden="false" customHeight="false" outlineLevel="0" collapsed="false">
      <c r="A6654" s="0" t="n">
        <v>6653</v>
      </c>
      <c r="B6654" s="14" t="n">
        <v>101045.754714565</v>
      </c>
      <c r="C6654" s="15" t="n">
        <v>0.120383793956527</v>
      </c>
      <c r="D6654" s="14" t="n">
        <f aca="false">Summary!$B$5-B6654</f>
        <v>-1045.7547145651</v>
      </c>
      <c r="E6654" s="15" t="n">
        <f aca="false">B6654/Summary!$B$5-1</f>
        <v>0.0104575471456509</v>
      </c>
    </row>
    <row r="6655" customFormat="false" ht="15" hidden="false" customHeight="false" outlineLevel="0" collapsed="false">
      <c r="A6655" s="0" t="n">
        <v>6654</v>
      </c>
      <c r="B6655" s="14" t="n">
        <v>114668.099876537</v>
      </c>
      <c r="C6655" s="15" t="n">
        <v>0.0469414780856671</v>
      </c>
      <c r="D6655" s="14" t="n">
        <f aca="false">Summary!$B$5-B6655</f>
        <v>-14668.0998765367</v>
      </c>
      <c r="E6655" s="15" t="n">
        <f aca="false">B6655/Summary!$B$5-1</f>
        <v>0.146680998765367</v>
      </c>
    </row>
    <row r="6656" customFormat="false" ht="15" hidden="false" customHeight="false" outlineLevel="0" collapsed="false">
      <c r="A6656" s="0" t="n">
        <v>6655</v>
      </c>
      <c r="B6656" s="14" t="n">
        <v>99271.0395272736</v>
      </c>
      <c r="C6656" s="15" t="n">
        <v>0.104585892575676</v>
      </c>
      <c r="D6656" s="14" t="n">
        <f aca="false">Summary!$B$5-B6656</f>
        <v>728.96047272638</v>
      </c>
      <c r="E6656" s="15" t="n">
        <f aca="false">B6656/Summary!$B$5-1</f>
        <v>-0.00728960472726381</v>
      </c>
    </row>
    <row r="6657" customFormat="false" ht="15" hidden="false" customHeight="false" outlineLevel="0" collapsed="false">
      <c r="A6657" s="0" t="n">
        <v>6656</v>
      </c>
      <c r="B6657" s="14" t="n">
        <v>115183.197143076</v>
      </c>
      <c r="C6657" s="15" t="n">
        <v>0.107954110790232</v>
      </c>
      <c r="D6657" s="14" t="n">
        <f aca="false">Summary!$B$5-B6657</f>
        <v>-15183.1971430762</v>
      </c>
      <c r="E6657" s="15" t="n">
        <f aca="false">B6657/Summary!$B$5-1</f>
        <v>0.151831971430762</v>
      </c>
    </row>
    <row r="6658" customFormat="false" ht="15" hidden="false" customHeight="false" outlineLevel="0" collapsed="false">
      <c r="A6658" s="0" t="n">
        <v>6657</v>
      </c>
      <c r="B6658" s="14" t="n">
        <v>103315.879445167</v>
      </c>
      <c r="C6658" s="15" t="n">
        <v>0.12181544176151</v>
      </c>
      <c r="D6658" s="14" t="n">
        <f aca="false">Summary!$B$5-B6658</f>
        <v>-3315.8794451674</v>
      </c>
      <c r="E6658" s="15" t="n">
        <f aca="false">B6658/Summary!$B$5-1</f>
        <v>0.033158794451674</v>
      </c>
    </row>
    <row r="6659" customFormat="false" ht="15" hidden="false" customHeight="false" outlineLevel="0" collapsed="false">
      <c r="A6659" s="0" t="n">
        <v>6658</v>
      </c>
      <c r="B6659" s="14" t="n">
        <v>127500.074472982</v>
      </c>
      <c r="C6659" s="15" t="n">
        <v>0.0772335083379321</v>
      </c>
      <c r="D6659" s="14" t="n">
        <f aca="false">Summary!$B$5-B6659</f>
        <v>-27500.0744729821</v>
      </c>
      <c r="E6659" s="15" t="n">
        <f aca="false">B6659/Summary!$B$5-1</f>
        <v>0.275000744729821</v>
      </c>
    </row>
    <row r="6660" customFormat="false" ht="15" hidden="false" customHeight="false" outlineLevel="0" collapsed="false">
      <c r="A6660" s="0" t="n">
        <v>6659</v>
      </c>
      <c r="B6660" s="14" t="n">
        <v>119635.962416198</v>
      </c>
      <c r="C6660" s="15" t="n">
        <v>0.116501992180201</v>
      </c>
      <c r="D6660" s="14" t="n">
        <f aca="false">Summary!$B$5-B6660</f>
        <v>-19635.9624161979</v>
      </c>
      <c r="E6660" s="15" t="n">
        <f aca="false">B6660/Summary!$B$5-1</f>
        <v>0.196359624161979</v>
      </c>
    </row>
    <row r="6661" customFormat="false" ht="15" hidden="false" customHeight="false" outlineLevel="0" collapsed="false">
      <c r="A6661" s="0" t="n">
        <v>6660</v>
      </c>
      <c r="B6661" s="14" t="n">
        <v>112040.864814261</v>
      </c>
      <c r="C6661" s="15" t="n">
        <v>0.0505726304065354</v>
      </c>
      <c r="D6661" s="14" t="n">
        <f aca="false">Summary!$B$5-B6661</f>
        <v>-12040.8648142609</v>
      </c>
      <c r="E6661" s="15" t="n">
        <f aca="false">B6661/Summary!$B$5-1</f>
        <v>0.120408648142609</v>
      </c>
    </row>
    <row r="6662" customFormat="false" ht="15" hidden="false" customHeight="false" outlineLevel="0" collapsed="false">
      <c r="A6662" s="0" t="n">
        <v>6661</v>
      </c>
      <c r="B6662" s="14" t="n">
        <v>112524.466473227</v>
      </c>
      <c r="C6662" s="15" t="n">
        <v>0.0810270802891653</v>
      </c>
      <c r="D6662" s="14" t="n">
        <f aca="false">Summary!$B$5-B6662</f>
        <v>-12524.4664732268</v>
      </c>
      <c r="E6662" s="15" t="n">
        <f aca="false">B6662/Summary!$B$5-1</f>
        <v>0.125244664732268</v>
      </c>
    </row>
    <row r="6663" customFormat="false" ht="15" hidden="false" customHeight="false" outlineLevel="0" collapsed="false">
      <c r="A6663" s="0" t="n">
        <v>6662</v>
      </c>
      <c r="B6663" s="14" t="n">
        <v>110946.123035879</v>
      </c>
      <c r="C6663" s="15" t="n">
        <v>0.0935321074076163</v>
      </c>
      <c r="D6663" s="14" t="n">
        <f aca="false">Summary!$B$5-B6663</f>
        <v>-10946.1230358792</v>
      </c>
      <c r="E6663" s="15" t="n">
        <f aca="false">B6663/Summary!$B$5-1</f>
        <v>0.109461230358792</v>
      </c>
    </row>
    <row r="6664" customFormat="false" ht="15" hidden="false" customHeight="false" outlineLevel="0" collapsed="false">
      <c r="A6664" s="0" t="n">
        <v>6663</v>
      </c>
      <c r="B6664" s="14" t="n">
        <v>116759.778421502</v>
      </c>
      <c r="C6664" s="15" t="n">
        <v>0.0419565144057251</v>
      </c>
      <c r="D6664" s="14" t="n">
        <f aca="false">Summary!$B$5-B6664</f>
        <v>-16759.7784215024</v>
      </c>
      <c r="E6664" s="15" t="n">
        <f aca="false">B6664/Summary!$B$5-1</f>
        <v>0.167597784215024</v>
      </c>
    </row>
    <row r="6665" customFormat="false" ht="15" hidden="false" customHeight="false" outlineLevel="0" collapsed="false">
      <c r="A6665" s="0" t="n">
        <v>6664</v>
      </c>
      <c r="B6665" s="14" t="n">
        <v>101258.699898332</v>
      </c>
      <c r="C6665" s="15" t="n">
        <v>0.0778639323108263</v>
      </c>
      <c r="D6665" s="14" t="n">
        <f aca="false">Summary!$B$5-B6665</f>
        <v>-1258.6998983316</v>
      </c>
      <c r="E6665" s="15" t="n">
        <f aca="false">B6665/Summary!$B$5-1</f>
        <v>0.0125869989833161</v>
      </c>
    </row>
    <row r="6666" customFormat="false" ht="15" hidden="false" customHeight="false" outlineLevel="0" collapsed="false">
      <c r="A6666" s="0" t="n">
        <v>6665</v>
      </c>
      <c r="B6666" s="14" t="n">
        <v>94352.8512800873</v>
      </c>
      <c r="C6666" s="15" t="n">
        <v>0.135351923091677</v>
      </c>
      <c r="D6666" s="14" t="n">
        <f aca="false">Summary!$B$5-B6666</f>
        <v>5647.14871991274</v>
      </c>
      <c r="E6666" s="15" t="n">
        <f aca="false">B6666/Summary!$B$5-1</f>
        <v>-0.0564714871991274</v>
      </c>
    </row>
    <row r="6667" customFormat="false" ht="15" hidden="false" customHeight="false" outlineLevel="0" collapsed="false">
      <c r="A6667" s="0" t="n">
        <v>6666</v>
      </c>
      <c r="B6667" s="14" t="n">
        <v>112409.198941485</v>
      </c>
      <c r="C6667" s="15" t="n">
        <v>0.0603466071453107</v>
      </c>
      <c r="D6667" s="14" t="n">
        <f aca="false">Summary!$B$5-B6667</f>
        <v>-12409.1989414853</v>
      </c>
      <c r="E6667" s="15" t="n">
        <f aca="false">B6667/Summary!$B$5-1</f>
        <v>0.124091989414853</v>
      </c>
    </row>
    <row r="6668" customFormat="false" ht="15" hidden="false" customHeight="false" outlineLevel="0" collapsed="false">
      <c r="A6668" s="0" t="n">
        <v>6667</v>
      </c>
      <c r="B6668" s="14" t="n">
        <v>106416.736947651</v>
      </c>
      <c r="C6668" s="15" t="n">
        <v>0.0706987179056915</v>
      </c>
      <c r="D6668" s="14" t="n">
        <f aca="false">Summary!$B$5-B6668</f>
        <v>-6416.73694765109</v>
      </c>
      <c r="E6668" s="15" t="n">
        <f aca="false">B6668/Summary!$B$5-1</f>
        <v>0.064167369476511</v>
      </c>
    </row>
    <row r="6669" customFormat="false" ht="15" hidden="false" customHeight="false" outlineLevel="0" collapsed="false">
      <c r="A6669" s="0" t="n">
        <v>6668</v>
      </c>
      <c r="B6669" s="14" t="n">
        <v>115800.92386989</v>
      </c>
      <c r="C6669" s="15" t="n">
        <v>0.105605365445618</v>
      </c>
      <c r="D6669" s="14" t="n">
        <f aca="false">Summary!$B$5-B6669</f>
        <v>-15800.9238698898</v>
      </c>
      <c r="E6669" s="15" t="n">
        <f aca="false">B6669/Summary!$B$5-1</f>
        <v>0.158009238698898</v>
      </c>
    </row>
    <row r="6670" customFormat="false" ht="15" hidden="false" customHeight="false" outlineLevel="0" collapsed="false">
      <c r="A6670" s="0" t="n">
        <v>6669</v>
      </c>
      <c r="B6670" s="14" t="n">
        <v>114056.080328057</v>
      </c>
      <c r="C6670" s="15" t="n">
        <v>0.091918530622269</v>
      </c>
      <c r="D6670" s="14" t="n">
        <f aca="false">Summary!$B$5-B6670</f>
        <v>-14056.080328057</v>
      </c>
      <c r="E6670" s="15" t="n">
        <f aca="false">B6670/Summary!$B$5-1</f>
        <v>0.14056080328057</v>
      </c>
    </row>
    <row r="6671" customFormat="false" ht="15" hidden="false" customHeight="false" outlineLevel="0" collapsed="false">
      <c r="A6671" s="0" t="n">
        <v>6670</v>
      </c>
      <c r="B6671" s="14" t="n">
        <v>107779.012960505</v>
      </c>
      <c r="C6671" s="15" t="n">
        <v>0.160533318177799</v>
      </c>
      <c r="D6671" s="14" t="n">
        <f aca="false">Summary!$B$5-B6671</f>
        <v>-7779.0129605047</v>
      </c>
      <c r="E6671" s="15" t="n">
        <f aca="false">B6671/Summary!$B$5-1</f>
        <v>0.0777901296050469</v>
      </c>
    </row>
    <row r="6672" customFormat="false" ht="15" hidden="false" customHeight="false" outlineLevel="0" collapsed="false">
      <c r="A6672" s="0" t="n">
        <v>6671</v>
      </c>
      <c r="B6672" s="14" t="n">
        <v>93395.7073890416</v>
      </c>
      <c r="C6672" s="15" t="n">
        <v>0.153552375205422</v>
      </c>
      <c r="D6672" s="14" t="n">
        <f aca="false">Summary!$B$5-B6672</f>
        <v>6604.29261095839</v>
      </c>
      <c r="E6672" s="15" t="n">
        <f aca="false">B6672/Summary!$B$5-1</f>
        <v>-0.066042926109584</v>
      </c>
    </row>
    <row r="6673" customFormat="false" ht="15" hidden="false" customHeight="false" outlineLevel="0" collapsed="false">
      <c r="A6673" s="0" t="n">
        <v>6672</v>
      </c>
      <c r="B6673" s="14" t="n">
        <v>121522.033226789</v>
      </c>
      <c r="C6673" s="15" t="n">
        <v>0.140185377905997</v>
      </c>
      <c r="D6673" s="14" t="n">
        <f aca="false">Summary!$B$5-B6673</f>
        <v>-21522.0332267885</v>
      </c>
      <c r="E6673" s="15" t="n">
        <f aca="false">B6673/Summary!$B$5-1</f>
        <v>0.215220332267885</v>
      </c>
    </row>
    <row r="6674" customFormat="false" ht="15" hidden="false" customHeight="false" outlineLevel="0" collapsed="false">
      <c r="A6674" s="0" t="n">
        <v>6673</v>
      </c>
      <c r="B6674" s="14" t="n">
        <v>120282.096256691</v>
      </c>
      <c r="C6674" s="15" t="n">
        <v>0.0946486854193593</v>
      </c>
      <c r="D6674" s="14" t="n">
        <f aca="false">Summary!$B$5-B6674</f>
        <v>-20282.0962566907</v>
      </c>
      <c r="E6674" s="15" t="n">
        <f aca="false">B6674/Summary!$B$5-1</f>
        <v>0.202820962566907</v>
      </c>
    </row>
    <row r="6675" customFormat="false" ht="15" hidden="false" customHeight="false" outlineLevel="0" collapsed="false">
      <c r="A6675" s="0" t="n">
        <v>6674</v>
      </c>
      <c r="B6675" s="14" t="n">
        <v>97702.471389075</v>
      </c>
      <c r="C6675" s="15" t="n">
        <v>0.126941835001142</v>
      </c>
      <c r="D6675" s="14" t="n">
        <f aca="false">Summary!$B$5-B6675</f>
        <v>2297.52861092496</v>
      </c>
      <c r="E6675" s="15" t="n">
        <f aca="false">B6675/Summary!$B$5-1</f>
        <v>-0.0229752861092496</v>
      </c>
    </row>
    <row r="6676" customFormat="false" ht="15" hidden="false" customHeight="false" outlineLevel="0" collapsed="false">
      <c r="A6676" s="0" t="n">
        <v>6675</v>
      </c>
      <c r="B6676" s="14" t="n">
        <v>108476.215063148</v>
      </c>
      <c r="C6676" s="15" t="n">
        <v>0.079709694045816</v>
      </c>
      <c r="D6676" s="14" t="n">
        <f aca="false">Summary!$B$5-B6676</f>
        <v>-8476.2150631484</v>
      </c>
      <c r="E6676" s="15" t="n">
        <f aca="false">B6676/Summary!$B$5-1</f>
        <v>0.084762150631484</v>
      </c>
    </row>
    <row r="6677" customFormat="false" ht="15" hidden="false" customHeight="false" outlineLevel="0" collapsed="false">
      <c r="A6677" s="0" t="n">
        <v>6676</v>
      </c>
      <c r="B6677" s="14" t="n">
        <v>101190.563113153</v>
      </c>
      <c r="C6677" s="15" t="n">
        <v>0.114007365921044</v>
      </c>
      <c r="D6677" s="14" t="n">
        <f aca="false">Summary!$B$5-B6677</f>
        <v>-1190.5631131527</v>
      </c>
      <c r="E6677" s="15" t="n">
        <f aca="false">B6677/Summary!$B$5-1</f>
        <v>0.0119056311315271</v>
      </c>
    </row>
    <row r="6678" customFormat="false" ht="15" hidden="false" customHeight="false" outlineLevel="0" collapsed="false">
      <c r="A6678" s="0" t="n">
        <v>6677</v>
      </c>
      <c r="B6678" s="14" t="n">
        <v>116843.856126134</v>
      </c>
      <c r="C6678" s="15" t="n">
        <v>0.0570544571559798</v>
      </c>
      <c r="D6678" s="14" t="n">
        <f aca="false">Summary!$B$5-B6678</f>
        <v>-16843.8561261341</v>
      </c>
      <c r="E6678" s="15" t="n">
        <f aca="false">B6678/Summary!$B$5-1</f>
        <v>0.168438561261341</v>
      </c>
    </row>
    <row r="6679" customFormat="false" ht="15" hidden="false" customHeight="false" outlineLevel="0" collapsed="false">
      <c r="A6679" s="0" t="n">
        <v>6678</v>
      </c>
      <c r="B6679" s="14" t="n">
        <v>125427.765494767</v>
      </c>
      <c r="C6679" s="15" t="n">
        <v>0.0783378610456906</v>
      </c>
      <c r="D6679" s="14" t="n">
        <f aca="false">Summary!$B$5-B6679</f>
        <v>-25427.7654947672</v>
      </c>
      <c r="E6679" s="15" t="n">
        <f aca="false">B6679/Summary!$B$5-1</f>
        <v>0.254277654947672</v>
      </c>
    </row>
    <row r="6680" customFormat="false" ht="15" hidden="false" customHeight="false" outlineLevel="0" collapsed="false">
      <c r="A6680" s="0" t="n">
        <v>6679</v>
      </c>
      <c r="B6680" s="14" t="n">
        <v>100083.985037037</v>
      </c>
      <c r="C6680" s="15" t="n">
        <v>0.114787775447501</v>
      </c>
      <c r="D6680" s="14" t="n">
        <f aca="false">Summary!$B$5-B6680</f>
        <v>-83.9850370372005</v>
      </c>
      <c r="E6680" s="15" t="n">
        <f aca="false">B6680/Summary!$B$5-1</f>
        <v>0.000839850370371931</v>
      </c>
    </row>
    <row r="6681" customFormat="false" ht="15" hidden="false" customHeight="false" outlineLevel="0" collapsed="false">
      <c r="A6681" s="0" t="n">
        <v>6680</v>
      </c>
      <c r="B6681" s="14" t="n">
        <v>98693.3419213665</v>
      </c>
      <c r="C6681" s="15" t="n">
        <v>0.134956942728795</v>
      </c>
      <c r="D6681" s="14" t="n">
        <f aca="false">Summary!$B$5-B6681</f>
        <v>1306.65807863348</v>
      </c>
      <c r="E6681" s="15" t="n">
        <f aca="false">B6681/Summary!$B$5-1</f>
        <v>-0.0130665807863348</v>
      </c>
    </row>
    <row r="6682" customFormat="false" ht="15" hidden="false" customHeight="false" outlineLevel="0" collapsed="false">
      <c r="A6682" s="0" t="n">
        <v>6681</v>
      </c>
      <c r="B6682" s="14" t="n">
        <v>115833.049319533</v>
      </c>
      <c r="C6682" s="15" t="n">
        <v>0.105110733345432</v>
      </c>
      <c r="D6682" s="14" t="n">
        <f aca="false">Summary!$B$5-B6682</f>
        <v>-15833.0493195329</v>
      </c>
      <c r="E6682" s="15" t="n">
        <f aca="false">B6682/Summary!$B$5-1</f>
        <v>0.158330493195329</v>
      </c>
    </row>
    <row r="6683" customFormat="false" ht="15" hidden="false" customHeight="false" outlineLevel="0" collapsed="false">
      <c r="A6683" s="0" t="n">
        <v>6682</v>
      </c>
      <c r="B6683" s="14" t="n">
        <v>94368.5791754724</v>
      </c>
      <c r="C6683" s="15" t="n">
        <v>0.119451292965711</v>
      </c>
      <c r="D6683" s="14" t="n">
        <f aca="false">Summary!$B$5-B6683</f>
        <v>5631.42082452757</v>
      </c>
      <c r="E6683" s="15" t="n">
        <f aca="false">B6683/Summary!$B$5-1</f>
        <v>-0.0563142082452757</v>
      </c>
    </row>
    <row r="6684" customFormat="false" ht="15" hidden="false" customHeight="false" outlineLevel="0" collapsed="false">
      <c r="A6684" s="0" t="n">
        <v>6683</v>
      </c>
      <c r="B6684" s="14" t="n">
        <v>120649.554517973</v>
      </c>
      <c r="C6684" s="15" t="n">
        <v>0.0767353435329826</v>
      </c>
      <c r="D6684" s="14" t="n">
        <f aca="false">Summary!$B$5-B6684</f>
        <v>-20649.5545179727</v>
      </c>
      <c r="E6684" s="15" t="n">
        <f aca="false">B6684/Summary!$B$5-1</f>
        <v>0.206495545179727</v>
      </c>
    </row>
    <row r="6685" customFormat="false" ht="15" hidden="false" customHeight="false" outlineLevel="0" collapsed="false">
      <c r="A6685" s="0" t="n">
        <v>6684</v>
      </c>
      <c r="B6685" s="14" t="n">
        <v>100320.162475422</v>
      </c>
      <c r="C6685" s="15" t="n">
        <v>0.156751600112613</v>
      </c>
      <c r="D6685" s="14" t="n">
        <f aca="false">Summary!$B$5-B6685</f>
        <v>-320.162475421705</v>
      </c>
      <c r="E6685" s="15" t="n">
        <f aca="false">B6685/Summary!$B$5-1</f>
        <v>0.00320162475421704</v>
      </c>
    </row>
    <row r="6686" customFormat="false" ht="15" hidden="false" customHeight="false" outlineLevel="0" collapsed="false">
      <c r="A6686" s="0" t="n">
        <v>6685</v>
      </c>
      <c r="B6686" s="14" t="n">
        <v>138479.254731404</v>
      </c>
      <c r="C6686" s="15" t="n">
        <v>0.0428720987525872</v>
      </c>
      <c r="D6686" s="14" t="n">
        <f aca="false">Summary!$B$5-B6686</f>
        <v>-38479.2547314039</v>
      </c>
      <c r="E6686" s="15" t="n">
        <f aca="false">B6686/Summary!$B$5-1</f>
        <v>0.384792547314039</v>
      </c>
    </row>
    <row r="6687" customFormat="false" ht="15" hidden="false" customHeight="false" outlineLevel="0" collapsed="false">
      <c r="A6687" s="0" t="n">
        <v>6686</v>
      </c>
      <c r="B6687" s="14" t="n">
        <v>133755.9225118</v>
      </c>
      <c r="C6687" s="15" t="n">
        <v>0.0961800442540262</v>
      </c>
      <c r="D6687" s="14" t="n">
        <f aca="false">Summary!$B$5-B6687</f>
        <v>-33755.9225117998</v>
      </c>
      <c r="E6687" s="15" t="n">
        <f aca="false">B6687/Summary!$B$5-1</f>
        <v>0.337559225117998</v>
      </c>
    </row>
    <row r="6688" customFormat="false" ht="15" hidden="false" customHeight="false" outlineLevel="0" collapsed="false">
      <c r="A6688" s="0" t="n">
        <v>6687</v>
      </c>
      <c r="B6688" s="14" t="n">
        <v>99750.0300254593</v>
      </c>
      <c r="C6688" s="15" t="n">
        <v>0.085143853137896</v>
      </c>
      <c r="D6688" s="14" t="n">
        <f aca="false">Summary!$B$5-B6688</f>
        <v>249.969974540712</v>
      </c>
      <c r="E6688" s="15" t="n">
        <f aca="false">B6688/Summary!$B$5-1</f>
        <v>-0.00249969974540709</v>
      </c>
    </row>
    <row r="6689" customFormat="false" ht="15" hidden="false" customHeight="false" outlineLevel="0" collapsed="false">
      <c r="A6689" s="0" t="n">
        <v>6688</v>
      </c>
      <c r="B6689" s="14" t="n">
        <v>108360.554813651</v>
      </c>
      <c r="C6689" s="15" t="n">
        <v>0.0857065150957026</v>
      </c>
      <c r="D6689" s="14" t="n">
        <f aca="false">Summary!$B$5-B6689</f>
        <v>-8360.5548136513</v>
      </c>
      <c r="E6689" s="15" t="n">
        <f aca="false">B6689/Summary!$B$5-1</f>
        <v>0.083605548136513</v>
      </c>
    </row>
    <row r="6690" customFormat="false" ht="15" hidden="false" customHeight="false" outlineLevel="0" collapsed="false">
      <c r="A6690" s="0" t="n">
        <v>6689</v>
      </c>
      <c r="B6690" s="14" t="n">
        <v>123854.804130388</v>
      </c>
      <c r="C6690" s="15" t="n">
        <v>0.0704138618035333</v>
      </c>
      <c r="D6690" s="14" t="n">
        <f aca="false">Summary!$B$5-B6690</f>
        <v>-23854.804130388</v>
      </c>
      <c r="E6690" s="15" t="n">
        <f aca="false">B6690/Summary!$B$5-1</f>
        <v>0.23854804130388</v>
      </c>
    </row>
    <row r="6691" customFormat="false" ht="15" hidden="false" customHeight="false" outlineLevel="0" collapsed="false">
      <c r="A6691" s="0" t="n">
        <v>6690</v>
      </c>
      <c r="B6691" s="14" t="n">
        <v>111790.935961374</v>
      </c>
      <c r="C6691" s="15" t="n">
        <v>0.0958376908334213</v>
      </c>
      <c r="D6691" s="14" t="n">
        <f aca="false">Summary!$B$5-B6691</f>
        <v>-11790.9359613742</v>
      </c>
      <c r="E6691" s="15" t="n">
        <f aca="false">B6691/Summary!$B$5-1</f>
        <v>0.117909359613742</v>
      </c>
    </row>
    <row r="6692" customFormat="false" ht="15" hidden="false" customHeight="false" outlineLevel="0" collapsed="false">
      <c r="A6692" s="0" t="n">
        <v>6691</v>
      </c>
      <c r="B6692" s="14" t="n">
        <v>103534.6354418</v>
      </c>
      <c r="C6692" s="15" t="n">
        <v>0.0825301483711178</v>
      </c>
      <c r="D6692" s="14" t="n">
        <f aca="false">Summary!$B$5-B6692</f>
        <v>-3534.63544180041</v>
      </c>
      <c r="E6692" s="15" t="n">
        <f aca="false">B6692/Summary!$B$5-1</f>
        <v>0.0353463544180042</v>
      </c>
    </row>
    <row r="6693" customFormat="false" ht="15" hidden="false" customHeight="false" outlineLevel="0" collapsed="false">
      <c r="A6693" s="0" t="n">
        <v>6692</v>
      </c>
      <c r="B6693" s="14" t="n">
        <v>112601.277545949</v>
      </c>
      <c r="C6693" s="15" t="n">
        <v>0.0592288422579501</v>
      </c>
      <c r="D6693" s="14" t="n">
        <f aca="false">Summary!$B$5-B6693</f>
        <v>-12601.2775459486</v>
      </c>
      <c r="E6693" s="15" t="n">
        <f aca="false">B6693/Summary!$B$5-1</f>
        <v>0.126012775459486</v>
      </c>
    </row>
    <row r="6694" customFormat="false" ht="15" hidden="false" customHeight="false" outlineLevel="0" collapsed="false">
      <c r="A6694" s="0" t="n">
        <v>6693</v>
      </c>
      <c r="B6694" s="14" t="n">
        <v>98216.9714389029</v>
      </c>
      <c r="C6694" s="15" t="n">
        <v>0.103135215556745</v>
      </c>
      <c r="D6694" s="14" t="n">
        <f aca="false">Summary!$B$5-B6694</f>
        <v>1783.02856109713</v>
      </c>
      <c r="E6694" s="15" t="n">
        <f aca="false">B6694/Summary!$B$5-1</f>
        <v>-0.0178302856109713</v>
      </c>
    </row>
    <row r="6695" customFormat="false" ht="15" hidden="false" customHeight="false" outlineLevel="0" collapsed="false">
      <c r="A6695" s="0" t="n">
        <v>6694</v>
      </c>
      <c r="B6695" s="14" t="n">
        <v>81658.4952494031</v>
      </c>
      <c r="C6695" s="15" t="n">
        <v>0.217609894660632</v>
      </c>
      <c r="D6695" s="14" t="n">
        <f aca="false">Summary!$B$5-B6695</f>
        <v>18341.5047505969</v>
      </c>
      <c r="E6695" s="15" t="n">
        <f aca="false">B6695/Summary!$B$5-1</f>
        <v>-0.183415047505969</v>
      </c>
    </row>
    <row r="6696" customFormat="false" ht="15" hidden="false" customHeight="false" outlineLevel="0" collapsed="false">
      <c r="A6696" s="0" t="n">
        <v>6695</v>
      </c>
      <c r="B6696" s="14" t="n">
        <v>129107.12849417</v>
      </c>
      <c r="C6696" s="15" t="n">
        <v>0.0452069106883852</v>
      </c>
      <c r="D6696" s="14" t="n">
        <f aca="false">Summary!$B$5-B6696</f>
        <v>-29107.1284941701</v>
      </c>
      <c r="E6696" s="15" t="n">
        <f aca="false">B6696/Summary!$B$5-1</f>
        <v>0.291071284941701</v>
      </c>
    </row>
    <row r="6697" customFormat="false" ht="15" hidden="false" customHeight="false" outlineLevel="0" collapsed="false">
      <c r="A6697" s="0" t="n">
        <v>6696</v>
      </c>
      <c r="B6697" s="14" t="n">
        <v>113240.940634192</v>
      </c>
      <c r="C6697" s="15" t="n">
        <v>0.120514911931525</v>
      </c>
      <c r="D6697" s="14" t="n">
        <f aca="false">Summary!$B$5-B6697</f>
        <v>-13240.9406341924</v>
      </c>
      <c r="E6697" s="15" t="n">
        <f aca="false">B6697/Summary!$B$5-1</f>
        <v>0.132409406341924</v>
      </c>
    </row>
    <row r="6698" customFormat="false" ht="15" hidden="false" customHeight="false" outlineLevel="0" collapsed="false">
      <c r="A6698" s="0" t="n">
        <v>6697</v>
      </c>
      <c r="B6698" s="14" t="n">
        <v>104795.244569369</v>
      </c>
      <c r="C6698" s="15" t="n">
        <v>0.0743728257244796</v>
      </c>
      <c r="D6698" s="14" t="n">
        <f aca="false">Summary!$B$5-B6698</f>
        <v>-4795.2445693694</v>
      </c>
      <c r="E6698" s="15" t="n">
        <f aca="false">B6698/Summary!$B$5-1</f>
        <v>0.0479524456936939</v>
      </c>
    </row>
    <row r="6699" customFormat="false" ht="15" hidden="false" customHeight="false" outlineLevel="0" collapsed="false">
      <c r="A6699" s="0" t="n">
        <v>6698</v>
      </c>
      <c r="B6699" s="14" t="n">
        <v>100847.356930697</v>
      </c>
      <c r="C6699" s="15" t="n">
        <v>0.11959995524767</v>
      </c>
      <c r="D6699" s="14" t="n">
        <f aca="false">Summary!$B$5-B6699</f>
        <v>-847.356930696697</v>
      </c>
      <c r="E6699" s="15" t="n">
        <f aca="false">B6699/Summary!$B$5-1</f>
        <v>0.00847356930696686</v>
      </c>
    </row>
    <row r="6700" customFormat="false" ht="15" hidden="false" customHeight="false" outlineLevel="0" collapsed="false">
      <c r="A6700" s="0" t="n">
        <v>6699</v>
      </c>
      <c r="B6700" s="14" t="n">
        <v>112502.253020749</v>
      </c>
      <c r="C6700" s="15" t="n">
        <v>0.106383667424838</v>
      </c>
      <c r="D6700" s="14" t="n">
        <f aca="false">Summary!$B$5-B6700</f>
        <v>-12502.2530207488</v>
      </c>
      <c r="E6700" s="15" t="n">
        <f aca="false">B6700/Summary!$B$5-1</f>
        <v>0.125022530207488</v>
      </c>
    </row>
    <row r="6701" customFormat="false" ht="15" hidden="false" customHeight="false" outlineLevel="0" collapsed="false">
      <c r="A6701" s="0" t="n">
        <v>6700</v>
      </c>
      <c r="B6701" s="14" t="n">
        <v>111206.879268779</v>
      </c>
      <c r="C6701" s="15" t="n">
        <v>0.0741134852486453</v>
      </c>
      <c r="D6701" s="14" t="n">
        <f aca="false">Summary!$B$5-B6701</f>
        <v>-11206.8792687792</v>
      </c>
      <c r="E6701" s="15" t="n">
        <f aca="false">B6701/Summary!$B$5-1</f>
        <v>0.112068792687792</v>
      </c>
    </row>
    <row r="6702" customFormat="false" ht="15" hidden="false" customHeight="false" outlineLevel="0" collapsed="false">
      <c r="A6702" s="0" t="n">
        <v>6701</v>
      </c>
      <c r="B6702" s="14" t="n">
        <v>97733.1972903552</v>
      </c>
      <c r="C6702" s="15" t="n">
        <v>0.0942545850219017</v>
      </c>
      <c r="D6702" s="14" t="n">
        <f aca="false">Summary!$B$5-B6702</f>
        <v>2266.80270964484</v>
      </c>
      <c r="E6702" s="15" t="n">
        <f aca="false">B6702/Summary!$B$5-1</f>
        <v>-0.0226680270964483</v>
      </c>
    </row>
    <row r="6703" customFormat="false" ht="15" hidden="false" customHeight="false" outlineLevel="0" collapsed="false">
      <c r="A6703" s="0" t="n">
        <v>6702</v>
      </c>
      <c r="B6703" s="14" t="n">
        <v>106353.165627148</v>
      </c>
      <c r="C6703" s="15" t="n">
        <v>0.0649054251286543</v>
      </c>
      <c r="D6703" s="14" t="n">
        <f aca="false">Summary!$B$5-B6703</f>
        <v>-6353.16562714749</v>
      </c>
      <c r="E6703" s="15" t="n">
        <f aca="false">B6703/Summary!$B$5-1</f>
        <v>0.063531656271475</v>
      </c>
    </row>
    <row r="6704" customFormat="false" ht="15" hidden="false" customHeight="false" outlineLevel="0" collapsed="false">
      <c r="A6704" s="0" t="n">
        <v>6703</v>
      </c>
      <c r="B6704" s="14" t="n">
        <v>92729.2904732414</v>
      </c>
      <c r="C6704" s="15" t="n">
        <v>0.22405092799182</v>
      </c>
      <c r="D6704" s="14" t="n">
        <f aca="false">Summary!$B$5-B6704</f>
        <v>7270.70952675861</v>
      </c>
      <c r="E6704" s="15" t="n">
        <f aca="false">B6704/Summary!$B$5-1</f>
        <v>-0.0727070952675861</v>
      </c>
    </row>
    <row r="6705" customFormat="false" ht="15" hidden="false" customHeight="false" outlineLevel="0" collapsed="false">
      <c r="A6705" s="0" t="n">
        <v>6704</v>
      </c>
      <c r="B6705" s="14" t="n">
        <v>76656.0894103126</v>
      </c>
      <c r="C6705" s="15" t="n">
        <v>0.257058733791186</v>
      </c>
      <c r="D6705" s="14" t="n">
        <f aca="false">Summary!$B$5-B6705</f>
        <v>23343.9105896874</v>
      </c>
      <c r="E6705" s="15" t="n">
        <f aca="false">B6705/Summary!$B$5-1</f>
        <v>-0.233439105896874</v>
      </c>
    </row>
    <row r="6706" customFormat="false" ht="15" hidden="false" customHeight="false" outlineLevel="0" collapsed="false">
      <c r="A6706" s="0" t="n">
        <v>6705</v>
      </c>
      <c r="B6706" s="14" t="n">
        <v>118187.280816055</v>
      </c>
      <c r="C6706" s="15" t="n">
        <v>0.116489319083452</v>
      </c>
      <c r="D6706" s="14" t="n">
        <f aca="false">Summary!$B$5-B6706</f>
        <v>-18187.2808160549</v>
      </c>
      <c r="E6706" s="15" t="n">
        <f aca="false">B6706/Summary!$B$5-1</f>
        <v>0.181872808160549</v>
      </c>
    </row>
    <row r="6707" customFormat="false" ht="15" hidden="false" customHeight="false" outlineLevel="0" collapsed="false">
      <c r="A6707" s="0" t="n">
        <v>6706</v>
      </c>
      <c r="B6707" s="14" t="n">
        <v>114225.036910243</v>
      </c>
      <c r="C6707" s="15" t="n">
        <v>0.0717459448046717</v>
      </c>
      <c r="D6707" s="14" t="n">
        <f aca="false">Summary!$B$5-B6707</f>
        <v>-14225.0369102433</v>
      </c>
      <c r="E6707" s="15" t="n">
        <f aca="false">B6707/Summary!$B$5-1</f>
        <v>0.142250369102433</v>
      </c>
    </row>
    <row r="6708" customFormat="false" ht="15" hidden="false" customHeight="false" outlineLevel="0" collapsed="false">
      <c r="A6708" s="0" t="n">
        <v>6707</v>
      </c>
      <c r="B6708" s="14" t="n">
        <v>97565.7397921238</v>
      </c>
      <c r="C6708" s="15" t="n">
        <v>0.159355037261452</v>
      </c>
      <c r="D6708" s="14" t="n">
        <f aca="false">Summary!$B$5-B6708</f>
        <v>2434.26020787616</v>
      </c>
      <c r="E6708" s="15" t="n">
        <f aca="false">B6708/Summary!$B$5-1</f>
        <v>-0.0243426020787616</v>
      </c>
    </row>
    <row r="6709" customFormat="false" ht="15" hidden="false" customHeight="false" outlineLevel="0" collapsed="false">
      <c r="A6709" s="0" t="n">
        <v>6708</v>
      </c>
      <c r="B6709" s="14" t="n">
        <v>97357.755925906</v>
      </c>
      <c r="C6709" s="15" t="n">
        <v>0.0980828537253898</v>
      </c>
      <c r="D6709" s="14" t="n">
        <f aca="false">Summary!$B$5-B6709</f>
        <v>2642.24407409399</v>
      </c>
      <c r="E6709" s="15" t="n">
        <f aca="false">B6709/Summary!$B$5-1</f>
        <v>-0.0264224407409399</v>
      </c>
    </row>
    <row r="6710" customFormat="false" ht="15" hidden="false" customHeight="false" outlineLevel="0" collapsed="false">
      <c r="A6710" s="0" t="n">
        <v>6709</v>
      </c>
      <c r="B6710" s="14" t="n">
        <v>92205.7579233819</v>
      </c>
      <c r="C6710" s="15" t="n">
        <v>0.0971758623387754</v>
      </c>
      <c r="D6710" s="14" t="n">
        <f aca="false">Summary!$B$5-B6710</f>
        <v>7794.24207661806</v>
      </c>
      <c r="E6710" s="15" t="n">
        <f aca="false">B6710/Summary!$B$5-1</f>
        <v>-0.0779424207661806</v>
      </c>
    </row>
    <row r="6711" customFormat="false" ht="15" hidden="false" customHeight="false" outlineLevel="0" collapsed="false">
      <c r="A6711" s="0" t="n">
        <v>6710</v>
      </c>
      <c r="B6711" s="14" t="n">
        <v>116950.561223724</v>
      </c>
      <c r="C6711" s="15" t="n">
        <v>0.0761185504069666</v>
      </c>
      <c r="D6711" s="14" t="n">
        <f aca="false">Summary!$B$5-B6711</f>
        <v>-16950.5612237243</v>
      </c>
      <c r="E6711" s="15" t="n">
        <f aca="false">B6711/Summary!$B$5-1</f>
        <v>0.169505612237243</v>
      </c>
    </row>
    <row r="6712" customFormat="false" ht="15" hidden="false" customHeight="false" outlineLevel="0" collapsed="false">
      <c r="A6712" s="0" t="n">
        <v>6711</v>
      </c>
      <c r="B6712" s="14" t="n">
        <v>96057.9940834895</v>
      </c>
      <c r="C6712" s="15" t="n">
        <v>0.147918333216475</v>
      </c>
      <c r="D6712" s="14" t="n">
        <f aca="false">Summary!$B$5-B6712</f>
        <v>3942.00591651049</v>
      </c>
      <c r="E6712" s="15" t="n">
        <f aca="false">B6712/Summary!$B$5-1</f>
        <v>-0.0394200591651049</v>
      </c>
    </row>
    <row r="6713" customFormat="false" ht="15" hidden="false" customHeight="false" outlineLevel="0" collapsed="false">
      <c r="A6713" s="0" t="n">
        <v>6712</v>
      </c>
      <c r="B6713" s="14" t="n">
        <v>91321.57694013</v>
      </c>
      <c r="C6713" s="15" t="n">
        <v>0.118943257994064</v>
      </c>
      <c r="D6713" s="14" t="n">
        <f aca="false">Summary!$B$5-B6713</f>
        <v>8678.42305987002</v>
      </c>
      <c r="E6713" s="15" t="n">
        <f aca="false">B6713/Summary!$B$5-1</f>
        <v>-0.0867842305987002</v>
      </c>
    </row>
    <row r="6714" customFormat="false" ht="15" hidden="false" customHeight="false" outlineLevel="0" collapsed="false">
      <c r="A6714" s="0" t="n">
        <v>6713</v>
      </c>
      <c r="B6714" s="14" t="n">
        <v>132369.823653254</v>
      </c>
      <c r="C6714" s="15" t="n">
        <v>0.100370127136448</v>
      </c>
      <c r="D6714" s="14" t="n">
        <f aca="false">Summary!$B$5-B6714</f>
        <v>-32369.8236532541</v>
      </c>
      <c r="E6714" s="15" t="n">
        <f aca="false">B6714/Summary!$B$5-1</f>
        <v>0.323698236532541</v>
      </c>
    </row>
    <row r="6715" customFormat="false" ht="15" hidden="false" customHeight="false" outlineLevel="0" collapsed="false">
      <c r="A6715" s="0" t="n">
        <v>6714</v>
      </c>
      <c r="B6715" s="14" t="n">
        <v>126082.375819308</v>
      </c>
      <c r="C6715" s="15" t="n">
        <v>0.0720552429760102</v>
      </c>
      <c r="D6715" s="14" t="n">
        <f aca="false">Summary!$B$5-B6715</f>
        <v>-26082.3758193075</v>
      </c>
      <c r="E6715" s="15" t="n">
        <f aca="false">B6715/Summary!$B$5-1</f>
        <v>0.260823758193075</v>
      </c>
    </row>
    <row r="6716" customFormat="false" ht="15" hidden="false" customHeight="false" outlineLevel="0" collapsed="false">
      <c r="A6716" s="0" t="n">
        <v>6715</v>
      </c>
      <c r="B6716" s="14" t="n">
        <v>126837.122339992</v>
      </c>
      <c r="C6716" s="15" t="n">
        <v>0.079862476327214</v>
      </c>
      <c r="D6716" s="14" t="n">
        <f aca="false">Summary!$B$5-B6716</f>
        <v>-26837.1223399918</v>
      </c>
      <c r="E6716" s="15" t="n">
        <f aca="false">B6716/Summary!$B$5-1</f>
        <v>0.268371223399918</v>
      </c>
    </row>
    <row r="6717" customFormat="false" ht="15" hidden="false" customHeight="false" outlineLevel="0" collapsed="false">
      <c r="A6717" s="0" t="n">
        <v>6716</v>
      </c>
      <c r="B6717" s="14" t="n">
        <v>93502.1716845069</v>
      </c>
      <c r="C6717" s="15" t="n">
        <v>0.1146471784241</v>
      </c>
      <c r="D6717" s="14" t="n">
        <f aca="false">Summary!$B$5-B6717</f>
        <v>6497.82831549307</v>
      </c>
      <c r="E6717" s="15" t="n">
        <f aca="false">B6717/Summary!$B$5-1</f>
        <v>-0.0649782831549307</v>
      </c>
    </row>
    <row r="6718" customFormat="false" ht="15" hidden="false" customHeight="false" outlineLevel="0" collapsed="false">
      <c r="A6718" s="0" t="n">
        <v>6717</v>
      </c>
      <c r="B6718" s="14" t="n">
        <v>103733.323944398</v>
      </c>
      <c r="C6718" s="15" t="n">
        <v>0.0994852212070926</v>
      </c>
      <c r="D6718" s="14" t="n">
        <f aca="false">Summary!$B$5-B6718</f>
        <v>-3733.32394439771</v>
      </c>
      <c r="E6718" s="15" t="n">
        <f aca="false">B6718/Summary!$B$5-1</f>
        <v>0.0373332394439772</v>
      </c>
    </row>
    <row r="6719" customFormat="false" ht="15" hidden="false" customHeight="false" outlineLevel="0" collapsed="false">
      <c r="A6719" s="0" t="n">
        <v>6718</v>
      </c>
      <c r="B6719" s="14" t="n">
        <v>114822.445573242</v>
      </c>
      <c r="C6719" s="15" t="n">
        <v>0.0808073499406032</v>
      </c>
      <c r="D6719" s="14" t="n">
        <f aca="false">Summary!$B$5-B6719</f>
        <v>-14822.4455732424</v>
      </c>
      <c r="E6719" s="15" t="n">
        <f aca="false">B6719/Summary!$B$5-1</f>
        <v>0.148224455732424</v>
      </c>
    </row>
    <row r="6720" customFormat="false" ht="15" hidden="false" customHeight="false" outlineLevel="0" collapsed="false">
      <c r="A6720" s="0" t="n">
        <v>6719</v>
      </c>
      <c r="B6720" s="14" t="n">
        <v>114210.052448455</v>
      </c>
      <c r="C6720" s="15" t="n">
        <v>0.0638058870891597</v>
      </c>
      <c r="D6720" s="14" t="n">
        <f aca="false">Summary!$B$5-B6720</f>
        <v>-14210.0524484546</v>
      </c>
      <c r="E6720" s="15" t="n">
        <f aca="false">B6720/Summary!$B$5-1</f>
        <v>0.142100524484546</v>
      </c>
    </row>
    <row r="6721" customFormat="false" ht="15" hidden="false" customHeight="false" outlineLevel="0" collapsed="false">
      <c r="A6721" s="0" t="n">
        <v>6720</v>
      </c>
      <c r="B6721" s="14" t="n">
        <v>122011.863865021</v>
      </c>
      <c r="C6721" s="15" t="n">
        <v>0.0747131152786023</v>
      </c>
      <c r="D6721" s="14" t="n">
        <f aca="false">Summary!$B$5-B6721</f>
        <v>-22011.8638650213</v>
      </c>
      <c r="E6721" s="15" t="n">
        <f aca="false">B6721/Summary!$B$5-1</f>
        <v>0.220118638650213</v>
      </c>
    </row>
    <row r="6722" customFormat="false" ht="15" hidden="false" customHeight="false" outlineLevel="0" collapsed="false">
      <c r="A6722" s="0" t="n">
        <v>6721</v>
      </c>
      <c r="B6722" s="14" t="n">
        <v>99728.5728272788</v>
      </c>
      <c r="C6722" s="15" t="n">
        <v>0.125211977617717</v>
      </c>
      <c r="D6722" s="14" t="n">
        <f aca="false">Summary!$B$5-B6722</f>
        <v>271.427172721218</v>
      </c>
      <c r="E6722" s="15" t="n">
        <f aca="false">B6722/Summary!$B$5-1</f>
        <v>-0.00271427172721217</v>
      </c>
    </row>
    <row r="6723" customFormat="false" ht="15" hidden="false" customHeight="false" outlineLevel="0" collapsed="false">
      <c r="A6723" s="0" t="n">
        <v>6722</v>
      </c>
      <c r="B6723" s="14" t="n">
        <v>116719.64558975</v>
      </c>
      <c r="C6723" s="15" t="n">
        <v>0.106830480317209</v>
      </c>
      <c r="D6723" s="14" t="n">
        <f aca="false">Summary!$B$5-B6723</f>
        <v>-16719.6455897499</v>
      </c>
      <c r="E6723" s="15" t="n">
        <f aca="false">B6723/Summary!$B$5-1</f>
        <v>0.167196455897499</v>
      </c>
    </row>
    <row r="6724" customFormat="false" ht="15" hidden="false" customHeight="false" outlineLevel="0" collapsed="false">
      <c r="A6724" s="0" t="n">
        <v>6723</v>
      </c>
      <c r="B6724" s="14" t="n">
        <v>111215.351639698</v>
      </c>
      <c r="C6724" s="15" t="n">
        <v>0.137452850753848</v>
      </c>
      <c r="D6724" s="14" t="n">
        <f aca="false">Summary!$B$5-B6724</f>
        <v>-11215.351639698</v>
      </c>
      <c r="E6724" s="15" t="n">
        <f aca="false">B6724/Summary!$B$5-1</f>
        <v>0.11215351639698</v>
      </c>
    </row>
    <row r="6725" customFormat="false" ht="15" hidden="false" customHeight="false" outlineLevel="0" collapsed="false">
      <c r="A6725" s="0" t="n">
        <v>6724</v>
      </c>
      <c r="B6725" s="14" t="n">
        <v>97377.2247178951</v>
      </c>
      <c r="C6725" s="15" t="n">
        <v>0.176028744704264</v>
      </c>
      <c r="D6725" s="14" t="n">
        <f aca="false">Summary!$B$5-B6725</f>
        <v>2622.77528210494</v>
      </c>
      <c r="E6725" s="15" t="n">
        <f aca="false">B6725/Summary!$B$5-1</f>
        <v>-0.0262277528210494</v>
      </c>
    </row>
    <row r="6726" customFormat="false" ht="15" hidden="false" customHeight="false" outlineLevel="0" collapsed="false">
      <c r="A6726" s="0" t="n">
        <v>6725</v>
      </c>
      <c r="B6726" s="14" t="n">
        <v>115328.524340646</v>
      </c>
      <c r="C6726" s="15" t="n">
        <v>0.0462623825268738</v>
      </c>
      <c r="D6726" s="14" t="n">
        <f aca="false">Summary!$B$5-B6726</f>
        <v>-15328.524340646</v>
      </c>
      <c r="E6726" s="15" t="n">
        <f aca="false">B6726/Summary!$B$5-1</f>
        <v>0.15328524340646</v>
      </c>
    </row>
    <row r="6727" customFormat="false" ht="15" hidden="false" customHeight="false" outlineLevel="0" collapsed="false">
      <c r="A6727" s="0" t="n">
        <v>6726</v>
      </c>
      <c r="B6727" s="14" t="n">
        <v>92327.3238217329</v>
      </c>
      <c r="C6727" s="15" t="n">
        <v>0.143958471559511</v>
      </c>
      <c r="D6727" s="14" t="n">
        <f aca="false">Summary!$B$5-B6727</f>
        <v>7672.67617826711</v>
      </c>
      <c r="E6727" s="15" t="n">
        <f aca="false">B6727/Summary!$B$5-1</f>
        <v>-0.0767267617826711</v>
      </c>
    </row>
    <row r="6728" customFormat="false" ht="15" hidden="false" customHeight="false" outlineLevel="0" collapsed="false">
      <c r="A6728" s="0" t="n">
        <v>6727</v>
      </c>
      <c r="B6728" s="14" t="n">
        <v>124632.334719759</v>
      </c>
      <c r="C6728" s="15" t="n">
        <v>0.0644028991258466</v>
      </c>
      <c r="D6728" s="14" t="n">
        <f aca="false">Summary!$B$5-B6728</f>
        <v>-24632.3347197585</v>
      </c>
      <c r="E6728" s="15" t="n">
        <f aca="false">B6728/Summary!$B$5-1</f>
        <v>0.246323347197585</v>
      </c>
    </row>
    <row r="6729" customFormat="false" ht="15" hidden="false" customHeight="false" outlineLevel="0" collapsed="false">
      <c r="A6729" s="0" t="n">
        <v>6728</v>
      </c>
      <c r="B6729" s="14" t="n">
        <v>95163.0377589114</v>
      </c>
      <c r="C6729" s="15" t="n">
        <v>0.172094010033631</v>
      </c>
      <c r="D6729" s="14" t="n">
        <f aca="false">Summary!$B$5-B6729</f>
        <v>4836.96224108858</v>
      </c>
      <c r="E6729" s="15" t="n">
        <f aca="false">B6729/Summary!$B$5-1</f>
        <v>-0.0483696224108858</v>
      </c>
    </row>
    <row r="6730" customFormat="false" ht="15" hidden="false" customHeight="false" outlineLevel="0" collapsed="false">
      <c r="A6730" s="0" t="n">
        <v>6729</v>
      </c>
      <c r="B6730" s="14" t="n">
        <v>116183.122361589</v>
      </c>
      <c r="C6730" s="15" t="n">
        <v>0.0760867962622044</v>
      </c>
      <c r="D6730" s="14" t="n">
        <f aca="false">Summary!$B$5-B6730</f>
        <v>-16183.1223615891</v>
      </c>
      <c r="E6730" s="15" t="n">
        <f aca="false">B6730/Summary!$B$5-1</f>
        <v>0.161831223615891</v>
      </c>
    </row>
    <row r="6731" customFormat="false" ht="15" hidden="false" customHeight="false" outlineLevel="0" collapsed="false">
      <c r="A6731" s="0" t="n">
        <v>6730</v>
      </c>
      <c r="B6731" s="14" t="n">
        <v>137794.541016976</v>
      </c>
      <c r="C6731" s="15" t="n">
        <v>0.0598734791952056</v>
      </c>
      <c r="D6731" s="14" t="n">
        <f aca="false">Summary!$B$5-B6731</f>
        <v>-37794.5410169758</v>
      </c>
      <c r="E6731" s="15" t="n">
        <f aca="false">B6731/Summary!$B$5-1</f>
        <v>0.377945410169758</v>
      </c>
    </row>
    <row r="6732" customFormat="false" ht="15" hidden="false" customHeight="false" outlineLevel="0" collapsed="false">
      <c r="A6732" s="0" t="n">
        <v>6731</v>
      </c>
      <c r="B6732" s="14" t="n">
        <v>122120.878971237</v>
      </c>
      <c r="C6732" s="15" t="n">
        <v>0.0688466208410478</v>
      </c>
      <c r="D6732" s="14" t="n">
        <f aca="false">Summary!$B$5-B6732</f>
        <v>-22120.878971237</v>
      </c>
      <c r="E6732" s="15" t="n">
        <f aca="false">B6732/Summary!$B$5-1</f>
        <v>0.22120878971237</v>
      </c>
    </row>
    <row r="6733" customFormat="false" ht="15" hidden="false" customHeight="false" outlineLevel="0" collapsed="false">
      <c r="A6733" s="0" t="n">
        <v>6732</v>
      </c>
      <c r="B6733" s="14" t="n">
        <v>129843.080143629</v>
      </c>
      <c r="C6733" s="15" t="n">
        <v>0.0836443886280464</v>
      </c>
      <c r="D6733" s="14" t="n">
        <f aca="false">Summary!$B$5-B6733</f>
        <v>-29843.0801436288</v>
      </c>
      <c r="E6733" s="15" t="n">
        <f aca="false">B6733/Summary!$B$5-1</f>
        <v>0.298430801436288</v>
      </c>
    </row>
    <row r="6734" customFormat="false" ht="15" hidden="false" customHeight="false" outlineLevel="0" collapsed="false">
      <c r="A6734" s="0" t="n">
        <v>6733</v>
      </c>
      <c r="B6734" s="14" t="n">
        <v>111989.058774196</v>
      </c>
      <c r="C6734" s="15" t="n">
        <v>0.069471035544276</v>
      </c>
      <c r="D6734" s="14" t="n">
        <f aca="false">Summary!$B$5-B6734</f>
        <v>-11989.0587741955</v>
      </c>
      <c r="E6734" s="15" t="n">
        <f aca="false">B6734/Summary!$B$5-1</f>
        <v>0.119890587741955</v>
      </c>
    </row>
    <row r="6735" customFormat="false" ht="15" hidden="false" customHeight="false" outlineLevel="0" collapsed="false">
      <c r="A6735" s="0" t="n">
        <v>6734</v>
      </c>
      <c r="B6735" s="14" t="n">
        <v>102047.559107225</v>
      </c>
      <c r="C6735" s="15" t="n">
        <v>0.102154830133518</v>
      </c>
      <c r="D6735" s="14" t="n">
        <f aca="false">Summary!$B$5-B6735</f>
        <v>-2047.55910722489</v>
      </c>
      <c r="E6735" s="15" t="n">
        <f aca="false">B6735/Summary!$B$5-1</f>
        <v>0.0204755910722489</v>
      </c>
    </row>
    <row r="6736" customFormat="false" ht="15" hidden="false" customHeight="false" outlineLevel="0" collapsed="false">
      <c r="A6736" s="0" t="n">
        <v>6735</v>
      </c>
      <c r="B6736" s="14" t="n">
        <v>120218.638296463</v>
      </c>
      <c r="C6736" s="15" t="n">
        <v>0.0559995106327405</v>
      </c>
      <c r="D6736" s="14" t="n">
        <f aca="false">Summary!$B$5-B6736</f>
        <v>-20218.6382964634</v>
      </c>
      <c r="E6736" s="15" t="n">
        <f aca="false">B6736/Summary!$B$5-1</f>
        <v>0.202186382964634</v>
      </c>
    </row>
    <row r="6737" customFormat="false" ht="15" hidden="false" customHeight="false" outlineLevel="0" collapsed="false">
      <c r="A6737" s="0" t="n">
        <v>6736</v>
      </c>
      <c r="B6737" s="14" t="n">
        <v>116954.793110753</v>
      </c>
      <c r="C6737" s="15" t="n">
        <v>0.0514061210799263</v>
      </c>
      <c r="D6737" s="14" t="n">
        <f aca="false">Summary!$B$5-B6737</f>
        <v>-16954.793110753</v>
      </c>
      <c r="E6737" s="15" t="n">
        <f aca="false">B6737/Summary!$B$5-1</f>
        <v>0.16954793110753</v>
      </c>
    </row>
    <row r="6738" customFormat="false" ht="15" hidden="false" customHeight="false" outlineLevel="0" collapsed="false">
      <c r="A6738" s="0" t="n">
        <v>6737</v>
      </c>
      <c r="B6738" s="14" t="n">
        <v>117182.266588482</v>
      </c>
      <c r="C6738" s="15" t="n">
        <v>0.0503191914467623</v>
      </c>
      <c r="D6738" s="14" t="n">
        <f aca="false">Summary!$B$5-B6738</f>
        <v>-17182.2665884823</v>
      </c>
      <c r="E6738" s="15" t="n">
        <f aca="false">B6738/Summary!$B$5-1</f>
        <v>0.171822665884823</v>
      </c>
    </row>
    <row r="6739" customFormat="false" ht="15" hidden="false" customHeight="false" outlineLevel="0" collapsed="false">
      <c r="A6739" s="0" t="n">
        <v>6738</v>
      </c>
      <c r="B6739" s="14" t="n">
        <v>108767.28725247</v>
      </c>
      <c r="C6739" s="15" t="n">
        <v>0.123703442925557</v>
      </c>
      <c r="D6739" s="14" t="n">
        <f aca="false">Summary!$B$5-B6739</f>
        <v>-8767.28725247001</v>
      </c>
      <c r="E6739" s="15" t="n">
        <f aca="false">B6739/Summary!$B$5-1</f>
        <v>0.0876728725247</v>
      </c>
    </row>
    <row r="6740" customFormat="false" ht="15" hidden="false" customHeight="false" outlineLevel="0" collapsed="false">
      <c r="A6740" s="0" t="n">
        <v>6739</v>
      </c>
      <c r="B6740" s="14" t="n">
        <v>97362.844081179</v>
      </c>
      <c r="C6740" s="15" t="n">
        <v>0.13191445731043</v>
      </c>
      <c r="D6740" s="14" t="n">
        <f aca="false">Summary!$B$5-B6740</f>
        <v>2637.15591882099</v>
      </c>
      <c r="E6740" s="15" t="n">
        <f aca="false">B6740/Summary!$B$5-1</f>
        <v>-0.02637155918821</v>
      </c>
    </row>
    <row r="6741" customFormat="false" ht="15" hidden="false" customHeight="false" outlineLevel="0" collapsed="false">
      <c r="A6741" s="0" t="n">
        <v>6740</v>
      </c>
      <c r="B6741" s="14" t="n">
        <v>109433.966490681</v>
      </c>
      <c r="C6741" s="15" t="n">
        <v>0.100468257039468</v>
      </c>
      <c r="D6741" s="14" t="n">
        <f aca="false">Summary!$B$5-B6741</f>
        <v>-9433.9664906808</v>
      </c>
      <c r="E6741" s="15" t="n">
        <f aca="false">B6741/Summary!$B$5-1</f>
        <v>0.094339664906808</v>
      </c>
    </row>
    <row r="6742" customFormat="false" ht="15" hidden="false" customHeight="false" outlineLevel="0" collapsed="false">
      <c r="A6742" s="0" t="n">
        <v>6741</v>
      </c>
      <c r="B6742" s="14" t="n">
        <v>124584.324074253</v>
      </c>
      <c r="C6742" s="15" t="n">
        <v>0.0552219828574235</v>
      </c>
      <c r="D6742" s="14" t="n">
        <f aca="false">Summary!$B$5-B6742</f>
        <v>-24584.3240742525</v>
      </c>
      <c r="E6742" s="15" t="n">
        <f aca="false">B6742/Summary!$B$5-1</f>
        <v>0.245843240742525</v>
      </c>
    </row>
    <row r="6743" customFormat="false" ht="15" hidden="false" customHeight="false" outlineLevel="0" collapsed="false">
      <c r="A6743" s="0" t="n">
        <v>6742</v>
      </c>
      <c r="B6743" s="14" t="n">
        <v>95699.228714517</v>
      </c>
      <c r="C6743" s="15" t="n">
        <v>0.101583825303365</v>
      </c>
      <c r="D6743" s="14" t="n">
        <f aca="false">Summary!$B$5-B6743</f>
        <v>4300.77128548297</v>
      </c>
      <c r="E6743" s="15" t="n">
        <f aca="false">B6743/Summary!$B$5-1</f>
        <v>-0.0430077128548297</v>
      </c>
    </row>
    <row r="6744" customFormat="false" ht="15" hidden="false" customHeight="false" outlineLevel="0" collapsed="false">
      <c r="A6744" s="0" t="n">
        <v>6743</v>
      </c>
      <c r="B6744" s="14" t="n">
        <v>126164.046155186</v>
      </c>
      <c r="C6744" s="15" t="n">
        <v>0.0980079726234037</v>
      </c>
      <c r="D6744" s="14" t="n">
        <f aca="false">Summary!$B$5-B6744</f>
        <v>-26164.0461551859</v>
      </c>
      <c r="E6744" s="15" t="n">
        <f aca="false">B6744/Summary!$B$5-1</f>
        <v>0.261640461551859</v>
      </c>
    </row>
    <row r="6745" customFormat="false" ht="15" hidden="false" customHeight="false" outlineLevel="0" collapsed="false">
      <c r="A6745" s="0" t="n">
        <v>6744</v>
      </c>
      <c r="B6745" s="14" t="n">
        <v>116355.284772152</v>
      </c>
      <c r="C6745" s="15" t="n">
        <v>0.052271232191743</v>
      </c>
      <c r="D6745" s="14" t="n">
        <f aca="false">Summary!$B$5-B6745</f>
        <v>-16355.2847721521</v>
      </c>
      <c r="E6745" s="15" t="n">
        <f aca="false">B6745/Summary!$B$5-1</f>
        <v>0.163552847721521</v>
      </c>
    </row>
    <row r="6746" customFormat="false" ht="15" hidden="false" customHeight="false" outlineLevel="0" collapsed="false">
      <c r="A6746" s="0" t="n">
        <v>6745</v>
      </c>
      <c r="B6746" s="14" t="n">
        <v>97620.5111405939</v>
      </c>
      <c r="C6746" s="15" t="n">
        <v>0.0914990796846468</v>
      </c>
      <c r="D6746" s="14" t="n">
        <f aca="false">Summary!$B$5-B6746</f>
        <v>2379.48885940606</v>
      </c>
      <c r="E6746" s="15" t="n">
        <f aca="false">B6746/Summary!$B$5-1</f>
        <v>-0.0237948885940606</v>
      </c>
    </row>
    <row r="6747" customFormat="false" ht="15" hidden="false" customHeight="false" outlineLevel="0" collapsed="false">
      <c r="A6747" s="0" t="n">
        <v>6746</v>
      </c>
      <c r="B6747" s="14" t="n">
        <v>116026.865813597</v>
      </c>
      <c r="C6747" s="15" t="n">
        <v>0.0652089434351389</v>
      </c>
      <c r="D6747" s="14" t="n">
        <f aca="false">Summary!$B$5-B6747</f>
        <v>-16026.8658135973</v>
      </c>
      <c r="E6747" s="15" t="n">
        <f aca="false">B6747/Summary!$B$5-1</f>
        <v>0.160268658135973</v>
      </c>
    </row>
    <row r="6748" customFormat="false" ht="15" hidden="false" customHeight="false" outlineLevel="0" collapsed="false">
      <c r="A6748" s="0" t="n">
        <v>6747</v>
      </c>
      <c r="B6748" s="14" t="n">
        <v>104026.396770572</v>
      </c>
      <c r="C6748" s="15" t="n">
        <v>0.114161043111787</v>
      </c>
      <c r="D6748" s="14" t="n">
        <f aca="false">Summary!$B$5-B6748</f>
        <v>-4026.3967705719</v>
      </c>
      <c r="E6748" s="15" t="n">
        <f aca="false">B6748/Summary!$B$5-1</f>
        <v>0.0402639677057191</v>
      </c>
    </row>
    <row r="6749" customFormat="false" ht="15" hidden="false" customHeight="false" outlineLevel="0" collapsed="false">
      <c r="A6749" s="0" t="n">
        <v>6748</v>
      </c>
      <c r="B6749" s="14" t="n">
        <v>101560.801559764</v>
      </c>
      <c r="C6749" s="15" t="n">
        <v>0.100543564254721</v>
      </c>
      <c r="D6749" s="14" t="n">
        <f aca="false">Summary!$B$5-B6749</f>
        <v>-1560.8015597643</v>
      </c>
      <c r="E6749" s="15" t="n">
        <f aca="false">B6749/Summary!$B$5-1</f>
        <v>0.015608015597643</v>
      </c>
    </row>
    <row r="6750" customFormat="false" ht="15" hidden="false" customHeight="false" outlineLevel="0" collapsed="false">
      <c r="A6750" s="0" t="n">
        <v>6749</v>
      </c>
      <c r="B6750" s="14" t="n">
        <v>110883.55099036</v>
      </c>
      <c r="C6750" s="15" t="n">
        <v>0.127839422335062</v>
      </c>
      <c r="D6750" s="14" t="n">
        <f aca="false">Summary!$B$5-B6750</f>
        <v>-10883.5509903601</v>
      </c>
      <c r="E6750" s="15" t="n">
        <f aca="false">B6750/Summary!$B$5-1</f>
        <v>0.108835509903601</v>
      </c>
    </row>
    <row r="6751" customFormat="false" ht="15" hidden="false" customHeight="false" outlineLevel="0" collapsed="false">
      <c r="A6751" s="0" t="n">
        <v>6750</v>
      </c>
      <c r="B6751" s="14" t="n">
        <v>105262.961400446</v>
      </c>
      <c r="C6751" s="15" t="n">
        <v>0.0780188751030556</v>
      </c>
      <c r="D6751" s="14" t="n">
        <f aca="false">Summary!$B$5-B6751</f>
        <v>-5262.96140044559</v>
      </c>
      <c r="E6751" s="15" t="n">
        <f aca="false">B6751/Summary!$B$5-1</f>
        <v>0.052629614004456</v>
      </c>
    </row>
    <row r="6752" customFormat="false" ht="15" hidden="false" customHeight="false" outlineLevel="0" collapsed="false">
      <c r="A6752" s="0" t="n">
        <v>6751</v>
      </c>
      <c r="B6752" s="14" t="n">
        <v>102272.351376903</v>
      </c>
      <c r="C6752" s="15" t="n">
        <v>0.106916863286763</v>
      </c>
      <c r="D6752" s="14" t="n">
        <f aca="false">Summary!$B$5-B6752</f>
        <v>-2272.3513769026</v>
      </c>
      <c r="E6752" s="15" t="n">
        <f aca="false">B6752/Summary!$B$5-1</f>
        <v>0.022723513769026</v>
      </c>
    </row>
    <row r="6753" customFormat="false" ht="15" hidden="false" customHeight="false" outlineLevel="0" collapsed="false">
      <c r="A6753" s="0" t="n">
        <v>6752</v>
      </c>
      <c r="B6753" s="14" t="n">
        <v>104403.996378522</v>
      </c>
      <c r="C6753" s="15" t="n">
        <v>0.17985086230287</v>
      </c>
      <c r="D6753" s="14" t="n">
        <f aca="false">Summary!$B$5-B6753</f>
        <v>-4403.9963785224</v>
      </c>
      <c r="E6753" s="15" t="n">
        <f aca="false">B6753/Summary!$B$5-1</f>
        <v>0.044039963785224</v>
      </c>
    </row>
    <row r="6754" customFormat="false" ht="15" hidden="false" customHeight="false" outlineLevel="0" collapsed="false">
      <c r="A6754" s="0" t="n">
        <v>6753</v>
      </c>
      <c r="B6754" s="14" t="n">
        <v>97297.7236005653</v>
      </c>
      <c r="C6754" s="15" t="n">
        <v>0.0735704388591491</v>
      </c>
      <c r="D6754" s="14" t="n">
        <f aca="false">Summary!$B$5-B6754</f>
        <v>2702.27639943468</v>
      </c>
      <c r="E6754" s="15" t="n">
        <f aca="false">B6754/Summary!$B$5-1</f>
        <v>-0.0270227639943468</v>
      </c>
    </row>
    <row r="6755" customFormat="false" ht="15" hidden="false" customHeight="false" outlineLevel="0" collapsed="false">
      <c r="A6755" s="0" t="n">
        <v>6754</v>
      </c>
      <c r="B6755" s="14" t="n">
        <v>98708.5347705807</v>
      </c>
      <c r="C6755" s="15" t="n">
        <v>0.103940263684156</v>
      </c>
      <c r="D6755" s="14" t="n">
        <f aca="false">Summary!$B$5-B6755</f>
        <v>1291.46522941934</v>
      </c>
      <c r="E6755" s="15" t="n">
        <f aca="false">B6755/Summary!$B$5-1</f>
        <v>-0.0129146522941934</v>
      </c>
    </row>
    <row r="6756" customFormat="false" ht="15" hidden="false" customHeight="false" outlineLevel="0" collapsed="false">
      <c r="A6756" s="0" t="n">
        <v>6755</v>
      </c>
      <c r="B6756" s="14" t="n">
        <v>114176.72699844</v>
      </c>
      <c r="C6756" s="15" t="n">
        <v>0.0657284006655652</v>
      </c>
      <c r="D6756" s="14" t="n">
        <f aca="false">Summary!$B$5-B6756</f>
        <v>-14176.7269984396</v>
      </c>
      <c r="E6756" s="15" t="n">
        <f aca="false">B6756/Summary!$B$5-1</f>
        <v>0.141767269984396</v>
      </c>
    </row>
    <row r="6757" customFormat="false" ht="15" hidden="false" customHeight="false" outlineLevel="0" collapsed="false">
      <c r="A6757" s="0" t="n">
        <v>6756</v>
      </c>
      <c r="B6757" s="14" t="n">
        <v>102680.286424105</v>
      </c>
      <c r="C6757" s="15" t="n">
        <v>0.0915262499702298</v>
      </c>
      <c r="D6757" s="14" t="n">
        <f aca="false">Summary!$B$5-B6757</f>
        <v>-2680.2864241049</v>
      </c>
      <c r="E6757" s="15" t="n">
        <f aca="false">B6757/Summary!$B$5-1</f>
        <v>0.0268028642410489</v>
      </c>
    </row>
    <row r="6758" customFormat="false" ht="15" hidden="false" customHeight="false" outlineLevel="0" collapsed="false">
      <c r="A6758" s="0" t="n">
        <v>6757</v>
      </c>
      <c r="B6758" s="14" t="n">
        <v>108042.631544637</v>
      </c>
      <c r="C6758" s="15" t="n">
        <v>0.145800895744072</v>
      </c>
      <c r="D6758" s="14" t="n">
        <f aca="false">Summary!$B$5-B6758</f>
        <v>-8042.6315446365</v>
      </c>
      <c r="E6758" s="15" t="n">
        <f aca="false">B6758/Summary!$B$5-1</f>
        <v>0.0804263154463651</v>
      </c>
    </row>
    <row r="6759" customFormat="false" ht="15" hidden="false" customHeight="false" outlineLevel="0" collapsed="false">
      <c r="A6759" s="0" t="n">
        <v>6758</v>
      </c>
      <c r="B6759" s="14" t="n">
        <v>108090.406336872</v>
      </c>
      <c r="C6759" s="15" t="n">
        <v>0.0987610515225262</v>
      </c>
      <c r="D6759" s="14" t="n">
        <f aca="false">Summary!$B$5-B6759</f>
        <v>-8090.4063368715</v>
      </c>
      <c r="E6759" s="15" t="n">
        <f aca="false">B6759/Summary!$B$5-1</f>
        <v>0.080904063368715</v>
      </c>
    </row>
    <row r="6760" customFormat="false" ht="15" hidden="false" customHeight="false" outlineLevel="0" collapsed="false">
      <c r="A6760" s="0" t="n">
        <v>6759</v>
      </c>
      <c r="B6760" s="14" t="n">
        <v>131120.012993906</v>
      </c>
      <c r="C6760" s="15" t="n">
        <v>0.0676717069099536</v>
      </c>
      <c r="D6760" s="14" t="n">
        <f aca="false">Summary!$B$5-B6760</f>
        <v>-31120.0129939056</v>
      </c>
      <c r="E6760" s="15" t="n">
        <f aca="false">B6760/Summary!$B$5-1</f>
        <v>0.311200129939056</v>
      </c>
    </row>
    <row r="6761" customFormat="false" ht="15" hidden="false" customHeight="false" outlineLevel="0" collapsed="false">
      <c r="A6761" s="0" t="n">
        <v>6760</v>
      </c>
      <c r="B6761" s="14" t="n">
        <v>105436.747507156</v>
      </c>
      <c r="C6761" s="15" t="n">
        <v>0.0697303439120592</v>
      </c>
      <c r="D6761" s="14" t="n">
        <f aca="false">Summary!$B$5-B6761</f>
        <v>-5436.7475071564</v>
      </c>
      <c r="E6761" s="15" t="n">
        <f aca="false">B6761/Summary!$B$5-1</f>
        <v>0.0543674750715639</v>
      </c>
    </row>
    <row r="6762" customFormat="false" ht="15" hidden="false" customHeight="false" outlineLevel="0" collapsed="false">
      <c r="A6762" s="0" t="n">
        <v>6761</v>
      </c>
      <c r="B6762" s="14" t="n">
        <v>102860.886820076</v>
      </c>
      <c r="C6762" s="15" t="n">
        <v>0.082511022607014</v>
      </c>
      <c r="D6762" s="14" t="n">
        <f aca="false">Summary!$B$5-B6762</f>
        <v>-2860.8868200758</v>
      </c>
      <c r="E6762" s="15" t="n">
        <f aca="false">B6762/Summary!$B$5-1</f>
        <v>0.0286088682007579</v>
      </c>
    </row>
    <row r="6763" customFormat="false" ht="15" hidden="false" customHeight="false" outlineLevel="0" collapsed="false">
      <c r="A6763" s="0" t="n">
        <v>6762</v>
      </c>
      <c r="B6763" s="14" t="n">
        <v>95206.7031898297</v>
      </c>
      <c r="C6763" s="15" t="n">
        <v>0.105472916845978</v>
      </c>
      <c r="D6763" s="14" t="n">
        <f aca="false">Summary!$B$5-B6763</f>
        <v>4793.29681017027</v>
      </c>
      <c r="E6763" s="15" t="n">
        <f aca="false">B6763/Summary!$B$5-1</f>
        <v>-0.0479329681017027</v>
      </c>
    </row>
    <row r="6764" customFormat="false" ht="15" hidden="false" customHeight="false" outlineLevel="0" collapsed="false">
      <c r="A6764" s="0" t="n">
        <v>6763</v>
      </c>
      <c r="B6764" s="14" t="n">
        <v>97662.7513102029</v>
      </c>
      <c r="C6764" s="15" t="n">
        <v>0.145263713965432</v>
      </c>
      <c r="D6764" s="14" t="n">
        <f aca="false">Summary!$B$5-B6764</f>
        <v>2337.24868979711</v>
      </c>
      <c r="E6764" s="15" t="n">
        <f aca="false">B6764/Summary!$B$5-1</f>
        <v>-0.0233724868979711</v>
      </c>
    </row>
    <row r="6765" customFormat="false" ht="15" hidden="false" customHeight="false" outlineLevel="0" collapsed="false">
      <c r="A6765" s="0" t="n">
        <v>6764</v>
      </c>
      <c r="B6765" s="14" t="n">
        <v>99231.7955533</v>
      </c>
      <c r="C6765" s="15" t="n">
        <v>0.0889084820643527</v>
      </c>
      <c r="D6765" s="14" t="n">
        <f aca="false">Summary!$B$5-B6765</f>
        <v>768.204446700023</v>
      </c>
      <c r="E6765" s="15" t="n">
        <f aca="false">B6765/Summary!$B$5-1</f>
        <v>-0.00768204446700027</v>
      </c>
    </row>
    <row r="6766" customFormat="false" ht="15" hidden="false" customHeight="false" outlineLevel="0" collapsed="false">
      <c r="A6766" s="0" t="n">
        <v>6765</v>
      </c>
      <c r="B6766" s="14" t="n">
        <v>95181.9876128675</v>
      </c>
      <c r="C6766" s="15" t="n">
        <v>0.155672013253214</v>
      </c>
      <c r="D6766" s="14" t="n">
        <f aca="false">Summary!$B$5-B6766</f>
        <v>4818.01238713248</v>
      </c>
      <c r="E6766" s="15" t="n">
        <f aca="false">B6766/Summary!$B$5-1</f>
        <v>-0.0481801238713248</v>
      </c>
    </row>
    <row r="6767" customFormat="false" ht="15" hidden="false" customHeight="false" outlineLevel="0" collapsed="false">
      <c r="A6767" s="0" t="n">
        <v>6766</v>
      </c>
      <c r="B6767" s="14" t="n">
        <v>109526.21722947</v>
      </c>
      <c r="C6767" s="15" t="n">
        <v>0.143872535361725</v>
      </c>
      <c r="D6767" s="14" t="n">
        <f aca="false">Summary!$B$5-B6767</f>
        <v>-9526.21722947</v>
      </c>
      <c r="E6767" s="15" t="n">
        <f aca="false">B6767/Summary!$B$5-1</f>
        <v>0.0952621722947</v>
      </c>
    </row>
    <row r="6768" customFormat="false" ht="15" hidden="false" customHeight="false" outlineLevel="0" collapsed="false">
      <c r="A6768" s="0" t="n">
        <v>6767</v>
      </c>
      <c r="B6768" s="14" t="n">
        <v>106862.717036495</v>
      </c>
      <c r="C6768" s="15" t="n">
        <v>0.116899344459384</v>
      </c>
      <c r="D6768" s="14" t="n">
        <f aca="false">Summary!$B$5-B6768</f>
        <v>-6862.7170364952</v>
      </c>
      <c r="E6768" s="15" t="n">
        <f aca="false">B6768/Summary!$B$5-1</f>
        <v>0.0686271703649521</v>
      </c>
    </row>
    <row r="6769" customFormat="false" ht="15" hidden="false" customHeight="false" outlineLevel="0" collapsed="false">
      <c r="A6769" s="0" t="n">
        <v>6768</v>
      </c>
      <c r="B6769" s="14" t="n">
        <v>112984.309233783</v>
      </c>
      <c r="C6769" s="15" t="n">
        <v>0.119128078235431</v>
      </c>
      <c r="D6769" s="14" t="n">
        <f aca="false">Summary!$B$5-B6769</f>
        <v>-12984.309233783</v>
      </c>
      <c r="E6769" s="15" t="n">
        <f aca="false">B6769/Summary!$B$5-1</f>
        <v>0.12984309233783</v>
      </c>
    </row>
    <row r="6770" customFormat="false" ht="15" hidden="false" customHeight="false" outlineLevel="0" collapsed="false">
      <c r="A6770" s="0" t="n">
        <v>6769</v>
      </c>
      <c r="B6770" s="14" t="n">
        <v>113358.179927344</v>
      </c>
      <c r="C6770" s="15" t="n">
        <v>0.0462949936075476</v>
      </c>
      <c r="D6770" s="14" t="n">
        <f aca="false">Summary!$B$5-B6770</f>
        <v>-13358.1799273441</v>
      </c>
      <c r="E6770" s="15" t="n">
        <f aca="false">B6770/Summary!$B$5-1</f>
        <v>0.133581799273441</v>
      </c>
    </row>
    <row r="6771" customFormat="false" ht="15" hidden="false" customHeight="false" outlineLevel="0" collapsed="false">
      <c r="A6771" s="0" t="n">
        <v>6770</v>
      </c>
      <c r="B6771" s="14" t="n">
        <v>118990.841548439</v>
      </c>
      <c r="C6771" s="15" t="n">
        <v>0.091636221216259</v>
      </c>
      <c r="D6771" s="14" t="n">
        <f aca="false">Summary!$B$5-B6771</f>
        <v>-18990.8415484393</v>
      </c>
      <c r="E6771" s="15" t="n">
        <f aca="false">B6771/Summary!$B$5-1</f>
        <v>0.189908415484393</v>
      </c>
    </row>
    <row r="6772" customFormat="false" ht="15" hidden="false" customHeight="false" outlineLevel="0" collapsed="false">
      <c r="A6772" s="0" t="n">
        <v>6771</v>
      </c>
      <c r="B6772" s="14" t="n">
        <v>109027.506868366</v>
      </c>
      <c r="C6772" s="15" t="n">
        <v>0.116706623189955</v>
      </c>
      <c r="D6772" s="14" t="n">
        <f aca="false">Summary!$B$5-B6772</f>
        <v>-9027.50686836609</v>
      </c>
      <c r="E6772" s="15" t="n">
        <f aca="false">B6772/Summary!$B$5-1</f>
        <v>0.0902750686836609</v>
      </c>
    </row>
    <row r="6773" customFormat="false" ht="15" hidden="false" customHeight="false" outlineLevel="0" collapsed="false">
      <c r="A6773" s="0" t="n">
        <v>6772</v>
      </c>
      <c r="B6773" s="14" t="n">
        <v>124449.631067186</v>
      </c>
      <c r="C6773" s="15" t="n">
        <v>0.118045530932414</v>
      </c>
      <c r="D6773" s="14" t="n">
        <f aca="false">Summary!$B$5-B6773</f>
        <v>-24449.6310671855</v>
      </c>
      <c r="E6773" s="15" t="n">
        <f aca="false">B6773/Summary!$B$5-1</f>
        <v>0.244496310671855</v>
      </c>
    </row>
    <row r="6774" customFormat="false" ht="15" hidden="false" customHeight="false" outlineLevel="0" collapsed="false">
      <c r="A6774" s="0" t="n">
        <v>6773</v>
      </c>
      <c r="B6774" s="14" t="n">
        <v>90296.2347787689</v>
      </c>
      <c r="C6774" s="15" t="n">
        <v>0.203539282386984</v>
      </c>
      <c r="D6774" s="14" t="n">
        <f aca="false">Summary!$B$5-B6774</f>
        <v>9703.76522123109</v>
      </c>
      <c r="E6774" s="15" t="n">
        <f aca="false">B6774/Summary!$B$5-1</f>
        <v>-0.097037652212311</v>
      </c>
    </row>
    <row r="6775" customFormat="false" ht="15" hidden="false" customHeight="false" outlineLevel="0" collapsed="false">
      <c r="A6775" s="0" t="n">
        <v>6774</v>
      </c>
      <c r="B6775" s="14" t="n">
        <v>116792.960490556</v>
      </c>
      <c r="C6775" s="15" t="n">
        <v>0.0835156807887391</v>
      </c>
      <c r="D6775" s="14" t="n">
        <f aca="false">Summary!$B$5-B6775</f>
        <v>-16792.9604905556</v>
      </c>
      <c r="E6775" s="15" t="n">
        <f aca="false">B6775/Summary!$B$5-1</f>
        <v>0.167929604905556</v>
      </c>
    </row>
    <row r="6776" customFormat="false" ht="15" hidden="false" customHeight="false" outlineLevel="0" collapsed="false">
      <c r="A6776" s="0" t="n">
        <v>6775</v>
      </c>
      <c r="B6776" s="14" t="n">
        <v>107428.98588014</v>
      </c>
      <c r="C6776" s="15" t="n">
        <v>0.141034697985071</v>
      </c>
      <c r="D6776" s="14" t="n">
        <f aca="false">Summary!$B$5-B6776</f>
        <v>-7428.98588013979</v>
      </c>
      <c r="E6776" s="15" t="n">
        <f aca="false">B6776/Summary!$B$5-1</f>
        <v>0.0742898588013978</v>
      </c>
    </row>
    <row r="6777" customFormat="false" ht="15" hidden="false" customHeight="false" outlineLevel="0" collapsed="false">
      <c r="A6777" s="0" t="n">
        <v>6776</v>
      </c>
      <c r="B6777" s="14" t="n">
        <v>106011.502532452</v>
      </c>
      <c r="C6777" s="15" t="n">
        <v>0.0800365702175203</v>
      </c>
      <c r="D6777" s="14" t="n">
        <f aca="false">Summary!$B$5-B6777</f>
        <v>-6011.50253245171</v>
      </c>
      <c r="E6777" s="15" t="n">
        <f aca="false">B6777/Summary!$B$5-1</f>
        <v>0.0601150253245171</v>
      </c>
    </row>
    <row r="6778" customFormat="false" ht="15" hidden="false" customHeight="false" outlineLevel="0" collapsed="false">
      <c r="A6778" s="0" t="n">
        <v>6777</v>
      </c>
      <c r="B6778" s="14" t="n">
        <v>117008.81959975</v>
      </c>
      <c r="C6778" s="15" t="n">
        <v>0.0967022751321693</v>
      </c>
      <c r="D6778" s="14" t="n">
        <f aca="false">Summary!$B$5-B6778</f>
        <v>-17008.8195997495</v>
      </c>
      <c r="E6778" s="15" t="n">
        <f aca="false">B6778/Summary!$B$5-1</f>
        <v>0.170088195997495</v>
      </c>
    </row>
    <row r="6779" customFormat="false" ht="15" hidden="false" customHeight="false" outlineLevel="0" collapsed="false">
      <c r="A6779" s="0" t="n">
        <v>6778</v>
      </c>
      <c r="B6779" s="14" t="n">
        <v>109153.287171933</v>
      </c>
      <c r="C6779" s="15" t="n">
        <v>0.116495865862187</v>
      </c>
      <c r="D6779" s="14" t="n">
        <f aca="false">Summary!$B$5-B6779</f>
        <v>-9153.28717193341</v>
      </c>
      <c r="E6779" s="15" t="n">
        <f aca="false">B6779/Summary!$B$5-1</f>
        <v>0.091532871719334</v>
      </c>
    </row>
    <row r="6780" customFormat="false" ht="15" hidden="false" customHeight="false" outlineLevel="0" collapsed="false">
      <c r="A6780" s="0" t="n">
        <v>6779</v>
      </c>
      <c r="B6780" s="14" t="n">
        <v>99364.4454764447</v>
      </c>
      <c r="C6780" s="15" t="n">
        <v>0.133671534724473</v>
      </c>
      <c r="D6780" s="14" t="n">
        <f aca="false">Summary!$B$5-B6780</f>
        <v>635.554523555329</v>
      </c>
      <c r="E6780" s="15" t="n">
        <f aca="false">B6780/Summary!$B$5-1</f>
        <v>-0.00635554523555326</v>
      </c>
    </row>
    <row r="6781" customFormat="false" ht="15" hidden="false" customHeight="false" outlineLevel="0" collapsed="false">
      <c r="A6781" s="0" t="n">
        <v>6780</v>
      </c>
      <c r="B6781" s="14" t="n">
        <v>104075.360743384</v>
      </c>
      <c r="C6781" s="15" t="n">
        <v>0.101397934406175</v>
      </c>
      <c r="D6781" s="14" t="n">
        <f aca="false">Summary!$B$5-B6781</f>
        <v>-4075.3607433837</v>
      </c>
      <c r="E6781" s="15" t="n">
        <f aca="false">B6781/Summary!$B$5-1</f>
        <v>0.0407536074338371</v>
      </c>
    </row>
    <row r="6782" customFormat="false" ht="15" hidden="false" customHeight="false" outlineLevel="0" collapsed="false">
      <c r="A6782" s="0" t="n">
        <v>6781</v>
      </c>
      <c r="B6782" s="14" t="n">
        <v>109081.813624838</v>
      </c>
      <c r="C6782" s="15" t="n">
        <v>0.0622481448049889</v>
      </c>
      <c r="D6782" s="14" t="n">
        <f aca="false">Summary!$B$5-B6782</f>
        <v>-9081.813624838</v>
      </c>
      <c r="E6782" s="15" t="n">
        <f aca="false">B6782/Summary!$B$5-1</f>
        <v>0.09081813624838</v>
      </c>
    </row>
    <row r="6783" customFormat="false" ht="15" hidden="false" customHeight="false" outlineLevel="0" collapsed="false">
      <c r="A6783" s="0" t="n">
        <v>6782</v>
      </c>
      <c r="B6783" s="14" t="n">
        <v>120271.183515657</v>
      </c>
      <c r="C6783" s="15" t="n">
        <v>0.0918379249262115</v>
      </c>
      <c r="D6783" s="14" t="n">
        <f aca="false">Summary!$B$5-B6783</f>
        <v>-20271.183515657</v>
      </c>
      <c r="E6783" s="15" t="n">
        <f aca="false">B6783/Summary!$B$5-1</f>
        <v>0.20271183515657</v>
      </c>
    </row>
    <row r="6784" customFormat="false" ht="15" hidden="false" customHeight="false" outlineLevel="0" collapsed="false">
      <c r="A6784" s="0" t="n">
        <v>6783</v>
      </c>
      <c r="B6784" s="14" t="n">
        <v>112403.906272773</v>
      </c>
      <c r="C6784" s="15" t="n">
        <v>0.0709061077118068</v>
      </c>
      <c r="D6784" s="14" t="n">
        <f aca="false">Summary!$B$5-B6784</f>
        <v>-12403.9062727726</v>
      </c>
      <c r="E6784" s="15" t="n">
        <f aca="false">B6784/Summary!$B$5-1</f>
        <v>0.124039062727726</v>
      </c>
    </row>
    <row r="6785" customFormat="false" ht="15" hidden="false" customHeight="false" outlineLevel="0" collapsed="false">
      <c r="A6785" s="0" t="n">
        <v>6784</v>
      </c>
      <c r="B6785" s="14" t="n">
        <v>97376.0705069545</v>
      </c>
      <c r="C6785" s="15" t="n">
        <v>0.157294446068848</v>
      </c>
      <c r="D6785" s="14" t="n">
        <f aca="false">Summary!$B$5-B6785</f>
        <v>2623.92949304552</v>
      </c>
      <c r="E6785" s="15" t="n">
        <f aca="false">B6785/Summary!$B$5-1</f>
        <v>-0.0262392949304552</v>
      </c>
    </row>
    <row r="6786" customFormat="false" ht="15" hidden="false" customHeight="false" outlineLevel="0" collapsed="false">
      <c r="A6786" s="0" t="n">
        <v>6785</v>
      </c>
      <c r="B6786" s="14" t="n">
        <v>108017.559174394</v>
      </c>
      <c r="C6786" s="15" t="n">
        <v>0.173642150787745</v>
      </c>
      <c r="D6786" s="14" t="n">
        <f aca="false">Summary!$B$5-B6786</f>
        <v>-8017.5591743936</v>
      </c>
      <c r="E6786" s="15" t="n">
        <f aca="false">B6786/Summary!$B$5-1</f>
        <v>0.080175591743936</v>
      </c>
    </row>
    <row r="6787" customFormat="false" ht="15" hidden="false" customHeight="false" outlineLevel="0" collapsed="false">
      <c r="A6787" s="0" t="n">
        <v>6786</v>
      </c>
      <c r="B6787" s="14" t="n">
        <v>94441.6812115799</v>
      </c>
      <c r="C6787" s="15" t="n">
        <v>0.130793497628035</v>
      </c>
      <c r="D6787" s="14" t="n">
        <f aca="false">Summary!$B$5-B6787</f>
        <v>5558.31878842012</v>
      </c>
      <c r="E6787" s="15" t="n">
        <f aca="false">B6787/Summary!$B$5-1</f>
        <v>-0.0555831878842011</v>
      </c>
    </row>
    <row r="6788" customFormat="false" ht="15" hidden="false" customHeight="false" outlineLevel="0" collapsed="false">
      <c r="A6788" s="0" t="n">
        <v>6787</v>
      </c>
      <c r="B6788" s="14" t="n">
        <v>93909.2577044202</v>
      </c>
      <c r="C6788" s="15" t="n">
        <v>0.122508444587724</v>
      </c>
      <c r="D6788" s="14" t="n">
        <f aca="false">Summary!$B$5-B6788</f>
        <v>6090.74229557981</v>
      </c>
      <c r="E6788" s="15" t="n">
        <f aca="false">B6788/Summary!$B$5-1</f>
        <v>-0.0609074229557981</v>
      </c>
    </row>
    <row r="6789" customFormat="false" ht="15" hidden="false" customHeight="false" outlineLevel="0" collapsed="false">
      <c r="A6789" s="0" t="n">
        <v>6788</v>
      </c>
      <c r="B6789" s="14" t="n">
        <v>95252.768690861</v>
      </c>
      <c r="C6789" s="15" t="n">
        <v>0.0616055358766279</v>
      </c>
      <c r="D6789" s="14" t="n">
        <f aca="false">Summary!$B$5-B6789</f>
        <v>4747.231309139</v>
      </c>
      <c r="E6789" s="15" t="n">
        <f aca="false">B6789/Summary!$B$5-1</f>
        <v>-0.04747231309139</v>
      </c>
    </row>
    <row r="6790" customFormat="false" ht="15" hidden="false" customHeight="false" outlineLevel="0" collapsed="false">
      <c r="A6790" s="0" t="n">
        <v>6789</v>
      </c>
      <c r="B6790" s="14" t="n">
        <v>104487.192961698</v>
      </c>
      <c r="C6790" s="15" t="n">
        <v>0.0779080091351901</v>
      </c>
      <c r="D6790" s="14" t="n">
        <f aca="false">Summary!$B$5-B6790</f>
        <v>-4487.1929616983</v>
      </c>
      <c r="E6790" s="15" t="n">
        <f aca="false">B6790/Summary!$B$5-1</f>
        <v>0.0448719296169831</v>
      </c>
    </row>
    <row r="6791" customFormat="false" ht="15" hidden="false" customHeight="false" outlineLevel="0" collapsed="false">
      <c r="A6791" s="0" t="n">
        <v>6790</v>
      </c>
      <c r="B6791" s="14" t="n">
        <v>116626.354852799</v>
      </c>
      <c r="C6791" s="15" t="n">
        <v>0.110881961164007</v>
      </c>
      <c r="D6791" s="14" t="n">
        <f aca="false">Summary!$B$5-B6791</f>
        <v>-16626.3548527989</v>
      </c>
      <c r="E6791" s="15" t="n">
        <f aca="false">B6791/Summary!$B$5-1</f>
        <v>0.166263548527989</v>
      </c>
    </row>
    <row r="6792" customFormat="false" ht="15" hidden="false" customHeight="false" outlineLevel="0" collapsed="false">
      <c r="A6792" s="0" t="n">
        <v>6791</v>
      </c>
      <c r="B6792" s="14" t="n">
        <v>98251.2413735388</v>
      </c>
      <c r="C6792" s="15" t="n">
        <v>0.109360541635975</v>
      </c>
      <c r="D6792" s="14" t="n">
        <f aca="false">Summary!$B$5-B6792</f>
        <v>1748.75862646117</v>
      </c>
      <c r="E6792" s="15" t="n">
        <f aca="false">B6792/Summary!$B$5-1</f>
        <v>-0.0174875862646118</v>
      </c>
    </row>
    <row r="6793" customFormat="false" ht="15" hidden="false" customHeight="false" outlineLevel="0" collapsed="false">
      <c r="A6793" s="0" t="n">
        <v>6792</v>
      </c>
      <c r="B6793" s="14" t="n">
        <v>96698.393558732</v>
      </c>
      <c r="C6793" s="15" t="n">
        <v>0.153249903827205</v>
      </c>
      <c r="D6793" s="14" t="n">
        <f aca="false">Summary!$B$5-B6793</f>
        <v>3301.60644126803</v>
      </c>
      <c r="E6793" s="15" t="n">
        <f aca="false">B6793/Summary!$B$5-1</f>
        <v>-0.0330160644126802</v>
      </c>
    </row>
    <row r="6794" customFormat="false" ht="15" hidden="false" customHeight="false" outlineLevel="0" collapsed="false">
      <c r="A6794" s="0" t="n">
        <v>6793</v>
      </c>
      <c r="B6794" s="14" t="n">
        <v>106903.392089957</v>
      </c>
      <c r="C6794" s="15" t="n">
        <v>0.107504669504445</v>
      </c>
      <c r="D6794" s="14" t="n">
        <f aca="false">Summary!$B$5-B6794</f>
        <v>-6903.3920899574</v>
      </c>
      <c r="E6794" s="15" t="n">
        <f aca="false">B6794/Summary!$B$5-1</f>
        <v>0.0690339208995741</v>
      </c>
    </row>
    <row r="6795" customFormat="false" ht="15" hidden="false" customHeight="false" outlineLevel="0" collapsed="false">
      <c r="A6795" s="0" t="n">
        <v>6794</v>
      </c>
      <c r="B6795" s="14" t="n">
        <v>104423.274384</v>
      </c>
      <c r="C6795" s="15" t="n">
        <v>0.0917094298112791</v>
      </c>
      <c r="D6795" s="14" t="n">
        <f aca="false">Summary!$B$5-B6795</f>
        <v>-4423.2743839999</v>
      </c>
      <c r="E6795" s="15" t="n">
        <f aca="false">B6795/Summary!$B$5-1</f>
        <v>0.044232743839999</v>
      </c>
    </row>
    <row r="6796" customFormat="false" ht="15" hidden="false" customHeight="false" outlineLevel="0" collapsed="false">
      <c r="A6796" s="0" t="n">
        <v>6795</v>
      </c>
      <c r="B6796" s="14" t="n">
        <v>101368.305060358</v>
      </c>
      <c r="C6796" s="15" t="n">
        <v>0.108271626729858</v>
      </c>
      <c r="D6796" s="14" t="n">
        <f aca="false">Summary!$B$5-B6796</f>
        <v>-1368.30506035819</v>
      </c>
      <c r="E6796" s="15" t="n">
        <f aca="false">B6796/Summary!$B$5-1</f>
        <v>0.0136830506035819</v>
      </c>
    </row>
    <row r="6797" customFormat="false" ht="15" hidden="false" customHeight="false" outlineLevel="0" collapsed="false">
      <c r="A6797" s="0" t="n">
        <v>6796</v>
      </c>
      <c r="B6797" s="14" t="n">
        <v>88524.5213622295</v>
      </c>
      <c r="C6797" s="15" t="n">
        <v>0.158282035992325</v>
      </c>
      <c r="D6797" s="14" t="n">
        <f aca="false">Summary!$B$5-B6797</f>
        <v>11475.4786377705</v>
      </c>
      <c r="E6797" s="15" t="n">
        <f aca="false">B6797/Summary!$B$5-1</f>
        <v>-0.114754786377705</v>
      </c>
    </row>
    <row r="6798" customFormat="false" ht="15" hidden="false" customHeight="false" outlineLevel="0" collapsed="false">
      <c r="A6798" s="0" t="n">
        <v>6797</v>
      </c>
      <c r="B6798" s="14" t="n">
        <v>95206.9457781195</v>
      </c>
      <c r="C6798" s="15" t="n">
        <v>0.146648870895442</v>
      </c>
      <c r="D6798" s="14" t="n">
        <f aca="false">Summary!$B$5-B6798</f>
        <v>4793.05422188055</v>
      </c>
      <c r="E6798" s="15" t="n">
        <f aca="false">B6798/Summary!$B$5-1</f>
        <v>-0.0479305422188056</v>
      </c>
    </row>
    <row r="6799" customFormat="false" ht="15" hidden="false" customHeight="false" outlineLevel="0" collapsed="false">
      <c r="A6799" s="0" t="n">
        <v>6798</v>
      </c>
      <c r="B6799" s="14" t="n">
        <v>82218.2932791598</v>
      </c>
      <c r="C6799" s="15" t="n">
        <v>0.220481919614476</v>
      </c>
      <c r="D6799" s="14" t="n">
        <f aca="false">Summary!$B$5-B6799</f>
        <v>17781.7067208402</v>
      </c>
      <c r="E6799" s="15" t="n">
        <f aca="false">B6799/Summary!$B$5-1</f>
        <v>-0.177817067208402</v>
      </c>
    </row>
    <row r="6800" customFormat="false" ht="15" hidden="false" customHeight="false" outlineLevel="0" collapsed="false">
      <c r="A6800" s="0" t="n">
        <v>6799</v>
      </c>
      <c r="B6800" s="14" t="n">
        <v>105621.042961752</v>
      </c>
      <c r="C6800" s="15" t="n">
        <v>0.120321960581313</v>
      </c>
      <c r="D6800" s="14" t="n">
        <f aca="false">Summary!$B$5-B6800</f>
        <v>-5621.04296175241</v>
      </c>
      <c r="E6800" s="15" t="n">
        <f aca="false">B6800/Summary!$B$5-1</f>
        <v>0.0562104296175241</v>
      </c>
    </row>
    <row r="6801" customFormat="false" ht="15" hidden="false" customHeight="false" outlineLevel="0" collapsed="false">
      <c r="A6801" s="0" t="n">
        <v>6800</v>
      </c>
      <c r="B6801" s="14" t="n">
        <v>102961.289863286</v>
      </c>
      <c r="C6801" s="15" t="n">
        <v>0.0897542365264048</v>
      </c>
      <c r="D6801" s="14" t="n">
        <f aca="false">Summary!$B$5-B6801</f>
        <v>-2961.28986328639</v>
      </c>
      <c r="E6801" s="15" t="n">
        <f aca="false">B6801/Summary!$B$5-1</f>
        <v>0.0296128986328639</v>
      </c>
    </row>
    <row r="6802" customFormat="false" ht="15" hidden="false" customHeight="false" outlineLevel="0" collapsed="false">
      <c r="A6802" s="0" t="n">
        <v>6801</v>
      </c>
      <c r="B6802" s="14" t="n">
        <v>114881.698435842</v>
      </c>
      <c r="C6802" s="15" t="n">
        <v>0.0712309348315559</v>
      </c>
      <c r="D6802" s="14" t="n">
        <f aca="false">Summary!$B$5-B6802</f>
        <v>-14881.6984358417</v>
      </c>
      <c r="E6802" s="15" t="n">
        <f aca="false">B6802/Summary!$B$5-1</f>
        <v>0.148816984358417</v>
      </c>
    </row>
    <row r="6803" customFormat="false" ht="15" hidden="false" customHeight="false" outlineLevel="0" collapsed="false">
      <c r="A6803" s="0" t="n">
        <v>6802</v>
      </c>
      <c r="B6803" s="14" t="n">
        <v>87898.1329330901</v>
      </c>
      <c r="C6803" s="15" t="n">
        <v>0.125849512143541</v>
      </c>
      <c r="D6803" s="14" t="n">
        <f aca="false">Summary!$B$5-B6803</f>
        <v>12101.8670669099</v>
      </c>
      <c r="E6803" s="15" t="n">
        <f aca="false">B6803/Summary!$B$5-1</f>
        <v>-0.121018670669099</v>
      </c>
    </row>
    <row r="6804" customFormat="false" ht="15" hidden="false" customHeight="false" outlineLevel="0" collapsed="false">
      <c r="A6804" s="0" t="n">
        <v>6803</v>
      </c>
      <c r="B6804" s="14" t="n">
        <v>106474.275722219</v>
      </c>
      <c r="C6804" s="15" t="n">
        <v>0.122992146366099</v>
      </c>
      <c r="D6804" s="14" t="n">
        <f aca="false">Summary!$B$5-B6804</f>
        <v>-6474.2757222189</v>
      </c>
      <c r="E6804" s="15" t="n">
        <f aca="false">B6804/Summary!$B$5-1</f>
        <v>0.064742757222189</v>
      </c>
    </row>
    <row r="6805" customFormat="false" ht="15" hidden="false" customHeight="false" outlineLevel="0" collapsed="false">
      <c r="A6805" s="0" t="n">
        <v>6804</v>
      </c>
      <c r="B6805" s="14" t="n">
        <v>134683.74922948</v>
      </c>
      <c r="C6805" s="15" t="n">
        <v>0.0742278068485202</v>
      </c>
      <c r="D6805" s="14" t="n">
        <f aca="false">Summary!$B$5-B6805</f>
        <v>-34683.7492294798</v>
      </c>
      <c r="E6805" s="15" t="n">
        <f aca="false">B6805/Summary!$B$5-1</f>
        <v>0.346837492294798</v>
      </c>
    </row>
    <row r="6806" customFormat="false" ht="15" hidden="false" customHeight="false" outlineLevel="0" collapsed="false">
      <c r="A6806" s="0" t="n">
        <v>6805</v>
      </c>
      <c r="B6806" s="14" t="n">
        <v>89588.4690748201</v>
      </c>
      <c r="C6806" s="15" t="n">
        <v>0.166165941617284</v>
      </c>
      <c r="D6806" s="14" t="n">
        <f aca="false">Summary!$B$5-B6806</f>
        <v>10411.5309251799</v>
      </c>
      <c r="E6806" s="15" t="n">
        <f aca="false">B6806/Summary!$B$5-1</f>
        <v>-0.104115309251799</v>
      </c>
    </row>
    <row r="6807" customFormat="false" ht="15" hidden="false" customHeight="false" outlineLevel="0" collapsed="false">
      <c r="A6807" s="0" t="n">
        <v>6806</v>
      </c>
      <c r="B6807" s="14" t="n">
        <v>102696.379883677</v>
      </c>
      <c r="C6807" s="15" t="n">
        <v>0.138773107576887</v>
      </c>
      <c r="D6807" s="14" t="n">
        <f aca="false">Summary!$B$5-B6807</f>
        <v>-2696.3798836768</v>
      </c>
      <c r="E6807" s="15" t="n">
        <f aca="false">B6807/Summary!$B$5-1</f>
        <v>0.0269637988367679</v>
      </c>
    </row>
    <row r="6808" customFormat="false" ht="15" hidden="false" customHeight="false" outlineLevel="0" collapsed="false">
      <c r="A6808" s="0" t="n">
        <v>6807</v>
      </c>
      <c r="B6808" s="14" t="n">
        <v>102099.988292877</v>
      </c>
      <c r="C6808" s="15" t="n">
        <v>0.0978375177263342</v>
      </c>
      <c r="D6808" s="14" t="n">
        <f aca="false">Summary!$B$5-B6808</f>
        <v>-2099.9882928765</v>
      </c>
      <c r="E6808" s="15" t="n">
        <f aca="false">B6808/Summary!$B$5-1</f>
        <v>0.020999882928765</v>
      </c>
    </row>
    <row r="6809" customFormat="false" ht="15" hidden="false" customHeight="false" outlineLevel="0" collapsed="false">
      <c r="A6809" s="0" t="n">
        <v>6808</v>
      </c>
      <c r="B6809" s="14" t="n">
        <v>115614.610276575</v>
      </c>
      <c r="C6809" s="15" t="n">
        <v>0.0875960099100085</v>
      </c>
      <c r="D6809" s="14" t="n">
        <f aca="false">Summary!$B$5-B6809</f>
        <v>-15614.6102765746</v>
      </c>
      <c r="E6809" s="15" t="n">
        <f aca="false">B6809/Summary!$B$5-1</f>
        <v>0.156146102765746</v>
      </c>
    </row>
    <row r="6810" customFormat="false" ht="15" hidden="false" customHeight="false" outlineLevel="0" collapsed="false">
      <c r="A6810" s="0" t="n">
        <v>6809</v>
      </c>
      <c r="B6810" s="14" t="n">
        <v>118216.755042318</v>
      </c>
      <c r="C6810" s="15" t="n">
        <v>0.0808195888905449</v>
      </c>
      <c r="D6810" s="14" t="n">
        <f aca="false">Summary!$B$5-B6810</f>
        <v>-18216.7550423181</v>
      </c>
      <c r="E6810" s="15" t="n">
        <f aca="false">B6810/Summary!$B$5-1</f>
        <v>0.182167550423181</v>
      </c>
    </row>
    <row r="6811" customFormat="false" ht="15" hidden="false" customHeight="false" outlineLevel="0" collapsed="false">
      <c r="A6811" s="0" t="n">
        <v>6810</v>
      </c>
      <c r="B6811" s="14" t="n">
        <v>136576.555336023</v>
      </c>
      <c r="C6811" s="15" t="n">
        <v>0.0591352794751171</v>
      </c>
      <c r="D6811" s="14" t="n">
        <f aca="false">Summary!$B$5-B6811</f>
        <v>-36576.5553360233</v>
      </c>
      <c r="E6811" s="15" t="n">
        <f aca="false">B6811/Summary!$B$5-1</f>
        <v>0.365765553360233</v>
      </c>
    </row>
    <row r="6812" customFormat="false" ht="15" hidden="false" customHeight="false" outlineLevel="0" collapsed="false">
      <c r="A6812" s="0" t="n">
        <v>6811</v>
      </c>
      <c r="B6812" s="14" t="n">
        <v>126444.060274532</v>
      </c>
      <c r="C6812" s="15" t="n">
        <v>0.0703962999286798</v>
      </c>
      <c r="D6812" s="14" t="n">
        <f aca="false">Summary!$B$5-B6812</f>
        <v>-26444.0602745323</v>
      </c>
      <c r="E6812" s="15" t="n">
        <f aca="false">B6812/Summary!$B$5-1</f>
        <v>0.264440602745323</v>
      </c>
    </row>
    <row r="6813" customFormat="false" ht="15" hidden="false" customHeight="false" outlineLevel="0" collapsed="false">
      <c r="A6813" s="0" t="n">
        <v>6812</v>
      </c>
      <c r="B6813" s="14" t="n">
        <v>136579.818017058</v>
      </c>
      <c r="C6813" s="15" t="n">
        <v>0.0541290494402339</v>
      </c>
      <c r="D6813" s="14" t="n">
        <f aca="false">Summary!$B$5-B6813</f>
        <v>-36579.8180170575</v>
      </c>
      <c r="E6813" s="15" t="n">
        <f aca="false">B6813/Summary!$B$5-1</f>
        <v>0.365798180170575</v>
      </c>
    </row>
    <row r="6814" customFormat="false" ht="15" hidden="false" customHeight="false" outlineLevel="0" collapsed="false">
      <c r="A6814" s="0" t="n">
        <v>6813</v>
      </c>
      <c r="B6814" s="14" t="n">
        <v>107240.31409929</v>
      </c>
      <c r="C6814" s="15" t="n">
        <v>0.105544322409318</v>
      </c>
      <c r="D6814" s="14" t="n">
        <f aca="false">Summary!$B$5-B6814</f>
        <v>-7240.31409929</v>
      </c>
      <c r="E6814" s="15" t="n">
        <f aca="false">B6814/Summary!$B$5-1</f>
        <v>0.0724031409929</v>
      </c>
    </row>
    <row r="6815" customFormat="false" ht="15" hidden="false" customHeight="false" outlineLevel="0" collapsed="false">
      <c r="A6815" s="0" t="n">
        <v>6814</v>
      </c>
      <c r="B6815" s="14" t="n">
        <v>83517.8251885197</v>
      </c>
      <c r="C6815" s="15" t="n">
        <v>0.199867580104775</v>
      </c>
      <c r="D6815" s="14" t="n">
        <f aca="false">Summary!$B$5-B6815</f>
        <v>16482.1748114803</v>
      </c>
      <c r="E6815" s="15" t="n">
        <f aca="false">B6815/Summary!$B$5-1</f>
        <v>-0.164821748114803</v>
      </c>
    </row>
    <row r="6816" customFormat="false" ht="15" hidden="false" customHeight="false" outlineLevel="0" collapsed="false">
      <c r="A6816" s="0" t="n">
        <v>6815</v>
      </c>
      <c r="B6816" s="14" t="n">
        <v>106430.91241277</v>
      </c>
      <c r="C6816" s="15" t="n">
        <v>0.0878087061417272</v>
      </c>
      <c r="D6816" s="14" t="n">
        <f aca="false">Summary!$B$5-B6816</f>
        <v>-6430.9124127699</v>
      </c>
      <c r="E6816" s="15" t="n">
        <f aca="false">B6816/Summary!$B$5-1</f>
        <v>0.064309124127699</v>
      </c>
    </row>
    <row r="6817" customFormat="false" ht="15" hidden="false" customHeight="false" outlineLevel="0" collapsed="false">
      <c r="A6817" s="0" t="n">
        <v>6816</v>
      </c>
      <c r="B6817" s="14" t="n">
        <v>104073.319142225</v>
      </c>
      <c r="C6817" s="15" t="n">
        <v>0.063486439715997</v>
      </c>
      <c r="D6817" s="14" t="n">
        <f aca="false">Summary!$B$5-B6817</f>
        <v>-4073.3191422247</v>
      </c>
      <c r="E6817" s="15" t="n">
        <f aca="false">B6817/Summary!$B$5-1</f>
        <v>0.0407331914222471</v>
      </c>
    </row>
    <row r="6818" customFormat="false" ht="15" hidden="false" customHeight="false" outlineLevel="0" collapsed="false">
      <c r="A6818" s="0" t="n">
        <v>6817</v>
      </c>
      <c r="B6818" s="14" t="n">
        <v>115107.64547079</v>
      </c>
      <c r="C6818" s="15" t="n">
        <v>0.0912831081158079</v>
      </c>
      <c r="D6818" s="14" t="n">
        <f aca="false">Summary!$B$5-B6818</f>
        <v>-15107.6454707904</v>
      </c>
      <c r="E6818" s="15" t="n">
        <f aca="false">B6818/Summary!$B$5-1</f>
        <v>0.151076454707904</v>
      </c>
    </row>
    <row r="6819" customFormat="false" ht="15" hidden="false" customHeight="false" outlineLevel="0" collapsed="false">
      <c r="A6819" s="0" t="n">
        <v>6818</v>
      </c>
      <c r="B6819" s="14" t="n">
        <v>108026.868122445</v>
      </c>
      <c r="C6819" s="15" t="n">
        <v>0.0777370950912214</v>
      </c>
      <c r="D6819" s="14" t="n">
        <f aca="false">Summary!$B$5-B6819</f>
        <v>-8026.868122445</v>
      </c>
      <c r="E6819" s="15" t="n">
        <f aca="false">B6819/Summary!$B$5-1</f>
        <v>0.08026868122445</v>
      </c>
    </row>
    <row r="6820" customFormat="false" ht="15" hidden="false" customHeight="false" outlineLevel="0" collapsed="false">
      <c r="A6820" s="0" t="n">
        <v>6819</v>
      </c>
      <c r="B6820" s="14" t="n">
        <v>105861.372380545</v>
      </c>
      <c r="C6820" s="15" t="n">
        <v>0.0848905900177861</v>
      </c>
      <c r="D6820" s="14" t="n">
        <f aca="false">Summary!$B$5-B6820</f>
        <v>-5861.3723805452</v>
      </c>
      <c r="E6820" s="15" t="n">
        <f aca="false">B6820/Summary!$B$5-1</f>
        <v>0.058613723805452</v>
      </c>
    </row>
    <row r="6821" customFormat="false" ht="15" hidden="false" customHeight="false" outlineLevel="0" collapsed="false">
      <c r="A6821" s="0" t="n">
        <v>6820</v>
      </c>
      <c r="B6821" s="14" t="n">
        <v>105074.236858381</v>
      </c>
      <c r="C6821" s="15" t="n">
        <v>0.0542474240067636</v>
      </c>
      <c r="D6821" s="14" t="n">
        <f aca="false">Summary!$B$5-B6821</f>
        <v>-5074.236858381</v>
      </c>
      <c r="E6821" s="15" t="n">
        <f aca="false">B6821/Summary!$B$5-1</f>
        <v>0.05074236858381</v>
      </c>
    </row>
    <row r="6822" customFormat="false" ht="15" hidden="false" customHeight="false" outlineLevel="0" collapsed="false">
      <c r="A6822" s="0" t="n">
        <v>6821</v>
      </c>
      <c r="B6822" s="14" t="n">
        <v>107312.079352336</v>
      </c>
      <c r="C6822" s="15" t="n">
        <v>0.0523508192911895</v>
      </c>
      <c r="D6822" s="14" t="n">
        <f aca="false">Summary!$B$5-B6822</f>
        <v>-7312.0793523363</v>
      </c>
      <c r="E6822" s="15" t="n">
        <f aca="false">B6822/Summary!$B$5-1</f>
        <v>0.0731207935233629</v>
      </c>
    </row>
    <row r="6823" customFormat="false" ht="15" hidden="false" customHeight="false" outlineLevel="0" collapsed="false">
      <c r="A6823" s="0" t="n">
        <v>6822</v>
      </c>
      <c r="B6823" s="14" t="n">
        <v>120774.581631902</v>
      </c>
      <c r="C6823" s="15" t="n">
        <v>0.0592445459199682</v>
      </c>
      <c r="D6823" s="14" t="n">
        <f aca="false">Summary!$B$5-B6823</f>
        <v>-20774.5816319017</v>
      </c>
      <c r="E6823" s="15" t="n">
        <f aca="false">B6823/Summary!$B$5-1</f>
        <v>0.207745816319017</v>
      </c>
    </row>
    <row r="6824" customFormat="false" ht="15" hidden="false" customHeight="false" outlineLevel="0" collapsed="false">
      <c r="A6824" s="0" t="n">
        <v>6823</v>
      </c>
      <c r="B6824" s="14" t="n">
        <v>96770.4694544792</v>
      </c>
      <c r="C6824" s="15" t="n">
        <v>0.150757659893698</v>
      </c>
      <c r="D6824" s="14" t="n">
        <f aca="false">Summary!$B$5-B6824</f>
        <v>3229.53054552083</v>
      </c>
      <c r="E6824" s="15" t="n">
        <f aca="false">B6824/Summary!$B$5-1</f>
        <v>-0.0322953054552083</v>
      </c>
    </row>
    <row r="6825" customFormat="false" ht="15" hidden="false" customHeight="false" outlineLevel="0" collapsed="false">
      <c r="A6825" s="0" t="n">
        <v>6824</v>
      </c>
      <c r="B6825" s="14" t="n">
        <v>102223.206238963</v>
      </c>
      <c r="C6825" s="15" t="n">
        <v>0.125160545942974</v>
      </c>
      <c r="D6825" s="14" t="n">
        <f aca="false">Summary!$B$5-B6825</f>
        <v>-2223.2062389631</v>
      </c>
      <c r="E6825" s="15" t="n">
        <f aca="false">B6825/Summary!$B$5-1</f>
        <v>0.022232062389631</v>
      </c>
    </row>
    <row r="6826" customFormat="false" ht="15" hidden="false" customHeight="false" outlineLevel="0" collapsed="false">
      <c r="A6826" s="0" t="n">
        <v>6825</v>
      </c>
      <c r="B6826" s="14" t="n">
        <v>98426.5614297601</v>
      </c>
      <c r="C6826" s="15" t="n">
        <v>0.104274862928292</v>
      </c>
      <c r="D6826" s="14" t="n">
        <f aca="false">Summary!$B$5-B6826</f>
        <v>1573.43857023989</v>
      </c>
      <c r="E6826" s="15" t="n">
        <f aca="false">B6826/Summary!$B$5-1</f>
        <v>-0.0157343857023988</v>
      </c>
    </row>
    <row r="6827" customFormat="false" ht="15" hidden="false" customHeight="false" outlineLevel="0" collapsed="false">
      <c r="A6827" s="0" t="n">
        <v>6826</v>
      </c>
      <c r="B6827" s="14" t="n">
        <v>135414.833165972</v>
      </c>
      <c r="C6827" s="15" t="n">
        <v>0.10783603097522</v>
      </c>
      <c r="D6827" s="14" t="n">
        <f aca="false">Summary!$B$5-B6827</f>
        <v>-35414.8331659716</v>
      </c>
      <c r="E6827" s="15" t="n">
        <f aca="false">B6827/Summary!$B$5-1</f>
        <v>0.354148331659716</v>
      </c>
    </row>
    <row r="6828" customFormat="false" ht="15" hidden="false" customHeight="false" outlineLevel="0" collapsed="false">
      <c r="A6828" s="0" t="n">
        <v>6827</v>
      </c>
      <c r="B6828" s="14" t="n">
        <v>118059.045605478</v>
      </c>
      <c r="C6828" s="15" t="n">
        <v>0.0805407799707616</v>
      </c>
      <c r="D6828" s="14" t="n">
        <f aca="false">Summary!$B$5-B6828</f>
        <v>-18059.0456054775</v>
      </c>
      <c r="E6828" s="15" t="n">
        <f aca="false">B6828/Summary!$B$5-1</f>
        <v>0.180590456054775</v>
      </c>
    </row>
    <row r="6829" customFormat="false" ht="15" hidden="false" customHeight="false" outlineLevel="0" collapsed="false">
      <c r="A6829" s="0" t="n">
        <v>6828</v>
      </c>
      <c r="B6829" s="14" t="n">
        <v>130851.676189325</v>
      </c>
      <c r="C6829" s="15" t="n">
        <v>0.052760899453396</v>
      </c>
      <c r="D6829" s="14" t="n">
        <f aca="false">Summary!$B$5-B6829</f>
        <v>-30851.676189325</v>
      </c>
      <c r="E6829" s="15" t="n">
        <f aca="false">B6829/Summary!$B$5-1</f>
        <v>0.30851676189325</v>
      </c>
    </row>
    <row r="6830" customFormat="false" ht="15" hidden="false" customHeight="false" outlineLevel="0" collapsed="false">
      <c r="A6830" s="0" t="n">
        <v>6829</v>
      </c>
      <c r="B6830" s="14" t="n">
        <v>121784.151423718</v>
      </c>
      <c r="C6830" s="15" t="n">
        <v>0.0719583395486438</v>
      </c>
      <c r="D6830" s="14" t="n">
        <f aca="false">Summary!$B$5-B6830</f>
        <v>-21784.1514237182</v>
      </c>
      <c r="E6830" s="15" t="n">
        <f aca="false">B6830/Summary!$B$5-1</f>
        <v>0.217841514237182</v>
      </c>
    </row>
    <row r="6831" customFormat="false" ht="15" hidden="false" customHeight="false" outlineLevel="0" collapsed="false">
      <c r="A6831" s="0" t="n">
        <v>6830</v>
      </c>
      <c r="B6831" s="14" t="n">
        <v>96901.1649456274</v>
      </c>
      <c r="C6831" s="15" t="n">
        <v>0.0954296863514064</v>
      </c>
      <c r="D6831" s="14" t="n">
        <f aca="false">Summary!$B$5-B6831</f>
        <v>3098.83505437258</v>
      </c>
      <c r="E6831" s="15" t="n">
        <f aca="false">B6831/Summary!$B$5-1</f>
        <v>-0.0309883505437258</v>
      </c>
    </row>
    <row r="6832" customFormat="false" ht="15" hidden="false" customHeight="false" outlineLevel="0" collapsed="false">
      <c r="A6832" s="0" t="n">
        <v>6831</v>
      </c>
      <c r="B6832" s="14" t="n">
        <v>95977.2697096115</v>
      </c>
      <c r="C6832" s="15" t="n">
        <v>0.165166408115586</v>
      </c>
      <c r="D6832" s="14" t="n">
        <f aca="false">Summary!$B$5-B6832</f>
        <v>4022.73029038848</v>
      </c>
      <c r="E6832" s="15" t="n">
        <f aca="false">B6832/Summary!$B$5-1</f>
        <v>-0.0402273029038849</v>
      </c>
    </row>
    <row r="6833" customFormat="false" ht="15" hidden="false" customHeight="false" outlineLevel="0" collapsed="false">
      <c r="A6833" s="0" t="n">
        <v>6832</v>
      </c>
      <c r="B6833" s="14" t="n">
        <v>101791.14829643</v>
      </c>
      <c r="C6833" s="15" t="n">
        <v>0.0529315688654748</v>
      </c>
      <c r="D6833" s="14" t="n">
        <f aca="false">Summary!$B$5-B6833</f>
        <v>-1791.1482964297</v>
      </c>
      <c r="E6833" s="15" t="n">
        <f aca="false">B6833/Summary!$B$5-1</f>
        <v>0.017911482964297</v>
      </c>
    </row>
    <row r="6834" customFormat="false" ht="15" hidden="false" customHeight="false" outlineLevel="0" collapsed="false">
      <c r="A6834" s="0" t="n">
        <v>6833</v>
      </c>
      <c r="B6834" s="14" t="n">
        <v>131098.710899532</v>
      </c>
      <c r="C6834" s="15" t="n">
        <v>0.0432398543182508</v>
      </c>
      <c r="D6834" s="14" t="n">
        <f aca="false">Summary!$B$5-B6834</f>
        <v>-31098.7108995321</v>
      </c>
      <c r="E6834" s="15" t="n">
        <f aca="false">B6834/Summary!$B$5-1</f>
        <v>0.310987108995321</v>
      </c>
    </row>
    <row r="6835" customFormat="false" ht="15" hidden="false" customHeight="false" outlineLevel="0" collapsed="false">
      <c r="A6835" s="0" t="n">
        <v>6834</v>
      </c>
      <c r="B6835" s="14" t="n">
        <v>115485.70109598</v>
      </c>
      <c r="C6835" s="15" t="n">
        <v>0.0541074620278635</v>
      </c>
      <c r="D6835" s="14" t="n">
        <f aca="false">Summary!$B$5-B6835</f>
        <v>-15485.7010959795</v>
      </c>
      <c r="E6835" s="15" t="n">
        <f aca="false">B6835/Summary!$B$5-1</f>
        <v>0.154857010959795</v>
      </c>
    </row>
    <row r="6836" customFormat="false" ht="15" hidden="false" customHeight="false" outlineLevel="0" collapsed="false">
      <c r="A6836" s="0" t="n">
        <v>6835</v>
      </c>
      <c r="B6836" s="14" t="n">
        <v>117349.395762518</v>
      </c>
      <c r="C6836" s="15" t="n">
        <v>0.107294273441839</v>
      </c>
      <c r="D6836" s="14" t="n">
        <f aca="false">Summary!$B$5-B6836</f>
        <v>-17349.3957625176</v>
      </c>
      <c r="E6836" s="15" t="n">
        <f aca="false">B6836/Summary!$B$5-1</f>
        <v>0.173493957625176</v>
      </c>
    </row>
    <row r="6837" customFormat="false" ht="15" hidden="false" customHeight="false" outlineLevel="0" collapsed="false">
      <c r="A6837" s="0" t="n">
        <v>6836</v>
      </c>
      <c r="B6837" s="14" t="n">
        <v>118074.658631422</v>
      </c>
      <c r="C6837" s="15" t="n">
        <v>0.048523065269512</v>
      </c>
      <c r="D6837" s="14" t="n">
        <f aca="false">Summary!$B$5-B6837</f>
        <v>-18074.6586314222</v>
      </c>
      <c r="E6837" s="15" t="n">
        <f aca="false">B6837/Summary!$B$5-1</f>
        <v>0.180746586314222</v>
      </c>
    </row>
    <row r="6838" customFormat="false" ht="15" hidden="false" customHeight="false" outlineLevel="0" collapsed="false">
      <c r="A6838" s="0" t="n">
        <v>6837</v>
      </c>
      <c r="B6838" s="14" t="n">
        <v>116182.416553121</v>
      </c>
      <c r="C6838" s="15" t="n">
        <v>0.0713148757822143</v>
      </c>
      <c r="D6838" s="14" t="n">
        <f aca="false">Summary!$B$5-B6838</f>
        <v>-16182.4165531211</v>
      </c>
      <c r="E6838" s="15" t="n">
        <f aca="false">B6838/Summary!$B$5-1</f>
        <v>0.161824165531211</v>
      </c>
    </row>
    <row r="6839" customFormat="false" ht="15" hidden="false" customHeight="false" outlineLevel="0" collapsed="false">
      <c r="A6839" s="0" t="n">
        <v>6838</v>
      </c>
      <c r="B6839" s="14" t="n">
        <v>107669.824762062</v>
      </c>
      <c r="C6839" s="15" t="n">
        <v>0.133738370581216</v>
      </c>
      <c r="D6839" s="14" t="n">
        <f aca="false">Summary!$B$5-B6839</f>
        <v>-7669.8247620621</v>
      </c>
      <c r="E6839" s="15" t="n">
        <f aca="false">B6839/Summary!$B$5-1</f>
        <v>0.0766982476206211</v>
      </c>
    </row>
    <row r="6840" customFormat="false" ht="15" hidden="false" customHeight="false" outlineLevel="0" collapsed="false">
      <c r="A6840" s="0" t="n">
        <v>6839</v>
      </c>
      <c r="B6840" s="14" t="n">
        <v>108021.935728206</v>
      </c>
      <c r="C6840" s="15" t="n">
        <v>0.0755423955402332</v>
      </c>
      <c r="D6840" s="14" t="n">
        <f aca="false">Summary!$B$5-B6840</f>
        <v>-8021.9357282062</v>
      </c>
      <c r="E6840" s="15" t="n">
        <f aca="false">B6840/Summary!$B$5-1</f>
        <v>0.080219357282062</v>
      </c>
    </row>
    <row r="6841" customFormat="false" ht="15" hidden="false" customHeight="false" outlineLevel="0" collapsed="false">
      <c r="A6841" s="0" t="n">
        <v>6840</v>
      </c>
      <c r="B6841" s="14" t="n">
        <v>92427.3617489969</v>
      </c>
      <c r="C6841" s="15" t="n">
        <v>0.10581745758912</v>
      </c>
      <c r="D6841" s="14" t="n">
        <f aca="false">Summary!$B$5-B6841</f>
        <v>7572.63825100315</v>
      </c>
      <c r="E6841" s="15" t="n">
        <f aca="false">B6841/Summary!$B$5-1</f>
        <v>-0.0757263825100315</v>
      </c>
    </row>
    <row r="6842" customFormat="false" ht="15" hidden="false" customHeight="false" outlineLevel="0" collapsed="false">
      <c r="A6842" s="0" t="n">
        <v>6841</v>
      </c>
      <c r="B6842" s="14" t="n">
        <v>120811.885047652</v>
      </c>
      <c r="C6842" s="15" t="n">
        <v>0.0958573050878732</v>
      </c>
      <c r="D6842" s="14" t="n">
        <f aca="false">Summary!$B$5-B6842</f>
        <v>-20811.8850476519</v>
      </c>
      <c r="E6842" s="15" t="n">
        <f aca="false">B6842/Summary!$B$5-1</f>
        <v>0.208118850476519</v>
      </c>
    </row>
    <row r="6843" customFormat="false" ht="15" hidden="false" customHeight="false" outlineLevel="0" collapsed="false">
      <c r="A6843" s="0" t="n">
        <v>6842</v>
      </c>
      <c r="B6843" s="14" t="n">
        <v>124364.920874687</v>
      </c>
      <c r="C6843" s="15" t="n">
        <v>0.0734184065868414</v>
      </c>
      <c r="D6843" s="14" t="n">
        <f aca="false">Summary!$B$5-B6843</f>
        <v>-24364.9208746871</v>
      </c>
      <c r="E6843" s="15" t="n">
        <f aca="false">B6843/Summary!$B$5-1</f>
        <v>0.243649208746871</v>
      </c>
    </row>
    <row r="6844" customFormat="false" ht="15" hidden="false" customHeight="false" outlineLevel="0" collapsed="false">
      <c r="A6844" s="0" t="n">
        <v>6843</v>
      </c>
      <c r="B6844" s="14" t="n">
        <v>120333.9256901</v>
      </c>
      <c r="C6844" s="15" t="n">
        <v>0.0825384707865717</v>
      </c>
      <c r="D6844" s="14" t="n">
        <f aca="false">Summary!$B$5-B6844</f>
        <v>-20333.9256900998</v>
      </c>
      <c r="E6844" s="15" t="n">
        <f aca="false">B6844/Summary!$B$5-1</f>
        <v>0.203339256900998</v>
      </c>
    </row>
    <row r="6845" customFormat="false" ht="15" hidden="false" customHeight="false" outlineLevel="0" collapsed="false">
      <c r="A6845" s="0" t="n">
        <v>6844</v>
      </c>
      <c r="B6845" s="14" t="n">
        <v>111462.331792575</v>
      </c>
      <c r="C6845" s="15" t="n">
        <v>0.0838327827825939</v>
      </c>
      <c r="D6845" s="14" t="n">
        <f aca="false">Summary!$B$5-B6845</f>
        <v>-11462.3317925751</v>
      </c>
      <c r="E6845" s="15" t="n">
        <f aca="false">B6845/Summary!$B$5-1</f>
        <v>0.114623317925751</v>
      </c>
    </row>
    <row r="6846" customFormat="false" ht="15" hidden="false" customHeight="false" outlineLevel="0" collapsed="false">
      <c r="A6846" s="0" t="n">
        <v>6845</v>
      </c>
      <c r="B6846" s="14" t="n">
        <v>101259.670576328</v>
      </c>
      <c r="C6846" s="15" t="n">
        <v>0.125071804298771</v>
      </c>
      <c r="D6846" s="14" t="n">
        <f aca="false">Summary!$B$5-B6846</f>
        <v>-1259.6705763284</v>
      </c>
      <c r="E6846" s="15" t="n">
        <f aca="false">B6846/Summary!$B$5-1</f>
        <v>0.0125967057632839</v>
      </c>
    </row>
    <row r="6847" customFormat="false" ht="15" hidden="false" customHeight="false" outlineLevel="0" collapsed="false">
      <c r="A6847" s="0" t="n">
        <v>6846</v>
      </c>
      <c r="B6847" s="14" t="n">
        <v>111814.663837042</v>
      </c>
      <c r="C6847" s="15" t="n">
        <v>0.0959020313018552</v>
      </c>
      <c r="D6847" s="14" t="n">
        <f aca="false">Summary!$B$5-B6847</f>
        <v>-11814.6638370421</v>
      </c>
      <c r="E6847" s="15" t="n">
        <f aca="false">B6847/Summary!$B$5-1</f>
        <v>0.118146638370421</v>
      </c>
    </row>
    <row r="6848" customFormat="false" ht="15" hidden="false" customHeight="false" outlineLevel="0" collapsed="false">
      <c r="A6848" s="0" t="n">
        <v>6847</v>
      </c>
      <c r="B6848" s="14" t="n">
        <v>115946.8891506</v>
      </c>
      <c r="C6848" s="15" t="n">
        <v>0.0871269930975482</v>
      </c>
      <c r="D6848" s="14" t="n">
        <f aca="false">Summary!$B$5-B6848</f>
        <v>-15946.8891506002</v>
      </c>
      <c r="E6848" s="15" t="n">
        <f aca="false">B6848/Summary!$B$5-1</f>
        <v>0.159468891506002</v>
      </c>
    </row>
    <row r="6849" customFormat="false" ht="15" hidden="false" customHeight="false" outlineLevel="0" collapsed="false">
      <c r="A6849" s="0" t="n">
        <v>6848</v>
      </c>
      <c r="B6849" s="14" t="n">
        <v>100827.336877701</v>
      </c>
      <c r="C6849" s="15" t="n">
        <v>0.108997187148613</v>
      </c>
      <c r="D6849" s="14" t="n">
        <f aca="false">Summary!$B$5-B6849</f>
        <v>-827.336877701193</v>
      </c>
      <c r="E6849" s="15" t="n">
        <f aca="false">B6849/Summary!$B$5-1</f>
        <v>0.00827336877701201</v>
      </c>
    </row>
    <row r="6850" customFormat="false" ht="15" hidden="false" customHeight="false" outlineLevel="0" collapsed="false">
      <c r="A6850" s="0" t="n">
        <v>6849</v>
      </c>
      <c r="B6850" s="14" t="n">
        <v>95558.2419704947</v>
      </c>
      <c r="C6850" s="15" t="n">
        <v>0.0914051104134471</v>
      </c>
      <c r="D6850" s="14" t="n">
        <f aca="false">Summary!$B$5-B6850</f>
        <v>4441.75802950535</v>
      </c>
      <c r="E6850" s="15" t="n">
        <f aca="false">B6850/Summary!$B$5-1</f>
        <v>-0.0444175802950535</v>
      </c>
    </row>
    <row r="6851" customFormat="false" ht="15" hidden="false" customHeight="false" outlineLevel="0" collapsed="false">
      <c r="A6851" s="0" t="n">
        <v>6850</v>
      </c>
      <c r="B6851" s="14" t="n">
        <v>96771.1225052465</v>
      </c>
      <c r="C6851" s="15" t="n">
        <v>0.141135206158168</v>
      </c>
      <c r="D6851" s="14" t="n">
        <f aca="false">Summary!$B$5-B6851</f>
        <v>3228.87749475348</v>
      </c>
      <c r="E6851" s="15" t="n">
        <f aca="false">B6851/Summary!$B$5-1</f>
        <v>-0.0322887749475348</v>
      </c>
    </row>
    <row r="6852" customFormat="false" ht="15" hidden="false" customHeight="false" outlineLevel="0" collapsed="false">
      <c r="A6852" s="0" t="n">
        <v>6851</v>
      </c>
      <c r="B6852" s="14" t="n">
        <v>83842.5327251339</v>
      </c>
      <c r="C6852" s="15" t="n">
        <v>0.218972287100399</v>
      </c>
      <c r="D6852" s="14" t="n">
        <f aca="false">Summary!$B$5-B6852</f>
        <v>16157.4672748661</v>
      </c>
      <c r="E6852" s="15" t="n">
        <f aca="false">B6852/Summary!$B$5-1</f>
        <v>-0.161574672748661</v>
      </c>
    </row>
    <row r="6853" customFormat="false" ht="15" hidden="false" customHeight="false" outlineLevel="0" collapsed="false">
      <c r="A6853" s="0" t="n">
        <v>6852</v>
      </c>
      <c r="B6853" s="14" t="n">
        <v>112386.235165174</v>
      </c>
      <c r="C6853" s="15" t="n">
        <v>0.0796866013376428</v>
      </c>
      <c r="D6853" s="14" t="n">
        <f aca="false">Summary!$B$5-B6853</f>
        <v>-12386.2351651742</v>
      </c>
      <c r="E6853" s="15" t="n">
        <f aca="false">B6853/Summary!$B$5-1</f>
        <v>0.123862351651742</v>
      </c>
    </row>
    <row r="6854" customFormat="false" ht="15" hidden="false" customHeight="false" outlineLevel="0" collapsed="false">
      <c r="A6854" s="0" t="n">
        <v>6853</v>
      </c>
      <c r="B6854" s="14" t="n">
        <v>109927.442017845</v>
      </c>
      <c r="C6854" s="15" t="n">
        <v>0.058870276625374</v>
      </c>
      <c r="D6854" s="14" t="n">
        <f aca="false">Summary!$B$5-B6854</f>
        <v>-9927.4420178454</v>
      </c>
      <c r="E6854" s="15" t="n">
        <f aca="false">B6854/Summary!$B$5-1</f>
        <v>0.0992744201784541</v>
      </c>
    </row>
    <row r="6855" customFormat="false" ht="15" hidden="false" customHeight="false" outlineLevel="0" collapsed="false">
      <c r="A6855" s="0" t="n">
        <v>6854</v>
      </c>
      <c r="B6855" s="14" t="n">
        <v>97147.1831215939</v>
      </c>
      <c r="C6855" s="15" t="n">
        <v>0.170762614696204</v>
      </c>
      <c r="D6855" s="14" t="n">
        <f aca="false">Summary!$B$5-B6855</f>
        <v>2852.81687840613</v>
      </c>
      <c r="E6855" s="15" t="n">
        <f aca="false">B6855/Summary!$B$5-1</f>
        <v>-0.0285281687840613</v>
      </c>
    </row>
    <row r="6856" customFormat="false" ht="15" hidden="false" customHeight="false" outlineLevel="0" collapsed="false">
      <c r="A6856" s="0" t="n">
        <v>6855</v>
      </c>
      <c r="B6856" s="14" t="n">
        <v>98435.0719784964</v>
      </c>
      <c r="C6856" s="15" t="n">
        <v>0.137237440368416</v>
      </c>
      <c r="D6856" s="14" t="n">
        <f aca="false">Summary!$B$5-B6856</f>
        <v>1564.9280215036</v>
      </c>
      <c r="E6856" s="15" t="n">
        <f aca="false">B6856/Summary!$B$5-1</f>
        <v>-0.015649280215036</v>
      </c>
    </row>
    <row r="6857" customFormat="false" ht="15" hidden="false" customHeight="false" outlineLevel="0" collapsed="false">
      <c r="A6857" s="0" t="n">
        <v>6856</v>
      </c>
      <c r="B6857" s="14" t="n">
        <v>107102.496266226</v>
      </c>
      <c r="C6857" s="15" t="n">
        <v>0.0931446004718333</v>
      </c>
      <c r="D6857" s="14" t="n">
        <f aca="false">Summary!$B$5-B6857</f>
        <v>-7102.4962662256</v>
      </c>
      <c r="E6857" s="15" t="n">
        <f aca="false">B6857/Summary!$B$5-1</f>
        <v>0.0710249626622561</v>
      </c>
    </row>
    <row r="6858" customFormat="false" ht="15" hidden="false" customHeight="false" outlineLevel="0" collapsed="false">
      <c r="A6858" s="0" t="n">
        <v>6857</v>
      </c>
      <c r="B6858" s="14" t="n">
        <v>135090.818887559</v>
      </c>
      <c r="C6858" s="15" t="n">
        <v>0.0389184957859601</v>
      </c>
      <c r="D6858" s="14" t="n">
        <f aca="false">Summary!$B$5-B6858</f>
        <v>-35090.8188875585</v>
      </c>
      <c r="E6858" s="15" t="n">
        <f aca="false">B6858/Summary!$B$5-1</f>
        <v>0.350908188875585</v>
      </c>
    </row>
    <row r="6859" customFormat="false" ht="15" hidden="false" customHeight="false" outlineLevel="0" collapsed="false">
      <c r="A6859" s="0" t="n">
        <v>6858</v>
      </c>
      <c r="B6859" s="14" t="n">
        <v>107919.297149552</v>
      </c>
      <c r="C6859" s="15" t="n">
        <v>0.0833390384332854</v>
      </c>
      <c r="D6859" s="14" t="n">
        <f aca="false">Summary!$B$5-B6859</f>
        <v>-7919.29714955229</v>
      </c>
      <c r="E6859" s="15" t="n">
        <f aca="false">B6859/Summary!$B$5-1</f>
        <v>0.0791929714955229</v>
      </c>
    </row>
    <row r="6860" customFormat="false" ht="15" hidden="false" customHeight="false" outlineLevel="0" collapsed="false">
      <c r="A6860" s="0" t="n">
        <v>6859</v>
      </c>
      <c r="B6860" s="14" t="n">
        <v>142754.930946002</v>
      </c>
      <c r="C6860" s="15" t="n">
        <v>0.0370167993101054</v>
      </c>
      <c r="D6860" s="14" t="n">
        <f aca="false">Summary!$B$5-B6860</f>
        <v>-42754.930946002</v>
      </c>
      <c r="E6860" s="15" t="n">
        <f aca="false">B6860/Summary!$B$5-1</f>
        <v>0.42754930946002</v>
      </c>
    </row>
    <row r="6861" customFormat="false" ht="15" hidden="false" customHeight="false" outlineLevel="0" collapsed="false">
      <c r="A6861" s="0" t="n">
        <v>6860</v>
      </c>
      <c r="B6861" s="14" t="n">
        <v>121424.988693012</v>
      </c>
      <c r="C6861" s="15" t="n">
        <v>0.0978573660632872</v>
      </c>
      <c r="D6861" s="14" t="n">
        <f aca="false">Summary!$B$5-B6861</f>
        <v>-21424.9886930118</v>
      </c>
      <c r="E6861" s="15" t="n">
        <f aca="false">B6861/Summary!$B$5-1</f>
        <v>0.214249886930118</v>
      </c>
    </row>
    <row r="6862" customFormat="false" ht="15" hidden="false" customHeight="false" outlineLevel="0" collapsed="false">
      <c r="A6862" s="0" t="n">
        <v>6861</v>
      </c>
      <c r="B6862" s="14" t="n">
        <v>109337.699567714</v>
      </c>
      <c r="C6862" s="15" t="n">
        <v>0.10264394746205</v>
      </c>
      <c r="D6862" s="14" t="n">
        <f aca="false">Summary!$B$5-B6862</f>
        <v>-9337.6995677141</v>
      </c>
      <c r="E6862" s="15" t="n">
        <f aca="false">B6862/Summary!$B$5-1</f>
        <v>0.0933769956771409</v>
      </c>
    </row>
    <row r="6863" customFormat="false" ht="15" hidden="false" customHeight="false" outlineLevel="0" collapsed="false">
      <c r="A6863" s="0" t="n">
        <v>6862</v>
      </c>
      <c r="B6863" s="14" t="n">
        <v>104412.172871385</v>
      </c>
      <c r="C6863" s="15" t="n">
        <v>0.069200650580694</v>
      </c>
      <c r="D6863" s="14" t="n">
        <f aca="false">Summary!$B$5-B6863</f>
        <v>-4412.17287138529</v>
      </c>
      <c r="E6863" s="15" t="n">
        <f aca="false">B6863/Summary!$B$5-1</f>
        <v>0.0441217287138529</v>
      </c>
    </row>
    <row r="6864" customFormat="false" ht="15" hidden="false" customHeight="false" outlineLevel="0" collapsed="false">
      <c r="A6864" s="0" t="n">
        <v>6863</v>
      </c>
      <c r="B6864" s="14" t="n">
        <v>105248.247925611</v>
      </c>
      <c r="C6864" s="15" t="n">
        <v>0.0969442701359962</v>
      </c>
      <c r="D6864" s="14" t="n">
        <f aca="false">Summary!$B$5-B6864</f>
        <v>-5248.24792561091</v>
      </c>
      <c r="E6864" s="15" t="n">
        <f aca="false">B6864/Summary!$B$5-1</f>
        <v>0.0524824792561092</v>
      </c>
    </row>
    <row r="6865" customFormat="false" ht="15" hidden="false" customHeight="false" outlineLevel="0" collapsed="false">
      <c r="A6865" s="0" t="n">
        <v>6864</v>
      </c>
      <c r="B6865" s="14" t="n">
        <v>116097.667170576</v>
      </c>
      <c r="C6865" s="15" t="n">
        <v>0.0973141148072094</v>
      </c>
      <c r="D6865" s="14" t="n">
        <f aca="false">Summary!$B$5-B6865</f>
        <v>-16097.6671705756</v>
      </c>
      <c r="E6865" s="15" t="n">
        <f aca="false">B6865/Summary!$B$5-1</f>
        <v>0.160976671705756</v>
      </c>
    </row>
    <row r="6866" customFormat="false" ht="15" hidden="false" customHeight="false" outlineLevel="0" collapsed="false">
      <c r="A6866" s="0" t="n">
        <v>6865</v>
      </c>
      <c r="B6866" s="14" t="n">
        <v>95816.8457853839</v>
      </c>
      <c r="C6866" s="15" t="n">
        <v>0.133726363451366</v>
      </c>
      <c r="D6866" s="14" t="n">
        <f aca="false">Summary!$B$5-B6866</f>
        <v>4183.15421461608</v>
      </c>
      <c r="E6866" s="15" t="n">
        <f aca="false">B6866/Summary!$B$5-1</f>
        <v>-0.0418315421461608</v>
      </c>
    </row>
    <row r="6867" customFormat="false" ht="15" hidden="false" customHeight="false" outlineLevel="0" collapsed="false">
      <c r="A6867" s="0" t="n">
        <v>6866</v>
      </c>
      <c r="B6867" s="14" t="n">
        <v>98024.5664556254</v>
      </c>
      <c r="C6867" s="15" t="n">
        <v>0.134242765955751</v>
      </c>
      <c r="D6867" s="14" t="n">
        <f aca="false">Summary!$B$5-B6867</f>
        <v>1975.43354437462</v>
      </c>
      <c r="E6867" s="15" t="n">
        <f aca="false">B6867/Summary!$B$5-1</f>
        <v>-0.0197543354437463</v>
      </c>
    </row>
    <row r="6868" customFormat="false" ht="15" hidden="false" customHeight="false" outlineLevel="0" collapsed="false">
      <c r="A6868" s="0" t="n">
        <v>6867</v>
      </c>
      <c r="B6868" s="14" t="n">
        <v>95411.0347421396</v>
      </c>
      <c r="C6868" s="15" t="n">
        <v>0.0975184319550879</v>
      </c>
      <c r="D6868" s="14" t="n">
        <f aca="false">Summary!$B$5-B6868</f>
        <v>4588.96525786042</v>
      </c>
      <c r="E6868" s="15" t="n">
        <f aca="false">B6868/Summary!$B$5-1</f>
        <v>-0.0458896525786041</v>
      </c>
    </row>
    <row r="6869" customFormat="false" ht="15" hidden="false" customHeight="false" outlineLevel="0" collapsed="false">
      <c r="A6869" s="0" t="n">
        <v>6868</v>
      </c>
      <c r="B6869" s="14" t="n">
        <v>122413.49768817</v>
      </c>
      <c r="C6869" s="15" t="n">
        <v>0.0676243854068926</v>
      </c>
      <c r="D6869" s="14" t="n">
        <f aca="false">Summary!$B$5-B6869</f>
        <v>-22413.4976881699</v>
      </c>
      <c r="E6869" s="15" t="n">
        <f aca="false">B6869/Summary!$B$5-1</f>
        <v>0.224134976881699</v>
      </c>
    </row>
    <row r="6870" customFormat="false" ht="15" hidden="false" customHeight="false" outlineLevel="0" collapsed="false">
      <c r="A6870" s="0" t="n">
        <v>6869</v>
      </c>
      <c r="B6870" s="14" t="n">
        <v>132532.398881262</v>
      </c>
      <c r="C6870" s="15" t="n">
        <v>0.040937538084308</v>
      </c>
      <c r="D6870" s="14" t="n">
        <f aca="false">Summary!$B$5-B6870</f>
        <v>-32532.3988812621</v>
      </c>
      <c r="E6870" s="15" t="n">
        <f aca="false">B6870/Summary!$B$5-1</f>
        <v>0.325323988812621</v>
      </c>
    </row>
    <row r="6871" customFormat="false" ht="15" hidden="false" customHeight="false" outlineLevel="0" collapsed="false">
      <c r="A6871" s="0" t="n">
        <v>6870</v>
      </c>
      <c r="B6871" s="14" t="n">
        <v>126458.814311651</v>
      </c>
      <c r="C6871" s="15" t="n">
        <v>0.0582389886879093</v>
      </c>
      <c r="D6871" s="14" t="n">
        <f aca="false">Summary!$B$5-B6871</f>
        <v>-26458.8143116514</v>
      </c>
      <c r="E6871" s="15" t="n">
        <f aca="false">B6871/Summary!$B$5-1</f>
        <v>0.264588143116514</v>
      </c>
    </row>
    <row r="6872" customFormat="false" ht="15" hidden="false" customHeight="false" outlineLevel="0" collapsed="false">
      <c r="A6872" s="0" t="n">
        <v>6871</v>
      </c>
      <c r="B6872" s="14" t="n">
        <v>98943.5616227505</v>
      </c>
      <c r="C6872" s="15" t="n">
        <v>0.0954392596690381</v>
      </c>
      <c r="D6872" s="14" t="n">
        <f aca="false">Summary!$B$5-B6872</f>
        <v>1056.43837724946</v>
      </c>
      <c r="E6872" s="15" t="n">
        <f aca="false">B6872/Summary!$B$5-1</f>
        <v>-0.0105643837724946</v>
      </c>
    </row>
    <row r="6873" customFormat="false" ht="15" hidden="false" customHeight="false" outlineLevel="0" collapsed="false">
      <c r="A6873" s="0" t="n">
        <v>6872</v>
      </c>
      <c r="B6873" s="14" t="n">
        <v>95940.5508906271</v>
      </c>
      <c r="C6873" s="15" t="n">
        <v>0.133051907348484</v>
      </c>
      <c r="D6873" s="14" t="n">
        <f aca="false">Summary!$B$5-B6873</f>
        <v>4059.44910937295</v>
      </c>
      <c r="E6873" s="15" t="n">
        <f aca="false">B6873/Summary!$B$5-1</f>
        <v>-0.0405944910937295</v>
      </c>
    </row>
    <row r="6874" customFormat="false" ht="15" hidden="false" customHeight="false" outlineLevel="0" collapsed="false">
      <c r="A6874" s="0" t="n">
        <v>6873</v>
      </c>
      <c r="B6874" s="14" t="n">
        <v>99547.1635098553</v>
      </c>
      <c r="C6874" s="15" t="n">
        <v>0.108878924793494</v>
      </c>
      <c r="D6874" s="14" t="n">
        <f aca="false">Summary!$B$5-B6874</f>
        <v>452.836490144735</v>
      </c>
      <c r="E6874" s="15" t="n">
        <f aca="false">B6874/Summary!$B$5-1</f>
        <v>-0.00452836490144737</v>
      </c>
    </row>
    <row r="6875" customFormat="false" ht="15" hidden="false" customHeight="false" outlineLevel="0" collapsed="false">
      <c r="A6875" s="0" t="n">
        <v>6874</v>
      </c>
      <c r="B6875" s="14" t="n">
        <v>104185.142974644</v>
      </c>
      <c r="C6875" s="15" t="n">
        <v>0.108192188664432</v>
      </c>
      <c r="D6875" s="14" t="n">
        <f aca="false">Summary!$B$5-B6875</f>
        <v>-4185.1429746443</v>
      </c>
      <c r="E6875" s="15" t="n">
        <f aca="false">B6875/Summary!$B$5-1</f>
        <v>0.041851429746443</v>
      </c>
    </row>
    <row r="6876" customFormat="false" ht="15" hidden="false" customHeight="false" outlineLevel="0" collapsed="false">
      <c r="A6876" s="0" t="n">
        <v>6875</v>
      </c>
      <c r="B6876" s="14" t="n">
        <v>101045.667224933</v>
      </c>
      <c r="C6876" s="15" t="n">
        <v>0.111227230438315</v>
      </c>
      <c r="D6876" s="14" t="n">
        <f aca="false">Summary!$B$5-B6876</f>
        <v>-1045.66722493251</v>
      </c>
      <c r="E6876" s="15" t="n">
        <f aca="false">B6876/Summary!$B$5-1</f>
        <v>0.0104566722493251</v>
      </c>
    </row>
    <row r="6877" customFormat="false" ht="15" hidden="false" customHeight="false" outlineLevel="0" collapsed="false">
      <c r="A6877" s="0" t="n">
        <v>6876</v>
      </c>
      <c r="B6877" s="14" t="n">
        <v>91866.229175372</v>
      </c>
      <c r="C6877" s="15" t="n">
        <v>0.138406745957957</v>
      </c>
      <c r="D6877" s="14" t="n">
        <f aca="false">Summary!$B$5-B6877</f>
        <v>8133.77082462801</v>
      </c>
      <c r="E6877" s="15" t="n">
        <f aca="false">B6877/Summary!$B$5-1</f>
        <v>-0.0813377082462801</v>
      </c>
    </row>
    <row r="6878" customFormat="false" ht="15" hidden="false" customHeight="false" outlineLevel="0" collapsed="false">
      <c r="A6878" s="0" t="n">
        <v>6877</v>
      </c>
      <c r="B6878" s="14" t="n">
        <v>105965.53685575</v>
      </c>
      <c r="C6878" s="15" t="n">
        <v>0.0667526341638592</v>
      </c>
      <c r="D6878" s="14" t="n">
        <f aca="false">Summary!$B$5-B6878</f>
        <v>-5965.5368557495</v>
      </c>
      <c r="E6878" s="15" t="n">
        <f aca="false">B6878/Summary!$B$5-1</f>
        <v>0.059655368557495</v>
      </c>
    </row>
    <row r="6879" customFormat="false" ht="15" hidden="false" customHeight="false" outlineLevel="0" collapsed="false">
      <c r="A6879" s="0" t="n">
        <v>6878</v>
      </c>
      <c r="B6879" s="14" t="n">
        <v>95126.666439995</v>
      </c>
      <c r="C6879" s="15" t="n">
        <v>0.164320754697081</v>
      </c>
      <c r="D6879" s="14" t="n">
        <f aca="false">Summary!$B$5-B6879</f>
        <v>4873.33356000498</v>
      </c>
      <c r="E6879" s="15" t="n">
        <f aca="false">B6879/Summary!$B$5-1</f>
        <v>-0.0487333356000498</v>
      </c>
    </row>
    <row r="6880" customFormat="false" ht="15" hidden="false" customHeight="false" outlineLevel="0" collapsed="false">
      <c r="A6880" s="0" t="n">
        <v>6879</v>
      </c>
      <c r="B6880" s="14" t="n">
        <v>97480.8714637351</v>
      </c>
      <c r="C6880" s="15" t="n">
        <v>0.106414046914658</v>
      </c>
      <c r="D6880" s="14" t="n">
        <f aca="false">Summary!$B$5-B6880</f>
        <v>2519.12853626494</v>
      </c>
      <c r="E6880" s="15" t="n">
        <f aca="false">B6880/Summary!$B$5-1</f>
        <v>-0.0251912853626494</v>
      </c>
    </row>
    <row r="6881" customFormat="false" ht="15" hidden="false" customHeight="false" outlineLevel="0" collapsed="false">
      <c r="A6881" s="0" t="n">
        <v>6880</v>
      </c>
      <c r="B6881" s="14" t="n">
        <v>98745.1869241801</v>
      </c>
      <c r="C6881" s="15" t="n">
        <v>0.170735966093616</v>
      </c>
      <c r="D6881" s="14" t="n">
        <f aca="false">Summary!$B$5-B6881</f>
        <v>1254.81307581988</v>
      </c>
      <c r="E6881" s="15" t="n">
        <f aca="false">B6881/Summary!$B$5-1</f>
        <v>-0.0125481307581988</v>
      </c>
    </row>
    <row r="6882" customFormat="false" ht="15" hidden="false" customHeight="false" outlineLevel="0" collapsed="false">
      <c r="A6882" s="0" t="n">
        <v>6881</v>
      </c>
      <c r="B6882" s="14" t="n">
        <v>127943.036893334</v>
      </c>
      <c r="C6882" s="15" t="n">
        <v>0.0893274933689388</v>
      </c>
      <c r="D6882" s="14" t="n">
        <f aca="false">Summary!$B$5-B6882</f>
        <v>-27943.0368933337</v>
      </c>
      <c r="E6882" s="15" t="n">
        <f aca="false">B6882/Summary!$B$5-1</f>
        <v>0.279430368933337</v>
      </c>
    </row>
    <row r="6883" customFormat="false" ht="15" hidden="false" customHeight="false" outlineLevel="0" collapsed="false">
      <c r="A6883" s="0" t="n">
        <v>6882</v>
      </c>
      <c r="B6883" s="14" t="n">
        <v>106527.501788489</v>
      </c>
      <c r="C6883" s="15" t="n">
        <v>0.156757711318353</v>
      </c>
      <c r="D6883" s="14" t="n">
        <f aca="false">Summary!$B$5-B6883</f>
        <v>-6527.5017884886</v>
      </c>
      <c r="E6883" s="15" t="n">
        <f aca="false">B6883/Summary!$B$5-1</f>
        <v>0.065275017884886</v>
      </c>
    </row>
    <row r="6884" customFormat="false" ht="15" hidden="false" customHeight="false" outlineLevel="0" collapsed="false">
      <c r="A6884" s="0" t="n">
        <v>6883</v>
      </c>
      <c r="B6884" s="14" t="n">
        <v>97508.5276447863</v>
      </c>
      <c r="C6884" s="15" t="n">
        <v>0.118265192007901</v>
      </c>
      <c r="D6884" s="14" t="n">
        <f aca="false">Summary!$B$5-B6884</f>
        <v>2491.47235521369</v>
      </c>
      <c r="E6884" s="15" t="n">
        <f aca="false">B6884/Summary!$B$5-1</f>
        <v>-0.0249147235521369</v>
      </c>
    </row>
    <row r="6885" customFormat="false" ht="15" hidden="false" customHeight="false" outlineLevel="0" collapsed="false">
      <c r="A6885" s="0" t="n">
        <v>6884</v>
      </c>
      <c r="B6885" s="14" t="n">
        <v>121465.484558956</v>
      </c>
      <c r="C6885" s="15" t="n">
        <v>0.0586335321075416</v>
      </c>
      <c r="D6885" s="14" t="n">
        <f aca="false">Summary!$B$5-B6885</f>
        <v>-21465.4845589555</v>
      </c>
      <c r="E6885" s="15" t="n">
        <f aca="false">B6885/Summary!$B$5-1</f>
        <v>0.214654845589555</v>
      </c>
    </row>
    <row r="6886" customFormat="false" ht="15" hidden="false" customHeight="false" outlineLevel="0" collapsed="false">
      <c r="A6886" s="0" t="n">
        <v>6885</v>
      </c>
      <c r="B6886" s="14" t="n">
        <v>98790.4166815774</v>
      </c>
      <c r="C6886" s="15" t="n">
        <v>0.122171757255001</v>
      </c>
      <c r="D6886" s="14" t="n">
        <f aca="false">Summary!$B$5-B6886</f>
        <v>1209.58331842264</v>
      </c>
      <c r="E6886" s="15" t="n">
        <f aca="false">B6886/Summary!$B$5-1</f>
        <v>-0.0120958331842264</v>
      </c>
    </row>
    <row r="6887" customFormat="false" ht="15" hidden="false" customHeight="false" outlineLevel="0" collapsed="false">
      <c r="A6887" s="0" t="n">
        <v>6886</v>
      </c>
      <c r="B6887" s="14" t="n">
        <v>96377.8134157468</v>
      </c>
      <c r="C6887" s="15" t="n">
        <v>0.15828766620516</v>
      </c>
      <c r="D6887" s="14" t="n">
        <f aca="false">Summary!$B$5-B6887</f>
        <v>3622.18658425316</v>
      </c>
      <c r="E6887" s="15" t="n">
        <f aca="false">B6887/Summary!$B$5-1</f>
        <v>-0.0362218658425315</v>
      </c>
    </row>
    <row r="6888" customFormat="false" ht="15" hidden="false" customHeight="false" outlineLevel="0" collapsed="false">
      <c r="A6888" s="0" t="n">
        <v>6887</v>
      </c>
      <c r="B6888" s="14" t="n">
        <v>135595.96297857</v>
      </c>
      <c r="C6888" s="15" t="n">
        <v>0.104170108569538</v>
      </c>
      <c r="D6888" s="14" t="n">
        <f aca="false">Summary!$B$5-B6888</f>
        <v>-35595.9629785703</v>
      </c>
      <c r="E6888" s="15" t="n">
        <f aca="false">B6888/Summary!$B$5-1</f>
        <v>0.355959629785703</v>
      </c>
    </row>
    <row r="6889" customFormat="false" ht="15" hidden="false" customHeight="false" outlineLevel="0" collapsed="false">
      <c r="A6889" s="0" t="n">
        <v>6888</v>
      </c>
      <c r="B6889" s="14" t="n">
        <v>86245.3127602605</v>
      </c>
      <c r="C6889" s="15" t="n">
        <v>0.198646545404251</v>
      </c>
      <c r="D6889" s="14" t="n">
        <f aca="false">Summary!$B$5-B6889</f>
        <v>13754.6872397395</v>
      </c>
      <c r="E6889" s="15" t="n">
        <f aca="false">B6889/Summary!$B$5-1</f>
        <v>-0.137546872397395</v>
      </c>
    </row>
    <row r="6890" customFormat="false" ht="15" hidden="false" customHeight="false" outlineLevel="0" collapsed="false">
      <c r="A6890" s="0" t="n">
        <v>6889</v>
      </c>
      <c r="B6890" s="14" t="n">
        <v>117353.260016693</v>
      </c>
      <c r="C6890" s="15" t="n">
        <v>0.0684500571228041</v>
      </c>
      <c r="D6890" s="14" t="n">
        <f aca="false">Summary!$B$5-B6890</f>
        <v>-17353.2600166929</v>
      </c>
      <c r="E6890" s="15" t="n">
        <f aca="false">B6890/Summary!$B$5-1</f>
        <v>0.173532600166929</v>
      </c>
    </row>
    <row r="6891" customFormat="false" ht="15" hidden="false" customHeight="false" outlineLevel="0" collapsed="false">
      <c r="A6891" s="0" t="n">
        <v>6890</v>
      </c>
      <c r="B6891" s="14" t="n">
        <v>101019.883648831</v>
      </c>
      <c r="C6891" s="15" t="n">
        <v>0.132340953793657</v>
      </c>
      <c r="D6891" s="14" t="n">
        <f aca="false">Summary!$B$5-B6891</f>
        <v>-1019.8836488305</v>
      </c>
      <c r="E6891" s="15" t="n">
        <f aca="false">B6891/Summary!$B$5-1</f>
        <v>0.010198836488305</v>
      </c>
    </row>
    <row r="6892" customFormat="false" ht="15" hidden="false" customHeight="false" outlineLevel="0" collapsed="false">
      <c r="A6892" s="0" t="n">
        <v>6891</v>
      </c>
      <c r="B6892" s="14" t="n">
        <v>103874.747084198</v>
      </c>
      <c r="C6892" s="15" t="n">
        <v>0.110352220632491</v>
      </c>
      <c r="D6892" s="14" t="n">
        <f aca="false">Summary!$B$5-B6892</f>
        <v>-3874.7470841975</v>
      </c>
      <c r="E6892" s="15" t="n">
        <f aca="false">B6892/Summary!$B$5-1</f>
        <v>0.0387474708419751</v>
      </c>
    </row>
    <row r="6893" customFormat="false" ht="15" hidden="false" customHeight="false" outlineLevel="0" collapsed="false">
      <c r="A6893" s="0" t="n">
        <v>6892</v>
      </c>
      <c r="B6893" s="14" t="n">
        <v>108201.003572613</v>
      </c>
      <c r="C6893" s="15" t="n">
        <v>0.114058590756627</v>
      </c>
      <c r="D6893" s="14" t="n">
        <f aca="false">Summary!$B$5-B6893</f>
        <v>-8201.00357261251</v>
      </c>
      <c r="E6893" s="15" t="n">
        <f aca="false">B6893/Summary!$B$5-1</f>
        <v>0.0820100357261251</v>
      </c>
    </row>
    <row r="6894" customFormat="false" ht="15" hidden="false" customHeight="false" outlineLevel="0" collapsed="false">
      <c r="A6894" s="0" t="n">
        <v>6893</v>
      </c>
      <c r="B6894" s="14" t="n">
        <v>101358.429781615</v>
      </c>
      <c r="C6894" s="15" t="n">
        <v>0.103170578388067</v>
      </c>
      <c r="D6894" s="14" t="n">
        <f aca="false">Summary!$B$5-B6894</f>
        <v>-1358.4297816153</v>
      </c>
      <c r="E6894" s="15" t="n">
        <f aca="false">B6894/Summary!$B$5-1</f>
        <v>0.0135842978161529</v>
      </c>
    </row>
    <row r="6895" customFormat="false" ht="15" hidden="false" customHeight="false" outlineLevel="0" collapsed="false">
      <c r="A6895" s="0" t="n">
        <v>6894</v>
      </c>
      <c r="B6895" s="14" t="n">
        <v>121243.437589539</v>
      </c>
      <c r="C6895" s="15" t="n">
        <v>0.0633424502401011</v>
      </c>
      <c r="D6895" s="14" t="n">
        <f aca="false">Summary!$B$5-B6895</f>
        <v>-21243.4375895391</v>
      </c>
      <c r="E6895" s="15" t="n">
        <f aca="false">B6895/Summary!$B$5-1</f>
        <v>0.212434375895391</v>
      </c>
    </row>
    <row r="6896" customFormat="false" ht="15" hidden="false" customHeight="false" outlineLevel="0" collapsed="false">
      <c r="A6896" s="0" t="n">
        <v>6895</v>
      </c>
      <c r="B6896" s="14" t="n">
        <v>93411.635101815</v>
      </c>
      <c r="C6896" s="15" t="n">
        <v>0.131784562640492</v>
      </c>
      <c r="D6896" s="14" t="n">
        <f aca="false">Summary!$B$5-B6896</f>
        <v>6588.36489818501</v>
      </c>
      <c r="E6896" s="15" t="n">
        <f aca="false">B6896/Summary!$B$5-1</f>
        <v>-0.0658836489818502</v>
      </c>
    </row>
    <row r="6897" customFormat="false" ht="15" hidden="false" customHeight="false" outlineLevel="0" collapsed="false">
      <c r="A6897" s="0" t="n">
        <v>6896</v>
      </c>
      <c r="B6897" s="14" t="n">
        <v>112663.065365953</v>
      </c>
      <c r="C6897" s="15" t="n">
        <v>0.0883783499126349</v>
      </c>
      <c r="D6897" s="14" t="n">
        <f aca="false">Summary!$B$5-B6897</f>
        <v>-12663.0653659531</v>
      </c>
      <c r="E6897" s="15" t="n">
        <f aca="false">B6897/Summary!$B$5-1</f>
        <v>0.126630653659531</v>
      </c>
    </row>
    <row r="6898" customFormat="false" ht="15" hidden="false" customHeight="false" outlineLevel="0" collapsed="false">
      <c r="A6898" s="0" t="n">
        <v>6897</v>
      </c>
      <c r="B6898" s="14" t="n">
        <v>111160.488403972</v>
      </c>
      <c r="C6898" s="15" t="n">
        <v>0.0597387334812318</v>
      </c>
      <c r="D6898" s="14" t="n">
        <f aca="false">Summary!$B$5-B6898</f>
        <v>-11160.4884039721</v>
      </c>
      <c r="E6898" s="15" t="n">
        <f aca="false">B6898/Summary!$B$5-1</f>
        <v>0.111604884039721</v>
      </c>
    </row>
    <row r="6899" customFormat="false" ht="15" hidden="false" customHeight="false" outlineLevel="0" collapsed="false">
      <c r="A6899" s="0" t="n">
        <v>6898</v>
      </c>
      <c r="B6899" s="14" t="n">
        <v>111133.219888213</v>
      </c>
      <c r="C6899" s="15" t="n">
        <v>0.101687773310775</v>
      </c>
      <c r="D6899" s="14" t="n">
        <f aca="false">Summary!$B$5-B6899</f>
        <v>-11133.2198882132</v>
      </c>
      <c r="E6899" s="15" t="n">
        <f aca="false">B6899/Summary!$B$5-1</f>
        <v>0.111332198882132</v>
      </c>
    </row>
    <row r="6900" customFormat="false" ht="15" hidden="false" customHeight="false" outlineLevel="0" collapsed="false">
      <c r="A6900" s="0" t="n">
        <v>6899</v>
      </c>
      <c r="B6900" s="14" t="n">
        <v>104091.568605355</v>
      </c>
      <c r="C6900" s="15" t="n">
        <v>0.157149620535544</v>
      </c>
      <c r="D6900" s="14" t="n">
        <f aca="false">Summary!$B$5-B6900</f>
        <v>-4091.56860535531</v>
      </c>
      <c r="E6900" s="15" t="n">
        <f aca="false">B6900/Summary!$B$5-1</f>
        <v>0.0409156860535531</v>
      </c>
    </row>
    <row r="6901" customFormat="false" ht="15" hidden="false" customHeight="false" outlineLevel="0" collapsed="false">
      <c r="A6901" s="0" t="n">
        <v>6900</v>
      </c>
      <c r="B6901" s="14" t="n">
        <v>126813.590943252</v>
      </c>
      <c r="C6901" s="15" t="n">
        <v>0.0867260558180646</v>
      </c>
      <c r="D6901" s="14" t="n">
        <f aca="false">Summary!$B$5-B6901</f>
        <v>-26813.5909432523</v>
      </c>
      <c r="E6901" s="15" t="n">
        <f aca="false">B6901/Summary!$B$5-1</f>
        <v>0.268135909432523</v>
      </c>
    </row>
    <row r="6902" customFormat="false" ht="15" hidden="false" customHeight="false" outlineLevel="0" collapsed="false">
      <c r="A6902" s="0" t="n">
        <v>6901</v>
      </c>
      <c r="B6902" s="14" t="n">
        <v>119503.043051538</v>
      </c>
      <c r="C6902" s="15" t="n">
        <v>0.0437350237669858</v>
      </c>
      <c r="D6902" s="14" t="n">
        <f aca="false">Summary!$B$5-B6902</f>
        <v>-19503.0430515379</v>
      </c>
      <c r="E6902" s="15" t="n">
        <f aca="false">B6902/Summary!$B$5-1</f>
        <v>0.195030430515379</v>
      </c>
    </row>
    <row r="6903" customFormat="false" ht="15" hidden="false" customHeight="false" outlineLevel="0" collapsed="false">
      <c r="A6903" s="0" t="n">
        <v>6902</v>
      </c>
      <c r="B6903" s="14" t="n">
        <v>118579.903934886</v>
      </c>
      <c r="C6903" s="15" t="n">
        <v>0.0810448250887237</v>
      </c>
      <c r="D6903" s="14" t="n">
        <f aca="false">Summary!$B$5-B6903</f>
        <v>-18579.903934886</v>
      </c>
      <c r="E6903" s="15" t="n">
        <f aca="false">B6903/Summary!$B$5-1</f>
        <v>0.18579903934886</v>
      </c>
    </row>
    <row r="6904" customFormat="false" ht="15" hidden="false" customHeight="false" outlineLevel="0" collapsed="false">
      <c r="A6904" s="0" t="n">
        <v>6903</v>
      </c>
      <c r="B6904" s="14" t="n">
        <v>111438.219981015</v>
      </c>
      <c r="C6904" s="15" t="n">
        <v>0.0921132173353123</v>
      </c>
      <c r="D6904" s="14" t="n">
        <f aca="false">Summary!$B$5-B6904</f>
        <v>-11438.2199810152</v>
      </c>
      <c r="E6904" s="15" t="n">
        <f aca="false">B6904/Summary!$B$5-1</f>
        <v>0.114382199810152</v>
      </c>
    </row>
    <row r="6905" customFormat="false" ht="15" hidden="false" customHeight="false" outlineLevel="0" collapsed="false">
      <c r="A6905" s="0" t="n">
        <v>6904</v>
      </c>
      <c r="B6905" s="14" t="n">
        <v>110708.731379171</v>
      </c>
      <c r="C6905" s="15" t="n">
        <v>0.0727416822890155</v>
      </c>
      <c r="D6905" s="14" t="n">
        <f aca="false">Summary!$B$5-B6905</f>
        <v>-10708.7313791713</v>
      </c>
      <c r="E6905" s="15" t="n">
        <f aca="false">B6905/Summary!$B$5-1</f>
        <v>0.107087313791713</v>
      </c>
    </row>
    <row r="6906" customFormat="false" ht="15" hidden="false" customHeight="false" outlineLevel="0" collapsed="false">
      <c r="A6906" s="0" t="n">
        <v>6905</v>
      </c>
      <c r="B6906" s="14" t="n">
        <v>95236.3408114292</v>
      </c>
      <c r="C6906" s="15" t="n">
        <v>0.14374501086563</v>
      </c>
      <c r="D6906" s="14" t="n">
        <f aca="false">Summary!$B$5-B6906</f>
        <v>4763.65918857083</v>
      </c>
      <c r="E6906" s="15" t="n">
        <f aca="false">B6906/Summary!$B$5-1</f>
        <v>-0.0476365918857083</v>
      </c>
    </row>
    <row r="6907" customFormat="false" ht="15" hidden="false" customHeight="false" outlineLevel="0" collapsed="false">
      <c r="A6907" s="0" t="n">
        <v>6906</v>
      </c>
      <c r="B6907" s="14" t="n">
        <v>91839.7585267557</v>
      </c>
      <c r="C6907" s="15" t="n">
        <v>0.158447384500568</v>
      </c>
      <c r="D6907" s="14" t="n">
        <f aca="false">Summary!$B$5-B6907</f>
        <v>8160.24147324433</v>
      </c>
      <c r="E6907" s="15" t="n">
        <f aca="false">B6907/Summary!$B$5-1</f>
        <v>-0.0816024147324433</v>
      </c>
    </row>
    <row r="6908" customFormat="false" ht="15" hidden="false" customHeight="false" outlineLevel="0" collapsed="false">
      <c r="A6908" s="0" t="n">
        <v>6907</v>
      </c>
      <c r="B6908" s="14" t="n">
        <v>103125.724210543</v>
      </c>
      <c r="C6908" s="15" t="n">
        <v>0.0857210098544795</v>
      </c>
      <c r="D6908" s="14" t="n">
        <f aca="false">Summary!$B$5-B6908</f>
        <v>-3125.7242105428</v>
      </c>
      <c r="E6908" s="15" t="n">
        <f aca="false">B6908/Summary!$B$5-1</f>
        <v>0.031257242105428</v>
      </c>
    </row>
    <row r="6909" customFormat="false" ht="15" hidden="false" customHeight="false" outlineLevel="0" collapsed="false">
      <c r="A6909" s="0" t="n">
        <v>6908</v>
      </c>
      <c r="B6909" s="14" t="n">
        <v>100670.865642417</v>
      </c>
      <c r="C6909" s="15" t="n">
        <v>0.0895012245933659</v>
      </c>
      <c r="D6909" s="14" t="n">
        <f aca="false">Summary!$B$5-B6909</f>
        <v>-670.865642416902</v>
      </c>
      <c r="E6909" s="15" t="n">
        <f aca="false">B6909/Summary!$B$5-1</f>
        <v>0.00670865642416896</v>
      </c>
    </row>
    <row r="6910" customFormat="false" ht="15" hidden="false" customHeight="false" outlineLevel="0" collapsed="false">
      <c r="A6910" s="0" t="n">
        <v>6909</v>
      </c>
      <c r="B6910" s="14" t="n">
        <v>118105.337906793</v>
      </c>
      <c r="C6910" s="15" t="n">
        <v>0.0870589615326557</v>
      </c>
      <c r="D6910" s="14" t="n">
        <f aca="false">Summary!$B$5-B6910</f>
        <v>-18105.3379067926</v>
      </c>
      <c r="E6910" s="15" t="n">
        <f aca="false">B6910/Summary!$B$5-1</f>
        <v>0.181053379067926</v>
      </c>
    </row>
    <row r="6911" customFormat="false" ht="15" hidden="false" customHeight="false" outlineLevel="0" collapsed="false">
      <c r="A6911" s="0" t="n">
        <v>6910</v>
      </c>
      <c r="B6911" s="14" t="n">
        <v>109537.592410751</v>
      </c>
      <c r="C6911" s="15" t="n">
        <v>0.118335429248129</v>
      </c>
      <c r="D6911" s="14" t="n">
        <f aca="false">Summary!$B$5-B6911</f>
        <v>-9537.5924107507</v>
      </c>
      <c r="E6911" s="15" t="n">
        <f aca="false">B6911/Summary!$B$5-1</f>
        <v>0.095375924107507</v>
      </c>
    </row>
    <row r="6912" customFormat="false" ht="15" hidden="false" customHeight="false" outlineLevel="0" collapsed="false">
      <c r="A6912" s="0" t="n">
        <v>6911</v>
      </c>
      <c r="B6912" s="14" t="n">
        <v>103581.068124737</v>
      </c>
      <c r="C6912" s="15" t="n">
        <v>0.140842669419165</v>
      </c>
      <c r="D6912" s="14" t="n">
        <f aca="false">Summary!$B$5-B6912</f>
        <v>-3581.0681247373</v>
      </c>
      <c r="E6912" s="15" t="n">
        <f aca="false">B6912/Summary!$B$5-1</f>
        <v>0.0358106812473731</v>
      </c>
    </row>
    <row r="6913" customFormat="false" ht="15" hidden="false" customHeight="false" outlineLevel="0" collapsed="false">
      <c r="A6913" s="0" t="n">
        <v>6912</v>
      </c>
      <c r="B6913" s="14" t="n">
        <v>84816.3874117332</v>
      </c>
      <c r="C6913" s="15" t="n">
        <v>0.18231441310554</v>
      </c>
      <c r="D6913" s="14" t="n">
        <f aca="false">Summary!$B$5-B6913</f>
        <v>15183.6125882668</v>
      </c>
      <c r="E6913" s="15" t="n">
        <f aca="false">B6913/Summary!$B$5-1</f>
        <v>-0.151836125882668</v>
      </c>
    </row>
    <row r="6914" customFormat="false" ht="15" hidden="false" customHeight="false" outlineLevel="0" collapsed="false">
      <c r="A6914" s="0" t="n">
        <v>6913</v>
      </c>
      <c r="B6914" s="14" t="n">
        <v>100915.84773956</v>
      </c>
      <c r="C6914" s="15" t="n">
        <v>0.110523751851212</v>
      </c>
      <c r="D6914" s="14" t="n">
        <f aca="false">Summary!$B$5-B6914</f>
        <v>-915.847739560297</v>
      </c>
      <c r="E6914" s="15" t="n">
        <f aca="false">B6914/Summary!$B$5-1</f>
        <v>0.00915847739560305</v>
      </c>
    </row>
    <row r="6915" customFormat="false" ht="15" hidden="false" customHeight="false" outlineLevel="0" collapsed="false">
      <c r="A6915" s="0" t="n">
        <v>6914</v>
      </c>
      <c r="B6915" s="14" t="n">
        <v>128991.085691745</v>
      </c>
      <c r="C6915" s="15" t="n">
        <v>0.0491972439028781</v>
      </c>
      <c r="D6915" s="14" t="n">
        <f aca="false">Summary!$B$5-B6915</f>
        <v>-28991.085691745</v>
      </c>
      <c r="E6915" s="15" t="n">
        <f aca="false">B6915/Summary!$B$5-1</f>
        <v>0.28991085691745</v>
      </c>
    </row>
    <row r="6916" customFormat="false" ht="15" hidden="false" customHeight="false" outlineLevel="0" collapsed="false">
      <c r="A6916" s="0" t="n">
        <v>6915</v>
      </c>
      <c r="B6916" s="14" t="n">
        <v>137997.77004205</v>
      </c>
      <c r="C6916" s="15" t="n">
        <v>0.107588445885565</v>
      </c>
      <c r="D6916" s="14" t="n">
        <f aca="false">Summary!$B$5-B6916</f>
        <v>-37997.7700420503</v>
      </c>
      <c r="E6916" s="15" t="n">
        <f aca="false">B6916/Summary!$B$5-1</f>
        <v>0.379977700420503</v>
      </c>
    </row>
    <row r="6917" customFormat="false" ht="15" hidden="false" customHeight="false" outlineLevel="0" collapsed="false">
      <c r="A6917" s="0" t="n">
        <v>6916</v>
      </c>
      <c r="B6917" s="14" t="n">
        <v>111892.291817303</v>
      </c>
      <c r="C6917" s="15" t="n">
        <v>0.0841649221259739</v>
      </c>
      <c r="D6917" s="14" t="n">
        <f aca="false">Summary!$B$5-B6917</f>
        <v>-11892.2918173028</v>
      </c>
      <c r="E6917" s="15" t="n">
        <f aca="false">B6917/Summary!$B$5-1</f>
        <v>0.118922918173028</v>
      </c>
    </row>
    <row r="6918" customFormat="false" ht="15" hidden="false" customHeight="false" outlineLevel="0" collapsed="false">
      <c r="A6918" s="0" t="n">
        <v>6917</v>
      </c>
      <c r="B6918" s="14" t="n">
        <v>111967.808010695</v>
      </c>
      <c r="C6918" s="15" t="n">
        <v>0.0749639960046294</v>
      </c>
      <c r="D6918" s="14" t="n">
        <f aca="false">Summary!$B$5-B6918</f>
        <v>-11967.8080106948</v>
      </c>
      <c r="E6918" s="15" t="n">
        <f aca="false">B6918/Summary!$B$5-1</f>
        <v>0.119678080106948</v>
      </c>
    </row>
    <row r="6919" customFormat="false" ht="15" hidden="false" customHeight="false" outlineLevel="0" collapsed="false">
      <c r="A6919" s="0" t="n">
        <v>6918</v>
      </c>
      <c r="B6919" s="14" t="n">
        <v>111153.620600948</v>
      </c>
      <c r="C6919" s="15" t="n">
        <v>0.0757469534680126</v>
      </c>
      <c r="D6919" s="14" t="n">
        <f aca="false">Summary!$B$5-B6919</f>
        <v>-11153.6206009482</v>
      </c>
      <c r="E6919" s="15" t="n">
        <f aca="false">B6919/Summary!$B$5-1</f>
        <v>0.111536206009482</v>
      </c>
    </row>
    <row r="6920" customFormat="false" ht="15" hidden="false" customHeight="false" outlineLevel="0" collapsed="false">
      <c r="A6920" s="0" t="n">
        <v>6919</v>
      </c>
      <c r="B6920" s="14" t="n">
        <v>94045.1380853603</v>
      </c>
      <c r="C6920" s="15" t="n">
        <v>0.126713870615282</v>
      </c>
      <c r="D6920" s="14" t="n">
        <f aca="false">Summary!$B$5-B6920</f>
        <v>5954.86191463974</v>
      </c>
      <c r="E6920" s="15" t="n">
        <f aca="false">B6920/Summary!$B$5-1</f>
        <v>-0.0595486191463974</v>
      </c>
    </row>
    <row r="6921" customFormat="false" ht="15" hidden="false" customHeight="false" outlineLevel="0" collapsed="false">
      <c r="A6921" s="0" t="n">
        <v>6920</v>
      </c>
      <c r="B6921" s="14" t="n">
        <v>114807.734980992</v>
      </c>
      <c r="C6921" s="15" t="n">
        <v>0.072272915481308</v>
      </c>
      <c r="D6921" s="14" t="n">
        <f aca="false">Summary!$B$5-B6921</f>
        <v>-14807.7349809918</v>
      </c>
      <c r="E6921" s="15" t="n">
        <f aca="false">B6921/Summary!$B$5-1</f>
        <v>0.148077349809918</v>
      </c>
    </row>
    <row r="6922" customFormat="false" ht="15" hidden="false" customHeight="false" outlineLevel="0" collapsed="false">
      <c r="A6922" s="0" t="n">
        <v>6921</v>
      </c>
      <c r="B6922" s="14" t="n">
        <v>105834.925090761</v>
      </c>
      <c r="C6922" s="15" t="n">
        <v>0.140847925088812</v>
      </c>
      <c r="D6922" s="14" t="n">
        <f aca="false">Summary!$B$5-B6922</f>
        <v>-5834.9250907614</v>
      </c>
      <c r="E6922" s="15" t="n">
        <f aca="false">B6922/Summary!$B$5-1</f>
        <v>0.058349250907614</v>
      </c>
    </row>
    <row r="6923" customFormat="false" ht="15" hidden="false" customHeight="false" outlineLevel="0" collapsed="false">
      <c r="A6923" s="0" t="n">
        <v>6922</v>
      </c>
      <c r="B6923" s="14" t="n">
        <v>113307.044383819</v>
      </c>
      <c r="C6923" s="15" t="n">
        <v>0.0610710989063228</v>
      </c>
      <c r="D6923" s="14" t="n">
        <f aca="false">Summary!$B$5-B6923</f>
        <v>-13307.0443838193</v>
      </c>
      <c r="E6923" s="15" t="n">
        <f aca="false">B6923/Summary!$B$5-1</f>
        <v>0.133070443838193</v>
      </c>
    </row>
    <row r="6924" customFormat="false" ht="15" hidden="false" customHeight="false" outlineLevel="0" collapsed="false">
      <c r="A6924" s="0" t="n">
        <v>6923</v>
      </c>
      <c r="B6924" s="14" t="n">
        <v>104604.335241286</v>
      </c>
      <c r="C6924" s="15" t="n">
        <v>0.0655998688558916</v>
      </c>
      <c r="D6924" s="14" t="n">
        <f aca="false">Summary!$B$5-B6924</f>
        <v>-4604.3352412855</v>
      </c>
      <c r="E6924" s="15" t="n">
        <f aca="false">B6924/Summary!$B$5-1</f>
        <v>0.046043352412855</v>
      </c>
    </row>
    <row r="6925" customFormat="false" ht="15" hidden="false" customHeight="false" outlineLevel="0" collapsed="false">
      <c r="A6925" s="0" t="n">
        <v>6924</v>
      </c>
      <c r="B6925" s="14" t="n">
        <v>86613.5015400724</v>
      </c>
      <c r="C6925" s="15" t="n">
        <v>0.171200138879155</v>
      </c>
      <c r="D6925" s="14" t="n">
        <f aca="false">Summary!$B$5-B6925</f>
        <v>13386.4984599276</v>
      </c>
      <c r="E6925" s="15" t="n">
        <f aca="false">B6925/Summary!$B$5-1</f>
        <v>-0.133864984599276</v>
      </c>
    </row>
    <row r="6926" customFormat="false" ht="15" hidden="false" customHeight="false" outlineLevel="0" collapsed="false">
      <c r="A6926" s="0" t="n">
        <v>6925</v>
      </c>
      <c r="B6926" s="14" t="n">
        <v>94111.1365861439</v>
      </c>
      <c r="C6926" s="15" t="n">
        <v>0.139912105308668</v>
      </c>
      <c r="D6926" s="14" t="n">
        <f aca="false">Summary!$B$5-B6926</f>
        <v>5888.86341385609</v>
      </c>
      <c r="E6926" s="15" t="n">
        <f aca="false">B6926/Summary!$B$5-1</f>
        <v>-0.0588886341385609</v>
      </c>
    </row>
    <row r="6927" customFormat="false" ht="15" hidden="false" customHeight="false" outlineLevel="0" collapsed="false">
      <c r="A6927" s="0" t="n">
        <v>6926</v>
      </c>
      <c r="B6927" s="14" t="n">
        <v>96894.4913716778</v>
      </c>
      <c r="C6927" s="15" t="n">
        <v>0.130505763498306</v>
      </c>
      <c r="D6927" s="14" t="n">
        <f aca="false">Summary!$B$5-B6927</f>
        <v>3105.50862832216</v>
      </c>
      <c r="E6927" s="15" t="n">
        <f aca="false">B6927/Summary!$B$5-1</f>
        <v>-0.0310550862832216</v>
      </c>
    </row>
    <row r="6928" customFormat="false" ht="15" hidden="false" customHeight="false" outlineLevel="0" collapsed="false">
      <c r="A6928" s="0" t="n">
        <v>6927</v>
      </c>
      <c r="B6928" s="14" t="n">
        <v>100819.206286789</v>
      </c>
      <c r="C6928" s="15" t="n">
        <v>0.0919493984871945</v>
      </c>
      <c r="D6928" s="14" t="n">
        <f aca="false">Summary!$B$5-B6928</f>
        <v>-819.206286788904</v>
      </c>
      <c r="E6928" s="15" t="n">
        <f aca="false">B6928/Summary!$B$5-1</f>
        <v>0.00819206286788909</v>
      </c>
    </row>
    <row r="6929" customFormat="false" ht="15" hidden="false" customHeight="false" outlineLevel="0" collapsed="false">
      <c r="A6929" s="0" t="n">
        <v>6928</v>
      </c>
      <c r="B6929" s="14" t="n">
        <v>119224.566685666</v>
      </c>
      <c r="C6929" s="15" t="n">
        <v>0.0591156302690096</v>
      </c>
      <c r="D6929" s="14" t="n">
        <f aca="false">Summary!$B$5-B6929</f>
        <v>-19224.5666856662</v>
      </c>
      <c r="E6929" s="15" t="n">
        <f aca="false">B6929/Summary!$B$5-1</f>
        <v>0.192245666856662</v>
      </c>
    </row>
    <row r="6930" customFormat="false" ht="15" hidden="false" customHeight="false" outlineLevel="0" collapsed="false">
      <c r="A6930" s="0" t="n">
        <v>6929</v>
      </c>
      <c r="B6930" s="14" t="n">
        <v>106721.34403937</v>
      </c>
      <c r="C6930" s="15" t="n">
        <v>0.121967165829212</v>
      </c>
      <c r="D6930" s="14" t="n">
        <f aca="false">Summary!$B$5-B6930</f>
        <v>-6721.3440393699</v>
      </c>
      <c r="E6930" s="15" t="n">
        <f aca="false">B6930/Summary!$B$5-1</f>
        <v>0.067213440393699</v>
      </c>
    </row>
    <row r="6931" customFormat="false" ht="15" hidden="false" customHeight="false" outlineLevel="0" collapsed="false">
      <c r="A6931" s="0" t="n">
        <v>6930</v>
      </c>
      <c r="B6931" s="14" t="n">
        <v>102532.748385395</v>
      </c>
      <c r="C6931" s="15" t="n">
        <v>0.101546663901164</v>
      </c>
      <c r="D6931" s="14" t="n">
        <f aca="false">Summary!$B$5-B6931</f>
        <v>-2532.74838539471</v>
      </c>
      <c r="E6931" s="15" t="n">
        <f aca="false">B6931/Summary!$B$5-1</f>
        <v>0.025327483853947</v>
      </c>
    </row>
    <row r="6932" customFormat="false" ht="15" hidden="false" customHeight="false" outlineLevel="0" collapsed="false">
      <c r="A6932" s="0" t="n">
        <v>6931</v>
      </c>
      <c r="B6932" s="14" t="n">
        <v>123134.719147828</v>
      </c>
      <c r="C6932" s="15" t="n">
        <v>0.0793950219026335</v>
      </c>
      <c r="D6932" s="14" t="n">
        <f aca="false">Summary!$B$5-B6932</f>
        <v>-23134.7191478275</v>
      </c>
      <c r="E6932" s="15" t="n">
        <f aca="false">B6932/Summary!$B$5-1</f>
        <v>0.231347191478275</v>
      </c>
    </row>
    <row r="6933" customFormat="false" ht="15" hidden="false" customHeight="false" outlineLevel="0" collapsed="false">
      <c r="A6933" s="0" t="n">
        <v>6932</v>
      </c>
      <c r="B6933" s="14" t="n">
        <v>112376.17186794</v>
      </c>
      <c r="C6933" s="15" t="n">
        <v>0.0972614031053966</v>
      </c>
      <c r="D6933" s="14" t="n">
        <f aca="false">Summary!$B$5-B6933</f>
        <v>-12376.1718679395</v>
      </c>
      <c r="E6933" s="15" t="n">
        <f aca="false">B6933/Summary!$B$5-1</f>
        <v>0.123761718679395</v>
      </c>
    </row>
    <row r="6934" customFormat="false" ht="15" hidden="false" customHeight="false" outlineLevel="0" collapsed="false">
      <c r="A6934" s="0" t="n">
        <v>6933</v>
      </c>
      <c r="B6934" s="14" t="n">
        <v>107195.209389469</v>
      </c>
      <c r="C6934" s="15" t="n">
        <v>0.0749075817923105</v>
      </c>
      <c r="D6934" s="14" t="n">
        <f aca="false">Summary!$B$5-B6934</f>
        <v>-7195.2093894687</v>
      </c>
      <c r="E6934" s="15" t="n">
        <f aca="false">B6934/Summary!$B$5-1</f>
        <v>0.0719520938946869</v>
      </c>
    </row>
    <row r="6935" customFormat="false" ht="15" hidden="false" customHeight="false" outlineLevel="0" collapsed="false">
      <c r="A6935" s="0" t="n">
        <v>6934</v>
      </c>
      <c r="B6935" s="14" t="n">
        <v>93393.9623767122</v>
      </c>
      <c r="C6935" s="15" t="n">
        <v>0.129600662353161</v>
      </c>
      <c r="D6935" s="14" t="n">
        <f aca="false">Summary!$B$5-B6935</f>
        <v>6606.03762328776</v>
      </c>
      <c r="E6935" s="15" t="n">
        <f aca="false">B6935/Summary!$B$5-1</f>
        <v>-0.0660603762328776</v>
      </c>
    </row>
    <row r="6936" customFormat="false" ht="15" hidden="false" customHeight="false" outlineLevel="0" collapsed="false">
      <c r="A6936" s="0" t="n">
        <v>6935</v>
      </c>
      <c r="B6936" s="14" t="n">
        <v>123208.437255446</v>
      </c>
      <c r="C6936" s="15" t="n">
        <v>0.0700642650100092</v>
      </c>
      <c r="D6936" s="14" t="n">
        <f aca="false">Summary!$B$5-B6936</f>
        <v>-23208.4372554463</v>
      </c>
      <c r="E6936" s="15" t="n">
        <f aca="false">B6936/Summary!$B$5-1</f>
        <v>0.232084372554463</v>
      </c>
    </row>
    <row r="6937" customFormat="false" ht="15" hidden="false" customHeight="false" outlineLevel="0" collapsed="false">
      <c r="A6937" s="0" t="n">
        <v>6936</v>
      </c>
      <c r="B6937" s="14" t="n">
        <v>91593.4418836399</v>
      </c>
      <c r="C6937" s="15" t="n">
        <v>0.216387343915713</v>
      </c>
      <c r="D6937" s="14" t="n">
        <f aca="false">Summary!$B$5-B6937</f>
        <v>8406.55811636009</v>
      </c>
      <c r="E6937" s="15" t="n">
        <f aca="false">B6937/Summary!$B$5-1</f>
        <v>-0.0840655811636009</v>
      </c>
    </row>
    <row r="6938" customFormat="false" ht="15" hidden="false" customHeight="false" outlineLevel="0" collapsed="false">
      <c r="A6938" s="0" t="n">
        <v>6937</v>
      </c>
      <c r="B6938" s="14" t="n">
        <v>105506.320435936</v>
      </c>
      <c r="C6938" s="15" t="n">
        <v>0.0892369553403037</v>
      </c>
      <c r="D6938" s="14" t="n">
        <f aca="false">Summary!$B$5-B6938</f>
        <v>-5506.3204359363</v>
      </c>
      <c r="E6938" s="15" t="n">
        <f aca="false">B6938/Summary!$B$5-1</f>
        <v>0.0550632043593631</v>
      </c>
    </row>
    <row r="6939" customFormat="false" ht="15" hidden="false" customHeight="false" outlineLevel="0" collapsed="false">
      <c r="A6939" s="0" t="n">
        <v>6938</v>
      </c>
      <c r="B6939" s="14" t="n">
        <v>119884.146035771</v>
      </c>
      <c r="C6939" s="15" t="n">
        <v>0.130885768172796</v>
      </c>
      <c r="D6939" s="14" t="n">
        <f aca="false">Summary!$B$5-B6939</f>
        <v>-19884.1460357709</v>
      </c>
      <c r="E6939" s="15" t="n">
        <f aca="false">B6939/Summary!$B$5-1</f>
        <v>0.198841460357709</v>
      </c>
    </row>
    <row r="6940" customFormat="false" ht="15" hidden="false" customHeight="false" outlineLevel="0" collapsed="false">
      <c r="A6940" s="0" t="n">
        <v>6939</v>
      </c>
      <c r="B6940" s="14" t="n">
        <v>118651.737251891</v>
      </c>
      <c r="C6940" s="15" t="n">
        <v>0.0647250109838041</v>
      </c>
      <c r="D6940" s="14" t="n">
        <f aca="false">Summary!$B$5-B6940</f>
        <v>-18651.7372518914</v>
      </c>
      <c r="E6940" s="15" t="n">
        <f aca="false">B6940/Summary!$B$5-1</f>
        <v>0.186517372518914</v>
      </c>
    </row>
    <row r="6941" customFormat="false" ht="15" hidden="false" customHeight="false" outlineLevel="0" collapsed="false">
      <c r="A6941" s="0" t="n">
        <v>6940</v>
      </c>
      <c r="B6941" s="14" t="n">
        <v>106475.33494083</v>
      </c>
      <c r="C6941" s="15" t="n">
        <v>0.063704459003343</v>
      </c>
      <c r="D6941" s="14" t="n">
        <f aca="false">Summary!$B$5-B6941</f>
        <v>-6475.3349408299</v>
      </c>
      <c r="E6941" s="15" t="n">
        <f aca="false">B6941/Summary!$B$5-1</f>
        <v>0.064753349408299</v>
      </c>
    </row>
    <row r="6942" customFormat="false" ht="15" hidden="false" customHeight="false" outlineLevel="0" collapsed="false">
      <c r="A6942" s="0" t="n">
        <v>6941</v>
      </c>
      <c r="B6942" s="14" t="n">
        <v>125036.653423758</v>
      </c>
      <c r="C6942" s="15" t="n">
        <v>0.0789792057162277</v>
      </c>
      <c r="D6942" s="14" t="n">
        <f aca="false">Summary!$B$5-B6942</f>
        <v>-25036.6534237582</v>
      </c>
      <c r="E6942" s="15" t="n">
        <f aca="false">B6942/Summary!$B$5-1</f>
        <v>0.250366534237582</v>
      </c>
    </row>
    <row r="6943" customFormat="false" ht="15" hidden="false" customHeight="false" outlineLevel="0" collapsed="false">
      <c r="A6943" s="0" t="n">
        <v>6942</v>
      </c>
      <c r="B6943" s="14" t="n">
        <v>114423.213032611</v>
      </c>
      <c r="C6943" s="15" t="n">
        <v>0.123711033127633</v>
      </c>
      <c r="D6943" s="14" t="n">
        <f aca="false">Summary!$B$5-B6943</f>
        <v>-14423.2130326114</v>
      </c>
      <c r="E6943" s="15" t="n">
        <f aca="false">B6943/Summary!$B$5-1</f>
        <v>0.144232130326114</v>
      </c>
    </row>
    <row r="6944" customFormat="false" ht="15" hidden="false" customHeight="false" outlineLevel="0" collapsed="false">
      <c r="A6944" s="0" t="n">
        <v>6943</v>
      </c>
      <c r="B6944" s="14" t="n">
        <v>111743.083017871</v>
      </c>
      <c r="C6944" s="15" t="n">
        <v>0.0784891760046598</v>
      </c>
      <c r="D6944" s="14" t="n">
        <f aca="false">Summary!$B$5-B6944</f>
        <v>-11743.0830178706</v>
      </c>
      <c r="E6944" s="15" t="n">
        <f aca="false">B6944/Summary!$B$5-1</f>
        <v>0.117430830178706</v>
      </c>
    </row>
    <row r="6945" customFormat="false" ht="15" hidden="false" customHeight="false" outlineLevel="0" collapsed="false">
      <c r="A6945" s="0" t="n">
        <v>6944</v>
      </c>
      <c r="B6945" s="14" t="n">
        <v>103276.848639128</v>
      </c>
      <c r="C6945" s="15" t="n">
        <v>0.0798194659528018</v>
      </c>
      <c r="D6945" s="14" t="n">
        <f aca="false">Summary!$B$5-B6945</f>
        <v>-3276.848639128</v>
      </c>
      <c r="E6945" s="15" t="n">
        <f aca="false">B6945/Summary!$B$5-1</f>
        <v>0.0327684863912801</v>
      </c>
    </row>
    <row r="6946" customFormat="false" ht="15" hidden="false" customHeight="false" outlineLevel="0" collapsed="false">
      <c r="A6946" s="0" t="n">
        <v>6945</v>
      </c>
      <c r="B6946" s="14" t="n">
        <v>91949.633467838</v>
      </c>
      <c r="C6946" s="15" t="n">
        <v>0.104868365239787</v>
      </c>
      <c r="D6946" s="14" t="n">
        <f aca="false">Summary!$B$5-B6946</f>
        <v>8050.36653216198</v>
      </c>
      <c r="E6946" s="15" t="n">
        <f aca="false">B6946/Summary!$B$5-1</f>
        <v>-0.0805036653216198</v>
      </c>
    </row>
    <row r="6947" customFormat="false" ht="15" hidden="false" customHeight="false" outlineLevel="0" collapsed="false">
      <c r="A6947" s="0" t="n">
        <v>6946</v>
      </c>
      <c r="B6947" s="14" t="n">
        <v>103911.570581768</v>
      </c>
      <c r="C6947" s="15" t="n">
        <v>0.158489617652798</v>
      </c>
      <c r="D6947" s="14" t="n">
        <f aca="false">Summary!$B$5-B6947</f>
        <v>-3911.57058176769</v>
      </c>
      <c r="E6947" s="15" t="n">
        <f aca="false">B6947/Summary!$B$5-1</f>
        <v>0.039115705817677</v>
      </c>
    </row>
    <row r="6948" customFormat="false" ht="15" hidden="false" customHeight="false" outlineLevel="0" collapsed="false">
      <c r="A6948" s="0" t="n">
        <v>6947</v>
      </c>
      <c r="B6948" s="14" t="n">
        <v>138046.709182653</v>
      </c>
      <c r="C6948" s="15" t="n">
        <v>0.0618167489432449</v>
      </c>
      <c r="D6948" s="14" t="n">
        <f aca="false">Summary!$B$5-B6948</f>
        <v>-38046.7091826533</v>
      </c>
      <c r="E6948" s="15" t="n">
        <f aca="false">B6948/Summary!$B$5-1</f>
        <v>0.380467091826533</v>
      </c>
    </row>
    <row r="6949" customFormat="false" ht="15" hidden="false" customHeight="false" outlineLevel="0" collapsed="false">
      <c r="A6949" s="0" t="n">
        <v>6948</v>
      </c>
      <c r="B6949" s="14" t="n">
        <v>116243.048765108</v>
      </c>
      <c r="C6949" s="15" t="n">
        <v>0.0559935779000078</v>
      </c>
      <c r="D6949" s="14" t="n">
        <f aca="false">Summary!$B$5-B6949</f>
        <v>-16243.0487651081</v>
      </c>
      <c r="E6949" s="15" t="n">
        <f aca="false">B6949/Summary!$B$5-1</f>
        <v>0.162430487651081</v>
      </c>
    </row>
    <row r="6950" customFormat="false" ht="15" hidden="false" customHeight="false" outlineLevel="0" collapsed="false">
      <c r="A6950" s="0" t="n">
        <v>6949</v>
      </c>
      <c r="B6950" s="14" t="n">
        <v>106235.72791705</v>
      </c>
      <c r="C6950" s="15" t="n">
        <v>0.0846460872104804</v>
      </c>
      <c r="D6950" s="14" t="n">
        <f aca="false">Summary!$B$5-B6950</f>
        <v>-6235.72791704971</v>
      </c>
      <c r="E6950" s="15" t="n">
        <f aca="false">B6950/Summary!$B$5-1</f>
        <v>0.0623572791704972</v>
      </c>
    </row>
    <row r="6951" customFormat="false" ht="15" hidden="false" customHeight="false" outlineLevel="0" collapsed="false">
      <c r="A6951" s="0" t="n">
        <v>6950</v>
      </c>
      <c r="B6951" s="14" t="n">
        <v>92201.7682317946</v>
      </c>
      <c r="C6951" s="15" t="n">
        <v>0.138593156683595</v>
      </c>
      <c r="D6951" s="14" t="n">
        <f aca="false">Summary!$B$5-B6951</f>
        <v>7798.23176820538</v>
      </c>
      <c r="E6951" s="15" t="n">
        <f aca="false">B6951/Summary!$B$5-1</f>
        <v>-0.0779823176820539</v>
      </c>
    </row>
    <row r="6952" customFormat="false" ht="15" hidden="false" customHeight="false" outlineLevel="0" collapsed="false">
      <c r="A6952" s="0" t="n">
        <v>6951</v>
      </c>
      <c r="B6952" s="14" t="n">
        <v>103207.474391972</v>
      </c>
      <c r="C6952" s="15" t="n">
        <v>0.137354130597485</v>
      </c>
      <c r="D6952" s="14" t="n">
        <f aca="false">Summary!$B$5-B6952</f>
        <v>-3207.4743919723</v>
      </c>
      <c r="E6952" s="15" t="n">
        <f aca="false">B6952/Summary!$B$5-1</f>
        <v>0.0320747439197229</v>
      </c>
    </row>
    <row r="6953" customFormat="false" ht="15" hidden="false" customHeight="false" outlineLevel="0" collapsed="false">
      <c r="A6953" s="0" t="n">
        <v>6952</v>
      </c>
      <c r="B6953" s="14" t="n">
        <v>123752.755229291</v>
      </c>
      <c r="C6953" s="15" t="n">
        <v>0.0903175816855082</v>
      </c>
      <c r="D6953" s="14" t="n">
        <f aca="false">Summary!$B$5-B6953</f>
        <v>-23752.7552292905</v>
      </c>
      <c r="E6953" s="15" t="n">
        <f aca="false">B6953/Summary!$B$5-1</f>
        <v>0.237527552292905</v>
      </c>
    </row>
    <row r="6954" customFormat="false" ht="15" hidden="false" customHeight="false" outlineLevel="0" collapsed="false">
      <c r="A6954" s="0" t="n">
        <v>6953</v>
      </c>
      <c r="B6954" s="14" t="n">
        <v>106553.684650503</v>
      </c>
      <c r="C6954" s="15" t="n">
        <v>0.0603339503165098</v>
      </c>
      <c r="D6954" s="14" t="n">
        <f aca="false">Summary!$B$5-B6954</f>
        <v>-6553.6846505029</v>
      </c>
      <c r="E6954" s="15" t="n">
        <f aca="false">B6954/Summary!$B$5-1</f>
        <v>0.065536846505029</v>
      </c>
    </row>
    <row r="6955" customFormat="false" ht="15" hidden="false" customHeight="false" outlineLevel="0" collapsed="false">
      <c r="A6955" s="0" t="n">
        <v>6954</v>
      </c>
      <c r="B6955" s="14" t="n">
        <v>110672.576389556</v>
      </c>
      <c r="C6955" s="15" t="n">
        <v>0.0712792239211592</v>
      </c>
      <c r="D6955" s="14" t="n">
        <f aca="false">Summary!$B$5-B6955</f>
        <v>-10672.5763895555</v>
      </c>
      <c r="E6955" s="15" t="n">
        <f aca="false">B6955/Summary!$B$5-1</f>
        <v>0.106725763895555</v>
      </c>
    </row>
    <row r="6956" customFormat="false" ht="15" hidden="false" customHeight="false" outlineLevel="0" collapsed="false">
      <c r="A6956" s="0" t="n">
        <v>6955</v>
      </c>
      <c r="B6956" s="14" t="n">
        <v>94512.2406804889</v>
      </c>
      <c r="C6956" s="15" t="n">
        <v>0.152931983087384</v>
      </c>
      <c r="D6956" s="14" t="n">
        <f aca="false">Summary!$B$5-B6956</f>
        <v>5487.75931951111</v>
      </c>
      <c r="E6956" s="15" t="n">
        <f aca="false">B6956/Summary!$B$5-1</f>
        <v>-0.0548775931951111</v>
      </c>
    </row>
    <row r="6957" customFormat="false" ht="15" hidden="false" customHeight="false" outlineLevel="0" collapsed="false">
      <c r="A6957" s="0" t="n">
        <v>6956</v>
      </c>
      <c r="B6957" s="14" t="n">
        <v>117681.376759142</v>
      </c>
      <c r="C6957" s="15" t="n">
        <v>0.0818561145446108</v>
      </c>
      <c r="D6957" s="14" t="n">
        <f aca="false">Summary!$B$5-B6957</f>
        <v>-17681.3767591423</v>
      </c>
      <c r="E6957" s="15" t="n">
        <f aca="false">B6957/Summary!$B$5-1</f>
        <v>0.176813767591423</v>
      </c>
    </row>
    <row r="6958" customFormat="false" ht="15" hidden="false" customHeight="false" outlineLevel="0" collapsed="false">
      <c r="A6958" s="0" t="n">
        <v>6957</v>
      </c>
      <c r="B6958" s="14" t="n">
        <v>104649.48256555</v>
      </c>
      <c r="C6958" s="15" t="n">
        <v>0.122013123241099</v>
      </c>
      <c r="D6958" s="14" t="n">
        <f aca="false">Summary!$B$5-B6958</f>
        <v>-4649.4825655496</v>
      </c>
      <c r="E6958" s="15" t="n">
        <f aca="false">B6958/Summary!$B$5-1</f>
        <v>0.046494825655496</v>
      </c>
    </row>
    <row r="6959" customFormat="false" ht="15" hidden="false" customHeight="false" outlineLevel="0" collapsed="false">
      <c r="A6959" s="0" t="n">
        <v>6958</v>
      </c>
      <c r="B6959" s="14" t="n">
        <v>83533.4610534407</v>
      </c>
      <c r="C6959" s="15" t="n">
        <v>0.202287302294561</v>
      </c>
      <c r="D6959" s="14" t="n">
        <f aca="false">Summary!$B$5-B6959</f>
        <v>16466.5389465593</v>
      </c>
      <c r="E6959" s="15" t="n">
        <f aca="false">B6959/Summary!$B$5-1</f>
        <v>-0.164665389465593</v>
      </c>
    </row>
    <row r="6960" customFormat="false" ht="15" hidden="false" customHeight="false" outlineLevel="0" collapsed="false">
      <c r="A6960" s="0" t="n">
        <v>6959</v>
      </c>
      <c r="B6960" s="14" t="n">
        <v>100955.320377792</v>
      </c>
      <c r="C6960" s="15" t="n">
        <v>0.0951023550243639</v>
      </c>
      <c r="D6960" s="14" t="n">
        <f aca="false">Summary!$B$5-B6960</f>
        <v>-955.320377791504</v>
      </c>
      <c r="E6960" s="15" t="n">
        <f aca="false">B6960/Summary!$B$5-1</f>
        <v>0.00955320377791513</v>
      </c>
    </row>
    <row r="6961" customFormat="false" ht="15" hidden="false" customHeight="false" outlineLevel="0" collapsed="false">
      <c r="A6961" s="0" t="n">
        <v>6960</v>
      </c>
      <c r="B6961" s="14" t="n">
        <v>107694.320372482</v>
      </c>
      <c r="C6961" s="15" t="n">
        <v>0.0732077593726431</v>
      </c>
      <c r="D6961" s="14" t="n">
        <f aca="false">Summary!$B$5-B6961</f>
        <v>-7694.3203724819</v>
      </c>
      <c r="E6961" s="15" t="n">
        <f aca="false">B6961/Summary!$B$5-1</f>
        <v>0.076943203724819</v>
      </c>
    </row>
    <row r="6962" customFormat="false" ht="15" hidden="false" customHeight="false" outlineLevel="0" collapsed="false">
      <c r="A6962" s="0" t="n">
        <v>6961</v>
      </c>
      <c r="B6962" s="14" t="n">
        <v>109632.14467341</v>
      </c>
      <c r="C6962" s="15" t="n">
        <v>0.105094844853472</v>
      </c>
      <c r="D6962" s="14" t="n">
        <f aca="false">Summary!$B$5-B6962</f>
        <v>-9632.14467341</v>
      </c>
      <c r="E6962" s="15" t="n">
        <f aca="false">B6962/Summary!$B$5-1</f>
        <v>0.0963214467341</v>
      </c>
    </row>
    <row r="6963" customFormat="false" ht="15" hidden="false" customHeight="false" outlineLevel="0" collapsed="false">
      <c r="A6963" s="0" t="n">
        <v>6962</v>
      </c>
      <c r="B6963" s="14" t="n">
        <v>106987.289254495</v>
      </c>
      <c r="C6963" s="15" t="n">
        <v>0.0973160939220525</v>
      </c>
      <c r="D6963" s="14" t="n">
        <f aca="false">Summary!$B$5-B6963</f>
        <v>-6987.289254495</v>
      </c>
      <c r="E6963" s="15" t="n">
        <f aca="false">B6963/Summary!$B$5-1</f>
        <v>0.0698728925449501</v>
      </c>
    </row>
    <row r="6964" customFormat="false" ht="15" hidden="false" customHeight="false" outlineLevel="0" collapsed="false">
      <c r="A6964" s="0" t="n">
        <v>6963</v>
      </c>
      <c r="B6964" s="14" t="n">
        <v>101293.316217776</v>
      </c>
      <c r="C6964" s="15" t="n">
        <v>0.108749647611232</v>
      </c>
      <c r="D6964" s="14" t="n">
        <f aca="false">Summary!$B$5-B6964</f>
        <v>-1293.3162177762</v>
      </c>
      <c r="E6964" s="15" t="n">
        <f aca="false">B6964/Summary!$B$5-1</f>
        <v>0.012933162177762</v>
      </c>
    </row>
    <row r="6965" customFormat="false" ht="15" hidden="false" customHeight="false" outlineLevel="0" collapsed="false">
      <c r="A6965" s="0" t="n">
        <v>6964</v>
      </c>
      <c r="B6965" s="14" t="n">
        <v>90705.6108729891</v>
      </c>
      <c r="C6965" s="15" t="n">
        <v>0.137335231266132</v>
      </c>
      <c r="D6965" s="14" t="n">
        <f aca="false">Summary!$B$5-B6965</f>
        <v>9294.38912701092</v>
      </c>
      <c r="E6965" s="15" t="n">
        <f aca="false">B6965/Summary!$B$5-1</f>
        <v>-0.0929438912701092</v>
      </c>
    </row>
    <row r="6966" customFormat="false" ht="15" hidden="false" customHeight="false" outlineLevel="0" collapsed="false">
      <c r="A6966" s="0" t="n">
        <v>6965</v>
      </c>
      <c r="B6966" s="14" t="n">
        <v>119607.846794455</v>
      </c>
      <c r="C6966" s="15" t="n">
        <v>0.075015860523462</v>
      </c>
      <c r="D6966" s="14" t="n">
        <f aca="false">Summary!$B$5-B6966</f>
        <v>-19607.8467944545</v>
      </c>
      <c r="E6966" s="15" t="n">
        <f aca="false">B6966/Summary!$B$5-1</f>
        <v>0.196078467944545</v>
      </c>
    </row>
    <row r="6967" customFormat="false" ht="15" hidden="false" customHeight="false" outlineLevel="0" collapsed="false">
      <c r="A6967" s="0" t="n">
        <v>6966</v>
      </c>
      <c r="B6967" s="14" t="n">
        <v>130595.105158004</v>
      </c>
      <c r="C6967" s="15" t="n">
        <v>0.0657570610632028</v>
      </c>
      <c r="D6967" s="14" t="n">
        <f aca="false">Summary!$B$5-B6967</f>
        <v>-30595.1051580042</v>
      </c>
      <c r="E6967" s="15" t="n">
        <f aca="false">B6967/Summary!$B$5-1</f>
        <v>0.305951051580042</v>
      </c>
    </row>
    <row r="6968" customFormat="false" ht="15" hidden="false" customHeight="false" outlineLevel="0" collapsed="false">
      <c r="A6968" s="0" t="n">
        <v>6967</v>
      </c>
      <c r="B6968" s="14" t="n">
        <v>101102.905014953</v>
      </c>
      <c r="C6968" s="15" t="n">
        <v>0.0981241497360216</v>
      </c>
      <c r="D6968" s="14" t="n">
        <f aca="false">Summary!$B$5-B6968</f>
        <v>-1102.9050149525</v>
      </c>
      <c r="E6968" s="15" t="n">
        <f aca="false">B6968/Summary!$B$5-1</f>
        <v>0.0110290501495249</v>
      </c>
    </row>
    <row r="6969" customFormat="false" ht="15" hidden="false" customHeight="false" outlineLevel="0" collapsed="false">
      <c r="A6969" s="0" t="n">
        <v>6968</v>
      </c>
      <c r="B6969" s="14" t="n">
        <v>88336.3114943502</v>
      </c>
      <c r="C6969" s="15" t="n">
        <v>0.178777117446272</v>
      </c>
      <c r="D6969" s="14" t="n">
        <f aca="false">Summary!$B$5-B6969</f>
        <v>11663.6885056498</v>
      </c>
      <c r="E6969" s="15" t="n">
        <f aca="false">B6969/Summary!$B$5-1</f>
        <v>-0.116636885056498</v>
      </c>
    </row>
    <row r="6970" customFormat="false" ht="15" hidden="false" customHeight="false" outlineLevel="0" collapsed="false">
      <c r="A6970" s="0" t="n">
        <v>6969</v>
      </c>
      <c r="B6970" s="14" t="n">
        <v>111286.733112896</v>
      </c>
      <c r="C6970" s="15" t="n">
        <v>0.150215284703815</v>
      </c>
      <c r="D6970" s="14" t="n">
        <f aca="false">Summary!$B$5-B6970</f>
        <v>-11286.7331128956</v>
      </c>
      <c r="E6970" s="15" t="n">
        <f aca="false">B6970/Summary!$B$5-1</f>
        <v>0.112867331128956</v>
      </c>
    </row>
    <row r="6971" customFormat="false" ht="15" hidden="false" customHeight="false" outlineLevel="0" collapsed="false">
      <c r="A6971" s="0" t="n">
        <v>6970</v>
      </c>
      <c r="B6971" s="14" t="n">
        <v>91855.0324397652</v>
      </c>
      <c r="C6971" s="15" t="n">
        <v>0.152318375251637</v>
      </c>
      <c r="D6971" s="14" t="n">
        <f aca="false">Summary!$B$5-B6971</f>
        <v>8144.96756023477</v>
      </c>
      <c r="E6971" s="15" t="n">
        <f aca="false">B6971/Summary!$B$5-1</f>
        <v>-0.0814496756023477</v>
      </c>
    </row>
    <row r="6972" customFormat="false" ht="15" hidden="false" customHeight="false" outlineLevel="0" collapsed="false">
      <c r="A6972" s="0" t="n">
        <v>6971</v>
      </c>
      <c r="B6972" s="14" t="n">
        <v>116563.010796925</v>
      </c>
      <c r="C6972" s="15" t="n">
        <v>0.0691592341973129</v>
      </c>
      <c r="D6972" s="14" t="n">
        <f aca="false">Summary!$B$5-B6972</f>
        <v>-16563.0107969249</v>
      </c>
      <c r="E6972" s="15" t="n">
        <f aca="false">B6972/Summary!$B$5-1</f>
        <v>0.165630107969249</v>
      </c>
    </row>
    <row r="6973" customFormat="false" ht="15" hidden="false" customHeight="false" outlineLevel="0" collapsed="false">
      <c r="A6973" s="0" t="n">
        <v>6972</v>
      </c>
      <c r="B6973" s="14" t="n">
        <v>120682.44482027</v>
      </c>
      <c r="C6973" s="15" t="n">
        <v>0.100277738263417</v>
      </c>
      <c r="D6973" s="14" t="n">
        <f aca="false">Summary!$B$5-B6973</f>
        <v>-20682.4448202697</v>
      </c>
      <c r="E6973" s="15" t="n">
        <f aca="false">B6973/Summary!$B$5-1</f>
        <v>0.206824448202697</v>
      </c>
    </row>
    <row r="6974" customFormat="false" ht="15" hidden="false" customHeight="false" outlineLevel="0" collapsed="false">
      <c r="A6974" s="0" t="n">
        <v>6973</v>
      </c>
      <c r="B6974" s="14" t="n">
        <v>101796.312051743</v>
      </c>
      <c r="C6974" s="15" t="n">
        <v>0.102617740751251</v>
      </c>
      <c r="D6974" s="14" t="n">
        <f aca="false">Summary!$B$5-B6974</f>
        <v>-1796.3120517434</v>
      </c>
      <c r="E6974" s="15" t="n">
        <f aca="false">B6974/Summary!$B$5-1</f>
        <v>0.017963120517434</v>
      </c>
    </row>
    <row r="6975" customFormat="false" ht="15" hidden="false" customHeight="false" outlineLevel="0" collapsed="false">
      <c r="A6975" s="0" t="n">
        <v>6974</v>
      </c>
      <c r="B6975" s="14" t="n">
        <v>98720.8926178679</v>
      </c>
      <c r="C6975" s="15" t="n">
        <v>0.104055092320641</v>
      </c>
      <c r="D6975" s="14" t="n">
        <f aca="false">Summary!$B$5-B6975</f>
        <v>1279.10738213213</v>
      </c>
      <c r="E6975" s="15" t="n">
        <f aca="false">B6975/Summary!$B$5-1</f>
        <v>-0.0127910738213214</v>
      </c>
    </row>
    <row r="6976" customFormat="false" ht="15" hidden="false" customHeight="false" outlineLevel="0" collapsed="false">
      <c r="A6976" s="0" t="n">
        <v>6975</v>
      </c>
      <c r="B6976" s="14" t="n">
        <v>101642.024754357</v>
      </c>
      <c r="C6976" s="15" t="n">
        <v>0.11761825722709</v>
      </c>
      <c r="D6976" s="14" t="n">
        <f aca="false">Summary!$B$5-B6976</f>
        <v>-1642.02475435739</v>
      </c>
      <c r="E6976" s="15" t="n">
        <f aca="false">B6976/Summary!$B$5-1</f>
        <v>0.016420247543574</v>
      </c>
    </row>
    <row r="6977" customFormat="false" ht="15" hidden="false" customHeight="false" outlineLevel="0" collapsed="false">
      <c r="A6977" s="0" t="n">
        <v>6976</v>
      </c>
      <c r="B6977" s="14" t="n">
        <v>104709.615104577</v>
      </c>
      <c r="C6977" s="15" t="n">
        <v>0.0795252339541112</v>
      </c>
      <c r="D6977" s="14" t="n">
        <f aca="false">Summary!$B$5-B6977</f>
        <v>-4709.61510457689</v>
      </c>
      <c r="E6977" s="15" t="n">
        <f aca="false">B6977/Summary!$B$5-1</f>
        <v>0.047096151045769</v>
      </c>
    </row>
    <row r="6978" customFormat="false" ht="15" hidden="false" customHeight="false" outlineLevel="0" collapsed="false">
      <c r="A6978" s="0" t="n">
        <v>6977</v>
      </c>
      <c r="B6978" s="14" t="n">
        <v>105675.157160516</v>
      </c>
      <c r="C6978" s="15" t="n">
        <v>0.121552030524421</v>
      </c>
      <c r="D6978" s="14" t="n">
        <f aca="false">Summary!$B$5-B6978</f>
        <v>-5675.15716051641</v>
      </c>
      <c r="E6978" s="15" t="n">
        <f aca="false">B6978/Summary!$B$5-1</f>
        <v>0.0567515716051641</v>
      </c>
    </row>
    <row r="6979" customFormat="false" ht="15" hidden="false" customHeight="false" outlineLevel="0" collapsed="false">
      <c r="A6979" s="0" t="n">
        <v>6978</v>
      </c>
      <c r="B6979" s="14" t="n">
        <v>135312.872143049</v>
      </c>
      <c r="C6979" s="15" t="n">
        <v>0.0632039572577782</v>
      </c>
      <c r="D6979" s="14" t="n">
        <f aca="false">Summary!$B$5-B6979</f>
        <v>-35312.8721430486</v>
      </c>
      <c r="E6979" s="15" t="n">
        <f aca="false">B6979/Summary!$B$5-1</f>
        <v>0.353128721430486</v>
      </c>
    </row>
    <row r="6980" customFormat="false" ht="15" hidden="false" customHeight="false" outlineLevel="0" collapsed="false">
      <c r="A6980" s="0" t="n">
        <v>6979</v>
      </c>
      <c r="B6980" s="14" t="n">
        <v>94381.2000107367</v>
      </c>
      <c r="C6980" s="15" t="n">
        <v>0.111475129384592</v>
      </c>
      <c r="D6980" s="14" t="n">
        <f aca="false">Summary!$B$5-B6980</f>
        <v>5618.79998926329</v>
      </c>
      <c r="E6980" s="15" t="n">
        <f aca="false">B6980/Summary!$B$5-1</f>
        <v>-0.0561879998926329</v>
      </c>
    </row>
    <row r="6981" customFormat="false" ht="15" hidden="false" customHeight="false" outlineLevel="0" collapsed="false">
      <c r="A6981" s="0" t="n">
        <v>6980</v>
      </c>
      <c r="B6981" s="14" t="n">
        <v>96893.9839723907</v>
      </c>
      <c r="C6981" s="15" t="n">
        <v>0.132287187284334</v>
      </c>
      <c r="D6981" s="14" t="n">
        <f aca="false">Summary!$B$5-B6981</f>
        <v>3106.01602760935</v>
      </c>
      <c r="E6981" s="15" t="n">
        <f aca="false">B6981/Summary!$B$5-1</f>
        <v>-0.0310601602760935</v>
      </c>
    </row>
    <row r="6982" customFormat="false" ht="15" hidden="false" customHeight="false" outlineLevel="0" collapsed="false">
      <c r="A6982" s="0" t="n">
        <v>6981</v>
      </c>
      <c r="B6982" s="14" t="n">
        <v>144323.700190455</v>
      </c>
      <c r="C6982" s="15" t="n">
        <v>0.0510560758374644</v>
      </c>
      <c r="D6982" s="14" t="n">
        <f aca="false">Summary!$B$5-B6982</f>
        <v>-44323.7001904547</v>
      </c>
      <c r="E6982" s="15" t="n">
        <f aca="false">B6982/Summary!$B$5-1</f>
        <v>0.443237001904547</v>
      </c>
    </row>
    <row r="6983" customFormat="false" ht="15" hidden="false" customHeight="false" outlineLevel="0" collapsed="false">
      <c r="A6983" s="0" t="n">
        <v>6982</v>
      </c>
      <c r="B6983" s="14" t="n">
        <v>117698.406511569</v>
      </c>
      <c r="C6983" s="15" t="n">
        <v>0.0750838810632923</v>
      </c>
      <c r="D6983" s="14" t="n">
        <f aca="false">Summary!$B$5-B6983</f>
        <v>-17698.4065115694</v>
      </c>
      <c r="E6983" s="15" t="n">
        <f aca="false">B6983/Summary!$B$5-1</f>
        <v>0.176984065115694</v>
      </c>
    </row>
    <row r="6984" customFormat="false" ht="15" hidden="false" customHeight="false" outlineLevel="0" collapsed="false">
      <c r="A6984" s="0" t="n">
        <v>6983</v>
      </c>
      <c r="B6984" s="14" t="n">
        <v>94512.7664058348</v>
      </c>
      <c r="C6984" s="15" t="n">
        <v>0.188843310621543</v>
      </c>
      <c r="D6984" s="14" t="n">
        <f aca="false">Summary!$B$5-B6984</f>
        <v>5487.23359416521</v>
      </c>
      <c r="E6984" s="15" t="n">
        <f aca="false">B6984/Summary!$B$5-1</f>
        <v>-0.0548723359416521</v>
      </c>
    </row>
    <row r="6985" customFormat="false" ht="15" hidden="false" customHeight="false" outlineLevel="0" collapsed="false">
      <c r="A6985" s="0" t="n">
        <v>6984</v>
      </c>
      <c r="B6985" s="14" t="n">
        <v>95737.0757033632</v>
      </c>
      <c r="C6985" s="15" t="n">
        <v>0.0923877302104604</v>
      </c>
      <c r="D6985" s="14" t="n">
        <f aca="false">Summary!$B$5-B6985</f>
        <v>4262.92429663682</v>
      </c>
      <c r="E6985" s="15" t="n">
        <f aca="false">B6985/Summary!$B$5-1</f>
        <v>-0.0426292429663682</v>
      </c>
    </row>
    <row r="6986" customFormat="false" ht="15" hidden="false" customHeight="false" outlineLevel="0" collapsed="false">
      <c r="A6986" s="0" t="n">
        <v>6985</v>
      </c>
      <c r="B6986" s="14" t="n">
        <v>124583.274332518</v>
      </c>
      <c r="C6986" s="15" t="n">
        <v>0.0866317325455219</v>
      </c>
      <c r="D6986" s="14" t="n">
        <f aca="false">Summary!$B$5-B6986</f>
        <v>-24583.2743325177</v>
      </c>
      <c r="E6986" s="15" t="n">
        <f aca="false">B6986/Summary!$B$5-1</f>
        <v>0.245832743325177</v>
      </c>
    </row>
    <row r="6987" customFormat="false" ht="15" hidden="false" customHeight="false" outlineLevel="0" collapsed="false">
      <c r="A6987" s="0" t="n">
        <v>6986</v>
      </c>
      <c r="B6987" s="14" t="n">
        <v>151611.637827325</v>
      </c>
      <c r="C6987" s="15" t="n">
        <v>0.0523371360175347</v>
      </c>
      <c r="D6987" s="14" t="n">
        <f aca="false">Summary!$B$5-B6987</f>
        <v>-51611.6378273249</v>
      </c>
      <c r="E6987" s="15" t="n">
        <f aca="false">B6987/Summary!$B$5-1</f>
        <v>0.516116378273249</v>
      </c>
    </row>
    <row r="6988" customFormat="false" ht="15" hidden="false" customHeight="false" outlineLevel="0" collapsed="false">
      <c r="A6988" s="0" t="n">
        <v>6987</v>
      </c>
      <c r="B6988" s="14" t="n">
        <v>104873.515623286</v>
      </c>
      <c r="C6988" s="15" t="n">
        <v>0.0712848876352543</v>
      </c>
      <c r="D6988" s="14" t="n">
        <f aca="false">Summary!$B$5-B6988</f>
        <v>-4873.5156232857</v>
      </c>
      <c r="E6988" s="15" t="n">
        <f aca="false">B6988/Summary!$B$5-1</f>
        <v>0.0487351562328571</v>
      </c>
    </row>
    <row r="6989" customFormat="false" ht="15" hidden="false" customHeight="false" outlineLevel="0" collapsed="false">
      <c r="A6989" s="0" t="n">
        <v>6988</v>
      </c>
      <c r="B6989" s="14" t="n">
        <v>119586.572733079</v>
      </c>
      <c r="C6989" s="15" t="n">
        <v>0.0456100154945797</v>
      </c>
      <c r="D6989" s="14" t="n">
        <f aca="false">Summary!$B$5-B6989</f>
        <v>-19586.572733079</v>
      </c>
      <c r="E6989" s="15" t="n">
        <f aca="false">B6989/Summary!$B$5-1</f>
        <v>0.19586572733079</v>
      </c>
    </row>
    <row r="6990" customFormat="false" ht="15" hidden="false" customHeight="false" outlineLevel="0" collapsed="false">
      <c r="A6990" s="0" t="n">
        <v>6989</v>
      </c>
      <c r="B6990" s="14" t="n">
        <v>108647.775587469</v>
      </c>
      <c r="C6990" s="15" t="n">
        <v>0.0808519848609984</v>
      </c>
      <c r="D6990" s="14" t="n">
        <f aca="false">Summary!$B$5-B6990</f>
        <v>-8647.77558746919</v>
      </c>
      <c r="E6990" s="15" t="n">
        <f aca="false">B6990/Summary!$B$5-1</f>
        <v>0.0864777558746919</v>
      </c>
    </row>
    <row r="6991" customFormat="false" ht="15" hidden="false" customHeight="false" outlineLevel="0" collapsed="false">
      <c r="A6991" s="0" t="n">
        <v>6990</v>
      </c>
      <c r="B6991" s="14" t="n">
        <v>130425.412606053</v>
      </c>
      <c r="C6991" s="15" t="n">
        <v>0.088799924192871</v>
      </c>
      <c r="D6991" s="14" t="n">
        <f aca="false">Summary!$B$5-B6991</f>
        <v>-30425.412606053</v>
      </c>
      <c r="E6991" s="15" t="n">
        <f aca="false">B6991/Summary!$B$5-1</f>
        <v>0.30425412606053</v>
      </c>
    </row>
    <row r="6992" customFormat="false" ht="15" hidden="false" customHeight="false" outlineLevel="0" collapsed="false">
      <c r="A6992" s="0" t="n">
        <v>6991</v>
      </c>
      <c r="B6992" s="14" t="n">
        <v>101135.730737965</v>
      </c>
      <c r="C6992" s="15" t="n">
        <v>0.115569192662295</v>
      </c>
      <c r="D6992" s="14" t="n">
        <f aca="false">Summary!$B$5-B6992</f>
        <v>-1135.7307379649</v>
      </c>
      <c r="E6992" s="15" t="n">
        <f aca="false">B6992/Summary!$B$5-1</f>
        <v>0.0113573073796489</v>
      </c>
    </row>
    <row r="6993" customFormat="false" ht="15" hidden="false" customHeight="false" outlineLevel="0" collapsed="false">
      <c r="A6993" s="0" t="n">
        <v>6992</v>
      </c>
      <c r="B6993" s="14" t="n">
        <v>93216.8879820303</v>
      </c>
      <c r="C6993" s="15" t="n">
        <v>0.178029149012871</v>
      </c>
      <c r="D6993" s="14" t="n">
        <f aca="false">Summary!$B$5-B6993</f>
        <v>6783.11201796972</v>
      </c>
      <c r="E6993" s="15" t="n">
        <f aca="false">B6993/Summary!$B$5-1</f>
        <v>-0.0678311201796972</v>
      </c>
    </row>
    <row r="6994" customFormat="false" ht="15" hidden="false" customHeight="false" outlineLevel="0" collapsed="false">
      <c r="A6994" s="0" t="n">
        <v>6993</v>
      </c>
      <c r="B6994" s="14" t="n">
        <v>103262.302939045</v>
      </c>
      <c r="C6994" s="15" t="n">
        <v>0.100985545574984</v>
      </c>
      <c r="D6994" s="14" t="n">
        <f aca="false">Summary!$B$5-B6994</f>
        <v>-3262.3029390445</v>
      </c>
      <c r="E6994" s="15" t="n">
        <f aca="false">B6994/Summary!$B$5-1</f>
        <v>0.032623029390445</v>
      </c>
    </row>
    <row r="6995" customFormat="false" ht="15" hidden="false" customHeight="false" outlineLevel="0" collapsed="false">
      <c r="A6995" s="0" t="n">
        <v>6994</v>
      </c>
      <c r="B6995" s="14" t="n">
        <v>102200.268128342</v>
      </c>
      <c r="C6995" s="15" t="n">
        <v>0.0638772228282093</v>
      </c>
      <c r="D6995" s="14" t="n">
        <f aca="false">Summary!$B$5-B6995</f>
        <v>-2200.26812834181</v>
      </c>
      <c r="E6995" s="15" t="n">
        <f aca="false">B6995/Summary!$B$5-1</f>
        <v>0.022002681283418</v>
      </c>
    </row>
    <row r="6996" customFormat="false" ht="15" hidden="false" customHeight="false" outlineLevel="0" collapsed="false">
      <c r="A6996" s="0" t="n">
        <v>6995</v>
      </c>
      <c r="B6996" s="14" t="n">
        <v>93631.5071839604</v>
      </c>
      <c r="C6996" s="15" t="n">
        <v>0.120813646408834</v>
      </c>
      <c r="D6996" s="14" t="n">
        <f aca="false">Summary!$B$5-B6996</f>
        <v>6368.49281603965</v>
      </c>
      <c r="E6996" s="15" t="n">
        <f aca="false">B6996/Summary!$B$5-1</f>
        <v>-0.0636849281603965</v>
      </c>
    </row>
    <row r="6997" customFormat="false" ht="15" hidden="false" customHeight="false" outlineLevel="0" collapsed="false">
      <c r="A6997" s="0" t="n">
        <v>6996</v>
      </c>
      <c r="B6997" s="14" t="n">
        <v>103312.061798424</v>
      </c>
      <c r="C6997" s="15" t="n">
        <v>0.0875422458438246</v>
      </c>
      <c r="D6997" s="14" t="n">
        <f aca="false">Summary!$B$5-B6997</f>
        <v>-3312.0617984237</v>
      </c>
      <c r="E6997" s="15" t="n">
        <f aca="false">B6997/Summary!$B$5-1</f>
        <v>0.0331206179842369</v>
      </c>
    </row>
    <row r="6998" customFormat="false" ht="15" hidden="false" customHeight="false" outlineLevel="0" collapsed="false">
      <c r="A6998" s="0" t="n">
        <v>6997</v>
      </c>
      <c r="B6998" s="14" t="n">
        <v>117209.506586129</v>
      </c>
      <c r="C6998" s="15" t="n">
        <v>0.108155884002292</v>
      </c>
      <c r="D6998" s="14" t="n">
        <f aca="false">Summary!$B$5-B6998</f>
        <v>-17209.5065861293</v>
      </c>
      <c r="E6998" s="15" t="n">
        <f aca="false">B6998/Summary!$B$5-1</f>
        <v>0.172095065861293</v>
      </c>
    </row>
    <row r="6999" customFormat="false" ht="15" hidden="false" customHeight="false" outlineLevel="0" collapsed="false">
      <c r="A6999" s="0" t="n">
        <v>6998</v>
      </c>
      <c r="B6999" s="14" t="n">
        <v>142470.295051238</v>
      </c>
      <c r="C6999" s="15" t="n">
        <v>0.061518845362439</v>
      </c>
      <c r="D6999" s="14" t="n">
        <f aca="false">Summary!$B$5-B6999</f>
        <v>-42470.295051238</v>
      </c>
      <c r="E6999" s="15" t="n">
        <f aca="false">B6999/Summary!$B$5-1</f>
        <v>0.42470295051238</v>
      </c>
    </row>
    <row r="7000" customFormat="false" ht="15" hidden="false" customHeight="false" outlineLevel="0" collapsed="false">
      <c r="A7000" s="0" t="n">
        <v>6999</v>
      </c>
      <c r="B7000" s="14" t="n">
        <v>103731.762196588</v>
      </c>
      <c r="C7000" s="15" t="n">
        <v>0.0768391228492875</v>
      </c>
      <c r="D7000" s="14" t="n">
        <f aca="false">Summary!$B$5-B7000</f>
        <v>-3731.76219658781</v>
      </c>
      <c r="E7000" s="15" t="n">
        <f aca="false">B7000/Summary!$B$5-1</f>
        <v>0.037317621965878</v>
      </c>
    </row>
    <row r="7001" customFormat="false" ht="15" hidden="false" customHeight="false" outlineLevel="0" collapsed="false">
      <c r="A7001" s="0" t="n">
        <v>7000</v>
      </c>
      <c r="B7001" s="14" t="n">
        <v>112807.572413459</v>
      </c>
      <c r="C7001" s="15" t="n">
        <v>0.0551457886573616</v>
      </c>
      <c r="D7001" s="14" t="n">
        <f aca="false">Summary!$B$5-B7001</f>
        <v>-12807.5724134585</v>
      </c>
      <c r="E7001" s="15" t="n">
        <f aca="false">B7001/Summary!$B$5-1</f>
        <v>0.128075724134585</v>
      </c>
    </row>
    <row r="7002" customFormat="false" ht="15" hidden="false" customHeight="false" outlineLevel="0" collapsed="false">
      <c r="A7002" s="0" t="n">
        <v>7001</v>
      </c>
      <c r="B7002" s="14" t="n">
        <v>116671.053784454</v>
      </c>
      <c r="C7002" s="15" t="n">
        <v>0.0876180896545359</v>
      </c>
      <c r="D7002" s="14" t="n">
        <f aca="false">Summary!$B$5-B7002</f>
        <v>-16671.0537844541</v>
      </c>
      <c r="E7002" s="15" t="n">
        <f aca="false">B7002/Summary!$B$5-1</f>
        <v>0.166710537844541</v>
      </c>
    </row>
    <row r="7003" customFormat="false" ht="15" hidden="false" customHeight="false" outlineLevel="0" collapsed="false">
      <c r="A7003" s="0" t="n">
        <v>7002</v>
      </c>
      <c r="B7003" s="14" t="n">
        <v>91688.4592711864</v>
      </c>
      <c r="C7003" s="15" t="n">
        <v>0.139414575726213</v>
      </c>
      <c r="D7003" s="14" t="n">
        <f aca="false">Summary!$B$5-B7003</f>
        <v>8311.54072881365</v>
      </c>
      <c r="E7003" s="15" t="n">
        <f aca="false">B7003/Summary!$B$5-1</f>
        <v>-0.0831154072881365</v>
      </c>
    </row>
    <row r="7004" customFormat="false" ht="15" hidden="false" customHeight="false" outlineLevel="0" collapsed="false">
      <c r="A7004" s="0" t="n">
        <v>7003</v>
      </c>
      <c r="B7004" s="14" t="n">
        <v>84324.1068679162</v>
      </c>
      <c r="C7004" s="15" t="n">
        <v>0.209687984237313</v>
      </c>
      <c r="D7004" s="14" t="n">
        <f aca="false">Summary!$B$5-B7004</f>
        <v>15675.8931320838</v>
      </c>
      <c r="E7004" s="15" t="n">
        <f aca="false">B7004/Summary!$B$5-1</f>
        <v>-0.156758931320838</v>
      </c>
    </row>
    <row r="7005" customFormat="false" ht="15" hidden="false" customHeight="false" outlineLevel="0" collapsed="false">
      <c r="A7005" s="0" t="n">
        <v>7004</v>
      </c>
      <c r="B7005" s="14" t="n">
        <v>112661.533151162</v>
      </c>
      <c r="C7005" s="15" t="n">
        <v>0.10999272100292</v>
      </c>
      <c r="D7005" s="14" t="n">
        <f aca="false">Summary!$B$5-B7005</f>
        <v>-12661.5331511615</v>
      </c>
      <c r="E7005" s="15" t="n">
        <f aca="false">B7005/Summary!$B$5-1</f>
        <v>0.126615331511615</v>
      </c>
    </row>
    <row r="7006" customFormat="false" ht="15" hidden="false" customHeight="false" outlineLevel="0" collapsed="false">
      <c r="A7006" s="0" t="n">
        <v>7005</v>
      </c>
      <c r="B7006" s="14" t="n">
        <v>112860.726754694</v>
      </c>
      <c r="C7006" s="15" t="n">
        <v>0.0642219493422754</v>
      </c>
      <c r="D7006" s="14" t="n">
        <f aca="false">Summary!$B$5-B7006</f>
        <v>-12860.7267546936</v>
      </c>
      <c r="E7006" s="15" t="n">
        <f aca="false">B7006/Summary!$B$5-1</f>
        <v>0.128607267546936</v>
      </c>
    </row>
    <row r="7007" customFormat="false" ht="15" hidden="false" customHeight="false" outlineLevel="0" collapsed="false">
      <c r="A7007" s="0" t="n">
        <v>7006</v>
      </c>
      <c r="B7007" s="14" t="n">
        <v>130359.70240965</v>
      </c>
      <c r="C7007" s="15" t="n">
        <v>0.0755587063446493</v>
      </c>
      <c r="D7007" s="14" t="n">
        <f aca="false">Summary!$B$5-B7007</f>
        <v>-30359.7024096502</v>
      </c>
      <c r="E7007" s="15" t="n">
        <f aca="false">B7007/Summary!$B$5-1</f>
        <v>0.303597024096502</v>
      </c>
    </row>
    <row r="7008" customFormat="false" ht="15" hidden="false" customHeight="false" outlineLevel="0" collapsed="false">
      <c r="A7008" s="0" t="n">
        <v>7007</v>
      </c>
      <c r="B7008" s="14" t="n">
        <v>114080.446679354</v>
      </c>
      <c r="C7008" s="15" t="n">
        <v>0.0617186078500959</v>
      </c>
      <c r="D7008" s="14" t="n">
        <f aca="false">Summary!$B$5-B7008</f>
        <v>-14080.4466793541</v>
      </c>
      <c r="E7008" s="15" t="n">
        <f aca="false">B7008/Summary!$B$5-1</f>
        <v>0.140804466793541</v>
      </c>
    </row>
    <row r="7009" customFormat="false" ht="15" hidden="false" customHeight="false" outlineLevel="0" collapsed="false">
      <c r="A7009" s="0" t="n">
        <v>7008</v>
      </c>
      <c r="B7009" s="14" t="n">
        <v>107777.869068775</v>
      </c>
      <c r="C7009" s="15" t="n">
        <v>0.0895973620264273</v>
      </c>
      <c r="D7009" s="14" t="n">
        <f aca="false">Summary!$B$5-B7009</f>
        <v>-7777.8690687749</v>
      </c>
      <c r="E7009" s="15" t="n">
        <f aca="false">B7009/Summary!$B$5-1</f>
        <v>0.0777786906877491</v>
      </c>
    </row>
    <row r="7010" customFormat="false" ht="15" hidden="false" customHeight="false" outlineLevel="0" collapsed="false">
      <c r="A7010" s="0" t="n">
        <v>7009</v>
      </c>
      <c r="B7010" s="14" t="n">
        <v>100613.71896891</v>
      </c>
      <c r="C7010" s="15" t="n">
        <v>0.0609355850729894</v>
      </c>
      <c r="D7010" s="14" t="n">
        <f aca="false">Summary!$B$5-B7010</f>
        <v>-613.718968910398</v>
      </c>
      <c r="E7010" s="15" t="n">
        <f aca="false">B7010/Summary!$B$5-1</f>
        <v>0.00613718968910404</v>
      </c>
    </row>
    <row r="7011" customFormat="false" ht="15" hidden="false" customHeight="false" outlineLevel="0" collapsed="false">
      <c r="A7011" s="0" t="n">
        <v>7010</v>
      </c>
      <c r="B7011" s="14" t="n">
        <v>120301.835286241</v>
      </c>
      <c r="C7011" s="15" t="n">
        <v>0.057560866557773</v>
      </c>
      <c r="D7011" s="14" t="n">
        <f aca="false">Summary!$B$5-B7011</f>
        <v>-20301.8352862407</v>
      </c>
      <c r="E7011" s="15" t="n">
        <f aca="false">B7011/Summary!$B$5-1</f>
        <v>0.203018352862407</v>
      </c>
    </row>
    <row r="7012" customFormat="false" ht="15" hidden="false" customHeight="false" outlineLevel="0" collapsed="false">
      <c r="A7012" s="0" t="n">
        <v>7011</v>
      </c>
      <c r="B7012" s="14" t="n">
        <v>127554.596777838</v>
      </c>
      <c r="C7012" s="15" t="n">
        <v>0.0665046611304961</v>
      </c>
      <c r="D7012" s="14" t="n">
        <f aca="false">Summary!$B$5-B7012</f>
        <v>-27554.5967778378</v>
      </c>
      <c r="E7012" s="15" t="n">
        <f aca="false">B7012/Summary!$B$5-1</f>
        <v>0.275545967778378</v>
      </c>
    </row>
    <row r="7013" customFormat="false" ht="15" hidden="false" customHeight="false" outlineLevel="0" collapsed="false">
      <c r="A7013" s="0" t="n">
        <v>7012</v>
      </c>
      <c r="B7013" s="14" t="n">
        <v>111439.05682434</v>
      </c>
      <c r="C7013" s="15" t="n">
        <v>0.0903331726768403</v>
      </c>
      <c r="D7013" s="14" t="n">
        <f aca="false">Summary!$B$5-B7013</f>
        <v>-11439.05682434</v>
      </c>
      <c r="E7013" s="15" t="n">
        <f aca="false">B7013/Summary!$B$5-1</f>
        <v>0.1143905682434</v>
      </c>
    </row>
    <row r="7014" customFormat="false" ht="15" hidden="false" customHeight="false" outlineLevel="0" collapsed="false">
      <c r="A7014" s="0" t="n">
        <v>7013</v>
      </c>
      <c r="B7014" s="14" t="n">
        <v>91059.0499162948</v>
      </c>
      <c r="C7014" s="15" t="n">
        <v>0.129719683203563</v>
      </c>
      <c r="D7014" s="14" t="n">
        <f aca="false">Summary!$B$5-B7014</f>
        <v>8940.95008370522</v>
      </c>
      <c r="E7014" s="15" t="n">
        <f aca="false">B7014/Summary!$B$5-1</f>
        <v>-0.0894095008370522</v>
      </c>
    </row>
    <row r="7015" customFormat="false" ht="15" hidden="false" customHeight="false" outlineLevel="0" collapsed="false">
      <c r="A7015" s="0" t="n">
        <v>7014</v>
      </c>
      <c r="B7015" s="14" t="n">
        <v>81997.9005715031</v>
      </c>
      <c r="C7015" s="15" t="n">
        <v>0.21393587500503</v>
      </c>
      <c r="D7015" s="14" t="n">
        <f aca="false">Summary!$B$5-B7015</f>
        <v>18002.0994284969</v>
      </c>
      <c r="E7015" s="15" t="n">
        <f aca="false">B7015/Summary!$B$5-1</f>
        <v>-0.180020994284969</v>
      </c>
    </row>
    <row r="7016" customFormat="false" ht="15" hidden="false" customHeight="false" outlineLevel="0" collapsed="false">
      <c r="A7016" s="0" t="n">
        <v>7015</v>
      </c>
      <c r="B7016" s="14" t="n">
        <v>92005.0661397658</v>
      </c>
      <c r="C7016" s="15" t="n">
        <v>0.104368477205868</v>
      </c>
      <c r="D7016" s="14" t="n">
        <f aca="false">Summary!$B$5-B7016</f>
        <v>7994.93386023425</v>
      </c>
      <c r="E7016" s="15" t="n">
        <f aca="false">B7016/Summary!$B$5-1</f>
        <v>-0.0799493386023424</v>
      </c>
    </row>
    <row r="7017" customFormat="false" ht="15" hidden="false" customHeight="false" outlineLevel="0" collapsed="false">
      <c r="A7017" s="0" t="n">
        <v>7016</v>
      </c>
      <c r="B7017" s="14" t="n">
        <v>109101.334619509</v>
      </c>
      <c r="C7017" s="15" t="n">
        <v>0.0588787246053941</v>
      </c>
      <c r="D7017" s="14" t="n">
        <f aca="false">Summary!$B$5-B7017</f>
        <v>-9101.3346195089</v>
      </c>
      <c r="E7017" s="15" t="n">
        <f aca="false">B7017/Summary!$B$5-1</f>
        <v>0.0910133461950891</v>
      </c>
    </row>
    <row r="7018" customFormat="false" ht="15" hidden="false" customHeight="false" outlineLevel="0" collapsed="false">
      <c r="A7018" s="0" t="n">
        <v>7017</v>
      </c>
      <c r="B7018" s="14" t="n">
        <v>113829.562716621</v>
      </c>
      <c r="C7018" s="15" t="n">
        <v>0.0413690310386419</v>
      </c>
      <c r="D7018" s="14" t="n">
        <f aca="false">Summary!$B$5-B7018</f>
        <v>-13829.5627166208</v>
      </c>
      <c r="E7018" s="15" t="n">
        <f aca="false">B7018/Summary!$B$5-1</f>
        <v>0.138295627166208</v>
      </c>
    </row>
    <row r="7019" customFormat="false" ht="15" hidden="false" customHeight="false" outlineLevel="0" collapsed="false">
      <c r="A7019" s="0" t="n">
        <v>7018</v>
      </c>
      <c r="B7019" s="14" t="n">
        <v>128341.479130877</v>
      </c>
      <c r="C7019" s="15" t="n">
        <v>0.0501104154607585</v>
      </c>
      <c r="D7019" s="14" t="n">
        <f aca="false">Summary!$B$5-B7019</f>
        <v>-28341.4791308767</v>
      </c>
      <c r="E7019" s="15" t="n">
        <f aca="false">B7019/Summary!$B$5-1</f>
        <v>0.283414791308767</v>
      </c>
    </row>
    <row r="7020" customFormat="false" ht="15" hidden="false" customHeight="false" outlineLevel="0" collapsed="false">
      <c r="A7020" s="0" t="n">
        <v>7019</v>
      </c>
      <c r="B7020" s="14" t="n">
        <v>110231.638275754</v>
      </c>
      <c r="C7020" s="15" t="n">
        <v>0.0599720297660901</v>
      </c>
      <c r="D7020" s="14" t="n">
        <f aca="false">Summary!$B$5-B7020</f>
        <v>-10231.6382757535</v>
      </c>
      <c r="E7020" s="15" t="n">
        <f aca="false">B7020/Summary!$B$5-1</f>
        <v>0.102316382757535</v>
      </c>
    </row>
    <row r="7021" customFormat="false" ht="15" hidden="false" customHeight="false" outlineLevel="0" collapsed="false">
      <c r="A7021" s="0" t="n">
        <v>7020</v>
      </c>
      <c r="B7021" s="14" t="n">
        <v>115387.291154914</v>
      </c>
      <c r="C7021" s="15" t="n">
        <v>0.0730935831933903</v>
      </c>
      <c r="D7021" s="14" t="n">
        <f aca="false">Summary!$B$5-B7021</f>
        <v>-15387.291154914</v>
      </c>
      <c r="E7021" s="15" t="n">
        <f aca="false">B7021/Summary!$B$5-1</f>
        <v>0.15387291154914</v>
      </c>
    </row>
    <row r="7022" customFormat="false" ht="15" hidden="false" customHeight="false" outlineLevel="0" collapsed="false">
      <c r="A7022" s="0" t="n">
        <v>7021</v>
      </c>
      <c r="B7022" s="14" t="n">
        <v>103181.611620207</v>
      </c>
      <c r="C7022" s="15" t="n">
        <v>0.107290041199261</v>
      </c>
      <c r="D7022" s="14" t="n">
        <f aca="false">Summary!$B$5-B7022</f>
        <v>-3181.6116202069</v>
      </c>
      <c r="E7022" s="15" t="n">
        <f aca="false">B7022/Summary!$B$5-1</f>
        <v>0.0318161162020689</v>
      </c>
    </row>
    <row r="7023" customFormat="false" ht="15" hidden="false" customHeight="false" outlineLevel="0" collapsed="false">
      <c r="A7023" s="0" t="n">
        <v>7022</v>
      </c>
      <c r="B7023" s="14" t="n">
        <v>107959.08828397</v>
      </c>
      <c r="C7023" s="15" t="n">
        <v>0.110814964584362</v>
      </c>
      <c r="D7023" s="14" t="n">
        <f aca="false">Summary!$B$5-B7023</f>
        <v>-7959.0882839703</v>
      </c>
      <c r="E7023" s="15" t="n">
        <f aca="false">B7023/Summary!$B$5-1</f>
        <v>0.079590882839703</v>
      </c>
    </row>
    <row r="7024" customFormat="false" ht="15" hidden="false" customHeight="false" outlineLevel="0" collapsed="false">
      <c r="A7024" s="0" t="n">
        <v>7023</v>
      </c>
      <c r="B7024" s="14" t="n">
        <v>127971.031774408</v>
      </c>
      <c r="C7024" s="15" t="n">
        <v>0.101980145601201</v>
      </c>
      <c r="D7024" s="14" t="n">
        <f aca="false">Summary!$B$5-B7024</f>
        <v>-27971.0317744077</v>
      </c>
      <c r="E7024" s="15" t="n">
        <f aca="false">B7024/Summary!$B$5-1</f>
        <v>0.279710317744077</v>
      </c>
    </row>
    <row r="7025" customFormat="false" ht="15" hidden="false" customHeight="false" outlineLevel="0" collapsed="false">
      <c r="A7025" s="0" t="n">
        <v>7024</v>
      </c>
      <c r="B7025" s="14" t="n">
        <v>97772.3972151741</v>
      </c>
      <c r="C7025" s="15" t="n">
        <v>0.105771375689861</v>
      </c>
      <c r="D7025" s="14" t="n">
        <f aca="false">Summary!$B$5-B7025</f>
        <v>2227.60278482593</v>
      </c>
      <c r="E7025" s="15" t="n">
        <f aca="false">B7025/Summary!$B$5-1</f>
        <v>-0.0222760278482592</v>
      </c>
    </row>
    <row r="7026" customFormat="false" ht="15" hidden="false" customHeight="false" outlineLevel="0" collapsed="false">
      <c r="A7026" s="0" t="n">
        <v>7025</v>
      </c>
      <c r="B7026" s="14" t="n">
        <v>105109.193793427</v>
      </c>
      <c r="C7026" s="15" t="n">
        <v>0.0786313343679899</v>
      </c>
      <c r="D7026" s="14" t="n">
        <f aca="false">Summary!$B$5-B7026</f>
        <v>-5109.1937934273</v>
      </c>
      <c r="E7026" s="15" t="n">
        <f aca="false">B7026/Summary!$B$5-1</f>
        <v>0.0510919379342729</v>
      </c>
    </row>
    <row r="7027" customFormat="false" ht="15" hidden="false" customHeight="false" outlineLevel="0" collapsed="false">
      <c r="A7027" s="0" t="n">
        <v>7026</v>
      </c>
      <c r="B7027" s="14" t="n">
        <v>95758.4361842498</v>
      </c>
      <c r="C7027" s="15" t="n">
        <v>0.115251605826102</v>
      </c>
      <c r="D7027" s="14" t="n">
        <f aca="false">Summary!$B$5-B7027</f>
        <v>4241.56381575025</v>
      </c>
      <c r="E7027" s="15" t="n">
        <f aca="false">B7027/Summary!$B$5-1</f>
        <v>-0.0424156381575026</v>
      </c>
    </row>
    <row r="7028" customFormat="false" ht="15" hidden="false" customHeight="false" outlineLevel="0" collapsed="false">
      <c r="A7028" s="0" t="n">
        <v>7027</v>
      </c>
      <c r="B7028" s="14" t="n">
        <v>127537.232693711</v>
      </c>
      <c r="C7028" s="15" t="n">
        <v>0.0710059940197692</v>
      </c>
      <c r="D7028" s="14" t="n">
        <f aca="false">Summary!$B$5-B7028</f>
        <v>-27537.2326937113</v>
      </c>
      <c r="E7028" s="15" t="n">
        <f aca="false">B7028/Summary!$B$5-1</f>
        <v>0.275372326937113</v>
      </c>
    </row>
    <row r="7029" customFormat="false" ht="15" hidden="false" customHeight="false" outlineLevel="0" collapsed="false">
      <c r="A7029" s="0" t="n">
        <v>7028</v>
      </c>
      <c r="B7029" s="14" t="n">
        <v>94502.0244936084</v>
      </c>
      <c r="C7029" s="15" t="n">
        <v>0.115650180428697</v>
      </c>
      <c r="D7029" s="14" t="n">
        <f aca="false">Summary!$B$5-B7029</f>
        <v>5497.97550639164</v>
      </c>
      <c r="E7029" s="15" t="n">
        <f aca="false">B7029/Summary!$B$5-1</f>
        <v>-0.0549797550639164</v>
      </c>
    </row>
    <row r="7030" customFormat="false" ht="15" hidden="false" customHeight="false" outlineLevel="0" collapsed="false">
      <c r="A7030" s="0" t="n">
        <v>7029</v>
      </c>
      <c r="B7030" s="14" t="n">
        <v>88418.5322916234</v>
      </c>
      <c r="C7030" s="15" t="n">
        <v>0.179761351361218</v>
      </c>
      <c r="D7030" s="14" t="n">
        <f aca="false">Summary!$B$5-B7030</f>
        <v>11581.4677083766</v>
      </c>
      <c r="E7030" s="15" t="n">
        <f aca="false">B7030/Summary!$B$5-1</f>
        <v>-0.115814677083766</v>
      </c>
    </row>
    <row r="7031" customFormat="false" ht="15" hidden="false" customHeight="false" outlineLevel="0" collapsed="false">
      <c r="A7031" s="0" t="n">
        <v>7030</v>
      </c>
      <c r="B7031" s="14" t="n">
        <v>101704.174166299</v>
      </c>
      <c r="C7031" s="15" t="n">
        <v>0.0850305458027624</v>
      </c>
      <c r="D7031" s="14" t="n">
        <f aca="false">Summary!$B$5-B7031</f>
        <v>-1704.1741662986</v>
      </c>
      <c r="E7031" s="15" t="n">
        <f aca="false">B7031/Summary!$B$5-1</f>
        <v>0.017041741662986</v>
      </c>
    </row>
    <row r="7032" customFormat="false" ht="15" hidden="false" customHeight="false" outlineLevel="0" collapsed="false">
      <c r="A7032" s="0" t="n">
        <v>7031</v>
      </c>
      <c r="B7032" s="14" t="n">
        <v>105944.945454778</v>
      </c>
      <c r="C7032" s="15" t="n">
        <v>0.103466940104528</v>
      </c>
      <c r="D7032" s="14" t="n">
        <f aca="false">Summary!$B$5-B7032</f>
        <v>-5944.9454547776</v>
      </c>
      <c r="E7032" s="15" t="n">
        <f aca="false">B7032/Summary!$B$5-1</f>
        <v>0.059449454547776</v>
      </c>
    </row>
    <row r="7033" customFormat="false" ht="15" hidden="false" customHeight="false" outlineLevel="0" collapsed="false">
      <c r="A7033" s="0" t="n">
        <v>7032</v>
      </c>
      <c r="B7033" s="14" t="n">
        <v>104379.18439714</v>
      </c>
      <c r="C7033" s="15" t="n">
        <v>0.161980438365961</v>
      </c>
      <c r="D7033" s="14" t="n">
        <f aca="false">Summary!$B$5-B7033</f>
        <v>-4379.1843971396</v>
      </c>
      <c r="E7033" s="15" t="n">
        <f aca="false">B7033/Summary!$B$5-1</f>
        <v>0.043791843971396</v>
      </c>
    </row>
    <row r="7034" customFormat="false" ht="15" hidden="false" customHeight="false" outlineLevel="0" collapsed="false">
      <c r="A7034" s="0" t="n">
        <v>7033</v>
      </c>
      <c r="B7034" s="14" t="n">
        <v>107150.373170942</v>
      </c>
      <c r="C7034" s="15" t="n">
        <v>0.0922934035137188</v>
      </c>
      <c r="D7034" s="14" t="n">
        <f aca="false">Summary!$B$5-B7034</f>
        <v>-7150.3731709422</v>
      </c>
      <c r="E7034" s="15" t="n">
        <f aca="false">B7034/Summary!$B$5-1</f>
        <v>0.071503731709422</v>
      </c>
    </row>
    <row r="7035" customFormat="false" ht="15" hidden="false" customHeight="false" outlineLevel="0" collapsed="false">
      <c r="A7035" s="0" t="n">
        <v>7034</v>
      </c>
      <c r="B7035" s="14" t="n">
        <v>116132.739787549</v>
      </c>
      <c r="C7035" s="15" t="n">
        <v>0.104280325762858</v>
      </c>
      <c r="D7035" s="14" t="n">
        <f aca="false">Summary!$B$5-B7035</f>
        <v>-16132.7397875492</v>
      </c>
      <c r="E7035" s="15" t="n">
        <f aca="false">B7035/Summary!$B$5-1</f>
        <v>0.161327397875492</v>
      </c>
    </row>
    <row r="7036" customFormat="false" ht="15" hidden="false" customHeight="false" outlineLevel="0" collapsed="false">
      <c r="A7036" s="0" t="n">
        <v>7035</v>
      </c>
      <c r="B7036" s="14" t="n">
        <v>98170.8943896696</v>
      </c>
      <c r="C7036" s="15" t="n">
        <v>0.121981495167084</v>
      </c>
      <c r="D7036" s="14" t="n">
        <f aca="false">Summary!$B$5-B7036</f>
        <v>1829.10561033037</v>
      </c>
      <c r="E7036" s="15" t="n">
        <f aca="false">B7036/Summary!$B$5-1</f>
        <v>-0.0182910561033037</v>
      </c>
    </row>
    <row r="7037" customFormat="false" ht="15" hidden="false" customHeight="false" outlineLevel="0" collapsed="false">
      <c r="A7037" s="0" t="n">
        <v>7036</v>
      </c>
      <c r="B7037" s="14" t="n">
        <v>120512.281474174</v>
      </c>
      <c r="C7037" s="15" t="n">
        <v>0.056296130753455</v>
      </c>
      <c r="D7037" s="14" t="n">
        <f aca="false">Summary!$B$5-B7037</f>
        <v>-20512.281474174</v>
      </c>
      <c r="E7037" s="15" t="n">
        <f aca="false">B7037/Summary!$B$5-1</f>
        <v>0.20512281474174</v>
      </c>
    </row>
    <row r="7038" customFormat="false" ht="15" hidden="false" customHeight="false" outlineLevel="0" collapsed="false">
      <c r="A7038" s="0" t="n">
        <v>7037</v>
      </c>
      <c r="B7038" s="14" t="n">
        <v>118898.731121064</v>
      </c>
      <c r="C7038" s="15" t="n">
        <v>0.0643795229426175</v>
      </c>
      <c r="D7038" s="14" t="n">
        <f aca="false">Summary!$B$5-B7038</f>
        <v>-18898.7311210638</v>
      </c>
      <c r="E7038" s="15" t="n">
        <f aca="false">B7038/Summary!$B$5-1</f>
        <v>0.188987311210638</v>
      </c>
    </row>
    <row r="7039" customFormat="false" ht="15" hidden="false" customHeight="false" outlineLevel="0" collapsed="false">
      <c r="A7039" s="0" t="n">
        <v>7038</v>
      </c>
      <c r="B7039" s="14" t="n">
        <v>87395.6538521974</v>
      </c>
      <c r="C7039" s="15" t="n">
        <v>0.146137421787336</v>
      </c>
      <c r="D7039" s="14" t="n">
        <f aca="false">Summary!$B$5-B7039</f>
        <v>12604.3461478026</v>
      </c>
      <c r="E7039" s="15" t="n">
        <f aca="false">B7039/Summary!$B$5-1</f>
        <v>-0.126043461478026</v>
      </c>
    </row>
    <row r="7040" customFormat="false" ht="15" hidden="false" customHeight="false" outlineLevel="0" collapsed="false">
      <c r="A7040" s="0" t="n">
        <v>7039</v>
      </c>
      <c r="B7040" s="14" t="n">
        <v>92273.4139080848</v>
      </c>
      <c r="C7040" s="15" t="n">
        <v>0.150557008873349</v>
      </c>
      <c r="D7040" s="14" t="n">
        <f aca="false">Summary!$B$5-B7040</f>
        <v>7726.58609191519</v>
      </c>
      <c r="E7040" s="15" t="n">
        <f aca="false">B7040/Summary!$B$5-1</f>
        <v>-0.0772658609191519</v>
      </c>
    </row>
    <row r="7041" customFormat="false" ht="15" hidden="false" customHeight="false" outlineLevel="0" collapsed="false">
      <c r="A7041" s="0" t="n">
        <v>7040</v>
      </c>
      <c r="B7041" s="14" t="n">
        <v>120508.000410343</v>
      </c>
      <c r="C7041" s="15" t="n">
        <v>0.0587030101080568</v>
      </c>
      <c r="D7041" s="14" t="n">
        <f aca="false">Summary!$B$5-B7041</f>
        <v>-20508.0004103426</v>
      </c>
      <c r="E7041" s="15" t="n">
        <f aca="false">B7041/Summary!$B$5-1</f>
        <v>0.205080004103426</v>
      </c>
    </row>
    <row r="7042" customFormat="false" ht="15" hidden="false" customHeight="false" outlineLevel="0" collapsed="false">
      <c r="A7042" s="0" t="n">
        <v>7041</v>
      </c>
      <c r="B7042" s="14" t="n">
        <v>123051.052053058</v>
      </c>
      <c r="C7042" s="15" t="n">
        <v>0.0568355637418065</v>
      </c>
      <c r="D7042" s="14" t="n">
        <f aca="false">Summary!$B$5-B7042</f>
        <v>-23051.0520530579</v>
      </c>
      <c r="E7042" s="15" t="n">
        <f aca="false">B7042/Summary!$B$5-1</f>
        <v>0.230510520530579</v>
      </c>
    </row>
    <row r="7043" customFormat="false" ht="15" hidden="false" customHeight="false" outlineLevel="0" collapsed="false">
      <c r="A7043" s="0" t="n">
        <v>7042</v>
      </c>
      <c r="B7043" s="14" t="n">
        <v>126588.231507044</v>
      </c>
      <c r="C7043" s="15" t="n">
        <v>0.0571628892317605</v>
      </c>
      <c r="D7043" s="14" t="n">
        <f aca="false">Summary!$B$5-B7043</f>
        <v>-26588.2315070437</v>
      </c>
      <c r="E7043" s="15" t="n">
        <f aca="false">B7043/Summary!$B$5-1</f>
        <v>0.265882315070437</v>
      </c>
    </row>
    <row r="7044" customFormat="false" ht="15" hidden="false" customHeight="false" outlineLevel="0" collapsed="false">
      <c r="A7044" s="0" t="n">
        <v>7043</v>
      </c>
      <c r="B7044" s="14" t="n">
        <v>86372.8031086575</v>
      </c>
      <c r="C7044" s="15" t="n">
        <v>0.147923925983072</v>
      </c>
      <c r="D7044" s="14" t="n">
        <f aca="false">Summary!$B$5-B7044</f>
        <v>13627.1968913425</v>
      </c>
      <c r="E7044" s="15" t="n">
        <f aca="false">B7044/Summary!$B$5-1</f>
        <v>-0.136271968913425</v>
      </c>
    </row>
    <row r="7045" customFormat="false" ht="15" hidden="false" customHeight="false" outlineLevel="0" collapsed="false">
      <c r="A7045" s="0" t="n">
        <v>7044</v>
      </c>
      <c r="B7045" s="14" t="n">
        <v>93149.0828335012</v>
      </c>
      <c r="C7045" s="15" t="n">
        <v>0.154774771213037</v>
      </c>
      <c r="D7045" s="14" t="n">
        <f aca="false">Summary!$B$5-B7045</f>
        <v>6850.91716649878</v>
      </c>
      <c r="E7045" s="15" t="n">
        <f aca="false">B7045/Summary!$B$5-1</f>
        <v>-0.0685091716649878</v>
      </c>
    </row>
    <row r="7046" customFormat="false" ht="15" hidden="false" customHeight="false" outlineLevel="0" collapsed="false">
      <c r="A7046" s="0" t="n">
        <v>7045</v>
      </c>
      <c r="B7046" s="14" t="n">
        <v>130083.189907199</v>
      </c>
      <c r="C7046" s="15" t="n">
        <v>0.0759660467257336</v>
      </c>
      <c r="D7046" s="14" t="n">
        <f aca="false">Summary!$B$5-B7046</f>
        <v>-30083.1899071993</v>
      </c>
      <c r="E7046" s="15" t="n">
        <f aca="false">B7046/Summary!$B$5-1</f>
        <v>0.300831899071993</v>
      </c>
    </row>
    <row r="7047" customFormat="false" ht="15" hidden="false" customHeight="false" outlineLevel="0" collapsed="false">
      <c r="A7047" s="0" t="n">
        <v>7046</v>
      </c>
      <c r="B7047" s="14" t="n">
        <v>102367.819441088</v>
      </c>
      <c r="C7047" s="15" t="n">
        <v>0.15395379785712</v>
      </c>
      <c r="D7047" s="14" t="n">
        <f aca="false">Summary!$B$5-B7047</f>
        <v>-2367.819441088</v>
      </c>
      <c r="E7047" s="15" t="n">
        <f aca="false">B7047/Summary!$B$5-1</f>
        <v>0.0236781944108799</v>
      </c>
    </row>
    <row r="7048" customFormat="false" ht="15" hidden="false" customHeight="false" outlineLevel="0" collapsed="false">
      <c r="A7048" s="0" t="n">
        <v>7047</v>
      </c>
      <c r="B7048" s="14" t="n">
        <v>115614.624337365</v>
      </c>
      <c r="C7048" s="15" t="n">
        <v>0.050448295067566</v>
      </c>
      <c r="D7048" s="14" t="n">
        <f aca="false">Summary!$B$5-B7048</f>
        <v>-15614.6243373646</v>
      </c>
      <c r="E7048" s="15" t="n">
        <f aca="false">B7048/Summary!$B$5-1</f>
        <v>0.156146243373646</v>
      </c>
    </row>
    <row r="7049" customFormat="false" ht="15" hidden="false" customHeight="false" outlineLevel="0" collapsed="false">
      <c r="A7049" s="0" t="n">
        <v>7048</v>
      </c>
      <c r="B7049" s="14" t="n">
        <v>105513.003085368</v>
      </c>
      <c r="C7049" s="15" t="n">
        <v>0.0934678704449546</v>
      </c>
      <c r="D7049" s="14" t="n">
        <f aca="false">Summary!$B$5-B7049</f>
        <v>-5513.0030853682</v>
      </c>
      <c r="E7049" s="15" t="n">
        <f aca="false">B7049/Summary!$B$5-1</f>
        <v>0.055130030853682</v>
      </c>
    </row>
    <row r="7050" customFormat="false" ht="15" hidden="false" customHeight="false" outlineLevel="0" collapsed="false">
      <c r="A7050" s="0" t="n">
        <v>7049</v>
      </c>
      <c r="B7050" s="14" t="n">
        <v>102826.332841412</v>
      </c>
      <c r="C7050" s="15" t="n">
        <v>0.155854174806881</v>
      </c>
      <c r="D7050" s="14" t="n">
        <f aca="false">Summary!$B$5-B7050</f>
        <v>-2826.33284141219</v>
      </c>
      <c r="E7050" s="15" t="n">
        <f aca="false">B7050/Summary!$B$5-1</f>
        <v>0.0282633284141218</v>
      </c>
    </row>
    <row r="7051" customFormat="false" ht="15" hidden="false" customHeight="false" outlineLevel="0" collapsed="false">
      <c r="A7051" s="0" t="n">
        <v>7050</v>
      </c>
      <c r="B7051" s="14" t="n">
        <v>99136.7807775933</v>
      </c>
      <c r="C7051" s="15" t="n">
        <v>0.0929067409710848</v>
      </c>
      <c r="D7051" s="14" t="n">
        <f aca="false">Summary!$B$5-B7051</f>
        <v>863.219222406711</v>
      </c>
      <c r="E7051" s="15" t="n">
        <f aca="false">B7051/Summary!$B$5-1</f>
        <v>-0.00863219222406708</v>
      </c>
    </row>
    <row r="7052" customFormat="false" ht="15" hidden="false" customHeight="false" outlineLevel="0" collapsed="false">
      <c r="A7052" s="0" t="n">
        <v>7051</v>
      </c>
      <c r="B7052" s="14" t="n">
        <v>83448.2896681483</v>
      </c>
      <c r="C7052" s="15" t="n">
        <v>0.219463799436461</v>
      </c>
      <c r="D7052" s="14" t="n">
        <f aca="false">Summary!$B$5-B7052</f>
        <v>16551.7103318517</v>
      </c>
      <c r="E7052" s="15" t="n">
        <f aca="false">B7052/Summary!$B$5-1</f>
        <v>-0.165517103318517</v>
      </c>
    </row>
    <row r="7053" customFormat="false" ht="15" hidden="false" customHeight="false" outlineLevel="0" collapsed="false">
      <c r="A7053" s="0" t="n">
        <v>7052</v>
      </c>
      <c r="B7053" s="14" t="n">
        <v>133425.509134002</v>
      </c>
      <c r="C7053" s="15" t="n">
        <v>0.115905405109361</v>
      </c>
      <c r="D7053" s="14" t="n">
        <f aca="false">Summary!$B$5-B7053</f>
        <v>-33425.5091340021</v>
      </c>
      <c r="E7053" s="15" t="n">
        <f aca="false">B7053/Summary!$B$5-1</f>
        <v>0.334255091340021</v>
      </c>
    </row>
    <row r="7054" customFormat="false" ht="15" hidden="false" customHeight="false" outlineLevel="0" collapsed="false">
      <c r="A7054" s="0" t="n">
        <v>7053</v>
      </c>
      <c r="B7054" s="14" t="n">
        <v>116699.059463658</v>
      </c>
      <c r="C7054" s="15" t="n">
        <v>0.0569654752614044</v>
      </c>
      <c r="D7054" s="14" t="n">
        <f aca="false">Summary!$B$5-B7054</f>
        <v>-16699.0594636579</v>
      </c>
      <c r="E7054" s="15" t="n">
        <f aca="false">B7054/Summary!$B$5-1</f>
        <v>0.166990594636579</v>
      </c>
    </row>
    <row r="7055" customFormat="false" ht="15" hidden="false" customHeight="false" outlineLevel="0" collapsed="false">
      <c r="A7055" s="0" t="n">
        <v>7054</v>
      </c>
      <c r="B7055" s="14" t="n">
        <v>102418.490493154</v>
      </c>
      <c r="C7055" s="15" t="n">
        <v>0.0938864870133173</v>
      </c>
      <c r="D7055" s="14" t="n">
        <f aca="false">Summary!$B$5-B7055</f>
        <v>-2418.4904931543</v>
      </c>
      <c r="E7055" s="15" t="n">
        <f aca="false">B7055/Summary!$B$5-1</f>
        <v>0.024184904931543</v>
      </c>
    </row>
    <row r="7056" customFormat="false" ht="15" hidden="false" customHeight="false" outlineLevel="0" collapsed="false">
      <c r="A7056" s="0" t="n">
        <v>7055</v>
      </c>
      <c r="B7056" s="14" t="n">
        <v>95426.781208166</v>
      </c>
      <c r="C7056" s="15" t="n">
        <v>0.0858602678389053</v>
      </c>
      <c r="D7056" s="14" t="n">
        <f aca="false">Summary!$B$5-B7056</f>
        <v>4573.21879183396</v>
      </c>
      <c r="E7056" s="15" t="n">
        <f aca="false">B7056/Summary!$B$5-1</f>
        <v>-0.0457321879183397</v>
      </c>
    </row>
    <row r="7057" customFormat="false" ht="15" hidden="false" customHeight="false" outlineLevel="0" collapsed="false">
      <c r="A7057" s="0" t="n">
        <v>7056</v>
      </c>
      <c r="B7057" s="14" t="n">
        <v>110101.958570631</v>
      </c>
      <c r="C7057" s="15" t="n">
        <v>0.0830203845061607</v>
      </c>
      <c r="D7057" s="14" t="n">
        <f aca="false">Summary!$B$5-B7057</f>
        <v>-10101.958570631</v>
      </c>
      <c r="E7057" s="15" t="n">
        <f aca="false">B7057/Summary!$B$5-1</f>
        <v>0.10101958570631</v>
      </c>
    </row>
    <row r="7058" customFormat="false" ht="15" hidden="false" customHeight="false" outlineLevel="0" collapsed="false">
      <c r="A7058" s="0" t="n">
        <v>7057</v>
      </c>
      <c r="B7058" s="14" t="n">
        <v>150846.187743639</v>
      </c>
      <c r="C7058" s="15" t="n">
        <v>0.043015219443904</v>
      </c>
      <c r="D7058" s="14" t="n">
        <f aca="false">Summary!$B$5-B7058</f>
        <v>-50846.1877436394</v>
      </c>
      <c r="E7058" s="15" t="n">
        <f aca="false">B7058/Summary!$B$5-1</f>
        <v>0.508461877436394</v>
      </c>
    </row>
    <row r="7059" customFormat="false" ht="15" hidden="false" customHeight="false" outlineLevel="0" collapsed="false">
      <c r="A7059" s="0" t="n">
        <v>7058</v>
      </c>
      <c r="B7059" s="14" t="n">
        <v>121331.015088138</v>
      </c>
      <c r="C7059" s="15" t="n">
        <v>0.100507091209285</v>
      </c>
      <c r="D7059" s="14" t="n">
        <f aca="false">Summary!$B$5-B7059</f>
        <v>-21331.0150881384</v>
      </c>
      <c r="E7059" s="15" t="n">
        <f aca="false">B7059/Summary!$B$5-1</f>
        <v>0.213310150881384</v>
      </c>
    </row>
    <row r="7060" customFormat="false" ht="15" hidden="false" customHeight="false" outlineLevel="0" collapsed="false">
      <c r="A7060" s="0" t="n">
        <v>7059</v>
      </c>
      <c r="B7060" s="14" t="n">
        <v>103561.882397388</v>
      </c>
      <c r="C7060" s="15" t="n">
        <v>0.103546618005167</v>
      </c>
      <c r="D7060" s="14" t="n">
        <f aca="false">Summary!$B$5-B7060</f>
        <v>-3561.8823973883</v>
      </c>
      <c r="E7060" s="15" t="n">
        <f aca="false">B7060/Summary!$B$5-1</f>
        <v>0.0356188239738831</v>
      </c>
    </row>
    <row r="7061" customFormat="false" ht="15" hidden="false" customHeight="false" outlineLevel="0" collapsed="false">
      <c r="A7061" s="0" t="n">
        <v>7060</v>
      </c>
      <c r="B7061" s="14" t="n">
        <v>110033.751769109</v>
      </c>
      <c r="C7061" s="15" t="n">
        <v>0.0622313596588023</v>
      </c>
      <c r="D7061" s="14" t="n">
        <f aca="false">Summary!$B$5-B7061</f>
        <v>-10033.7517691087</v>
      </c>
      <c r="E7061" s="15" t="n">
        <f aca="false">B7061/Summary!$B$5-1</f>
        <v>0.100337517691087</v>
      </c>
    </row>
    <row r="7062" customFormat="false" ht="15" hidden="false" customHeight="false" outlineLevel="0" collapsed="false">
      <c r="A7062" s="0" t="n">
        <v>7061</v>
      </c>
      <c r="B7062" s="14" t="n">
        <v>114648.101818058</v>
      </c>
      <c r="C7062" s="15" t="n">
        <v>0.0869183692498357</v>
      </c>
      <c r="D7062" s="14" t="n">
        <f aca="false">Summary!$B$5-B7062</f>
        <v>-14648.1018180578</v>
      </c>
      <c r="E7062" s="15" t="n">
        <f aca="false">B7062/Summary!$B$5-1</f>
        <v>0.146481018180578</v>
      </c>
    </row>
    <row r="7063" customFormat="false" ht="15" hidden="false" customHeight="false" outlineLevel="0" collapsed="false">
      <c r="A7063" s="0" t="n">
        <v>7062</v>
      </c>
      <c r="B7063" s="14" t="n">
        <v>110239.741344078</v>
      </c>
      <c r="C7063" s="15" t="n">
        <v>0.0535482475995224</v>
      </c>
      <c r="D7063" s="14" t="n">
        <f aca="false">Summary!$B$5-B7063</f>
        <v>-10239.7413440783</v>
      </c>
      <c r="E7063" s="15" t="n">
        <f aca="false">B7063/Summary!$B$5-1</f>
        <v>0.102397413440783</v>
      </c>
    </row>
    <row r="7064" customFormat="false" ht="15" hidden="false" customHeight="false" outlineLevel="0" collapsed="false">
      <c r="A7064" s="0" t="n">
        <v>7063</v>
      </c>
      <c r="B7064" s="14" t="n">
        <v>109525.959053621</v>
      </c>
      <c r="C7064" s="15" t="n">
        <v>0.0648144458170075</v>
      </c>
      <c r="D7064" s="14" t="n">
        <f aca="false">Summary!$B$5-B7064</f>
        <v>-9525.9590536211</v>
      </c>
      <c r="E7064" s="15" t="n">
        <f aca="false">B7064/Summary!$B$5-1</f>
        <v>0.095259590536211</v>
      </c>
    </row>
    <row r="7065" customFormat="false" ht="15" hidden="false" customHeight="false" outlineLevel="0" collapsed="false">
      <c r="A7065" s="0" t="n">
        <v>7064</v>
      </c>
      <c r="B7065" s="14" t="n">
        <v>101478.368529265</v>
      </c>
      <c r="C7065" s="15" t="n">
        <v>0.10374049839008</v>
      </c>
      <c r="D7065" s="14" t="n">
        <f aca="false">Summary!$B$5-B7065</f>
        <v>-1478.3685292646</v>
      </c>
      <c r="E7065" s="15" t="n">
        <f aca="false">B7065/Summary!$B$5-1</f>
        <v>0.014783685292646</v>
      </c>
    </row>
    <row r="7066" customFormat="false" ht="15" hidden="false" customHeight="false" outlineLevel="0" collapsed="false">
      <c r="A7066" s="0" t="n">
        <v>7065</v>
      </c>
      <c r="B7066" s="14" t="n">
        <v>117923.406971068</v>
      </c>
      <c r="C7066" s="15" t="n">
        <v>0.108720349147807</v>
      </c>
      <c r="D7066" s="14" t="n">
        <f aca="false">Summary!$B$5-B7066</f>
        <v>-17923.4069710678</v>
      </c>
      <c r="E7066" s="15" t="n">
        <f aca="false">B7066/Summary!$B$5-1</f>
        <v>0.179234069710678</v>
      </c>
    </row>
    <row r="7067" customFormat="false" ht="15" hidden="false" customHeight="false" outlineLevel="0" collapsed="false">
      <c r="A7067" s="0" t="n">
        <v>7066</v>
      </c>
      <c r="B7067" s="14" t="n">
        <v>100494.007549268</v>
      </c>
      <c r="C7067" s="15" t="n">
        <v>0.111999436987904</v>
      </c>
      <c r="D7067" s="14" t="n">
        <f aca="false">Summary!$B$5-B7067</f>
        <v>-494.007549267801</v>
      </c>
      <c r="E7067" s="15" t="n">
        <f aca="false">B7067/Summary!$B$5-1</f>
        <v>0.00494007549267805</v>
      </c>
    </row>
    <row r="7068" customFormat="false" ht="15" hidden="false" customHeight="false" outlineLevel="0" collapsed="false">
      <c r="A7068" s="0" t="n">
        <v>7067</v>
      </c>
      <c r="B7068" s="14" t="n">
        <v>112702.159810557</v>
      </c>
      <c r="C7068" s="15" t="n">
        <v>0.0550104790625058</v>
      </c>
      <c r="D7068" s="14" t="n">
        <f aca="false">Summary!$B$5-B7068</f>
        <v>-12702.1598105566</v>
      </c>
      <c r="E7068" s="15" t="n">
        <f aca="false">B7068/Summary!$B$5-1</f>
        <v>0.127021598105566</v>
      </c>
    </row>
    <row r="7069" customFormat="false" ht="15" hidden="false" customHeight="false" outlineLevel="0" collapsed="false">
      <c r="A7069" s="0" t="n">
        <v>7068</v>
      </c>
      <c r="B7069" s="14" t="n">
        <v>104504.369607665</v>
      </c>
      <c r="C7069" s="15" t="n">
        <v>0.122611257583037</v>
      </c>
      <c r="D7069" s="14" t="n">
        <f aca="false">Summary!$B$5-B7069</f>
        <v>-4504.3696076645</v>
      </c>
      <c r="E7069" s="15" t="n">
        <f aca="false">B7069/Summary!$B$5-1</f>
        <v>0.0450436960766449</v>
      </c>
    </row>
    <row r="7070" customFormat="false" ht="15" hidden="false" customHeight="false" outlineLevel="0" collapsed="false">
      <c r="A7070" s="0" t="n">
        <v>7069</v>
      </c>
      <c r="B7070" s="14" t="n">
        <v>109660.321240696</v>
      </c>
      <c r="C7070" s="15" t="n">
        <v>0.0659631155961141</v>
      </c>
      <c r="D7070" s="14" t="n">
        <f aca="false">Summary!$B$5-B7070</f>
        <v>-9660.3212406963</v>
      </c>
      <c r="E7070" s="15" t="n">
        <f aca="false">B7070/Summary!$B$5-1</f>
        <v>0.0966032124069629</v>
      </c>
    </row>
    <row r="7071" customFormat="false" ht="15" hidden="false" customHeight="false" outlineLevel="0" collapsed="false">
      <c r="A7071" s="0" t="n">
        <v>7070</v>
      </c>
      <c r="B7071" s="14" t="n">
        <v>108715.776540113</v>
      </c>
      <c r="C7071" s="15" t="n">
        <v>0.101519398103529</v>
      </c>
      <c r="D7071" s="14" t="n">
        <f aca="false">Summary!$B$5-B7071</f>
        <v>-8715.7765401127</v>
      </c>
      <c r="E7071" s="15" t="n">
        <f aca="false">B7071/Summary!$B$5-1</f>
        <v>0.0871577654011269</v>
      </c>
    </row>
    <row r="7072" customFormat="false" ht="15" hidden="false" customHeight="false" outlineLevel="0" collapsed="false">
      <c r="A7072" s="0" t="n">
        <v>7071</v>
      </c>
      <c r="B7072" s="14" t="n">
        <v>122990.211422289</v>
      </c>
      <c r="C7072" s="15" t="n">
        <v>0.101283872981911</v>
      </c>
      <c r="D7072" s="14" t="n">
        <f aca="false">Summary!$B$5-B7072</f>
        <v>-22990.2114222887</v>
      </c>
      <c r="E7072" s="15" t="n">
        <f aca="false">B7072/Summary!$B$5-1</f>
        <v>0.229902114222887</v>
      </c>
    </row>
    <row r="7073" customFormat="false" ht="15" hidden="false" customHeight="false" outlineLevel="0" collapsed="false">
      <c r="A7073" s="0" t="n">
        <v>7072</v>
      </c>
      <c r="B7073" s="14" t="n">
        <v>112074.641490453</v>
      </c>
      <c r="C7073" s="15" t="n">
        <v>0.0686841265079393</v>
      </c>
      <c r="D7073" s="14" t="n">
        <f aca="false">Summary!$B$5-B7073</f>
        <v>-12074.6414904529</v>
      </c>
      <c r="E7073" s="15" t="n">
        <f aca="false">B7073/Summary!$B$5-1</f>
        <v>0.120746414904529</v>
      </c>
    </row>
    <row r="7074" customFormat="false" ht="15" hidden="false" customHeight="false" outlineLevel="0" collapsed="false">
      <c r="A7074" s="0" t="n">
        <v>7073</v>
      </c>
      <c r="B7074" s="14" t="n">
        <v>104818.22408696</v>
      </c>
      <c r="C7074" s="15" t="n">
        <v>0.106443980718083</v>
      </c>
      <c r="D7074" s="14" t="n">
        <f aca="false">Summary!$B$5-B7074</f>
        <v>-4818.2240869603</v>
      </c>
      <c r="E7074" s="15" t="n">
        <f aca="false">B7074/Summary!$B$5-1</f>
        <v>0.0481822408696029</v>
      </c>
    </row>
    <row r="7075" customFormat="false" ht="15" hidden="false" customHeight="false" outlineLevel="0" collapsed="false">
      <c r="A7075" s="0" t="n">
        <v>7074</v>
      </c>
      <c r="B7075" s="14" t="n">
        <v>117135.545103362</v>
      </c>
      <c r="C7075" s="15" t="n">
        <v>0.0465014777891247</v>
      </c>
      <c r="D7075" s="14" t="n">
        <f aca="false">Summary!$B$5-B7075</f>
        <v>-17135.5451033624</v>
      </c>
      <c r="E7075" s="15" t="n">
        <f aca="false">B7075/Summary!$B$5-1</f>
        <v>0.171355451033624</v>
      </c>
    </row>
    <row r="7076" customFormat="false" ht="15" hidden="false" customHeight="false" outlineLevel="0" collapsed="false">
      <c r="A7076" s="0" t="n">
        <v>7075</v>
      </c>
      <c r="B7076" s="14" t="n">
        <v>125078.68137589</v>
      </c>
      <c r="C7076" s="15" t="n">
        <v>0.0948151263326579</v>
      </c>
      <c r="D7076" s="14" t="n">
        <f aca="false">Summary!$B$5-B7076</f>
        <v>-25078.6813758902</v>
      </c>
      <c r="E7076" s="15" t="n">
        <f aca="false">B7076/Summary!$B$5-1</f>
        <v>0.250786813758902</v>
      </c>
    </row>
    <row r="7077" customFormat="false" ht="15" hidden="false" customHeight="false" outlineLevel="0" collapsed="false">
      <c r="A7077" s="0" t="n">
        <v>7076</v>
      </c>
      <c r="B7077" s="14" t="n">
        <v>110325.881314281</v>
      </c>
      <c r="C7077" s="15" t="n">
        <v>0.0688475129487934</v>
      </c>
      <c r="D7077" s="14" t="n">
        <f aca="false">Summary!$B$5-B7077</f>
        <v>-10325.8813142813</v>
      </c>
      <c r="E7077" s="15" t="n">
        <f aca="false">B7077/Summary!$B$5-1</f>
        <v>0.103258813142813</v>
      </c>
    </row>
    <row r="7078" customFormat="false" ht="15" hidden="false" customHeight="false" outlineLevel="0" collapsed="false">
      <c r="A7078" s="0" t="n">
        <v>7077</v>
      </c>
      <c r="B7078" s="14" t="n">
        <v>110101.317764928</v>
      </c>
      <c r="C7078" s="15" t="n">
        <v>0.0753798617594794</v>
      </c>
      <c r="D7078" s="14" t="n">
        <f aca="false">Summary!$B$5-B7078</f>
        <v>-10101.3177649284</v>
      </c>
      <c r="E7078" s="15" t="n">
        <f aca="false">B7078/Summary!$B$5-1</f>
        <v>0.101013177649284</v>
      </c>
    </row>
    <row r="7079" customFormat="false" ht="15" hidden="false" customHeight="false" outlineLevel="0" collapsed="false">
      <c r="A7079" s="0" t="n">
        <v>7078</v>
      </c>
      <c r="B7079" s="14" t="n">
        <v>110909.550728742</v>
      </c>
      <c r="C7079" s="15" t="n">
        <v>0.086151558384416</v>
      </c>
      <c r="D7079" s="14" t="n">
        <f aca="false">Summary!$B$5-B7079</f>
        <v>-10909.5507287417</v>
      </c>
      <c r="E7079" s="15" t="n">
        <f aca="false">B7079/Summary!$B$5-1</f>
        <v>0.109095507287417</v>
      </c>
    </row>
    <row r="7080" customFormat="false" ht="15" hidden="false" customHeight="false" outlineLevel="0" collapsed="false">
      <c r="A7080" s="0" t="n">
        <v>7079</v>
      </c>
      <c r="B7080" s="14" t="n">
        <v>92297.473772008</v>
      </c>
      <c r="C7080" s="15" t="n">
        <v>0.116391078299602</v>
      </c>
      <c r="D7080" s="14" t="n">
        <f aca="false">Summary!$B$5-B7080</f>
        <v>7702.526227992</v>
      </c>
      <c r="E7080" s="15" t="n">
        <f aca="false">B7080/Summary!$B$5-1</f>
        <v>-0.07702526227992</v>
      </c>
    </row>
    <row r="7081" customFormat="false" ht="15" hidden="false" customHeight="false" outlineLevel="0" collapsed="false">
      <c r="A7081" s="0" t="n">
        <v>7080</v>
      </c>
      <c r="B7081" s="14" t="n">
        <v>117064.301767951</v>
      </c>
      <c r="C7081" s="15" t="n">
        <v>0.0761672273965816</v>
      </c>
      <c r="D7081" s="14" t="n">
        <f aca="false">Summary!$B$5-B7081</f>
        <v>-17064.3017679513</v>
      </c>
      <c r="E7081" s="15" t="n">
        <f aca="false">B7081/Summary!$B$5-1</f>
        <v>0.170643017679513</v>
      </c>
    </row>
    <row r="7082" customFormat="false" ht="15" hidden="false" customHeight="false" outlineLevel="0" collapsed="false">
      <c r="A7082" s="0" t="n">
        <v>7081</v>
      </c>
      <c r="B7082" s="14" t="n">
        <v>119722.095265981</v>
      </c>
      <c r="C7082" s="15" t="n">
        <v>0.116671142758473</v>
      </c>
      <c r="D7082" s="14" t="n">
        <f aca="false">Summary!$B$5-B7082</f>
        <v>-19722.095265981</v>
      </c>
      <c r="E7082" s="15" t="n">
        <f aca="false">B7082/Summary!$B$5-1</f>
        <v>0.19722095265981</v>
      </c>
    </row>
    <row r="7083" customFormat="false" ht="15" hidden="false" customHeight="false" outlineLevel="0" collapsed="false">
      <c r="A7083" s="0" t="n">
        <v>7082</v>
      </c>
      <c r="B7083" s="14" t="n">
        <v>113543.343089746</v>
      </c>
      <c r="C7083" s="15" t="n">
        <v>0.0626854210585636</v>
      </c>
      <c r="D7083" s="14" t="n">
        <f aca="false">Summary!$B$5-B7083</f>
        <v>-13543.343089746</v>
      </c>
      <c r="E7083" s="15" t="n">
        <f aca="false">B7083/Summary!$B$5-1</f>
        <v>0.13543343089746</v>
      </c>
    </row>
    <row r="7084" customFormat="false" ht="15" hidden="false" customHeight="false" outlineLevel="0" collapsed="false">
      <c r="A7084" s="0" t="n">
        <v>7083</v>
      </c>
      <c r="B7084" s="14" t="n">
        <v>114745.634972395</v>
      </c>
      <c r="C7084" s="15" t="n">
        <v>0.0628472452725623</v>
      </c>
      <c r="D7084" s="14" t="n">
        <f aca="false">Summary!$B$5-B7084</f>
        <v>-14745.6349723945</v>
      </c>
      <c r="E7084" s="15" t="n">
        <f aca="false">B7084/Summary!$B$5-1</f>
        <v>0.147456349723945</v>
      </c>
    </row>
    <row r="7085" customFormat="false" ht="15" hidden="false" customHeight="false" outlineLevel="0" collapsed="false">
      <c r="A7085" s="0" t="n">
        <v>7084</v>
      </c>
      <c r="B7085" s="14" t="n">
        <v>143994.009497699</v>
      </c>
      <c r="C7085" s="15" t="n">
        <v>0.0598745535407225</v>
      </c>
      <c r="D7085" s="14" t="n">
        <f aca="false">Summary!$B$5-B7085</f>
        <v>-43994.0094976991</v>
      </c>
      <c r="E7085" s="15" t="n">
        <f aca="false">B7085/Summary!$B$5-1</f>
        <v>0.439940094976991</v>
      </c>
    </row>
    <row r="7086" customFormat="false" ht="15" hidden="false" customHeight="false" outlineLevel="0" collapsed="false">
      <c r="A7086" s="0" t="n">
        <v>7085</v>
      </c>
      <c r="B7086" s="14" t="n">
        <v>109884.148273348</v>
      </c>
      <c r="C7086" s="15" t="n">
        <v>0.0888393561613219</v>
      </c>
      <c r="D7086" s="14" t="n">
        <f aca="false">Summary!$B$5-B7086</f>
        <v>-9884.1482733482</v>
      </c>
      <c r="E7086" s="15" t="n">
        <f aca="false">B7086/Summary!$B$5-1</f>
        <v>0.098841482733482</v>
      </c>
    </row>
    <row r="7087" customFormat="false" ht="15" hidden="false" customHeight="false" outlineLevel="0" collapsed="false">
      <c r="A7087" s="0" t="n">
        <v>7086</v>
      </c>
      <c r="B7087" s="14" t="n">
        <v>114242.675348531</v>
      </c>
      <c r="C7087" s="15" t="n">
        <v>0.0506513531558718</v>
      </c>
      <c r="D7087" s="14" t="n">
        <f aca="false">Summary!$B$5-B7087</f>
        <v>-14242.675348531</v>
      </c>
      <c r="E7087" s="15" t="n">
        <f aca="false">B7087/Summary!$B$5-1</f>
        <v>0.14242675348531</v>
      </c>
    </row>
    <row r="7088" customFormat="false" ht="15" hidden="false" customHeight="false" outlineLevel="0" collapsed="false">
      <c r="A7088" s="0" t="n">
        <v>7087</v>
      </c>
      <c r="B7088" s="14" t="n">
        <v>125785.902993038</v>
      </c>
      <c r="C7088" s="15" t="n">
        <v>0.077017744753246</v>
      </c>
      <c r="D7088" s="14" t="n">
        <f aca="false">Summary!$B$5-B7088</f>
        <v>-25785.9029930383</v>
      </c>
      <c r="E7088" s="15" t="n">
        <f aca="false">B7088/Summary!$B$5-1</f>
        <v>0.257859029930383</v>
      </c>
    </row>
    <row r="7089" customFormat="false" ht="15" hidden="false" customHeight="false" outlineLevel="0" collapsed="false">
      <c r="A7089" s="0" t="n">
        <v>7088</v>
      </c>
      <c r="B7089" s="14" t="n">
        <v>111047.704240274</v>
      </c>
      <c r="C7089" s="15" t="n">
        <v>0.0767478921727454</v>
      </c>
      <c r="D7089" s="14" t="n">
        <f aca="false">Summary!$B$5-B7089</f>
        <v>-11047.7042402741</v>
      </c>
      <c r="E7089" s="15" t="n">
        <f aca="false">B7089/Summary!$B$5-1</f>
        <v>0.110477042402741</v>
      </c>
    </row>
    <row r="7090" customFormat="false" ht="15" hidden="false" customHeight="false" outlineLevel="0" collapsed="false">
      <c r="A7090" s="0" t="n">
        <v>7089</v>
      </c>
      <c r="B7090" s="14" t="n">
        <v>110708.788196254</v>
      </c>
      <c r="C7090" s="15" t="n">
        <v>0.107345386125983</v>
      </c>
      <c r="D7090" s="14" t="n">
        <f aca="false">Summary!$B$5-B7090</f>
        <v>-10708.7881962536</v>
      </c>
      <c r="E7090" s="15" t="n">
        <f aca="false">B7090/Summary!$B$5-1</f>
        <v>0.107087881962536</v>
      </c>
    </row>
    <row r="7091" customFormat="false" ht="15" hidden="false" customHeight="false" outlineLevel="0" collapsed="false">
      <c r="A7091" s="0" t="n">
        <v>7090</v>
      </c>
      <c r="B7091" s="14" t="n">
        <v>108852.633614205</v>
      </c>
      <c r="C7091" s="15" t="n">
        <v>0.0619646593569265</v>
      </c>
      <c r="D7091" s="14" t="n">
        <f aca="false">Summary!$B$5-B7091</f>
        <v>-8852.63361420541</v>
      </c>
      <c r="E7091" s="15" t="n">
        <f aca="false">B7091/Summary!$B$5-1</f>
        <v>0.0885263361420541</v>
      </c>
    </row>
    <row r="7092" customFormat="false" ht="15" hidden="false" customHeight="false" outlineLevel="0" collapsed="false">
      <c r="A7092" s="0" t="n">
        <v>7091</v>
      </c>
      <c r="B7092" s="14" t="n">
        <v>125528.719916767</v>
      </c>
      <c r="C7092" s="15" t="n">
        <v>0.0606542777119831</v>
      </c>
      <c r="D7092" s="14" t="n">
        <f aca="false">Summary!$B$5-B7092</f>
        <v>-25528.7199167673</v>
      </c>
      <c r="E7092" s="15" t="n">
        <f aca="false">B7092/Summary!$B$5-1</f>
        <v>0.255287199167673</v>
      </c>
    </row>
    <row r="7093" customFormat="false" ht="15" hidden="false" customHeight="false" outlineLevel="0" collapsed="false">
      <c r="A7093" s="0" t="n">
        <v>7092</v>
      </c>
      <c r="B7093" s="14" t="n">
        <v>108363.311581653</v>
      </c>
      <c r="C7093" s="15" t="n">
        <v>0.077680847889347</v>
      </c>
      <c r="D7093" s="14" t="n">
        <f aca="false">Summary!$B$5-B7093</f>
        <v>-8363.3115816526</v>
      </c>
      <c r="E7093" s="15" t="n">
        <f aca="false">B7093/Summary!$B$5-1</f>
        <v>0.083633115816526</v>
      </c>
    </row>
    <row r="7094" customFormat="false" ht="15" hidden="false" customHeight="false" outlineLevel="0" collapsed="false">
      <c r="A7094" s="0" t="n">
        <v>7093</v>
      </c>
      <c r="B7094" s="14" t="n">
        <v>96522.7288770145</v>
      </c>
      <c r="C7094" s="15" t="n">
        <v>0.141101956100828</v>
      </c>
      <c r="D7094" s="14" t="n">
        <f aca="false">Summary!$B$5-B7094</f>
        <v>3477.27112298555</v>
      </c>
      <c r="E7094" s="15" t="n">
        <f aca="false">B7094/Summary!$B$5-1</f>
        <v>-0.0347727112298555</v>
      </c>
    </row>
    <row r="7095" customFormat="false" ht="15" hidden="false" customHeight="false" outlineLevel="0" collapsed="false">
      <c r="A7095" s="0" t="n">
        <v>7094</v>
      </c>
      <c r="B7095" s="14" t="n">
        <v>109875.823583249</v>
      </c>
      <c r="C7095" s="15" t="n">
        <v>0.128131633096804</v>
      </c>
      <c r="D7095" s="14" t="n">
        <f aca="false">Summary!$B$5-B7095</f>
        <v>-9875.8235832486</v>
      </c>
      <c r="E7095" s="15" t="n">
        <f aca="false">B7095/Summary!$B$5-1</f>
        <v>0.0987582358324859</v>
      </c>
    </row>
    <row r="7096" customFormat="false" ht="15" hidden="false" customHeight="false" outlineLevel="0" collapsed="false">
      <c r="A7096" s="0" t="n">
        <v>7095</v>
      </c>
      <c r="B7096" s="14" t="n">
        <v>100008.240835688</v>
      </c>
      <c r="C7096" s="15" t="n">
        <v>0.110076000473509</v>
      </c>
      <c r="D7096" s="14" t="n">
        <f aca="false">Summary!$B$5-B7096</f>
        <v>-8.24083568810602</v>
      </c>
      <c r="E7096" s="15" t="n">
        <f aca="false">B7096/Summary!$B$5-1</f>
        <v>8.2408356881114E-005</v>
      </c>
    </row>
    <row r="7097" customFormat="false" ht="15" hidden="false" customHeight="false" outlineLevel="0" collapsed="false">
      <c r="A7097" s="0" t="n">
        <v>7096</v>
      </c>
      <c r="B7097" s="14" t="n">
        <v>104028.57555035</v>
      </c>
      <c r="C7097" s="15" t="n">
        <v>0.183158332545711</v>
      </c>
      <c r="D7097" s="14" t="n">
        <f aca="false">Summary!$B$5-B7097</f>
        <v>-4028.57555035</v>
      </c>
      <c r="E7097" s="15" t="n">
        <f aca="false">B7097/Summary!$B$5-1</f>
        <v>0.0402857555034999</v>
      </c>
    </row>
    <row r="7098" customFormat="false" ht="15" hidden="false" customHeight="false" outlineLevel="0" collapsed="false">
      <c r="A7098" s="0" t="n">
        <v>7097</v>
      </c>
      <c r="B7098" s="14" t="n">
        <v>113362.142810918</v>
      </c>
      <c r="C7098" s="15" t="n">
        <v>0.0747760957380874</v>
      </c>
      <c r="D7098" s="14" t="n">
        <f aca="false">Summary!$B$5-B7098</f>
        <v>-13362.1428109175</v>
      </c>
      <c r="E7098" s="15" t="n">
        <f aca="false">B7098/Summary!$B$5-1</f>
        <v>0.133621428109175</v>
      </c>
    </row>
    <row r="7099" customFormat="false" ht="15" hidden="false" customHeight="false" outlineLevel="0" collapsed="false">
      <c r="A7099" s="0" t="n">
        <v>7098</v>
      </c>
      <c r="B7099" s="14" t="n">
        <v>130336.8566562</v>
      </c>
      <c r="C7099" s="15" t="n">
        <v>0.0806221252341237</v>
      </c>
      <c r="D7099" s="14" t="n">
        <f aca="false">Summary!$B$5-B7099</f>
        <v>-30336.8566561996</v>
      </c>
      <c r="E7099" s="15" t="n">
        <f aca="false">B7099/Summary!$B$5-1</f>
        <v>0.303368566561996</v>
      </c>
    </row>
    <row r="7100" customFormat="false" ht="15" hidden="false" customHeight="false" outlineLevel="0" collapsed="false">
      <c r="A7100" s="0" t="n">
        <v>7099</v>
      </c>
      <c r="B7100" s="14" t="n">
        <v>107573.821959087</v>
      </c>
      <c r="C7100" s="15" t="n">
        <v>0.100473450120919</v>
      </c>
      <c r="D7100" s="14" t="n">
        <f aca="false">Summary!$B$5-B7100</f>
        <v>-7573.82195908731</v>
      </c>
      <c r="E7100" s="15" t="n">
        <f aca="false">B7100/Summary!$B$5-1</f>
        <v>0.0757382195908731</v>
      </c>
    </row>
    <row r="7101" customFormat="false" ht="15" hidden="false" customHeight="false" outlineLevel="0" collapsed="false">
      <c r="A7101" s="0" t="n">
        <v>7100</v>
      </c>
      <c r="B7101" s="14" t="n">
        <v>105920.670967388</v>
      </c>
      <c r="C7101" s="15" t="n">
        <v>0.0991593249388728</v>
      </c>
      <c r="D7101" s="14" t="n">
        <f aca="false">Summary!$B$5-B7101</f>
        <v>-5920.6709673884</v>
      </c>
      <c r="E7101" s="15" t="n">
        <f aca="false">B7101/Summary!$B$5-1</f>
        <v>0.059206709673884</v>
      </c>
    </row>
    <row r="7102" customFormat="false" ht="15" hidden="false" customHeight="false" outlineLevel="0" collapsed="false">
      <c r="A7102" s="0" t="n">
        <v>7101</v>
      </c>
      <c r="B7102" s="14" t="n">
        <v>115459.218383746</v>
      </c>
      <c r="C7102" s="15" t="n">
        <v>0.100278220731048</v>
      </c>
      <c r="D7102" s="14" t="n">
        <f aca="false">Summary!$B$5-B7102</f>
        <v>-15459.218383746</v>
      </c>
      <c r="E7102" s="15" t="n">
        <f aca="false">B7102/Summary!$B$5-1</f>
        <v>0.15459218383746</v>
      </c>
    </row>
    <row r="7103" customFormat="false" ht="15" hidden="false" customHeight="false" outlineLevel="0" collapsed="false">
      <c r="A7103" s="0" t="n">
        <v>7102</v>
      </c>
      <c r="B7103" s="14" t="n">
        <v>147801.54722981</v>
      </c>
      <c r="C7103" s="15" t="n">
        <v>0.0480829677327583</v>
      </c>
      <c r="D7103" s="14" t="n">
        <f aca="false">Summary!$B$5-B7103</f>
        <v>-47801.5472298104</v>
      </c>
      <c r="E7103" s="15" t="n">
        <f aca="false">B7103/Summary!$B$5-1</f>
        <v>0.478015472298104</v>
      </c>
    </row>
    <row r="7104" customFormat="false" ht="15" hidden="false" customHeight="false" outlineLevel="0" collapsed="false">
      <c r="A7104" s="0" t="n">
        <v>7103</v>
      </c>
      <c r="B7104" s="14" t="n">
        <v>105827.701934103</v>
      </c>
      <c r="C7104" s="15" t="n">
        <v>0.0717376288980141</v>
      </c>
      <c r="D7104" s="14" t="n">
        <f aca="false">Summary!$B$5-B7104</f>
        <v>-5827.7019341026</v>
      </c>
      <c r="E7104" s="15" t="n">
        <f aca="false">B7104/Summary!$B$5-1</f>
        <v>0.058277019341026</v>
      </c>
    </row>
    <row r="7105" customFormat="false" ht="15" hidden="false" customHeight="false" outlineLevel="0" collapsed="false">
      <c r="A7105" s="0" t="n">
        <v>7104</v>
      </c>
      <c r="B7105" s="14" t="n">
        <v>101558.275619353</v>
      </c>
      <c r="C7105" s="15" t="n">
        <v>0.097101643314485</v>
      </c>
      <c r="D7105" s="14" t="n">
        <f aca="false">Summary!$B$5-B7105</f>
        <v>-1558.2756193526</v>
      </c>
      <c r="E7105" s="15" t="n">
        <f aca="false">B7105/Summary!$B$5-1</f>
        <v>0.015582756193526</v>
      </c>
    </row>
    <row r="7106" customFormat="false" ht="15" hidden="false" customHeight="false" outlineLevel="0" collapsed="false">
      <c r="A7106" s="0" t="n">
        <v>7105</v>
      </c>
      <c r="B7106" s="14" t="n">
        <v>98286.9866645954</v>
      </c>
      <c r="C7106" s="15" t="n">
        <v>0.102197606746501</v>
      </c>
      <c r="D7106" s="14" t="n">
        <f aca="false">Summary!$B$5-B7106</f>
        <v>1713.01333540458</v>
      </c>
      <c r="E7106" s="15" t="n">
        <f aca="false">B7106/Summary!$B$5-1</f>
        <v>-0.0171301333540458</v>
      </c>
    </row>
    <row r="7107" customFormat="false" ht="15" hidden="false" customHeight="false" outlineLevel="0" collapsed="false">
      <c r="A7107" s="0" t="n">
        <v>7106</v>
      </c>
      <c r="B7107" s="14" t="n">
        <v>129888.619558432</v>
      </c>
      <c r="C7107" s="15" t="n">
        <v>0.0664235041500448</v>
      </c>
      <c r="D7107" s="14" t="n">
        <f aca="false">Summary!$B$5-B7107</f>
        <v>-29888.6195584318</v>
      </c>
      <c r="E7107" s="15" t="n">
        <f aca="false">B7107/Summary!$B$5-1</f>
        <v>0.298886195584318</v>
      </c>
    </row>
    <row r="7108" customFormat="false" ht="15" hidden="false" customHeight="false" outlineLevel="0" collapsed="false">
      <c r="A7108" s="0" t="n">
        <v>7107</v>
      </c>
      <c r="B7108" s="14" t="n">
        <v>115865.190645569</v>
      </c>
      <c r="C7108" s="15" t="n">
        <v>0.103597353664065</v>
      </c>
      <c r="D7108" s="14" t="n">
        <f aca="false">Summary!$B$5-B7108</f>
        <v>-15865.1906455694</v>
      </c>
      <c r="E7108" s="15" t="n">
        <f aca="false">B7108/Summary!$B$5-1</f>
        <v>0.158651906455694</v>
      </c>
    </row>
    <row r="7109" customFormat="false" ht="15" hidden="false" customHeight="false" outlineLevel="0" collapsed="false">
      <c r="A7109" s="0" t="n">
        <v>7108</v>
      </c>
      <c r="B7109" s="14" t="n">
        <v>102809.990881088</v>
      </c>
      <c r="C7109" s="15" t="n">
        <v>0.0555698578093509</v>
      </c>
      <c r="D7109" s="14" t="n">
        <f aca="false">Summary!$B$5-B7109</f>
        <v>-2809.99088108831</v>
      </c>
      <c r="E7109" s="15" t="n">
        <f aca="false">B7109/Summary!$B$5-1</f>
        <v>0.0280999088108831</v>
      </c>
    </row>
    <row r="7110" customFormat="false" ht="15" hidden="false" customHeight="false" outlineLevel="0" collapsed="false">
      <c r="A7110" s="0" t="n">
        <v>7109</v>
      </c>
      <c r="B7110" s="14" t="n">
        <v>110450.985267488</v>
      </c>
      <c r="C7110" s="15" t="n">
        <v>0.115156388797992</v>
      </c>
      <c r="D7110" s="14" t="n">
        <f aca="false">Summary!$B$5-B7110</f>
        <v>-10450.9852674877</v>
      </c>
      <c r="E7110" s="15" t="n">
        <f aca="false">B7110/Summary!$B$5-1</f>
        <v>0.104509852674877</v>
      </c>
    </row>
    <row r="7111" customFormat="false" ht="15" hidden="false" customHeight="false" outlineLevel="0" collapsed="false">
      <c r="A7111" s="0" t="n">
        <v>7110</v>
      </c>
      <c r="B7111" s="14" t="n">
        <v>139446.876505645</v>
      </c>
      <c r="C7111" s="15" t="n">
        <v>0.0763438732249321</v>
      </c>
      <c r="D7111" s="14" t="n">
        <f aca="false">Summary!$B$5-B7111</f>
        <v>-39446.8765056448</v>
      </c>
      <c r="E7111" s="15" t="n">
        <f aca="false">B7111/Summary!$B$5-1</f>
        <v>0.394468765056448</v>
      </c>
    </row>
    <row r="7112" customFormat="false" ht="15" hidden="false" customHeight="false" outlineLevel="0" collapsed="false">
      <c r="A7112" s="0" t="n">
        <v>7111</v>
      </c>
      <c r="B7112" s="14" t="n">
        <v>111670.859889967</v>
      </c>
      <c r="C7112" s="15" t="n">
        <v>0.0924714129098797</v>
      </c>
      <c r="D7112" s="14" t="n">
        <f aca="false">Summary!$B$5-B7112</f>
        <v>-11670.8598899673</v>
      </c>
      <c r="E7112" s="15" t="n">
        <f aca="false">B7112/Summary!$B$5-1</f>
        <v>0.116708598899673</v>
      </c>
    </row>
    <row r="7113" customFormat="false" ht="15" hidden="false" customHeight="false" outlineLevel="0" collapsed="false">
      <c r="A7113" s="0" t="n">
        <v>7112</v>
      </c>
      <c r="B7113" s="14" t="n">
        <v>161381.321503244</v>
      </c>
      <c r="C7113" s="15" t="n">
        <v>0.0549776378853891</v>
      </c>
      <c r="D7113" s="14" t="n">
        <f aca="false">Summary!$B$5-B7113</f>
        <v>-61381.3215032442</v>
      </c>
      <c r="E7113" s="15" t="n">
        <f aca="false">B7113/Summary!$B$5-1</f>
        <v>0.613813215032442</v>
      </c>
    </row>
    <row r="7114" customFormat="false" ht="15" hidden="false" customHeight="false" outlineLevel="0" collapsed="false">
      <c r="A7114" s="0" t="n">
        <v>7113</v>
      </c>
      <c r="B7114" s="14" t="n">
        <v>76821.3941627151</v>
      </c>
      <c r="C7114" s="15" t="n">
        <v>0.255232262982475</v>
      </c>
      <c r="D7114" s="14" t="n">
        <f aca="false">Summary!$B$5-B7114</f>
        <v>23178.6058372849</v>
      </c>
      <c r="E7114" s="15" t="n">
        <f aca="false">B7114/Summary!$B$5-1</f>
        <v>-0.231786058372849</v>
      </c>
    </row>
    <row r="7115" customFormat="false" ht="15" hidden="false" customHeight="false" outlineLevel="0" collapsed="false">
      <c r="A7115" s="0" t="n">
        <v>7114</v>
      </c>
      <c r="B7115" s="14" t="n">
        <v>107332.623302268</v>
      </c>
      <c r="C7115" s="15" t="n">
        <v>0.0817911992118762</v>
      </c>
      <c r="D7115" s="14" t="n">
        <f aca="false">Summary!$B$5-B7115</f>
        <v>-7332.623302268</v>
      </c>
      <c r="E7115" s="15" t="n">
        <f aca="false">B7115/Summary!$B$5-1</f>
        <v>0.07332623302268</v>
      </c>
    </row>
    <row r="7116" customFormat="false" ht="15" hidden="false" customHeight="false" outlineLevel="0" collapsed="false">
      <c r="A7116" s="0" t="n">
        <v>7115</v>
      </c>
      <c r="B7116" s="14" t="n">
        <v>113067.886361924</v>
      </c>
      <c r="C7116" s="15" t="n">
        <v>0.0710175546982237</v>
      </c>
      <c r="D7116" s="14" t="n">
        <f aca="false">Summary!$B$5-B7116</f>
        <v>-13067.8863619242</v>
      </c>
      <c r="E7116" s="15" t="n">
        <f aca="false">B7116/Summary!$B$5-1</f>
        <v>0.130678863619242</v>
      </c>
    </row>
    <row r="7117" customFormat="false" ht="15" hidden="false" customHeight="false" outlineLevel="0" collapsed="false">
      <c r="A7117" s="0" t="n">
        <v>7116</v>
      </c>
      <c r="B7117" s="14" t="n">
        <v>107760.610441</v>
      </c>
      <c r="C7117" s="15" t="n">
        <v>0.0619912385337177</v>
      </c>
      <c r="D7117" s="14" t="n">
        <f aca="false">Summary!$B$5-B7117</f>
        <v>-7760.61044099971</v>
      </c>
      <c r="E7117" s="15" t="n">
        <f aca="false">B7117/Summary!$B$5-1</f>
        <v>0.0776061044099972</v>
      </c>
    </row>
    <row r="7118" customFormat="false" ht="15" hidden="false" customHeight="false" outlineLevel="0" collapsed="false">
      <c r="A7118" s="0" t="n">
        <v>7117</v>
      </c>
      <c r="B7118" s="14" t="n">
        <v>121898.230481558</v>
      </c>
      <c r="C7118" s="15" t="n">
        <v>0.0933788193396525</v>
      </c>
      <c r="D7118" s="14" t="n">
        <f aca="false">Summary!$B$5-B7118</f>
        <v>-21898.2304815583</v>
      </c>
      <c r="E7118" s="15" t="n">
        <f aca="false">B7118/Summary!$B$5-1</f>
        <v>0.218982304815583</v>
      </c>
    </row>
    <row r="7119" customFormat="false" ht="15" hidden="false" customHeight="false" outlineLevel="0" collapsed="false">
      <c r="A7119" s="0" t="n">
        <v>7118</v>
      </c>
      <c r="B7119" s="14" t="n">
        <v>95551.9280738349</v>
      </c>
      <c r="C7119" s="15" t="n">
        <v>0.1606263779939</v>
      </c>
      <c r="D7119" s="14" t="n">
        <f aca="false">Summary!$B$5-B7119</f>
        <v>4448.07192616515</v>
      </c>
      <c r="E7119" s="15" t="n">
        <f aca="false">B7119/Summary!$B$5-1</f>
        <v>-0.0444807192616515</v>
      </c>
    </row>
    <row r="7120" customFormat="false" ht="15" hidden="false" customHeight="false" outlineLevel="0" collapsed="false">
      <c r="A7120" s="0" t="n">
        <v>7119</v>
      </c>
      <c r="B7120" s="14" t="n">
        <v>122190.62519736</v>
      </c>
      <c r="C7120" s="15" t="n">
        <v>0.102164989403152</v>
      </c>
      <c r="D7120" s="14" t="n">
        <f aca="false">Summary!$B$5-B7120</f>
        <v>-22190.62519736</v>
      </c>
      <c r="E7120" s="15" t="n">
        <f aca="false">B7120/Summary!$B$5-1</f>
        <v>0.2219062519736</v>
      </c>
    </row>
    <row r="7121" customFormat="false" ht="15" hidden="false" customHeight="false" outlineLevel="0" collapsed="false">
      <c r="A7121" s="0" t="n">
        <v>7120</v>
      </c>
      <c r="B7121" s="14" t="n">
        <v>120546.752744309</v>
      </c>
      <c r="C7121" s="15" t="n">
        <v>0.0726390777007359</v>
      </c>
      <c r="D7121" s="14" t="n">
        <f aca="false">Summary!$B$5-B7121</f>
        <v>-20546.7527443093</v>
      </c>
      <c r="E7121" s="15" t="n">
        <f aca="false">B7121/Summary!$B$5-1</f>
        <v>0.205467527443093</v>
      </c>
    </row>
    <row r="7122" customFormat="false" ht="15" hidden="false" customHeight="false" outlineLevel="0" collapsed="false">
      <c r="A7122" s="0" t="n">
        <v>7121</v>
      </c>
      <c r="B7122" s="14" t="n">
        <v>99183.8635424632</v>
      </c>
      <c r="C7122" s="15" t="n">
        <v>0.138079162559746</v>
      </c>
      <c r="D7122" s="14" t="n">
        <f aca="false">Summary!$B$5-B7122</f>
        <v>816.136457536806</v>
      </c>
      <c r="E7122" s="15" t="n">
        <f aca="false">B7122/Summary!$B$5-1</f>
        <v>-0.00816136457536809</v>
      </c>
    </row>
    <row r="7123" customFormat="false" ht="15" hidden="false" customHeight="false" outlineLevel="0" collapsed="false">
      <c r="A7123" s="0" t="n">
        <v>7122</v>
      </c>
      <c r="B7123" s="14" t="n">
        <v>100193.532945859</v>
      </c>
      <c r="C7123" s="15" t="n">
        <v>0.0807515752673627</v>
      </c>
      <c r="D7123" s="14" t="n">
        <f aca="false">Summary!$B$5-B7123</f>
        <v>-193.532945859304</v>
      </c>
      <c r="E7123" s="15" t="n">
        <f aca="false">B7123/Summary!$B$5-1</f>
        <v>0.00193532945859309</v>
      </c>
    </row>
    <row r="7124" customFormat="false" ht="15" hidden="false" customHeight="false" outlineLevel="0" collapsed="false">
      <c r="A7124" s="0" t="n">
        <v>7123</v>
      </c>
      <c r="B7124" s="14" t="n">
        <v>105236.055652744</v>
      </c>
      <c r="C7124" s="15" t="n">
        <v>0.170113265440656</v>
      </c>
      <c r="D7124" s="14" t="n">
        <f aca="false">Summary!$B$5-B7124</f>
        <v>-5236.0556527435</v>
      </c>
      <c r="E7124" s="15" t="n">
        <f aca="false">B7124/Summary!$B$5-1</f>
        <v>0.052360556527435</v>
      </c>
    </row>
    <row r="7125" customFormat="false" ht="15" hidden="false" customHeight="false" outlineLevel="0" collapsed="false">
      <c r="A7125" s="0" t="n">
        <v>7124</v>
      </c>
      <c r="B7125" s="14" t="n">
        <v>110026.97756521</v>
      </c>
      <c r="C7125" s="15" t="n">
        <v>0.0588004051359635</v>
      </c>
      <c r="D7125" s="14" t="n">
        <f aca="false">Summary!$B$5-B7125</f>
        <v>-10026.9775652104</v>
      </c>
      <c r="E7125" s="15" t="n">
        <f aca="false">B7125/Summary!$B$5-1</f>
        <v>0.100269775652104</v>
      </c>
    </row>
    <row r="7126" customFormat="false" ht="15" hidden="false" customHeight="false" outlineLevel="0" collapsed="false">
      <c r="A7126" s="0" t="n">
        <v>7125</v>
      </c>
      <c r="B7126" s="14" t="n">
        <v>98035.6667361984</v>
      </c>
      <c r="C7126" s="15" t="n">
        <v>0.14572659716083</v>
      </c>
      <c r="D7126" s="14" t="n">
        <f aca="false">Summary!$B$5-B7126</f>
        <v>1964.33326380164</v>
      </c>
      <c r="E7126" s="15" t="n">
        <f aca="false">B7126/Summary!$B$5-1</f>
        <v>-0.0196433326380164</v>
      </c>
    </row>
    <row r="7127" customFormat="false" ht="15" hidden="false" customHeight="false" outlineLevel="0" collapsed="false">
      <c r="A7127" s="0" t="n">
        <v>7126</v>
      </c>
      <c r="B7127" s="14" t="n">
        <v>112445.605873476</v>
      </c>
      <c r="C7127" s="15" t="n">
        <v>0.0706905226610303</v>
      </c>
      <c r="D7127" s="14" t="n">
        <f aca="false">Summary!$B$5-B7127</f>
        <v>-12445.6058734764</v>
      </c>
      <c r="E7127" s="15" t="n">
        <f aca="false">B7127/Summary!$B$5-1</f>
        <v>0.124456058734764</v>
      </c>
    </row>
    <row r="7128" customFormat="false" ht="15" hidden="false" customHeight="false" outlineLevel="0" collapsed="false">
      <c r="A7128" s="0" t="n">
        <v>7127</v>
      </c>
      <c r="B7128" s="14" t="n">
        <v>102760.577395995</v>
      </c>
      <c r="C7128" s="15" t="n">
        <v>0.115839994816114</v>
      </c>
      <c r="D7128" s="14" t="n">
        <f aca="false">Summary!$B$5-B7128</f>
        <v>-2760.5773959949</v>
      </c>
      <c r="E7128" s="15" t="n">
        <f aca="false">B7128/Summary!$B$5-1</f>
        <v>0.0276057739599489</v>
      </c>
    </row>
    <row r="7129" customFormat="false" ht="15" hidden="false" customHeight="false" outlineLevel="0" collapsed="false">
      <c r="A7129" s="0" t="n">
        <v>7128</v>
      </c>
      <c r="B7129" s="14" t="n">
        <v>110444.854615652</v>
      </c>
      <c r="C7129" s="15" t="n">
        <v>0.128699323582036</v>
      </c>
      <c r="D7129" s="14" t="n">
        <f aca="false">Summary!$B$5-B7129</f>
        <v>-10444.8546156523</v>
      </c>
      <c r="E7129" s="15" t="n">
        <f aca="false">B7129/Summary!$B$5-1</f>
        <v>0.104448546156523</v>
      </c>
    </row>
    <row r="7130" customFormat="false" ht="15" hidden="false" customHeight="false" outlineLevel="0" collapsed="false">
      <c r="A7130" s="0" t="n">
        <v>7129</v>
      </c>
      <c r="B7130" s="14" t="n">
        <v>140609.384429471</v>
      </c>
      <c r="C7130" s="15" t="n">
        <v>0.0868568311758584</v>
      </c>
      <c r="D7130" s="14" t="n">
        <f aca="false">Summary!$B$5-B7130</f>
        <v>-40609.3844294712</v>
      </c>
      <c r="E7130" s="15" t="n">
        <f aca="false">B7130/Summary!$B$5-1</f>
        <v>0.406093844294712</v>
      </c>
    </row>
    <row r="7131" customFormat="false" ht="15" hidden="false" customHeight="false" outlineLevel="0" collapsed="false">
      <c r="A7131" s="0" t="n">
        <v>7130</v>
      </c>
      <c r="B7131" s="14" t="n">
        <v>105198.328038326</v>
      </c>
      <c r="C7131" s="15" t="n">
        <v>0.087516506279254</v>
      </c>
      <c r="D7131" s="14" t="n">
        <f aca="false">Summary!$B$5-B7131</f>
        <v>-5198.3280383259</v>
      </c>
      <c r="E7131" s="15" t="n">
        <f aca="false">B7131/Summary!$B$5-1</f>
        <v>0.0519832803832589</v>
      </c>
    </row>
    <row r="7132" customFormat="false" ht="15" hidden="false" customHeight="false" outlineLevel="0" collapsed="false">
      <c r="A7132" s="0" t="n">
        <v>7131</v>
      </c>
      <c r="B7132" s="14" t="n">
        <v>111434.62195499</v>
      </c>
      <c r="C7132" s="15" t="n">
        <v>0.0911850329475809</v>
      </c>
      <c r="D7132" s="14" t="n">
        <f aca="false">Summary!$B$5-B7132</f>
        <v>-11434.6219549903</v>
      </c>
      <c r="E7132" s="15" t="n">
        <f aca="false">B7132/Summary!$B$5-1</f>
        <v>0.114346219549903</v>
      </c>
    </row>
    <row r="7133" customFormat="false" ht="15" hidden="false" customHeight="false" outlineLevel="0" collapsed="false">
      <c r="A7133" s="0" t="n">
        <v>7132</v>
      </c>
      <c r="B7133" s="14" t="n">
        <v>120054.469798781</v>
      </c>
      <c r="C7133" s="15" t="n">
        <v>0.0864113880263759</v>
      </c>
      <c r="D7133" s="14" t="n">
        <f aca="false">Summary!$B$5-B7133</f>
        <v>-20054.4697987814</v>
      </c>
      <c r="E7133" s="15" t="n">
        <f aca="false">B7133/Summary!$B$5-1</f>
        <v>0.200544697987814</v>
      </c>
    </row>
    <row r="7134" customFormat="false" ht="15" hidden="false" customHeight="false" outlineLevel="0" collapsed="false">
      <c r="A7134" s="0" t="n">
        <v>7133</v>
      </c>
      <c r="B7134" s="14" t="n">
        <v>107347.956075661</v>
      </c>
      <c r="C7134" s="15" t="n">
        <v>0.123583216467915</v>
      </c>
      <c r="D7134" s="14" t="n">
        <f aca="false">Summary!$B$5-B7134</f>
        <v>-7347.9560756611</v>
      </c>
      <c r="E7134" s="15" t="n">
        <f aca="false">B7134/Summary!$B$5-1</f>
        <v>0.073479560756611</v>
      </c>
    </row>
    <row r="7135" customFormat="false" ht="15" hidden="false" customHeight="false" outlineLevel="0" collapsed="false">
      <c r="A7135" s="0" t="n">
        <v>7134</v>
      </c>
      <c r="B7135" s="14" t="n">
        <v>113962.156322913</v>
      </c>
      <c r="C7135" s="15" t="n">
        <v>0.0934175457793526</v>
      </c>
      <c r="D7135" s="14" t="n">
        <f aca="false">Summary!$B$5-B7135</f>
        <v>-13962.1563229133</v>
      </c>
      <c r="E7135" s="15" t="n">
        <f aca="false">B7135/Summary!$B$5-1</f>
        <v>0.139621563229133</v>
      </c>
    </row>
    <row r="7136" customFormat="false" ht="15" hidden="false" customHeight="false" outlineLevel="0" collapsed="false">
      <c r="A7136" s="0" t="n">
        <v>7135</v>
      </c>
      <c r="B7136" s="14" t="n">
        <v>121734.512196276</v>
      </c>
      <c r="C7136" s="15" t="n">
        <v>0.083418614237332</v>
      </c>
      <c r="D7136" s="14" t="n">
        <f aca="false">Summary!$B$5-B7136</f>
        <v>-21734.5121962762</v>
      </c>
      <c r="E7136" s="15" t="n">
        <f aca="false">B7136/Summary!$B$5-1</f>
        <v>0.217345121962762</v>
      </c>
    </row>
    <row r="7137" customFormat="false" ht="15" hidden="false" customHeight="false" outlineLevel="0" collapsed="false">
      <c r="A7137" s="0" t="n">
        <v>7136</v>
      </c>
      <c r="B7137" s="14" t="n">
        <v>113503.596057005</v>
      </c>
      <c r="C7137" s="15" t="n">
        <v>0.105751538290202</v>
      </c>
      <c r="D7137" s="14" t="n">
        <f aca="false">Summary!$B$5-B7137</f>
        <v>-13503.596057005</v>
      </c>
      <c r="E7137" s="15" t="n">
        <f aca="false">B7137/Summary!$B$5-1</f>
        <v>0.13503596057005</v>
      </c>
    </row>
    <row r="7138" customFormat="false" ht="15" hidden="false" customHeight="false" outlineLevel="0" collapsed="false">
      <c r="A7138" s="0" t="n">
        <v>7137</v>
      </c>
      <c r="B7138" s="14" t="n">
        <v>138707.822570765</v>
      </c>
      <c r="C7138" s="15" t="n">
        <v>0.0628170615232828</v>
      </c>
      <c r="D7138" s="14" t="n">
        <f aca="false">Summary!$B$5-B7138</f>
        <v>-38707.8225707651</v>
      </c>
      <c r="E7138" s="15" t="n">
        <f aca="false">B7138/Summary!$B$5-1</f>
        <v>0.387078225707651</v>
      </c>
    </row>
    <row r="7139" customFormat="false" ht="15" hidden="false" customHeight="false" outlineLevel="0" collapsed="false">
      <c r="A7139" s="0" t="n">
        <v>7138</v>
      </c>
      <c r="B7139" s="14" t="n">
        <v>101507.606022877</v>
      </c>
      <c r="C7139" s="15" t="n">
        <v>0.133701310873937</v>
      </c>
      <c r="D7139" s="14" t="n">
        <f aca="false">Summary!$B$5-B7139</f>
        <v>-1507.6060228772</v>
      </c>
      <c r="E7139" s="15" t="n">
        <f aca="false">B7139/Summary!$B$5-1</f>
        <v>0.0150760602287721</v>
      </c>
    </row>
    <row r="7140" customFormat="false" ht="15" hidden="false" customHeight="false" outlineLevel="0" collapsed="false">
      <c r="A7140" s="0" t="n">
        <v>7139</v>
      </c>
      <c r="B7140" s="14" t="n">
        <v>126306.144830783</v>
      </c>
      <c r="C7140" s="15" t="n">
        <v>0.0579577899472126</v>
      </c>
      <c r="D7140" s="14" t="n">
        <f aca="false">Summary!$B$5-B7140</f>
        <v>-26306.1448307829</v>
      </c>
      <c r="E7140" s="15" t="n">
        <f aca="false">B7140/Summary!$B$5-1</f>
        <v>0.263061448307829</v>
      </c>
    </row>
    <row r="7141" customFormat="false" ht="15" hidden="false" customHeight="false" outlineLevel="0" collapsed="false">
      <c r="A7141" s="0" t="n">
        <v>7140</v>
      </c>
      <c r="B7141" s="14" t="n">
        <v>92727.827110667</v>
      </c>
      <c r="C7141" s="15" t="n">
        <v>0.156985853120079</v>
      </c>
      <c r="D7141" s="14" t="n">
        <f aca="false">Summary!$B$5-B7141</f>
        <v>7272.17288933302</v>
      </c>
      <c r="E7141" s="15" t="n">
        <f aca="false">B7141/Summary!$B$5-1</f>
        <v>-0.0727217288933302</v>
      </c>
    </row>
    <row r="7142" customFormat="false" ht="15" hidden="false" customHeight="false" outlineLevel="0" collapsed="false">
      <c r="A7142" s="0" t="n">
        <v>7141</v>
      </c>
      <c r="B7142" s="14" t="n">
        <v>112656.906518475</v>
      </c>
      <c r="C7142" s="15" t="n">
        <v>0.105710632735927</v>
      </c>
      <c r="D7142" s="14" t="n">
        <f aca="false">Summary!$B$5-B7142</f>
        <v>-12656.9065184746</v>
      </c>
      <c r="E7142" s="15" t="n">
        <f aca="false">B7142/Summary!$B$5-1</f>
        <v>0.126569065184746</v>
      </c>
    </row>
    <row r="7143" customFormat="false" ht="15" hidden="false" customHeight="false" outlineLevel="0" collapsed="false">
      <c r="A7143" s="0" t="n">
        <v>7142</v>
      </c>
      <c r="B7143" s="14" t="n">
        <v>113573.502753472</v>
      </c>
      <c r="C7143" s="15" t="n">
        <v>0.101933278413294</v>
      </c>
      <c r="D7143" s="14" t="n">
        <f aca="false">Summary!$B$5-B7143</f>
        <v>-13573.5027534716</v>
      </c>
      <c r="E7143" s="15" t="n">
        <f aca="false">B7143/Summary!$B$5-1</f>
        <v>0.135735027534716</v>
      </c>
    </row>
    <row r="7144" customFormat="false" ht="15" hidden="false" customHeight="false" outlineLevel="0" collapsed="false">
      <c r="A7144" s="0" t="n">
        <v>7143</v>
      </c>
      <c r="B7144" s="14" t="n">
        <v>124820.045033844</v>
      </c>
      <c r="C7144" s="15" t="n">
        <v>0.0646856242213408</v>
      </c>
      <c r="D7144" s="14" t="n">
        <f aca="false">Summary!$B$5-B7144</f>
        <v>-24820.0450338436</v>
      </c>
      <c r="E7144" s="15" t="n">
        <f aca="false">B7144/Summary!$B$5-1</f>
        <v>0.248200450338436</v>
      </c>
    </row>
    <row r="7145" customFormat="false" ht="15" hidden="false" customHeight="false" outlineLevel="0" collapsed="false">
      <c r="A7145" s="0" t="n">
        <v>7144</v>
      </c>
      <c r="B7145" s="14" t="n">
        <v>107803.232581381</v>
      </c>
      <c r="C7145" s="15" t="n">
        <v>0.0768482659202929</v>
      </c>
      <c r="D7145" s="14" t="n">
        <f aca="false">Summary!$B$5-B7145</f>
        <v>-7803.2325813808</v>
      </c>
      <c r="E7145" s="15" t="n">
        <f aca="false">B7145/Summary!$B$5-1</f>
        <v>0.078032325813808</v>
      </c>
    </row>
    <row r="7146" customFormat="false" ht="15" hidden="false" customHeight="false" outlineLevel="0" collapsed="false">
      <c r="A7146" s="0" t="n">
        <v>7145</v>
      </c>
      <c r="B7146" s="14" t="n">
        <v>114029.035722333</v>
      </c>
      <c r="C7146" s="15" t="n">
        <v>0.0686770643001869</v>
      </c>
      <c r="D7146" s="14" t="n">
        <f aca="false">Summary!$B$5-B7146</f>
        <v>-14029.0357223332</v>
      </c>
      <c r="E7146" s="15" t="n">
        <f aca="false">B7146/Summary!$B$5-1</f>
        <v>0.140290357223332</v>
      </c>
    </row>
    <row r="7147" customFormat="false" ht="15" hidden="false" customHeight="false" outlineLevel="0" collapsed="false">
      <c r="A7147" s="0" t="n">
        <v>7146</v>
      </c>
      <c r="B7147" s="14" t="n">
        <v>141441.697321597</v>
      </c>
      <c r="C7147" s="15" t="n">
        <v>0.0722402229831882</v>
      </c>
      <c r="D7147" s="14" t="n">
        <f aca="false">Summary!$B$5-B7147</f>
        <v>-41441.6973215972</v>
      </c>
      <c r="E7147" s="15" t="n">
        <f aca="false">B7147/Summary!$B$5-1</f>
        <v>0.414416973215972</v>
      </c>
    </row>
    <row r="7148" customFormat="false" ht="15" hidden="false" customHeight="false" outlineLevel="0" collapsed="false">
      <c r="A7148" s="0" t="n">
        <v>7147</v>
      </c>
      <c r="B7148" s="14" t="n">
        <v>112301.269785415</v>
      </c>
      <c r="C7148" s="15" t="n">
        <v>0.101232480502961</v>
      </c>
      <c r="D7148" s="14" t="n">
        <f aca="false">Summary!$B$5-B7148</f>
        <v>-12301.2697854146</v>
      </c>
      <c r="E7148" s="15" t="n">
        <f aca="false">B7148/Summary!$B$5-1</f>
        <v>0.123012697854146</v>
      </c>
    </row>
    <row r="7149" customFormat="false" ht="15" hidden="false" customHeight="false" outlineLevel="0" collapsed="false">
      <c r="A7149" s="0" t="n">
        <v>7148</v>
      </c>
      <c r="B7149" s="14" t="n">
        <v>93834.476371039</v>
      </c>
      <c r="C7149" s="15" t="n">
        <v>0.134026724999851</v>
      </c>
      <c r="D7149" s="14" t="n">
        <f aca="false">Summary!$B$5-B7149</f>
        <v>6165.52362896099</v>
      </c>
      <c r="E7149" s="15" t="n">
        <f aca="false">B7149/Summary!$B$5-1</f>
        <v>-0.0616552362896099</v>
      </c>
    </row>
    <row r="7150" customFormat="false" ht="15" hidden="false" customHeight="false" outlineLevel="0" collapsed="false">
      <c r="A7150" s="0" t="n">
        <v>7149</v>
      </c>
      <c r="B7150" s="14" t="n">
        <v>112838.809092333</v>
      </c>
      <c r="C7150" s="15" t="n">
        <v>0.0732626706992883</v>
      </c>
      <c r="D7150" s="14" t="n">
        <f aca="false">Summary!$B$5-B7150</f>
        <v>-12838.8090923328</v>
      </c>
      <c r="E7150" s="15" t="n">
        <f aca="false">B7150/Summary!$B$5-1</f>
        <v>0.128388090923328</v>
      </c>
    </row>
    <row r="7151" customFormat="false" ht="15" hidden="false" customHeight="false" outlineLevel="0" collapsed="false">
      <c r="A7151" s="0" t="n">
        <v>7150</v>
      </c>
      <c r="B7151" s="14" t="n">
        <v>111268.527668151</v>
      </c>
      <c r="C7151" s="15" t="n">
        <v>0.0691128549579825</v>
      </c>
      <c r="D7151" s="14" t="n">
        <f aca="false">Summary!$B$5-B7151</f>
        <v>-11268.5276681506</v>
      </c>
      <c r="E7151" s="15" t="n">
        <f aca="false">B7151/Summary!$B$5-1</f>
        <v>0.112685276681506</v>
      </c>
    </row>
    <row r="7152" customFormat="false" ht="15" hidden="false" customHeight="false" outlineLevel="0" collapsed="false">
      <c r="A7152" s="0" t="n">
        <v>7151</v>
      </c>
      <c r="B7152" s="14" t="n">
        <v>89629.8257308451</v>
      </c>
      <c r="C7152" s="15" t="n">
        <v>0.119811495489576</v>
      </c>
      <c r="D7152" s="14" t="n">
        <f aca="false">Summary!$B$5-B7152</f>
        <v>10370.1742691549</v>
      </c>
      <c r="E7152" s="15" t="n">
        <f aca="false">B7152/Summary!$B$5-1</f>
        <v>-0.103701742691549</v>
      </c>
    </row>
    <row r="7153" customFormat="false" ht="15" hidden="false" customHeight="false" outlineLevel="0" collapsed="false">
      <c r="A7153" s="0" t="n">
        <v>7152</v>
      </c>
      <c r="B7153" s="14" t="n">
        <v>110737.023215685</v>
      </c>
      <c r="C7153" s="15" t="n">
        <v>0.0975200287656023</v>
      </c>
      <c r="D7153" s="14" t="n">
        <f aca="false">Summary!$B$5-B7153</f>
        <v>-10737.023215685</v>
      </c>
      <c r="E7153" s="15" t="n">
        <f aca="false">B7153/Summary!$B$5-1</f>
        <v>0.10737023215685</v>
      </c>
    </row>
    <row r="7154" customFormat="false" ht="15" hidden="false" customHeight="false" outlineLevel="0" collapsed="false">
      <c r="A7154" s="0" t="n">
        <v>7153</v>
      </c>
      <c r="B7154" s="14" t="n">
        <v>103872.916982569</v>
      </c>
      <c r="C7154" s="15" t="n">
        <v>0.0604915017152877</v>
      </c>
      <c r="D7154" s="14" t="n">
        <f aca="false">Summary!$B$5-B7154</f>
        <v>-3872.916982569</v>
      </c>
      <c r="E7154" s="15" t="n">
        <f aca="false">B7154/Summary!$B$5-1</f>
        <v>0.03872916982569</v>
      </c>
    </row>
    <row r="7155" customFormat="false" ht="15" hidden="false" customHeight="false" outlineLevel="0" collapsed="false">
      <c r="A7155" s="0" t="n">
        <v>7154</v>
      </c>
      <c r="B7155" s="14" t="n">
        <v>110555.046212171</v>
      </c>
      <c r="C7155" s="15" t="n">
        <v>0.139728732823507</v>
      </c>
      <c r="D7155" s="14" t="n">
        <f aca="false">Summary!$B$5-B7155</f>
        <v>-10555.0462121709</v>
      </c>
      <c r="E7155" s="15" t="n">
        <f aca="false">B7155/Summary!$B$5-1</f>
        <v>0.105550462121709</v>
      </c>
    </row>
    <row r="7156" customFormat="false" ht="15" hidden="false" customHeight="false" outlineLevel="0" collapsed="false">
      <c r="A7156" s="0" t="n">
        <v>7155</v>
      </c>
      <c r="B7156" s="14" t="n">
        <v>123881.34287866</v>
      </c>
      <c r="C7156" s="15" t="n">
        <v>0.0821484504738664</v>
      </c>
      <c r="D7156" s="14" t="n">
        <f aca="false">Summary!$B$5-B7156</f>
        <v>-23881.3428786595</v>
      </c>
      <c r="E7156" s="15" t="n">
        <f aca="false">B7156/Summary!$B$5-1</f>
        <v>0.238813428786595</v>
      </c>
    </row>
    <row r="7157" customFormat="false" ht="15" hidden="false" customHeight="false" outlineLevel="0" collapsed="false">
      <c r="A7157" s="0" t="n">
        <v>7156</v>
      </c>
      <c r="B7157" s="14" t="n">
        <v>101861.494901188</v>
      </c>
      <c r="C7157" s="15" t="n">
        <v>0.0756968271692335</v>
      </c>
      <c r="D7157" s="14" t="n">
        <f aca="false">Summary!$B$5-B7157</f>
        <v>-1861.4949011882</v>
      </c>
      <c r="E7157" s="15" t="n">
        <f aca="false">B7157/Summary!$B$5-1</f>
        <v>0.0186149490118819</v>
      </c>
    </row>
    <row r="7158" customFormat="false" ht="15" hidden="false" customHeight="false" outlineLevel="0" collapsed="false">
      <c r="A7158" s="0" t="n">
        <v>7157</v>
      </c>
      <c r="B7158" s="14" t="n">
        <v>102637.495512464</v>
      </c>
      <c r="C7158" s="15" t="n">
        <v>0.118671785140626</v>
      </c>
      <c r="D7158" s="14" t="n">
        <f aca="false">Summary!$B$5-B7158</f>
        <v>-2637.4955124636</v>
      </c>
      <c r="E7158" s="15" t="n">
        <f aca="false">B7158/Summary!$B$5-1</f>
        <v>0.0263749551246359</v>
      </c>
    </row>
    <row r="7159" customFormat="false" ht="15" hidden="false" customHeight="false" outlineLevel="0" collapsed="false">
      <c r="A7159" s="0" t="n">
        <v>7158</v>
      </c>
      <c r="B7159" s="14" t="n">
        <v>120020.559946034</v>
      </c>
      <c r="C7159" s="15" t="n">
        <v>0.0387842921501206</v>
      </c>
      <c r="D7159" s="14" t="n">
        <f aca="false">Summary!$B$5-B7159</f>
        <v>-20020.5599460335</v>
      </c>
      <c r="E7159" s="15" t="n">
        <f aca="false">B7159/Summary!$B$5-1</f>
        <v>0.200205599460335</v>
      </c>
    </row>
    <row r="7160" customFormat="false" ht="15" hidden="false" customHeight="false" outlineLevel="0" collapsed="false">
      <c r="A7160" s="0" t="n">
        <v>7159</v>
      </c>
      <c r="B7160" s="14" t="n">
        <v>121237.031104809</v>
      </c>
      <c r="C7160" s="15" t="n">
        <v>0.0653516911085353</v>
      </c>
      <c r="D7160" s="14" t="n">
        <f aca="false">Summary!$B$5-B7160</f>
        <v>-21237.0311048086</v>
      </c>
      <c r="E7160" s="15" t="n">
        <f aca="false">B7160/Summary!$B$5-1</f>
        <v>0.212370311048086</v>
      </c>
    </row>
    <row r="7161" customFormat="false" ht="15" hidden="false" customHeight="false" outlineLevel="0" collapsed="false">
      <c r="A7161" s="0" t="n">
        <v>7160</v>
      </c>
      <c r="B7161" s="14" t="n">
        <v>119488.443423915</v>
      </c>
      <c r="C7161" s="15" t="n">
        <v>0.0748245834066325</v>
      </c>
      <c r="D7161" s="14" t="n">
        <f aca="false">Summary!$B$5-B7161</f>
        <v>-19488.4434239153</v>
      </c>
      <c r="E7161" s="15" t="n">
        <f aca="false">B7161/Summary!$B$5-1</f>
        <v>0.194884434239153</v>
      </c>
    </row>
    <row r="7162" customFormat="false" ht="15" hidden="false" customHeight="false" outlineLevel="0" collapsed="false">
      <c r="A7162" s="0" t="n">
        <v>7161</v>
      </c>
      <c r="B7162" s="14" t="n">
        <v>119011.637804901</v>
      </c>
      <c r="C7162" s="15" t="n">
        <v>0.0582330238468614</v>
      </c>
      <c r="D7162" s="14" t="n">
        <f aca="false">Summary!$B$5-B7162</f>
        <v>-19011.6378049007</v>
      </c>
      <c r="E7162" s="15" t="n">
        <f aca="false">B7162/Summary!$B$5-1</f>
        <v>0.190116378049007</v>
      </c>
    </row>
    <row r="7163" customFormat="false" ht="15" hidden="false" customHeight="false" outlineLevel="0" collapsed="false">
      <c r="A7163" s="0" t="n">
        <v>7162</v>
      </c>
      <c r="B7163" s="14" t="n">
        <v>103601.81983974</v>
      </c>
      <c r="C7163" s="15" t="n">
        <v>0.0858257056667893</v>
      </c>
      <c r="D7163" s="14" t="n">
        <f aca="false">Summary!$B$5-B7163</f>
        <v>-3601.8198397403</v>
      </c>
      <c r="E7163" s="15" t="n">
        <f aca="false">B7163/Summary!$B$5-1</f>
        <v>0.0360181983974031</v>
      </c>
    </row>
    <row r="7164" customFormat="false" ht="15" hidden="false" customHeight="false" outlineLevel="0" collapsed="false">
      <c r="A7164" s="0" t="n">
        <v>7163</v>
      </c>
      <c r="B7164" s="14" t="n">
        <v>100839.084963405</v>
      </c>
      <c r="C7164" s="15" t="n">
        <v>0.108877052228455</v>
      </c>
      <c r="D7164" s="14" t="n">
        <f aca="false">Summary!$B$5-B7164</f>
        <v>-839.084963404501</v>
      </c>
      <c r="E7164" s="15" t="n">
        <f aca="false">B7164/Summary!$B$5-1</f>
        <v>0.00839084963404502</v>
      </c>
    </row>
    <row r="7165" customFormat="false" ht="15" hidden="false" customHeight="false" outlineLevel="0" collapsed="false">
      <c r="A7165" s="0" t="n">
        <v>7164</v>
      </c>
      <c r="B7165" s="14" t="n">
        <v>96507.6924097413</v>
      </c>
      <c r="C7165" s="15" t="n">
        <v>0.13305985989681</v>
      </c>
      <c r="D7165" s="14" t="n">
        <f aca="false">Summary!$B$5-B7165</f>
        <v>3492.30759025869</v>
      </c>
      <c r="E7165" s="15" t="n">
        <f aca="false">B7165/Summary!$B$5-1</f>
        <v>-0.0349230759025868</v>
      </c>
    </row>
    <row r="7166" customFormat="false" ht="15" hidden="false" customHeight="false" outlineLevel="0" collapsed="false">
      <c r="A7166" s="0" t="n">
        <v>7165</v>
      </c>
      <c r="B7166" s="14" t="n">
        <v>128946.084744053</v>
      </c>
      <c r="C7166" s="15" t="n">
        <v>0.0342493008021282</v>
      </c>
      <c r="D7166" s="14" t="n">
        <f aca="false">Summary!$B$5-B7166</f>
        <v>-28946.0847440526</v>
      </c>
      <c r="E7166" s="15" t="n">
        <f aca="false">B7166/Summary!$B$5-1</f>
        <v>0.289460847440526</v>
      </c>
    </row>
    <row r="7167" customFormat="false" ht="15" hidden="false" customHeight="false" outlineLevel="0" collapsed="false">
      <c r="A7167" s="0" t="n">
        <v>7166</v>
      </c>
      <c r="B7167" s="14" t="n">
        <v>118710.409971934</v>
      </c>
      <c r="C7167" s="15" t="n">
        <v>0.0711740031446101</v>
      </c>
      <c r="D7167" s="14" t="n">
        <f aca="false">Summary!$B$5-B7167</f>
        <v>-18710.4099719342</v>
      </c>
      <c r="E7167" s="15" t="n">
        <f aca="false">B7167/Summary!$B$5-1</f>
        <v>0.187104099719342</v>
      </c>
    </row>
    <row r="7168" customFormat="false" ht="15" hidden="false" customHeight="false" outlineLevel="0" collapsed="false">
      <c r="A7168" s="0" t="n">
        <v>7167</v>
      </c>
      <c r="B7168" s="14" t="n">
        <v>95740.3990315736</v>
      </c>
      <c r="C7168" s="15" t="n">
        <v>0.103199985838557</v>
      </c>
      <c r="D7168" s="14" t="n">
        <f aca="false">Summary!$B$5-B7168</f>
        <v>4259.60096842644</v>
      </c>
      <c r="E7168" s="15" t="n">
        <f aca="false">B7168/Summary!$B$5-1</f>
        <v>-0.0425960096842645</v>
      </c>
    </row>
    <row r="7169" customFormat="false" ht="15" hidden="false" customHeight="false" outlineLevel="0" collapsed="false">
      <c r="A7169" s="0" t="n">
        <v>7168</v>
      </c>
      <c r="B7169" s="14" t="n">
        <v>105375.836920402</v>
      </c>
      <c r="C7169" s="15" t="n">
        <v>0.118995201574037</v>
      </c>
      <c r="D7169" s="14" t="n">
        <f aca="false">Summary!$B$5-B7169</f>
        <v>-5375.8369204023</v>
      </c>
      <c r="E7169" s="15" t="n">
        <f aca="false">B7169/Summary!$B$5-1</f>
        <v>0.0537583692040231</v>
      </c>
    </row>
    <row r="7170" customFormat="false" ht="15" hidden="false" customHeight="false" outlineLevel="0" collapsed="false">
      <c r="A7170" s="0" t="n">
        <v>7169</v>
      </c>
      <c r="B7170" s="14" t="n">
        <v>102236.586273076</v>
      </c>
      <c r="C7170" s="15" t="n">
        <v>0.0879839520095836</v>
      </c>
      <c r="D7170" s="14" t="n">
        <f aca="false">Summary!$B$5-B7170</f>
        <v>-2236.5862730762</v>
      </c>
      <c r="E7170" s="15" t="n">
        <f aca="false">B7170/Summary!$B$5-1</f>
        <v>0.0223658627307619</v>
      </c>
    </row>
    <row r="7171" customFormat="false" ht="15" hidden="false" customHeight="false" outlineLevel="0" collapsed="false">
      <c r="A7171" s="0" t="n">
        <v>7170</v>
      </c>
      <c r="B7171" s="14" t="n">
        <v>120632.728799144</v>
      </c>
      <c r="C7171" s="15" t="n">
        <v>0.0599053649557385</v>
      </c>
      <c r="D7171" s="14" t="n">
        <f aca="false">Summary!$B$5-B7171</f>
        <v>-20632.7287991444</v>
      </c>
      <c r="E7171" s="15" t="n">
        <f aca="false">B7171/Summary!$B$5-1</f>
        <v>0.206327287991444</v>
      </c>
    </row>
    <row r="7172" customFormat="false" ht="15" hidden="false" customHeight="false" outlineLevel="0" collapsed="false">
      <c r="A7172" s="0" t="n">
        <v>7171</v>
      </c>
      <c r="B7172" s="14" t="n">
        <v>133918.674293694</v>
      </c>
      <c r="C7172" s="15" t="n">
        <v>0.0748797283309575</v>
      </c>
      <c r="D7172" s="14" t="n">
        <f aca="false">Summary!$B$5-B7172</f>
        <v>-33918.6742936943</v>
      </c>
      <c r="E7172" s="15" t="n">
        <f aca="false">B7172/Summary!$B$5-1</f>
        <v>0.339186742936943</v>
      </c>
    </row>
    <row r="7173" customFormat="false" ht="15" hidden="false" customHeight="false" outlineLevel="0" collapsed="false">
      <c r="A7173" s="0" t="n">
        <v>7172</v>
      </c>
      <c r="B7173" s="14" t="n">
        <v>109861.730730142</v>
      </c>
      <c r="C7173" s="15" t="n">
        <v>0.0687787618488729</v>
      </c>
      <c r="D7173" s="14" t="n">
        <f aca="false">Summary!$B$5-B7173</f>
        <v>-9861.7307301417</v>
      </c>
      <c r="E7173" s="15" t="n">
        <f aca="false">B7173/Summary!$B$5-1</f>
        <v>0.0986173073014169</v>
      </c>
    </row>
    <row r="7174" customFormat="false" ht="15" hidden="false" customHeight="false" outlineLevel="0" collapsed="false">
      <c r="A7174" s="0" t="n">
        <v>7173</v>
      </c>
      <c r="B7174" s="14" t="n">
        <v>92801.4519926843</v>
      </c>
      <c r="C7174" s="15" t="n">
        <v>0.127686262436682</v>
      </c>
      <c r="D7174" s="14" t="n">
        <f aca="false">Summary!$B$5-B7174</f>
        <v>7198.54800731569</v>
      </c>
      <c r="E7174" s="15" t="n">
        <f aca="false">B7174/Summary!$B$5-1</f>
        <v>-0.071985480073157</v>
      </c>
    </row>
    <row r="7175" customFormat="false" ht="15" hidden="false" customHeight="false" outlineLevel="0" collapsed="false">
      <c r="A7175" s="0" t="n">
        <v>7174</v>
      </c>
      <c r="B7175" s="14" t="n">
        <v>101028.161593275</v>
      </c>
      <c r="C7175" s="15" t="n">
        <v>0.105391392732882</v>
      </c>
      <c r="D7175" s="14" t="n">
        <f aca="false">Summary!$B$5-B7175</f>
        <v>-1028.16159327461</v>
      </c>
      <c r="E7175" s="15" t="n">
        <f aca="false">B7175/Summary!$B$5-1</f>
        <v>0.0102816159327461</v>
      </c>
    </row>
    <row r="7176" customFormat="false" ht="15" hidden="false" customHeight="false" outlineLevel="0" collapsed="false">
      <c r="A7176" s="0" t="n">
        <v>7175</v>
      </c>
      <c r="B7176" s="14" t="n">
        <v>111278.960340494</v>
      </c>
      <c r="C7176" s="15" t="n">
        <v>0.0734698941667619</v>
      </c>
      <c r="D7176" s="14" t="n">
        <f aca="false">Summary!$B$5-B7176</f>
        <v>-11278.9603404938</v>
      </c>
      <c r="E7176" s="15" t="n">
        <f aca="false">B7176/Summary!$B$5-1</f>
        <v>0.112789603404938</v>
      </c>
    </row>
    <row r="7177" customFormat="false" ht="15" hidden="false" customHeight="false" outlineLevel="0" collapsed="false">
      <c r="A7177" s="0" t="n">
        <v>7176</v>
      </c>
      <c r="B7177" s="14" t="n">
        <v>94165.2070244866</v>
      </c>
      <c r="C7177" s="15" t="n">
        <v>0.105617342474261</v>
      </c>
      <c r="D7177" s="14" t="n">
        <f aca="false">Summary!$B$5-B7177</f>
        <v>5834.79297551338</v>
      </c>
      <c r="E7177" s="15" t="n">
        <f aca="false">B7177/Summary!$B$5-1</f>
        <v>-0.0583479297551338</v>
      </c>
    </row>
    <row r="7178" customFormat="false" ht="15" hidden="false" customHeight="false" outlineLevel="0" collapsed="false">
      <c r="A7178" s="0" t="n">
        <v>7177</v>
      </c>
      <c r="B7178" s="14" t="n">
        <v>103292.34577729</v>
      </c>
      <c r="C7178" s="15" t="n">
        <v>0.0871489395496808</v>
      </c>
      <c r="D7178" s="14" t="n">
        <f aca="false">Summary!$B$5-B7178</f>
        <v>-3292.34577728951</v>
      </c>
      <c r="E7178" s="15" t="n">
        <f aca="false">B7178/Summary!$B$5-1</f>
        <v>0.032923457772895</v>
      </c>
    </row>
    <row r="7179" customFormat="false" ht="15" hidden="false" customHeight="false" outlineLevel="0" collapsed="false">
      <c r="A7179" s="0" t="n">
        <v>7178</v>
      </c>
      <c r="B7179" s="14" t="n">
        <v>100773.129346837</v>
      </c>
      <c r="C7179" s="15" t="n">
        <v>0.107094365117391</v>
      </c>
      <c r="D7179" s="14" t="n">
        <f aca="false">Summary!$B$5-B7179</f>
        <v>-773.129346836504</v>
      </c>
      <c r="E7179" s="15" t="n">
        <f aca="false">B7179/Summary!$B$5-1</f>
        <v>0.0077312934683651</v>
      </c>
    </row>
    <row r="7180" customFormat="false" ht="15" hidden="false" customHeight="false" outlineLevel="0" collapsed="false">
      <c r="A7180" s="0" t="n">
        <v>7179</v>
      </c>
      <c r="B7180" s="14" t="n">
        <v>107599.705795965</v>
      </c>
      <c r="C7180" s="15" t="n">
        <v>0.137583792034106</v>
      </c>
      <c r="D7180" s="14" t="n">
        <f aca="false">Summary!$B$5-B7180</f>
        <v>-7599.70579596479</v>
      </c>
      <c r="E7180" s="15" t="n">
        <f aca="false">B7180/Summary!$B$5-1</f>
        <v>0.0759970579596478</v>
      </c>
    </row>
    <row r="7181" customFormat="false" ht="15" hidden="false" customHeight="false" outlineLevel="0" collapsed="false">
      <c r="A7181" s="0" t="n">
        <v>7180</v>
      </c>
      <c r="B7181" s="14" t="n">
        <v>112784.212066344</v>
      </c>
      <c r="C7181" s="15" t="n">
        <v>0.0756734760481788</v>
      </c>
      <c r="D7181" s="14" t="n">
        <f aca="false">Summary!$B$5-B7181</f>
        <v>-12784.2120663441</v>
      </c>
      <c r="E7181" s="15" t="n">
        <f aca="false">B7181/Summary!$B$5-1</f>
        <v>0.127842120663441</v>
      </c>
    </row>
    <row r="7182" customFormat="false" ht="15" hidden="false" customHeight="false" outlineLevel="0" collapsed="false">
      <c r="A7182" s="0" t="n">
        <v>7181</v>
      </c>
      <c r="B7182" s="14" t="n">
        <v>120399.160879412</v>
      </c>
      <c r="C7182" s="15" t="n">
        <v>0.0496876904994583</v>
      </c>
      <c r="D7182" s="14" t="n">
        <f aca="false">Summary!$B$5-B7182</f>
        <v>-20399.1608794121</v>
      </c>
      <c r="E7182" s="15" t="n">
        <f aca="false">B7182/Summary!$B$5-1</f>
        <v>0.203991608794121</v>
      </c>
    </row>
    <row r="7183" customFormat="false" ht="15" hidden="false" customHeight="false" outlineLevel="0" collapsed="false">
      <c r="A7183" s="0" t="n">
        <v>7182</v>
      </c>
      <c r="B7183" s="14" t="n">
        <v>109290.536593069</v>
      </c>
      <c r="C7183" s="15" t="n">
        <v>0.0804811703321892</v>
      </c>
      <c r="D7183" s="14" t="n">
        <f aca="false">Summary!$B$5-B7183</f>
        <v>-9290.5365930689</v>
      </c>
      <c r="E7183" s="15" t="n">
        <f aca="false">B7183/Summary!$B$5-1</f>
        <v>0.0929053659306891</v>
      </c>
    </row>
    <row r="7184" customFormat="false" ht="15" hidden="false" customHeight="false" outlineLevel="0" collapsed="false">
      <c r="A7184" s="0" t="n">
        <v>7183</v>
      </c>
      <c r="B7184" s="14" t="n">
        <v>107497.624177724</v>
      </c>
      <c r="C7184" s="15" t="n">
        <v>0.104430805616201</v>
      </c>
      <c r="D7184" s="14" t="n">
        <f aca="false">Summary!$B$5-B7184</f>
        <v>-7497.6241777242</v>
      </c>
      <c r="E7184" s="15" t="n">
        <f aca="false">B7184/Summary!$B$5-1</f>
        <v>0.0749762417772419</v>
      </c>
    </row>
    <row r="7185" customFormat="false" ht="15" hidden="false" customHeight="false" outlineLevel="0" collapsed="false">
      <c r="A7185" s="0" t="n">
        <v>7184</v>
      </c>
      <c r="B7185" s="14" t="n">
        <v>93750.183222908</v>
      </c>
      <c r="C7185" s="15" t="n">
        <v>0.139063836013276</v>
      </c>
      <c r="D7185" s="14" t="n">
        <f aca="false">Summary!$B$5-B7185</f>
        <v>6249.816777092</v>
      </c>
      <c r="E7185" s="15" t="n">
        <f aca="false">B7185/Summary!$B$5-1</f>
        <v>-0.06249816777092</v>
      </c>
    </row>
    <row r="7186" customFormat="false" ht="15" hidden="false" customHeight="false" outlineLevel="0" collapsed="false">
      <c r="A7186" s="0" t="n">
        <v>7185</v>
      </c>
      <c r="B7186" s="14" t="n">
        <v>111360.698132451</v>
      </c>
      <c r="C7186" s="15" t="n">
        <v>0.0711437371521908</v>
      </c>
      <c r="D7186" s="14" t="n">
        <f aca="false">Summary!$B$5-B7186</f>
        <v>-11360.6981324506</v>
      </c>
      <c r="E7186" s="15" t="n">
        <f aca="false">B7186/Summary!$B$5-1</f>
        <v>0.113606981324506</v>
      </c>
    </row>
    <row r="7187" customFormat="false" ht="15" hidden="false" customHeight="false" outlineLevel="0" collapsed="false">
      <c r="A7187" s="0" t="n">
        <v>7186</v>
      </c>
      <c r="B7187" s="14" t="n">
        <v>101820.017857891</v>
      </c>
      <c r="C7187" s="15" t="n">
        <v>0.130034660771579</v>
      </c>
      <c r="D7187" s="14" t="n">
        <f aca="false">Summary!$B$5-B7187</f>
        <v>-1820.01785789071</v>
      </c>
      <c r="E7187" s="15" t="n">
        <f aca="false">B7187/Summary!$B$5-1</f>
        <v>0.018200178578907</v>
      </c>
    </row>
    <row r="7188" customFormat="false" ht="15" hidden="false" customHeight="false" outlineLevel="0" collapsed="false">
      <c r="A7188" s="0" t="n">
        <v>7187</v>
      </c>
      <c r="B7188" s="14" t="n">
        <v>108944.672046971</v>
      </c>
      <c r="C7188" s="15" t="n">
        <v>0.105905429024046</v>
      </c>
      <c r="D7188" s="14" t="n">
        <f aca="false">Summary!$B$5-B7188</f>
        <v>-8944.67204697061</v>
      </c>
      <c r="E7188" s="15" t="n">
        <f aca="false">B7188/Summary!$B$5-1</f>
        <v>0.089446720469706</v>
      </c>
    </row>
    <row r="7189" customFormat="false" ht="15" hidden="false" customHeight="false" outlineLevel="0" collapsed="false">
      <c r="A7189" s="0" t="n">
        <v>7188</v>
      </c>
      <c r="B7189" s="14" t="n">
        <v>111578.520148883</v>
      </c>
      <c r="C7189" s="15" t="n">
        <v>0.0765996168449219</v>
      </c>
      <c r="D7189" s="14" t="n">
        <f aca="false">Summary!$B$5-B7189</f>
        <v>-11578.5201488828</v>
      </c>
      <c r="E7189" s="15" t="n">
        <f aca="false">B7189/Summary!$B$5-1</f>
        <v>0.115785201488828</v>
      </c>
    </row>
    <row r="7190" customFormat="false" ht="15" hidden="false" customHeight="false" outlineLevel="0" collapsed="false">
      <c r="A7190" s="0" t="n">
        <v>7189</v>
      </c>
      <c r="B7190" s="14" t="n">
        <v>116539.710970598</v>
      </c>
      <c r="C7190" s="15" t="n">
        <v>0.0744384278274419</v>
      </c>
      <c r="D7190" s="14" t="n">
        <f aca="false">Summary!$B$5-B7190</f>
        <v>-16539.710970598</v>
      </c>
      <c r="E7190" s="15" t="n">
        <f aca="false">B7190/Summary!$B$5-1</f>
        <v>0.16539710970598</v>
      </c>
    </row>
    <row r="7191" customFormat="false" ht="15" hidden="false" customHeight="false" outlineLevel="0" collapsed="false">
      <c r="A7191" s="0" t="n">
        <v>7190</v>
      </c>
      <c r="B7191" s="14" t="n">
        <v>116024.719671413</v>
      </c>
      <c r="C7191" s="15" t="n">
        <v>0.060977599507096</v>
      </c>
      <c r="D7191" s="14" t="n">
        <f aca="false">Summary!$B$5-B7191</f>
        <v>-16024.7196714131</v>
      </c>
      <c r="E7191" s="15" t="n">
        <f aca="false">B7191/Summary!$B$5-1</f>
        <v>0.160247196714131</v>
      </c>
    </row>
    <row r="7192" customFormat="false" ht="15" hidden="false" customHeight="false" outlineLevel="0" collapsed="false">
      <c r="A7192" s="0" t="n">
        <v>7191</v>
      </c>
      <c r="B7192" s="14" t="n">
        <v>108624.156818268</v>
      </c>
      <c r="C7192" s="15" t="n">
        <v>0.058378397347414</v>
      </c>
      <c r="D7192" s="14" t="n">
        <f aca="false">Summary!$B$5-B7192</f>
        <v>-8624.1568182677</v>
      </c>
      <c r="E7192" s="15" t="n">
        <f aca="false">B7192/Summary!$B$5-1</f>
        <v>0.0862415681826769</v>
      </c>
    </row>
    <row r="7193" customFormat="false" ht="15" hidden="false" customHeight="false" outlineLevel="0" collapsed="false">
      <c r="A7193" s="0" t="n">
        <v>7192</v>
      </c>
      <c r="B7193" s="14" t="n">
        <v>116483.707418053</v>
      </c>
      <c r="C7193" s="15" t="n">
        <v>0.067489050808915</v>
      </c>
      <c r="D7193" s="14" t="n">
        <f aca="false">Summary!$B$5-B7193</f>
        <v>-16483.7074180529</v>
      </c>
      <c r="E7193" s="15" t="n">
        <f aca="false">B7193/Summary!$B$5-1</f>
        <v>0.164837074180529</v>
      </c>
    </row>
    <row r="7194" customFormat="false" ht="15" hidden="false" customHeight="false" outlineLevel="0" collapsed="false">
      <c r="A7194" s="0" t="n">
        <v>7193</v>
      </c>
      <c r="B7194" s="14" t="n">
        <v>113686.041253454</v>
      </c>
      <c r="C7194" s="15" t="n">
        <v>0.0507366264771165</v>
      </c>
      <c r="D7194" s="14" t="n">
        <f aca="false">Summary!$B$5-B7194</f>
        <v>-13686.0412534536</v>
      </c>
      <c r="E7194" s="15" t="n">
        <f aca="false">B7194/Summary!$B$5-1</f>
        <v>0.136860412534536</v>
      </c>
    </row>
    <row r="7195" customFormat="false" ht="15" hidden="false" customHeight="false" outlineLevel="0" collapsed="false">
      <c r="A7195" s="0" t="n">
        <v>7194</v>
      </c>
      <c r="B7195" s="14" t="n">
        <v>116295.193761521</v>
      </c>
      <c r="C7195" s="15" t="n">
        <v>0.0965275238940181</v>
      </c>
      <c r="D7195" s="14" t="n">
        <f aca="false">Summary!$B$5-B7195</f>
        <v>-16295.1937615212</v>
      </c>
      <c r="E7195" s="15" t="n">
        <f aca="false">B7195/Summary!$B$5-1</f>
        <v>0.162951937615212</v>
      </c>
    </row>
    <row r="7196" customFormat="false" ht="15" hidden="false" customHeight="false" outlineLevel="0" collapsed="false">
      <c r="A7196" s="0" t="n">
        <v>7195</v>
      </c>
      <c r="B7196" s="14" t="n">
        <v>105338.889913362</v>
      </c>
      <c r="C7196" s="15" t="n">
        <v>0.0782810477053124</v>
      </c>
      <c r="D7196" s="14" t="n">
        <f aca="false">Summary!$B$5-B7196</f>
        <v>-5338.88991336161</v>
      </c>
      <c r="E7196" s="15" t="n">
        <f aca="false">B7196/Summary!$B$5-1</f>
        <v>0.053388899133616</v>
      </c>
    </row>
    <row r="7197" customFormat="false" ht="15" hidden="false" customHeight="false" outlineLevel="0" collapsed="false">
      <c r="A7197" s="0" t="n">
        <v>7196</v>
      </c>
      <c r="B7197" s="14" t="n">
        <v>84603.7106369265</v>
      </c>
      <c r="C7197" s="15" t="n">
        <v>0.163848490129209</v>
      </c>
      <c r="D7197" s="14" t="n">
        <f aca="false">Summary!$B$5-B7197</f>
        <v>15396.2893630735</v>
      </c>
      <c r="E7197" s="15" t="n">
        <f aca="false">B7197/Summary!$B$5-1</f>
        <v>-0.153962893630735</v>
      </c>
    </row>
    <row r="7198" customFormat="false" ht="15" hidden="false" customHeight="false" outlineLevel="0" collapsed="false">
      <c r="A7198" s="0" t="n">
        <v>7197</v>
      </c>
      <c r="B7198" s="14" t="n">
        <v>133639.430270037</v>
      </c>
      <c r="C7198" s="15" t="n">
        <v>0.050697954647287</v>
      </c>
      <c r="D7198" s="14" t="n">
        <f aca="false">Summary!$B$5-B7198</f>
        <v>-33639.4302700373</v>
      </c>
      <c r="E7198" s="15" t="n">
        <f aca="false">B7198/Summary!$B$5-1</f>
        <v>0.336394302700373</v>
      </c>
    </row>
    <row r="7199" customFormat="false" ht="15" hidden="false" customHeight="false" outlineLevel="0" collapsed="false">
      <c r="A7199" s="0" t="n">
        <v>7198</v>
      </c>
      <c r="B7199" s="14" t="n">
        <v>122496.938185244</v>
      </c>
      <c r="C7199" s="15" t="n">
        <v>0.0835044366244365</v>
      </c>
      <c r="D7199" s="14" t="n">
        <f aca="false">Summary!$B$5-B7199</f>
        <v>-22496.9381852442</v>
      </c>
      <c r="E7199" s="15" t="n">
        <f aca="false">B7199/Summary!$B$5-1</f>
        <v>0.224969381852442</v>
      </c>
    </row>
    <row r="7200" customFormat="false" ht="15" hidden="false" customHeight="false" outlineLevel="0" collapsed="false">
      <c r="A7200" s="0" t="n">
        <v>7199</v>
      </c>
      <c r="B7200" s="14" t="n">
        <v>112617.166513544</v>
      </c>
      <c r="C7200" s="15" t="n">
        <v>0.139134016741056</v>
      </c>
      <c r="D7200" s="14" t="n">
        <f aca="false">Summary!$B$5-B7200</f>
        <v>-12617.1665135439</v>
      </c>
      <c r="E7200" s="15" t="n">
        <f aca="false">B7200/Summary!$B$5-1</f>
        <v>0.126171665135439</v>
      </c>
    </row>
    <row r="7201" customFormat="false" ht="15" hidden="false" customHeight="false" outlineLevel="0" collapsed="false">
      <c r="A7201" s="0" t="n">
        <v>7200</v>
      </c>
      <c r="B7201" s="14" t="n">
        <v>118723.637564327</v>
      </c>
      <c r="C7201" s="15" t="n">
        <v>0.0683931439173536</v>
      </c>
      <c r="D7201" s="14" t="n">
        <f aca="false">Summary!$B$5-B7201</f>
        <v>-18723.6375643268</v>
      </c>
      <c r="E7201" s="15" t="n">
        <f aca="false">B7201/Summary!$B$5-1</f>
        <v>0.187236375643268</v>
      </c>
    </row>
    <row r="7202" customFormat="false" ht="15" hidden="false" customHeight="false" outlineLevel="0" collapsed="false">
      <c r="A7202" s="0" t="n">
        <v>7201</v>
      </c>
      <c r="B7202" s="14" t="n">
        <v>108952.704772164</v>
      </c>
      <c r="C7202" s="15" t="n">
        <v>0.0925340808944121</v>
      </c>
      <c r="D7202" s="14" t="n">
        <f aca="false">Summary!$B$5-B7202</f>
        <v>-8952.70477216379</v>
      </c>
      <c r="E7202" s="15" t="n">
        <f aca="false">B7202/Summary!$B$5-1</f>
        <v>0.0895270477216379</v>
      </c>
    </row>
    <row r="7203" customFormat="false" ht="15" hidden="false" customHeight="false" outlineLevel="0" collapsed="false">
      <c r="A7203" s="0" t="n">
        <v>7202</v>
      </c>
      <c r="B7203" s="14" t="n">
        <v>99668.1758034405</v>
      </c>
      <c r="C7203" s="15" t="n">
        <v>0.103223387104433</v>
      </c>
      <c r="D7203" s="14" t="n">
        <f aca="false">Summary!$B$5-B7203</f>
        <v>331.824196559552</v>
      </c>
      <c r="E7203" s="15" t="n">
        <f aca="false">B7203/Summary!$B$5-1</f>
        <v>-0.00331824196559549</v>
      </c>
    </row>
    <row r="7204" customFormat="false" ht="15" hidden="false" customHeight="false" outlineLevel="0" collapsed="false">
      <c r="A7204" s="0" t="n">
        <v>7203</v>
      </c>
      <c r="B7204" s="14" t="n">
        <v>125077.930881014</v>
      </c>
      <c r="C7204" s="15" t="n">
        <v>0.063184570819234</v>
      </c>
      <c r="D7204" s="14" t="n">
        <f aca="false">Summary!$B$5-B7204</f>
        <v>-25077.9308810143</v>
      </c>
      <c r="E7204" s="15" t="n">
        <f aca="false">B7204/Summary!$B$5-1</f>
        <v>0.250779308810143</v>
      </c>
    </row>
    <row r="7205" customFormat="false" ht="15" hidden="false" customHeight="false" outlineLevel="0" collapsed="false">
      <c r="A7205" s="0" t="n">
        <v>7204</v>
      </c>
      <c r="B7205" s="14" t="n">
        <v>107823.978783026</v>
      </c>
      <c r="C7205" s="15" t="n">
        <v>0.0765531423293322</v>
      </c>
      <c r="D7205" s="14" t="n">
        <f aca="false">Summary!$B$5-B7205</f>
        <v>-7823.97878302629</v>
      </c>
      <c r="E7205" s="15" t="n">
        <f aca="false">B7205/Summary!$B$5-1</f>
        <v>0.078239787830263</v>
      </c>
    </row>
    <row r="7206" customFormat="false" ht="15" hidden="false" customHeight="false" outlineLevel="0" collapsed="false">
      <c r="A7206" s="0" t="n">
        <v>7205</v>
      </c>
      <c r="B7206" s="14" t="n">
        <v>115325.082431153</v>
      </c>
      <c r="C7206" s="15" t="n">
        <v>0.0655059762221922</v>
      </c>
      <c r="D7206" s="14" t="n">
        <f aca="false">Summary!$B$5-B7206</f>
        <v>-15325.082431153</v>
      </c>
      <c r="E7206" s="15" t="n">
        <f aca="false">B7206/Summary!$B$5-1</f>
        <v>0.15325082431153</v>
      </c>
    </row>
    <row r="7207" customFormat="false" ht="15" hidden="false" customHeight="false" outlineLevel="0" collapsed="false">
      <c r="A7207" s="0" t="n">
        <v>7206</v>
      </c>
      <c r="B7207" s="14" t="n">
        <v>129723.829459123</v>
      </c>
      <c r="C7207" s="15" t="n">
        <v>0.0671234097157702</v>
      </c>
      <c r="D7207" s="14" t="n">
        <f aca="false">Summary!$B$5-B7207</f>
        <v>-29723.8294591226</v>
      </c>
      <c r="E7207" s="15" t="n">
        <f aca="false">B7207/Summary!$B$5-1</f>
        <v>0.297238294591226</v>
      </c>
    </row>
    <row r="7208" customFormat="false" ht="15" hidden="false" customHeight="false" outlineLevel="0" collapsed="false">
      <c r="A7208" s="0" t="n">
        <v>7207</v>
      </c>
      <c r="B7208" s="14" t="n">
        <v>103931.833666546</v>
      </c>
      <c r="C7208" s="15" t="n">
        <v>0.119770959109294</v>
      </c>
      <c r="D7208" s="14" t="n">
        <f aca="false">Summary!$B$5-B7208</f>
        <v>-3931.8336665458</v>
      </c>
      <c r="E7208" s="15" t="n">
        <f aca="false">B7208/Summary!$B$5-1</f>
        <v>0.0393183366654581</v>
      </c>
    </row>
    <row r="7209" customFormat="false" ht="15" hidden="false" customHeight="false" outlineLevel="0" collapsed="false">
      <c r="A7209" s="0" t="n">
        <v>7208</v>
      </c>
      <c r="B7209" s="14" t="n">
        <v>92632.9217313346</v>
      </c>
      <c r="C7209" s="15" t="n">
        <v>0.152781931012696</v>
      </c>
      <c r="D7209" s="14" t="n">
        <f aca="false">Summary!$B$5-B7209</f>
        <v>7367.07826866541</v>
      </c>
      <c r="E7209" s="15" t="n">
        <f aca="false">B7209/Summary!$B$5-1</f>
        <v>-0.0736707826866542</v>
      </c>
    </row>
    <row r="7210" customFormat="false" ht="15" hidden="false" customHeight="false" outlineLevel="0" collapsed="false">
      <c r="A7210" s="0" t="n">
        <v>7209</v>
      </c>
      <c r="B7210" s="14" t="n">
        <v>86653.5041722286</v>
      </c>
      <c r="C7210" s="15" t="n">
        <v>0.229350471596118</v>
      </c>
      <c r="D7210" s="14" t="n">
        <f aca="false">Summary!$B$5-B7210</f>
        <v>13346.4958277714</v>
      </c>
      <c r="E7210" s="15" t="n">
        <f aca="false">B7210/Summary!$B$5-1</f>
        <v>-0.133464958277714</v>
      </c>
    </row>
    <row r="7211" customFormat="false" ht="15" hidden="false" customHeight="false" outlineLevel="0" collapsed="false">
      <c r="A7211" s="0" t="n">
        <v>7210</v>
      </c>
      <c r="B7211" s="14" t="n">
        <v>101899.662575008</v>
      </c>
      <c r="C7211" s="15" t="n">
        <v>0.105517959054142</v>
      </c>
      <c r="D7211" s="14" t="n">
        <f aca="false">Summary!$B$5-B7211</f>
        <v>-1899.66257500841</v>
      </c>
      <c r="E7211" s="15" t="n">
        <f aca="false">B7211/Summary!$B$5-1</f>
        <v>0.018996625750084</v>
      </c>
    </row>
    <row r="7212" customFormat="false" ht="15" hidden="false" customHeight="false" outlineLevel="0" collapsed="false">
      <c r="A7212" s="0" t="n">
        <v>7211</v>
      </c>
      <c r="B7212" s="14" t="n">
        <v>89334.6765663298</v>
      </c>
      <c r="C7212" s="15" t="n">
        <v>0.200132830332301</v>
      </c>
      <c r="D7212" s="14" t="n">
        <f aca="false">Summary!$B$5-B7212</f>
        <v>10665.3234336702</v>
      </c>
      <c r="E7212" s="15" t="n">
        <f aca="false">B7212/Summary!$B$5-1</f>
        <v>-0.106653234336702</v>
      </c>
    </row>
    <row r="7213" customFormat="false" ht="15" hidden="false" customHeight="false" outlineLevel="0" collapsed="false">
      <c r="A7213" s="0" t="n">
        <v>7212</v>
      </c>
      <c r="B7213" s="14" t="n">
        <v>118556.229180487</v>
      </c>
      <c r="C7213" s="15" t="n">
        <v>0.0859375070744779</v>
      </c>
      <c r="D7213" s="14" t="n">
        <f aca="false">Summary!$B$5-B7213</f>
        <v>-18556.2291804868</v>
      </c>
      <c r="E7213" s="15" t="n">
        <f aca="false">B7213/Summary!$B$5-1</f>
        <v>0.185562291804868</v>
      </c>
    </row>
    <row r="7214" customFormat="false" ht="15" hidden="false" customHeight="false" outlineLevel="0" collapsed="false">
      <c r="A7214" s="0" t="n">
        <v>7213</v>
      </c>
      <c r="B7214" s="14" t="n">
        <v>108982.633716788</v>
      </c>
      <c r="C7214" s="15" t="n">
        <v>0.12972576355397</v>
      </c>
      <c r="D7214" s="14" t="n">
        <f aca="false">Summary!$B$5-B7214</f>
        <v>-8982.6337167875</v>
      </c>
      <c r="E7214" s="15" t="n">
        <f aca="false">B7214/Summary!$B$5-1</f>
        <v>0.0898263371678751</v>
      </c>
    </row>
    <row r="7215" customFormat="false" ht="15" hidden="false" customHeight="false" outlineLevel="0" collapsed="false">
      <c r="A7215" s="0" t="n">
        <v>7214</v>
      </c>
      <c r="B7215" s="14" t="n">
        <v>118511.75757786</v>
      </c>
      <c r="C7215" s="15" t="n">
        <v>0.0785671236340479</v>
      </c>
      <c r="D7215" s="14" t="n">
        <f aca="false">Summary!$B$5-B7215</f>
        <v>-18511.7575778599</v>
      </c>
      <c r="E7215" s="15" t="n">
        <f aca="false">B7215/Summary!$B$5-1</f>
        <v>0.185117575778599</v>
      </c>
    </row>
    <row r="7216" customFormat="false" ht="15" hidden="false" customHeight="false" outlineLevel="0" collapsed="false">
      <c r="A7216" s="0" t="n">
        <v>7215</v>
      </c>
      <c r="B7216" s="14" t="n">
        <v>125502.869081575</v>
      </c>
      <c r="C7216" s="15" t="n">
        <v>0.0815235082580188</v>
      </c>
      <c r="D7216" s="14" t="n">
        <f aca="false">Summary!$B$5-B7216</f>
        <v>-25502.869081575</v>
      </c>
      <c r="E7216" s="15" t="n">
        <f aca="false">B7216/Summary!$B$5-1</f>
        <v>0.25502869081575</v>
      </c>
    </row>
    <row r="7217" customFormat="false" ht="15" hidden="false" customHeight="false" outlineLevel="0" collapsed="false">
      <c r="A7217" s="0" t="n">
        <v>7216</v>
      </c>
      <c r="B7217" s="14" t="n">
        <v>98119.0260873807</v>
      </c>
      <c r="C7217" s="15" t="n">
        <v>0.101730567796046</v>
      </c>
      <c r="D7217" s="14" t="n">
        <f aca="false">Summary!$B$5-B7217</f>
        <v>1880.97391261932</v>
      </c>
      <c r="E7217" s="15" t="n">
        <f aca="false">B7217/Summary!$B$5-1</f>
        <v>-0.0188097391261932</v>
      </c>
    </row>
    <row r="7218" customFormat="false" ht="15" hidden="false" customHeight="false" outlineLevel="0" collapsed="false">
      <c r="A7218" s="0" t="n">
        <v>7217</v>
      </c>
      <c r="B7218" s="14" t="n">
        <v>120918.260474625</v>
      </c>
      <c r="C7218" s="15" t="n">
        <v>0.0863777086861155</v>
      </c>
      <c r="D7218" s="14" t="n">
        <f aca="false">Summary!$B$5-B7218</f>
        <v>-20918.2604746246</v>
      </c>
      <c r="E7218" s="15" t="n">
        <f aca="false">B7218/Summary!$B$5-1</f>
        <v>0.209182604746246</v>
      </c>
    </row>
    <row r="7219" customFormat="false" ht="15" hidden="false" customHeight="false" outlineLevel="0" collapsed="false">
      <c r="A7219" s="0" t="n">
        <v>7218</v>
      </c>
      <c r="B7219" s="14" t="n">
        <v>128156.192523477</v>
      </c>
      <c r="C7219" s="15" t="n">
        <v>0.0685111961776885</v>
      </c>
      <c r="D7219" s="14" t="n">
        <f aca="false">Summary!$B$5-B7219</f>
        <v>-28156.1925234773</v>
      </c>
      <c r="E7219" s="15" t="n">
        <f aca="false">B7219/Summary!$B$5-1</f>
        <v>0.281561925234773</v>
      </c>
    </row>
    <row r="7220" customFormat="false" ht="15" hidden="false" customHeight="false" outlineLevel="0" collapsed="false">
      <c r="A7220" s="0" t="n">
        <v>7219</v>
      </c>
      <c r="B7220" s="14" t="n">
        <v>102243.543020262</v>
      </c>
      <c r="C7220" s="15" t="n">
        <v>0.149991689130571</v>
      </c>
      <c r="D7220" s="14" t="n">
        <f aca="false">Summary!$B$5-B7220</f>
        <v>-2243.543020262</v>
      </c>
      <c r="E7220" s="15" t="n">
        <f aca="false">B7220/Summary!$B$5-1</f>
        <v>0.02243543020262</v>
      </c>
    </row>
    <row r="7221" customFormat="false" ht="15" hidden="false" customHeight="false" outlineLevel="0" collapsed="false">
      <c r="A7221" s="0" t="n">
        <v>7220</v>
      </c>
      <c r="B7221" s="14" t="n">
        <v>102346.134266924</v>
      </c>
      <c r="C7221" s="15" t="n">
        <v>0.0776254226977318</v>
      </c>
      <c r="D7221" s="14" t="n">
        <f aca="false">Summary!$B$5-B7221</f>
        <v>-2346.1342669243</v>
      </c>
      <c r="E7221" s="15" t="n">
        <f aca="false">B7221/Summary!$B$5-1</f>
        <v>0.0234613426692429</v>
      </c>
    </row>
    <row r="7222" customFormat="false" ht="15" hidden="false" customHeight="false" outlineLevel="0" collapsed="false">
      <c r="A7222" s="0" t="n">
        <v>7221</v>
      </c>
      <c r="B7222" s="14" t="n">
        <v>89896.9689372684</v>
      </c>
      <c r="C7222" s="15" t="n">
        <v>0.141703715351853</v>
      </c>
      <c r="D7222" s="14" t="n">
        <f aca="false">Summary!$B$5-B7222</f>
        <v>10103.0310627316</v>
      </c>
      <c r="E7222" s="15" t="n">
        <f aca="false">B7222/Summary!$B$5-1</f>
        <v>-0.101030310627316</v>
      </c>
    </row>
    <row r="7223" customFormat="false" ht="15" hidden="false" customHeight="false" outlineLevel="0" collapsed="false">
      <c r="A7223" s="0" t="n">
        <v>7222</v>
      </c>
      <c r="B7223" s="14" t="n">
        <v>106188.527505605</v>
      </c>
      <c r="C7223" s="15" t="n">
        <v>0.100118819821438</v>
      </c>
      <c r="D7223" s="14" t="n">
        <f aca="false">Summary!$B$5-B7223</f>
        <v>-6188.5275056049</v>
      </c>
      <c r="E7223" s="15" t="n">
        <f aca="false">B7223/Summary!$B$5-1</f>
        <v>0.061885275056049</v>
      </c>
    </row>
    <row r="7224" customFormat="false" ht="15" hidden="false" customHeight="false" outlineLevel="0" collapsed="false">
      <c r="A7224" s="0" t="n">
        <v>7223</v>
      </c>
      <c r="B7224" s="14" t="n">
        <v>91754.8852951999</v>
      </c>
      <c r="C7224" s="15" t="n">
        <v>0.197198575572003</v>
      </c>
      <c r="D7224" s="14" t="n">
        <f aca="false">Summary!$B$5-B7224</f>
        <v>8245.11470480009</v>
      </c>
      <c r="E7224" s="15" t="n">
        <f aca="false">B7224/Summary!$B$5-1</f>
        <v>-0.0824511470480008</v>
      </c>
    </row>
    <row r="7225" customFormat="false" ht="15" hidden="false" customHeight="false" outlineLevel="0" collapsed="false">
      <c r="A7225" s="0" t="n">
        <v>7224</v>
      </c>
      <c r="B7225" s="14" t="n">
        <v>114047.990949035</v>
      </c>
      <c r="C7225" s="15" t="n">
        <v>0.0885511069648013</v>
      </c>
      <c r="D7225" s="14" t="n">
        <f aca="false">Summary!$B$5-B7225</f>
        <v>-14047.9909490346</v>
      </c>
      <c r="E7225" s="15" t="n">
        <f aca="false">B7225/Summary!$B$5-1</f>
        <v>0.140479909490346</v>
      </c>
    </row>
    <row r="7226" customFormat="false" ht="15" hidden="false" customHeight="false" outlineLevel="0" collapsed="false">
      <c r="A7226" s="0" t="n">
        <v>7225</v>
      </c>
      <c r="B7226" s="14" t="n">
        <v>126396.509422058</v>
      </c>
      <c r="C7226" s="15" t="n">
        <v>0.0668594913976939</v>
      </c>
      <c r="D7226" s="14" t="n">
        <f aca="false">Summary!$B$5-B7226</f>
        <v>-26396.5094220583</v>
      </c>
      <c r="E7226" s="15" t="n">
        <f aca="false">B7226/Summary!$B$5-1</f>
        <v>0.263965094220583</v>
      </c>
    </row>
    <row r="7227" customFormat="false" ht="15" hidden="false" customHeight="false" outlineLevel="0" collapsed="false">
      <c r="A7227" s="0" t="n">
        <v>7226</v>
      </c>
      <c r="B7227" s="14" t="n">
        <v>108494.129705683</v>
      </c>
      <c r="C7227" s="15" t="n">
        <v>0.15316647076339</v>
      </c>
      <c r="D7227" s="14" t="n">
        <f aca="false">Summary!$B$5-B7227</f>
        <v>-8494.1297056832</v>
      </c>
      <c r="E7227" s="15" t="n">
        <f aca="false">B7227/Summary!$B$5-1</f>
        <v>0.084941297056832</v>
      </c>
    </row>
    <row r="7228" customFormat="false" ht="15" hidden="false" customHeight="false" outlineLevel="0" collapsed="false">
      <c r="A7228" s="0" t="n">
        <v>7227</v>
      </c>
      <c r="B7228" s="14" t="n">
        <v>98988.4424657617</v>
      </c>
      <c r="C7228" s="15" t="n">
        <v>0.0945497021725265</v>
      </c>
      <c r="D7228" s="14" t="n">
        <f aca="false">Summary!$B$5-B7228</f>
        <v>1011.55753423832</v>
      </c>
      <c r="E7228" s="15" t="n">
        <f aca="false">B7228/Summary!$B$5-1</f>
        <v>-0.0101155753423833</v>
      </c>
    </row>
    <row r="7229" customFormat="false" ht="15" hidden="false" customHeight="false" outlineLevel="0" collapsed="false">
      <c r="A7229" s="0" t="n">
        <v>7228</v>
      </c>
      <c r="B7229" s="14" t="n">
        <v>133026.947118149</v>
      </c>
      <c r="C7229" s="15" t="n">
        <v>0.0483281996397318</v>
      </c>
      <c r="D7229" s="14" t="n">
        <f aca="false">Summary!$B$5-B7229</f>
        <v>-33026.9471181486</v>
      </c>
      <c r="E7229" s="15" t="n">
        <f aca="false">B7229/Summary!$B$5-1</f>
        <v>0.330269471181486</v>
      </c>
    </row>
    <row r="7230" customFormat="false" ht="15" hidden="false" customHeight="false" outlineLevel="0" collapsed="false">
      <c r="A7230" s="0" t="n">
        <v>7229</v>
      </c>
      <c r="B7230" s="14" t="n">
        <v>97983.9952232754</v>
      </c>
      <c r="C7230" s="15" t="n">
        <v>0.112519560596653</v>
      </c>
      <c r="D7230" s="14" t="n">
        <f aca="false">Summary!$B$5-B7230</f>
        <v>2016.00477672464</v>
      </c>
      <c r="E7230" s="15" t="n">
        <f aca="false">B7230/Summary!$B$5-1</f>
        <v>-0.0201600477672464</v>
      </c>
    </row>
    <row r="7231" customFormat="false" ht="15" hidden="false" customHeight="false" outlineLevel="0" collapsed="false">
      <c r="A7231" s="0" t="n">
        <v>7230</v>
      </c>
      <c r="B7231" s="14" t="n">
        <v>108292.627368548</v>
      </c>
      <c r="C7231" s="15" t="n">
        <v>0.0782716705693823</v>
      </c>
      <c r="D7231" s="14" t="n">
        <f aca="false">Summary!$B$5-B7231</f>
        <v>-8292.6273685479</v>
      </c>
      <c r="E7231" s="15" t="n">
        <f aca="false">B7231/Summary!$B$5-1</f>
        <v>0.082926273685479</v>
      </c>
    </row>
    <row r="7232" customFormat="false" ht="15" hidden="false" customHeight="false" outlineLevel="0" collapsed="false">
      <c r="A7232" s="0" t="n">
        <v>7231</v>
      </c>
      <c r="B7232" s="14" t="n">
        <v>117636.120229778</v>
      </c>
      <c r="C7232" s="15" t="n">
        <v>0.0609407049891685</v>
      </c>
      <c r="D7232" s="14" t="n">
        <f aca="false">Summary!$B$5-B7232</f>
        <v>-17636.1202297782</v>
      </c>
      <c r="E7232" s="15" t="n">
        <f aca="false">B7232/Summary!$B$5-1</f>
        <v>0.176361202297782</v>
      </c>
    </row>
    <row r="7233" customFormat="false" ht="15" hidden="false" customHeight="false" outlineLevel="0" collapsed="false">
      <c r="A7233" s="0" t="n">
        <v>7232</v>
      </c>
      <c r="B7233" s="14" t="n">
        <v>89559.1617608782</v>
      </c>
      <c r="C7233" s="15" t="n">
        <v>0.139978061914405</v>
      </c>
      <c r="D7233" s="14" t="n">
        <f aca="false">Summary!$B$5-B7233</f>
        <v>10440.8382391218</v>
      </c>
      <c r="E7233" s="15" t="n">
        <f aca="false">B7233/Summary!$B$5-1</f>
        <v>-0.104408382391218</v>
      </c>
    </row>
    <row r="7234" customFormat="false" ht="15" hidden="false" customHeight="false" outlineLevel="0" collapsed="false">
      <c r="A7234" s="0" t="n">
        <v>7233</v>
      </c>
      <c r="B7234" s="14" t="n">
        <v>89375.0938700828</v>
      </c>
      <c r="C7234" s="15" t="n">
        <v>0.154529796994596</v>
      </c>
      <c r="D7234" s="14" t="n">
        <f aca="false">Summary!$B$5-B7234</f>
        <v>10624.9061299172</v>
      </c>
      <c r="E7234" s="15" t="n">
        <f aca="false">B7234/Summary!$B$5-1</f>
        <v>-0.106249061299172</v>
      </c>
    </row>
    <row r="7235" customFormat="false" ht="15" hidden="false" customHeight="false" outlineLevel="0" collapsed="false">
      <c r="A7235" s="0" t="n">
        <v>7234</v>
      </c>
      <c r="B7235" s="14" t="n">
        <v>89982.6841944184</v>
      </c>
      <c r="C7235" s="15" t="n">
        <v>0.154120146222577</v>
      </c>
      <c r="D7235" s="14" t="n">
        <f aca="false">Summary!$B$5-B7235</f>
        <v>10017.3158055816</v>
      </c>
      <c r="E7235" s="15" t="n">
        <f aca="false">B7235/Summary!$B$5-1</f>
        <v>-0.100173158055816</v>
      </c>
    </row>
    <row r="7236" customFormat="false" ht="15" hidden="false" customHeight="false" outlineLevel="0" collapsed="false">
      <c r="A7236" s="0" t="n">
        <v>7235</v>
      </c>
      <c r="B7236" s="14" t="n">
        <v>97544.0726172922</v>
      </c>
      <c r="C7236" s="15" t="n">
        <v>0.130985738334748</v>
      </c>
      <c r="D7236" s="14" t="n">
        <f aca="false">Summary!$B$5-B7236</f>
        <v>2455.92738270777</v>
      </c>
      <c r="E7236" s="15" t="n">
        <f aca="false">B7236/Summary!$B$5-1</f>
        <v>-0.0245592738270777</v>
      </c>
    </row>
    <row r="7237" customFormat="false" ht="15" hidden="false" customHeight="false" outlineLevel="0" collapsed="false">
      <c r="A7237" s="0" t="n">
        <v>7236</v>
      </c>
      <c r="B7237" s="14" t="n">
        <v>113607.755378893</v>
      </c>
      <c r="C7237" s="15" t="n">
        <v>0.0805353622881837</v>
      </c>
      <c r="D7237" s="14" t="n">
        <f aca="false">Summary!$B$5-B7237</f>
        <v>-13607.7553788926</v>
      </c>
      <c r="E7237" s="15" t="n">
        <f aca="false">B7237/Summary!$B$5-1</f>
        <v>0.136077553788926</v>
      </c>
    </row>
    <row r="7238" customFormat="false" ht="15" hidden="false" customHeight="false" outlineLevel="0" collapsed="false">
      <c r="A7238" s="0" t="n">
        <v>7237</v>
      </c>
      <c r="B7238" s="14" t="n">
        <v>99508.7407122942</v>
      </c>
      <c r="C7238" s="15" t="n">
        <v>0.123872066515109</v>
      </c>
      <c r="D7238" s="14" t="n">
        <f aca="false">Summary!$B$5-B7238</f>
        <v>491.259287705849</v>
      </c>
      <c r="E7238" s="15" t="n">
        <f aca="false">B7238/Summary!$B$5-1</f>
        <v>-0.00491259287705848</v>
      </c>
    </row>
    <row r="7239" customFormat="false" ht="15" hidden="false" customHeight="false" outlineLevel="0" collapsed="false">
      <c r="A7239" s="0" t="n">
        <v>7238</v>
      </c>
      <c r="B7239" s="14" t="n">
        <v>116824.68647742</v>
      </c>
      <c r="C7239" s="15" t="n">
        <v>0.0728465458262516</v>
      </c>
      <c r="D7239" s="14" t="n">
        <f aca="false">Summary!$B$5-B7239</f>
        <v>-16824.6864774197</v>
      </c>
      <c r="E7239" s="15" t="n">
        <f aca="false">B7239/Summary!$B$5-1</f>
        <v>0.168246864774197</v>
      </c>
    </row>
    <row r="7240" customFormat="false" ht="15" hidden="false" customHeight="false" outlineLevel="0" collapsed="false">
      <c r="A7240" s="0" t="n">
        <v>7239</v>
      </c>
      <c r="B7240" s="14" t="n">
        <v>104515.96859805</v>
      </c>
      <c r="C7240" s="15" t="n">
        <v>0.0724304364266112</v>
      </c>
      <c r="D7240" s="14" t="n">
        <f aca="false">Summary!$B$5-B7240</f>
        <v>-4515.9685980497</v>
      </c>
      <c r="E7240" s="15" t="n">
        <f aca="false">B7240/Summary!$B$5-1</f>
        <v>0.045159685980497</v>
      </c>
    </row>
    <row r="7241" customFormat="false" ht="15" hidden="false" customHeight="false" outlineLevel="0" collapsed="false">
      <c r="A7241" s="0" t="n">
        <v>7240</v>
      </c>
      <c r="B7241" s="14" t="n">
        <v>112391.369038035</v>
      </c>
      <c r="C7241" s="15" t="n">
        <v>0.100145426614051</v>
      </c>
      <c r="D7241" s="14" t="n">
        <f aca="false">Summary!$B$5-B7241</f>
        <v>-12391.3690380354</v>
      </c>
      <c r="E7241" s="15" t="n">
        <f aca="false">B7241/Summary!$B$5-1</f>
        <v>0.123913690380354</v>
      </c>
    </row>
    <row r="7242" customFormat="false" ht="15" hidden="false" customHeight="false" outlineLevel="0" collapsed="false">
      <c r="A7242" s="0" t="n">
        <v>7241</v>
      </c>
      <c r="B7242" s="14" t="n">
        <v>91023.2058051898</v>
      </c>
      <c r="C7242" s="15" t="n">
        <v>0.209084423546919</v>
      </c>
      <c r="D7242" s="14" t="n">
        <f aca="false">Summary!$B$5-B7242</f>
        <v>8976.79419481024</v>
      </c>
      <c r="E7242" s="15" t="n">
        <f aca="false">B7242/Summary!$B$5-1</f>
        <v>-0.0897679419481023</v>
      </c>
    </row>
    <row r="7243" customFormat="false" ht="15" hidden="false" customHeight="false" outlineLevel="0" collapsed="false">
      <c r="A7243" s="0" t="n">
        <v>7242</v>
      </c>
      <c r="B7243" s="14" t="n">
        <v>117532.145719422</v>
      </c>
      <c r="C7243" s="15" t="n">
        <v>0.0955057089904647</v>
      </c>
      <c r="D7243" s="14" t="n">
        <f aca="false">Summary!$B$5-B7243</f>
        <v>-17532.1457194217</v>
      </c>
      <c r="E7243" s="15" t="n">
        <f aca="false">B7243/Summary!$B$5-1</f>
        <v>0.175321457194217</v>
      </c>
    </row>
    <row r="7244" customFormat="false" ht="15" hidden="false" customHeight="false" outlineLevel="0" collapsed="false">
      <c r="A7244" s="0" t="n">
        <v>7243</v>
      </c>
      <c r="B7244" s="14" t="n">
        <v>118907.855391092</v>
      </c>
      <c r="C7244" s="15" t="n">
        <v>0.0838320532492409</v>
      </c>
      <c r="D7244" s="14" t="n">
        <f aca="false">Summary!$B$5-B7244</f>
        <v>-18907.855391092</v>
      </c>
      <c r="E7244" s="15" t="n">
        <f aca="false">B7244/Summary!$B$5-1</f>
        <v>0.18907855391092</v>
      </c>
    </row>
    <row r="7245" customFormat="false" ht="15" hidden="false" customHeight="false" outlineLevel="0" collapsed="false">
      <c r="A7245" s="0" t="n">
        <v>7244</v>
      </c>
      <c r="B7245" s="14" t="n">
        <v>106845.03781055</v>
      </c>
      <c r="C7245" s="15" t="n">
        <v>0.132706405466603</v>
      </c>
      <c r="D7245" s="14" t="n">
        <f aca="false">Summary!$B$5-B7245</f>
        <v>-6845.03781054969</v>
      </c>
      <c r="E7245" s="15" t="n">
        <f aca="false">B7245/Summary!$B$5-1</f>
        <v>0.068450378105497</v>
      </c>
    </row>
    <row r="7246" customFormat="false" ht="15" hidden="false" customHeight="false" outlineLevel="0" collapsed="false">
      <c r="A7246" s="0" t="n">
        <v>7245</v>
      </c>
      <c r="B7246" s="14" t="n">
        <v>95934.9383887403</v>
      </c>
      <c r="C7246" s="15" t="n">
        <v>0.135615343450592</v>
      </c>
      <c r="D7246" s="14" t="n">
        <f aca="false">Summary!$B$5-B7246</f>
        <v>4065.06161125973</v>
      </c>
      <c r="E7246" s="15" t="n">
        <f aca="false">B7246/Summary!$B$5-1</f>
        <v>-0.0406506161125974</v>
      </c>
    </row>
    <row r="7247" customFormat="false" ht="15" hidden="false" customHeight="false" outlineLevel="0" collapsed="false">
      <c r="A7247" s="0" t="n">
        <v>7246</v>
      </c>
      <c r="B7247" s="14" t="n">
        <v>96564.6423447544</v>
      </c>
      <c r="C7247" s="15" t="n">
        <v>0.17918684004871</v>
      </c>
      <c r="D7247" s="14" t="n">
        <f aca="false">Summary!$B$5-B7247</f>
        <v>3435.35765524564</v>
      </c>
      <c r="E7247" s="15" t="n">
        <f aca="false">B7247/Summary!$B$5-1</f>
        <v>-0.0343535765524564</v>
      </c>
    </row>
    <row r="7248" customFormat="false" ht="15" hidden="false" customHeight="false" outlineLevel="0" collapsed="false">
      <c r="A7248" s="0" t="n">
        <v>7247</v>
      </c>
      <c r="B7248" s="14" t="n">
        <v>106954.372326073</v>
      </c>
      <c r="C7248" s="15" t="n">
        <v>0.116804040073291</v>
      </c>
      <c r="D7248" s="14" t="n">
        <f aca="false">Summary!$B$5-B7248</f>
        <v>-6954.3723260726</v>
      </c>
      <c r="E7248" s="15" t="n">
        <f aca="false">B7248/Summary!$B$5-1</f>
        <v>0.0695437232607259</v>
      </c>
    </row>
    <row r="7249" customFormat="false" ht="15" hidden="false" customHeight="false" outlineLevel="0" collapsed="false">
      <c r="A7249" s="0" t="n">
        <v>7248</v>
      </c>
      <c r="B7249" s="14" t="n">
        <v>103708.319647266</v>
      </c>
      <c r="C7249" s="15" t="n">
        <v>0.163611862534629</v>
      </c>
      <c r="D7249" s="14" t="n">
        <f aca="false">Summary!$B$5-B7249</f>
        <v>-3708.3196472656</v>
      </c>
      <c r="E7249" s="15" t="n">
        <f aca="false">B7249/Summary!$B$5-1</f>
        <v>0.0370831964726559</v>
      </c>
    </row>
    <row r="7250" customFormat="false" ht="15" hidden="false" customHeight="false" outlineLevel="0" collapsed="false">
      <c r="A7250" s="0" t="n">
        <v>7249</v>
      </c>
      <c r="B7250" s="14" t="n">
        <v>98158.1741163274</v>
      </c>
      <c r="C7250" s="15" t="n">
        <v>0.108089359377366</v>
      </c>
      <c r="D7250" s="14" t="n">
        <f aca="false">Summary!$B$5-B7250</f>
        <v>1841.82588367263</v>
      </c>
      <c r="E7250" s="15" t="n">
        <f aca="false">B7250/Summary!$B$5-1</f>
        <v>-0.0184182588367263</v>
      </c>
    </row>
    <row r="7251" customFormat="false" ht="15" hidden="false" customHeight="false" outlineLevel="0" collapsed="false">
      <c r="A7251" s="0" t="n">
        <v>7250</v>
      </c>
      <c r="B7251" s="14" t="n">
        <v>126658.853866398</v>
      </c>
      <c r="C7251" s="15" t="n">
        <v>0.0601655945633184</v>
      </c>
      <c r="D7251" s="14" t="n">
        <f aca="false">Summary!$B$5-B7251</f>
        <v>-26658.8538663978</v>
      </c>
      <c r="E7251" s="15" t="n">
        <f aca="false">B7251/Summary!$B$5-1</f>
        <v>0.266588538663978</v>
      </c>
    </row>
    <row r="7252" customFormat="false" ht="15" hidden="false" customHeight="false" outlineLevel="0" collapsed="false">
      <c r="A7252" s="0" t="n">
        <v>7251</v>
      </c>
      <c r="B7252" s="14" t="n">
        <v>91089.8100288063</v>
      </c>
      <c r="C7252" s="15" t="n">
        <v>0.181198639159941</v>
      </c>
      <c r="D7252" s="14" t="n">
        <f aca="false">Summary!$B$5-B7252</f>
        <v>8910.18997119366</v>
      </c>
      <c r="E7252" s="15" t="n">
        <f aca="false">B7252/Summary!$B$5-1</f>
        <v>-0.0891018997119366</v>
      </c>
    </row>
    <row r="7253" customFormat="false" ht="15" hidden="false" customHeight="false" outlineLevel="0" collapsed="false">
      <c r="A7253" s="0" t="n">
        <v>7252</v>
      </c>
      <c r="B7253" s="14" t="n">
        <v>123186.250968365</v>
      </c>
      <c r="C7253" s="15" t="n">
        <v>0.052815105693693</v>
      </c>
      <c r="D7253" s="14" t="n">
        <f aca="false">Summary!$B$5-B7253</f>
        <v>-23186.2509683649</v>
      </c>
      <c r="E7253" s="15" t="n">
        <f aca="false">B7253/Summary!$B$5-1</f>
        <v>0.231862509683649</v>
      </c>
    </row>
    <row r="7254" customFormat="false" ht="15" hidden="false" customHeight="false" outlineLevel="0" collapsed="false">
      <c r="A7254" s="0" t="n">
        <v>7253</v>
      </c>
      <c r="B7254" s="14" t="n">
        <v>90493.2344376583</v>
      </c>
      <c r="C7254" s="15" t="n">
        <v>0.13531714877483</v>
      </c>
      <c r="D7254" s="14" t="n">
        <f aca="false">Summary!$B$5-B7254</f>
        <v>9506.76556234172</v>
      </c>
      <c r="E7254" s="15" t="n">
        <f aca="false">B7254/Summary!$B$5-1</f>
        <v>-0.0950676556234172</v>
      </c>
    </row>
    <row r="7255" customFormat="false" ht="15" hidden="false" customHeight="false" outlineLevel="0" collapsed="false">
      <c r="A7255" s="0" t="n">
        <v>7254</v>
      </c>
      <c r="B7255" s="14" t="n">
        <v>90883.7151859939</v>
      </c>
      <c r="C7255" s="15" t="n">
        <v>0.12789223936274</v>
      </c>
      <c r="D7255" s="14" t="n">
        <f aca="false">Summary!$B$5-B7255</f>
        <v>9116.28481400615</v>
      </c>
      <c r="E7255" s="15" t="n">
        <f aca="false">B7255/Summary!$B$5-1</f>
        <v>-0.0911628481400616</v>
      </c>
    </row>
    <row r="7256" customFormat="false" ht="15" hidden="false" customHeight="false" outlineLevel="0" collapsed="false">
      <c r="A7256" s="0" t="n">
        <v>7255</v>
      </c>
      <c r="B7256" s="14" t="n">
        <v>106997.088865528</v>
      </c>
      <c r="C7256" s="15" t="n">
        <v>0.0820427363788125</v>
      </c>
      <c r="D7256" s="14" t="n">
        <f aca="false">Summary!$B$5-B7256</f>
        <v>-6997.0888655278</v>
      </c>
      <c r="E7256" s="15" t="n">
        <f aca="false">B7256/Summary!$B$5-1</f>
        <v>0.0699708886552779</v>
      </c>
    </row>
    <row r="7257" customFormat="false" ht="15" hidden="false" customHeight="false" outlineLevel="0" collapsed="false">
      <c r="A7257" s="0" t="n">
        <v>7256</v>
      </c>
      <c r="B7257" s="14" t="n">
        <v>92818.9168623983</v>
      </c>
      <c r="C7257" s="15" t="n">
        <v>0.160909756858534</v>
      </c>
      <c r="D7257" s="14" t="n">
        <f aca="false">Summary!$B$5-B7257</f>
        <v>7181.08313760167</v>
      </c>
      <c r="E7257" s="15" t="n">
        <f aca="false">B7257/Summary!$B$5-1</f>
        <v>-0.0718108313760167</v>
      </c>
    </row>
    <row r="7258" customFormat="false" ht="15" hidden="false" customHeight="false" outlineLevel="0" collapsed="false">
      <c r="A7258" s="0" t="n">
        <v>7257</v>
      </c>
      <c r="B7258" s="14" t="n">
        <v>114861.897131294</v>
      </c>
      <c r="C7258" s="15" t="n">
        <v>0.105677034351279</v>
      </c>
      <c r="D7258" s="14" t="n">
        <f aca="false">Summary!$B$5-B7258</f>
        <v>-14861.8971312937</v>
      </c>
      <c r="E7258" s="15" t="n">
        <f aca="false">B7258/Summary!$B$5-1</f>
        <v>0.148618971312937</v>
      </c>
    </row>
    <row r="7259" customFormat="false" ht="15" hidden="false" customHeight="false" outlineLevel="0" collapsed="false">
      <c r="A7259" s="0" t="n">
        <v>7258</v>
      </c>
      <c r="B7259" s="14" t="n">
        <v>108291.7093561</v>
      </c>
      <c r="C7259" s="15" t="n">
        <v>0.0969995793338487</v>
      </c>
      <c r="D7259" s="14" t="n">
        <f aca="false">Summary!$B$5-B7259</f>
        <v>-8291.70935609991</v>
      </c>
      <c r="E7259" s="15" t="n">
        <f aca="false">B7259/Summary!$B$5-1</f>
        <v>0.0829170935609991</v>
      </c>
    </row>
    <row r="7260" customFormat="false" ht="15" hidden="false" customHeight="false" outlineLevel="0" collapsed="false">
      <c r="A7260" s="0" t="n">
        <v>7259</v>
      </c>
      <c r="B7260" s="14" t="n">
        <v>100788.416169423</v>
      </c>
      <c r="C7260" s="15" t="n">
        <v>0.101659731088411</v>
      </c>
      <c r="D7260" s="14" t="n">
        <f aca="false">Summary!$B$5-B7260</f>
        <v>-788.416169423101</v>
      </c>
      <c r="E7260" s="15" t="n">
        <f aca="false">B7260/Summary!$B$5-1</f>
        <v>0.0078841616942309</v>
      </c>
    </row>
    <row r="7261" customFormat="false" ht="15" hidden="false" customHeight="false" outlineLevel="0" collapsed="false">
      <c r="A7261" s="0" t="n">
        <v>7260</v>
      </c>
      <c r="B7261" s="14" t="n">
        <v>106812.521695303</v>
      </c>
      <c r="C7261" s="15" t="n">
        <v>0.0972979831681505</v>
      </c>
      <c r="D7261" s="14" t="n">
        <f aca="false">Summary!$B$5-B7261</f>
        <v>-6812.5216953026</v>
      </c>
      <c r="E7261" s="15" t="n">
        <f aca="false">B7261/Summary!$B$5-1</f>
        <v>0.068125216953026</v>
      </c>
    </row>
    <row r="7262" customFormat="false" ht="15" hidden="false" customHeight="false" outlineLevel="0" collapsed="false">
      <c r="A7262" s="0" t="n">
        <v>7261</v>
      </c>
      <c r="B7262" s="14" t="n">
        <v>94670.136172449</v>
      </c>
      <c r="C7262" s="15" t="n">
        <v>0.105004523699352</v>
      </c>
      <c r="D7262" s="14" t="n">
        <f aca="false">Summary!$B$5-B7262</f>
        <v>5329.86382755099</v>
      </c>
      <c r="E7262" s="15" t="n">
        <f aca="false">B7262/Summary!$B$5-1</f>
        <v>-0.0532986382755098</v>
      </c>
    </row>
    <row r="7263" customFormat="false" ht="15" hidden="false" customHeight="false" outlineLevel="0" collapsed="false">
      <c r="A7263" s="0" t="n">
        <v>7262</v>
      </c>
      <c r="B7263" s="14" t="n">
        <v>112115.580347482</v>
      </c>
      <c r="C7263" s="15" t="n">
        <v>0.0599933865894731</v>
      </c>
      <c r="D7263" s="14" t="n">
        <f aca="false">Summary!$B$5-B7263</f>
        <v>-12115.5803474815</v>
      </c>
      <c r="E7263" s="15" t="n">
        <f aca="false">B7263/Summary!$B$5-1</f>
        <v>0.121155803474815</v>
      </c>
    </row>
    <row r="7264" customFormat="false" ht="15" hidden="false" customHeight="false" outlineLevel="0" collapsed="false">
      <c r="A7264" s="0" t="n">
        <v>7263</v>
      </c>
      <c r="B7264" s="14" t="n">
        <v>123378.339818466</v>
      </c>
      <c r="C7264" s="15" t="n">
        <v>0.076388268657386</v>
      </c>
      <c r="D7264" s="14" t="n">
        <f aca="false">Summary!$B$5-B7264</f>
        <v>-23378.3398184658</v>
      </c>
      <c r="E7264" s="15" t="n">
        <f aca="false">B7264/Summary!$B$5-1</f>
        <v>0.233783398184658</v>
      </c>
    </row>
    <row r="7265" customFormat="false" ht="15" hidden="false" customHeight="false" outlineLevel="0" collapsed="false">
      <c r="A7265" s="0" t="n">
        <v>7264</v>
      </c>
      <c r="B7265" s="14" t="n">
        <v>98481.1348134563</v>
      </c>
      <c r="C7265" s="15" t="n">
        <v>0.139272374133992</v>
      </c>
      <c r="D7265" s="14" t="n">
        <f aca="false">Summary!$B$5-B7265</f>
        <v>1518.86518654367</v>
      </c>
      <c r="E7265" s="15" t="n">
        <f aca="false">B7265/Summary!$B$5-1</f>
        <v>-0.0151886518654367</v>
      </c>
    </row>
    <row r="7266" customFormat="false" ht="15" hidden="false" customHeight="false" outlineLevel="0" collapsed="false">
      <c r="A7266" s="0" t="n">
        <v>7265</v>
      </c>
      <c r="B7266" s="14" t="n">
        <v>111083.877413562</v>
      </c>
      <c r="C7266" s="15" t="n">
        <v>0.0674329237757758</v>
      </c>
      <c r="D7266" s="14" t="n">
        <f aca="false">Summary!$B$5-B7266</f>
        <v>-11083.8774135617</v>
      </c>
      <c r="E7266" s="15" t="n">
        <f aca="false">B7266/Summary!$B$5-1</f>
        <v>0.110838774135617</v>
      </c>
    </row>
    <row r="7267" customFormat="false" ht="15" hidden="false" customHeight="false" outlineLevel="0" collapsed="false">
      <c r="A7267" s="0" t="n">
        <v>7266</v>
      </c>
      <c r="B7267" s="14" t="n">
        <v>122670.319263574</v>
      </c>
      <c r="C7267" s="15" t="n">
        <v>0.0740416134919884</v>
      </c>
      <c r="D7267" s="14" t="n">
        <f aca="false">Summary!$B$5-B7267</f>
        <v>-22670.3192635743</v>
      </c>
      <c r="E7267" s="15" t="n">
        <f aca="false">B7267/Summary!$B$5-1</f>
        <v>0.226703192635743</v>
      </c>
    </row>
    <row r="7268" customFormat="false" ht="15" hidden="false" customHeight="false" outlineLevel="0" collapsed="false">
      <c r="A7268" s="0" t="n">
        <v>7267</v>
      </c>
      <c r="B7268" s="14" t="n">
        <v>106218.058338177</v>
      </c>
      <c r="C7268" s="15" t="n">
        <v>0.0754629445835444</v>
      </c>
      <c r="D7268" s="14" t="n">
        <f aca="false">Summary!$B$5-B7268</f>
        <v>-6218.0583381765</v>
      </c>
      <c r="E7268" s="15" t="n">
        <f aca="false">B7268/Summary!$B$5-1</f>
        <v>0.062180583381765</v>
      </c>
    </row>
    <row r="7269" customFormat="false" ht="15" hidden="false" customHeight="false" outlineLevel="0" collapsed="false">
      <c r="A7269" s="0" t="n">
        <v>7268</v>
      </c>
      <c r="B7269" s="14" t="n">
        <v>105119.674355081</v>
      </c>
      <c r="C7269" s="15" t="n">
        <v>0.11269461397886</v>
      </c>
      <c r="D7269" s="14" t="n">
        <f aca="false">Summary!$B$5-B7269</f>
        <v>-5119.67435508101</v>
      </c>
      <c r="E7269" s="15" t="n">
        <f aca="false">B7269/Summary!$B$5-1</f>
        <v>0.0511967435508101</v>
      </c>
    </row>
    <row r="7270" customFormat="false" ht="15" hidden="false" customHeight="false" outlineLevel="0" collapsed="false">
      <c r="A7270" s="0" t="n">
        <v>7269</v>
      </c>
      <c r="B7270" s="14" t="n">
        <v>103021.472131984</v>
      </c>
      <c r="C7270" s="15" t="n">
        <v>0.105112189819871</v>
      </c>
      <c r="D7270" s="14" t="n">
        <f aca="false">Summary!$B$5-B7270</f>
        <v>-3021.4721319839</v>
      </c>
      <c r="E7270" s="15" t="n">
        <f aca="false">B7270/Summary!$B$5-1</f>
        <v>0.0302147213198389</v>
      </c>
    </row>
    <row r="7271" customFormat="false" ht="15" hidden="false" customHeight="false" outlineLevel="0" collapsed="false">
      <c r="A7271" s="0" t="n">
        <v>7270</v>
      </c>
      <c r="B7271" s="14" t="n">
        <v>105454.971909374</v>
      </c>
      <c r="C7271" s="15" t="n">
        <v>0.0921600160398567</v>
      </c>
      <c r="D7271" s="14" t="n">
        <f aca="false">Summary!$B$5-B7271</f>
        <v>-5454.97190937361</v>
      </c>
      <c r="E7271" s="15" t="n">
        <f aca="false">B7271/Summary!$B$5-1</f>
        <v>0.0545497190937361</v>
      </c>
    </row>
    <row r="7272" customFormat="false" ht="15" hidden="false" customHeight="false" outlineLevel="0" collapsed="false">
      <c r="A7272" s="0" t="n">
        <v>7271</v>
      </c>
      <c r="B7272" s="14" t="n">
        <v>102974.292639097</v>
      </c>
      <c r="C7272" s="15" t="n">
        <v>0.0915639016879216</v>
      </c>
      <c r="D7272" s="14" t="n">
        <f aca="false">Summary!$B$5-B7272</f>
        <v>-2974.2926390966</v>
      </c>
      <c r="E7272" s="15" t="n">
        <f aca="false">B7272/Summary!$B$5-1</f>
        <v>0.0297429263909661</v>
      </c>
    </row>
    <row r="7273" customFormat="false" ht="15" hidden="false" customHeight="false" outlineLevel="0" collapsed="false">
      <c r="A7273" s="0" t="n">
        <v>7272</v>
      </c>
      <c r="B7273" s="14" t="n">
        <v>136913.30520047</v>
      </c>
      <c r="C7273" s="15" t="n">
        <v>0.0602300075803062</v>
      </c>
      <c r="D7273" s="14" t="n">
        <f aca="false">Summary!$B$5-B7273</f>
        <v>-36913.3052004696</v>
      </c>
      <c r="E7273" s="15" t="n">
        <f aca="false">B7273/Summary!$B$5-1</f>
        <v>0.369133052004696</v>
      </c>
    </row>
    <row r="7274" customFormat="false" ht="15" hidden="false" customHeight="false" outlineLevel="0" collapsed="false">
      <c r="A7274" s="0" t="n">
        <v>7273</v>
      </c>
      <c r="B7274" s="14" t="n">
        <v>107207.109997058</v>
      </c>
      <c r="C7274" s="15" t="n">
        <v>0.0895489435218217</v>
      </c>
      <c r="D7274" s="14" t="n">
        <f aca="false">Summary!$B$5-B7274</f>
        <v>-7207.1099970583</v>
      </c>
      <c r="E7274" s="15" t="n">
        <f aca="false">B7274/Summary!$B$5-1</f>
        <v>0.0720710999705829</v>
      </c>
    </row>
    <row r="7275" customFormat="false" ht="15" hidden="false" customHeight="false" outlineLevel="0" collapsed="false">
      <c r="A7275" s="0" t="n">
        <v>7274</v>
      </c>
      <c r="B7275" s="14" t="n">
        <v>133450.400868207</v>
      </c>
      <c r="C7275" s="15" t="n">
        <v>0.0589612098243583</v>
      </c>
      <c r="D7275" s="14" t="n">
        <f aca="false">Summary!$B$5-B7275</f>
        <v>-33450.4008682069</v>
      </c>
      <c r="E7275" s="15" t="n">
        <f aca="false">B7275/Summary!$B$5-1</f>
        <v>0.334504008682069</v>
      </c>
    </row>
    <row r="7276" customFormat="false" ht="15" hidden="false" customHeight="false" outlineLevel="0" collapsed="false">
      <c r="A7276" s="0" t="n">
        <v>7275</v>
      </c>
      <c r="B7276" s="14" t="n">
        <v>90188.490201556</v>
      </c>
      <c r="C7276" s="15" t="n">
        <v>0.192454485106153</v>
      </c>
      <c r="D7276" s="14" t="n">
        <f aca="false">Summary!$B$5-B7276</f>
        <v>9811.50979844396</v>
      </c>
      <c r="E7276" s="15" t="n">
        <f aca="false">B7276/Summary!$B$5-1</f>
        <v>-0.0981150979844396</v>
      </c>
    </row>
    <row r="7277" customFormat="false" ht="15" hidden="false" customHeight="false" outlineLevel="0" collapsed="false">
      <c r="A7277" s="0" t="n">
        <v>7276</v>
      </c>
      <c r="B7277" s="14" t="n">
        <v>110241.459131369</v>
      </c>
      <c r="C7277" s="15" t="n">
        <v>0.127737348545447</v>
      </c>
      <c r="D7277" s="14" t="n">
        <f aca="false">Summary!$B$5-B7277</f>
        <v>-10241.4591313691</v>
      </c>
      <c r="E7277" s="15" t="n">
        <f aca="false">B7277/Summary!$B$5-1</f>
        <v>0.102414591313691</v>
      </c>
    </row>
    <row r="7278" customFormat="false" ht="15" hidden="false" customHeight="false" outlineLevel="0" collapsed="false">
      <c r="A7278" s="0" t="n">
        <v>7277</v>
      </c>
      <c r="B7278" s="14" t="n">
        <v>97500.6285488441</v>
      </c>
      <c r="C7278" s="15" t="n">
        <v>0.0797778379712831</v>
      </c>
      <c r="D7278" s="14" t="n">
        <f aca="false">Summary!$B$5-B7278</f>
        <v>2499.37145115594</v>
      </c>
      <c r="E7278" s="15" t="n">
        <f aca="false">B7278/Summary!$B$5-1</f>
        <v>-0.0249937145115594</v>
      </c>
    </row>
    <row r="7279" customFormat="false" ht="15" hidden="false" customHeight="false" outlineLevel="0" collapsed="false">
      <c r="A7279" s="0" t="n">
        <v>7278</v>
      </c>
      <c r="B7279" s="14" t="n">
        <v>95053.6906772418</v>
      </c>
      <c r="C7279" s="15" t="n">
        <v>0.170845020420639</v>
      </c>
      <c r="D7279" s="14" t="n">
        <f aca="false">Summary!$B$5-B7279</f>
        <v>4946.30932275817</v>
      </c>
      <c r="E7279" s="15" t="n">
        <f aca="false">B7279/Summary!$B$5-1</f>
        <v>-0.0494630932275817</v>
      </c>
    </row>
    <row r="7280" customFormat="false" ht="15" hidden="false" customHeight="false" outlineLevel="0" collapsed="false">
      <c r="A7280" s="0" t="n">
        <v>7279</v>
      </c>
      <c r="B7280" s="14" t="n">
        <v>114952.174493165</v>
      </c>
      <c r="C7280" s="15" t="n">
        <v>0.0804498234608534</v>
      </c>
      <c r="D7280" s="14" t="n">
        <f aca="false">Summary!$B$5-B7280</f>
        <v>-14952.1744931651</v>
      </c>
      <c r="E7280" s="15" t="n">
        <f aca="false">B7280/Summary!$B$5-1</f>
        <v>0.149521744931651</v>
      </c>
    </row>
    <row r="7281" customFormat="false" ht="15" hidden="false" customHeight="false" outlineLevel="0" collapsed="false">
      <c r="A7281" s="0" t="n">
        <v>7280</v>
      </c>
      <c r="B7281" s="14" t="n">
        <v>113244.428223148</v>
      </c>
      <c r="C7281" s="15" t="n">
        <v>0.0739853331305699</v>
      </c>
      <c r="D7281" s="14" t="n">
        <f aca="false">Summary!$B$5-B7281</f>
        <v>-13244.4282231481</v>
      </c>
      <c r="E7281" s="15" t="n">
        <f aca="false">B7281/Summary!$B$5-1</f>
        <v>0.132444282231481</v>
      </c>
    </row>
    <row r="7282" customFormat="false" ht="15" hidden="false" customHeight="false" outlineLevel="0" collapsed="false">
      <c r="A7282" s="0" t="n">
        <v>7281</v>
      </c>
      <c r="B7282" s="14" t="n">
        <v>96044.0734605295</v>
      </c>
      <c r="C7282" s="15" t="n">
        <v>0.0925636372079123</v>
      </c>
      <c r="D7282" s="14" t="n">
        <f aca="false">Summary!$B$5-B7282</f>
        <v>3955.92653947054</v>
      </c>
      <c r="E7282" s="15" t="n">
        <f aca="false">B7282/Summary!$B$5-1</f>
        <v>-0.0395592653947054</v>
      </c>
    </row>
    <row r="7283" customFormat="false" ht="15" hidden="false" customHeight="false" outlineLevel="0" collapsed="false">
      <c r="A7283" s="0" t="n">
        <v>7282</v>
      </c>
      <c r="B7283" s="14" t="n">
        <v>120844.242316278</v>
      </c>
      <c r="C7283" s="15" t="n">
        <v>0.085968820753785</v>
      </c>
      <c r="D7283" s="14" t="n">
        <f aca="false">Summary!$B$5-B7283</f>
        <v>-20844.2423162784</v>
      </c>
      <c r="E7283" s="15" t="n">
        <f aca="false">B7283/Summary!$B$5-1</f>
        <v>0.208442423162784</v>
      </c>
    </row>
    <row r="7284" customFormat="false" ht="15" hidden="false" customHeight="false" outlineLevel="0" collapsed="false">
      <c r="A7284" s="0" t="n">
        <v>7283</v>
      </c>
      <c r="B7284" s="14" t="n">
        <v>97784.7482287303</v>
      </c>
      <c r="C7284" s="15" t="n">
        <v>0.106954997287155</v>
      </c>
      <c r="D7284" s="14" t="n">
        <f aca="false">Summary!$B$5-B7284</f>
        <v>2215.25177126966</v>
      </c>
      <c r="E7284" s="15" t="n">
        <f aca="false">B7284/Summary!$B$5-1</f>
        <v>-0.0221525177126966</v>
      </c>
    </row>
    <row r="7285" customFormat="false" ht="15" hidden="false" customHeight="false" outlineLevel="0" collapsed="false">
      <c r="A7285" s="0" t="n">
        <v>7284</v>
      </c>
      <c r="B7285" s="14" t="n">
        <v>88062.8604336113</v>
      </c>
      <c r="C7285" s="15" t="n">
        <v>0.245962066683273</v>
      </c>
      <c r="D7285" s="14" t="n">
        <f aca="false">Summary!$B$5-B7285</f>
        <v>11937.1395663887</v>
      </c>
      <c r="E7285" s="15" t="n">
        <f aca="false">B7285/Summary!$B$5-1</f>
        <v>-0.119371395663887</v>
      </c>
    </row>
    <row r="7286" customFormat="false" ht="15" hidden="false" customHeight="false" outlineLevel="0" collapsed="false">
      <c r="A7286" s="0" t="n">
        <v>7285</v>
      </c>
      <c r="B7286" s="14" t="n">
        <v>120391.17703048</v>
      </c>
      <c r="C7286" s="15" t="n">
        <v>0.0772814547222435</v>
      </c>
      <c r="D7286" s="14" t="n">
        <f aca="false">Summary!$B$5-B7286</f>
        <v>-20391.1770304798</v>
      </c>
      <c r="E7286" s="15" t="n">
        <f aca="false">B7286/Summary!$B$5-1</f>
        <v>0.203911770304798</v>
      </c>
    </row>
    <row r="7287" customFormat="false" ht="15" hidden="false" customHeight="false" outlineLevel="0" collapsed="false">
      <c r="A7287" s="0" t="n">
        <v>7286</v>
      </c>
      <c r="B7287" s="14" t="n">
        <v>115430.284429833</v>
      </c>
      <c r="C7287" s="15" t="n">
        <v>0.0891870013947056</v>
      </c>
      <c r="D7287" s="14" t="n">
        <f aca="false">Summary!$B$5-B7287</f>
        <v>-15430.2844298334</v>
      </c>
      <c r="E7287" s="15" t="n">
        <f aca="false">B7287/Summary!$B$5-1</f>
        <v>0.154302844298334</v>
      </c>
    </row>
    <row r="7288" customFormat="false" ht="15" hidden="false" customHeight="false" outlineLevel="0" collapsed="false">
      <c r="A7288" s="0" t="n">
        <v>7287</v>
      </c>
      <c r="B7288" s="14" t="n">
        <v>110370.514922178</v>
      </c>
      <c r="C7288" s="15" t="n">
        <v>0.0731635617765235</v>
      </c>
      <c r="D7288" s="14" t="n">
        <f aca="false">Summary!$B$5-B7288</f>
        <v>-10370.5149221783</v>
      </c>
      <c r="E7288" s="15" t="n">
        <f aca="false">B7288/Summary!$B$5-1</f>
        <v>0.103705149221783</v>
      </c>
    </row>
    <row r="7289" customFormat="false" ht="15" hidden="false" customHeight="false" outlineLevel="0" collapsed="false">
      <c r="A7289" s="0" t="n">
        <v>7288</v>
      </c>
      <c r="B7289" s="14" t="n">
        <v>103504.75690353</v>
      </c>
      <c r="C7289" s="15" t="n">
        <v>0.119521188985735</v>
      </c>
      <c r="D7289" s="14" t="n">
        <f aca="false">Summary!$B$5-B7289</f>
        <v>-3504.75690352989</v>
      </c>
      <c r="E7289" s="15" t="n">
        <f aca="false">B7289/Summary!$B$5-1</f>
        <v>0.0350475690352989</v>
      </c>
    </row>
    <row r="7290" customFormat="false" ht="15" hidden="false" customHeight="false" outlineLevel="0" collapsed="false">
      <c r="A7290" s="0" t="n">
        <v>7289</v>
      </c>
      <c r="B7290" s="14" t="n">
        <v>97229.8895557099</v>
      </c>
      <c r="C7290" s="15" t="n">
        <v>0.0745333092586585</v>
      </c>
      <c r="D7290" s="14" t="n">
        <f aca="false">Summary!$B$5-B7290</f>
        <v>2770.1104442901</v>
      </c>
      <c r="E7290" s="15" t="n">
        <f aca="false">B7290/Summary!$B$5-1</f>
        <v>-0.027701104442901</v>
      </c>
    </row>
    <row r="7291" customFormat="false" ht="15" hidden="false" customHeight="false" outlineLevel="0" collapsed="false">
      <c r="A7291" s="0" t="n">
        <v>7290</v>
      </c>
      <c r="B7291" s="14" t="n">
        <v>114840.691045615</v>
      </c>
      <c r="C7291" s="15" t="n">
        <v>0.086231503657754</v>
      </c>
      <c r="D7291" s="14" t="n">
        <f aca="false">Summary!$B$5-B7291</f>
        <v>-14840.6910456151</v>
      </c>
      <c r="E7291" s="15" t="n">
        <f aca="false">B7291/Summary!$B$5-1</f>
        <v>0.148406910456151</v>
      </c>
    </row>
    <row r="7292" customFormat="false" ht="15" hidden="false" customHeight="false" outlineLevel="0" collapsed="false">
      <c r="A7292" s="0" t="n">
        <v>7291</v>
      </c>
      <c r="B7292" s="14" t="n">
        <v>99707.8553516319</v>
      </c>
      <c r="C7292" s="15" t="n">
        <v>0.148347491410339</v>
      </c>
      <c r="D7292" s="14" t="n">
        <f aca="false">Summary!$B$5-B7292</f>
        <v>292.14464836815</v>
      </c>
      <c r="E7292" s="15" t="n">
        <f aca="false">B7292/Summary!$B$5-1</f>
        <v>-0.00292144648368153</v>
      </c>
    </row>
    <row r="7293" customFormat="false" ht="15" hidden="false" customHeight="false" outlineLevel="0" collapsed="false">
      <c r="A7293" s="0" t="n">
        <v>7292</v>
      </c>
      <c r="B7293" s="14" t="n">
        <v>94007.8599763072</v>
      </c>
      <c r="C7293" s="15" t="n">
        <v>0.170662007226096</v>
      </c>
      <c r="D7293" s="14" t="n">
        <f aca="false">Summary!$B$5-B7293</f>
        <v>5992.14002369282</v>
      </c>
      <c r="E7293" s="15" t="n">
        <f aca="false">B7293/Summary!$B$5-1</f>
        <v>-0.0599214002369282</v>
      </c>
    </row>
    <row r="7294" customFormat="false" ht="15" hidden="false" customHeight="false" outlineLevel="0" collapsed="false">
      <c r="A7294" s="0" t="n">
        <v>7293</v>
      </c>
      <c r="B7294" s="14" t="n">
        <v>111411.330583921</v>
      </c>
      <c r="C7294" s="15" t="n">
        <v>0.0875152103275796</v>
      </c>
      <c r="D7294" s="14" t="n">
        <f aca="false">Summary!$B$5-B7294</f>
        <v>-11411.3305839211</v>
      </c>
      <c r="E7294" s="15" t="n">
        <f aca="false">B7294/Summary!$B$5-1</f>
        <v>0.114113305839211</v>
      </c>
    </row>
    <row r="7295" customFormat="false" ht="15" hidden="false" customHeight="false" outlineLevel="0" collapsed="false">
      <c r="A7295" s="0" t="n">
        <v>7294</v>
      </c>
      <c r="B7295" s="14" t="n">
        <v>94469.4777698979</v>
      </c>
      <c r="C7295" s="15" t="n">
        <v>0.133988999633668</v>
      </c>
      <c r="D7295" s="14" t="n">
        <f aca="false">Summary!$B$5-B7295</f>
        <v>5530.52223010208</v>
      </c>
      <c r="E7295" s="15" t="n">
        <f aca="false">B7295/Summary!$B$5-1</f>
        <v>-0.0553052223010209</v>
      </c>
    </row>
    <row r="7296" customFormat="false" ht="15" hidden="false" customHeight="false" outlineLevel="0" collapsed="false">
      <c r="A7296" s="0" t="n">
        <v>7295</v>
      </c>
      <c r="B7296" s="14" t="n">
        <v>107364.417907432</v>
      </c>
      <c r="C7296" s="15" t="n">
        <v>0.162184868134501</v>
      </c>
      <c r="D7296" s="14" t="n">
        <f aca="false">Summary!$B$5-B7296</f>
        <v>-7364.41790743241</v>
      </c>
      <c r="E7296" s="15" t="n">
        <f aca="false">B7296/Summary!$B$5-1</f>
        <v>0.0736441790743241</v>
      </c>
    </row>
    <row r="7297" customFormat="false" ht="15" hidden="false" customHeight="false" outlineLevel="0" collapsed="false">
      <c r="A7297" s="0" t="n">
        <v>7296</v>
      </c>
      <c r="B7297" s="14" t="n">
        <v>113103.715519255</v>
      </c>
      <c r="C7297" s="15" t="n">
        <v>0.093685526639551</v>
      </c>
      <c r="D7297" s="14" t="n">
        <f aca="false">Summary!$B$5-B7297</f>
        <v>-13103.7155192548</v>
      </c>
      <c r="E7297" s="15" t="n">
        <f aca="false">B7297/Summary!$B$5-1</f>
        <v>0.131037155192548</v>
      </c>
    </row>
    <row r="7298" customFormat="false" ht="15" hidden="false" customHeight="false" outlineLevel="0" collapsed="false">
      <c r="A7298" s="0" t="n">
        <v>7297</v>
      </c>
      <c r="B7298" s="14" t="n">
        <v>93898.7677618277</v>
      </c>
      <c r="C7298" s="15" t="n">
        <v>0.176538040918786</v>
      </c>
      <c r="D7298" s="14" t="n">
        <f aca="false">Summary!$B$5-B7298</f>
        <v>6101.23223817231</v>
      </c>
      <c r="E7298" s="15" t="n">
        <f aca="false">B7298/Summary!$B$5-1</f>
        <v>-0.0610123223817231</v>
      </c>
    </row>
    <row r="7299" customFormat="false" ht="15" hidden="false" customHeight="false" outlineLevel="0" collapsed="false">
      <c r="A7299" s="0" t="n">
        <v>7298</v>
      </c>
      <c r="B7299" s="14" t="n">
        <v>125473.22353551</v>
      </c>
      <c r="C7299" s="15" t="n">
        <v>0.0757234917449386</v>
      </c>
      <c r="D7299" s="14" t="n">
        <f aca="false">Summary!$B$5-B7299</f>
        <v>-25473.22353551</v>
      </c>
      <c r="E7299" s="15" t="n">
        <f aca="false">B7299/Summary!$B$5-1</f>
        <v>0.2547322353551</v>
      </c>
    </row>
    <row r="7300" customFormat="false" ht="15" hidden="false" customHeight="false" outlineLevel="0" collapsed="false">
      <c r="A7300" s="0" t="n">
        <v>7299</v>
      </c>
      <c r="B7300" s="14" t="n">
        <v>113201.158679361</v>
      </c>
      <c r="C7300" s="15" t="n">
        <v>0.097785017623473</v>
      </c>
      <c r="D7300" s="14" t="n">
        <f aca="false">Summary!$B$5-B7300</f>
        <v>-13201.1586793609</v>
      </c>
      <c r="E7300" s="15" t="n">
        <f aca="false">B7300/Summary!$B$5-1</f>
        <v>0.132011586793609</v>
      </c>
    </row>
    <row r="7301" customFormat="false" ht="15" hidden="false" customHeight="false" outlineLevel="0" collapsed="false">
      <c r="A7301" s="0" t="n">
        <v>7300</v>
      </c>
      <c r="B7301" s="14" t="n">
        <v>92970.9111961944</v>
      </c>
      <c r="C7301" s="15" t="n">
        <v>0.125144341465019</v>
      </c>
      <c r="D7301" s="14" t="n">
        <f aca="false">Summary!$B$5-B7301</f>
        <v>7029.08880380556</v>
      </c>
      <c r="E7301" s="15" t="n">
        <f aca="false">B7301/Summary!$B$5-1</f>
        <v>-0.0702908880380556</v>
      </c>
    </row>
    <row r="7302" customFormat="false" ht="15" hidden="false" customHeight="false" outlineLevel="0" collapsed="false">
      <c r="A7302" s="0" t="n">
        <v>7301</v>
      </c>
      <c r="B7302" s="14" t="n">
        <v>117930.088023645</v>
      </c>
      <c r="C7302" s="15" t="n">
        <v>0.0747293088917889</v>
      </c>
      <c r="D7302" s="14" t="n">
        <f aca="false">Summary!$B$5-B7302</f>
        <v>-17930.0880236447</v>
      </c>
      <c r="E7302" s="15" t="n">
        <f aca="false">B7302/Summary!$B$5-1</f>
        <v>0.179300880236447</v>
      </c>
    </row>
    <row r="7303" customFormat="false" ht="15" hidden="false" customHeight="false" outlineLevel="0" collapsed="false">
      <c r="A7303" s="0" t="n">
        <v>7302</v>
      </c>
      <c r="B7303" s="14" t="n">
        <v>109898.963752069</v>
      </c>
      <c r="C7303" s="15" t="n">
        <v>0.0747483462107565</v>
      </c>
      <c r="D7303" s="14" t="n">
        <f aca="false">Summary!$B$5-B7303</f>
        <v>-9898.9637520688</v>
      </c>
      <c r="E7303" s="15" t="n">
        <f aca="false">B7303/Summary!$B$5-1</f>
        <v>0.098989637520688</v>
      </c>
    </row>
    <row r="7304" customFormat="false" ht="15" hidden="false" customHeight="false" outlineLevel="0" collapsed="false">
      <c r="A7304" s="0" t="n">
        <v>7303</v>
      </c>
      <c r="B7304" s="14" t="n">
        <v>104223.483054713</v>
      </c>
      <c r="C7304" s="15" t="n">
        <v>0.103983482460116</v>
      </c>
      <c r="D7304" s="14" t="n">
        <f aca="false">Summary!$B$5-B7304</f>
        <v>-4223.48305471271</v>
      </c>
      <c r="E7304" s="15" t="n">
        <f aca="false">B7304/Summary!$B$5-1</f>
        <v>0.042234830547127</v>
      </c>
    </row>
    <row r="7305" customFormat="false" ht="15" hidden="false" customHeight="false" outlineLevel="0" collapsed="false">
      <c r="A7305" s="0" t="n">
        <v>7304</v>
      </c>
      <c r="B7305" s="14" t="n">
        <v>113812.035977101</v>
      </c>
      <c r="C7305" s="15" t="n">
        <v>0.0954544847962656</v>
      </c>
      <c r="D7305" s="14" t="n">
        <f aca="false">Summary!$B$5-B7305</f>
        <v>-13812.0359771009</v>
      </c>
      <c r="E7305" s="15" t="n">
        <f aca="false">B7305/Summary!$B$5-1</f>
        <v>0.138120359771009</v>
      </c>
    </row>
    <row r="7306" customFormat="false" ht="15" hidden="false" customHeight="false" outlineLevel="0" collapsed="false">
      <c r="A7306" s="0" t="n">
        <v>7305</v>
      </c>
      <c r="B7306" s="14" t="n">
        <v>124826.115381286</v>
      </c>
      <c r="C7306" s="15" t="n">
        <v>0.0700272462004082</v>
      </c>
      <c r="D7306" s="14" t="n">
        <f aca="false">Summary!$B$5-B7306</f>
        <v>-24826.1153812862</v>
      </c>
      <c r="E7306" s="15" t="n">
        <f aca="false">B7306/Summary!$B$5-1</f>
        <v>0.248261153812862</v>
      </c>
    </row>
    <row r="7307" customFormat="false" ht="15" hidden="false" customHeight="false" outlineLevel="0" collapsed="false">
      <c r="A7307" s="0" t="n">
        <v>7306</v>
      </c>
      <c r="B7307" s="14" t="n">
        <v>113070.75210882</v>
      </c>
      <c r="C7307" s="15" t="n">
        <v>0.094037449723215</v>
      </c>
      <c r="D7307" s="14" t="n">
        <f aca="false">Summary!$B$5-B7307</f>
        <v>-13070.7521088197</v>
      </c>
      <c r="E7307" s="15" t="n">
        <f aca="false">B7307/Summary!$B$5-1</f>
        <v>0.130707521088197</v>
      </c>
    </row>
    <row r="7308" customFormat="false" ht="15" hidden="false" customHeight="false" outlineLevel="0" collapsed="false">
      <c r="A7308" s="0" t="n">
        <v>7307</v>
      </c>
      <c r="B7308" s="14" t="n">
        <v>103840.17051263</v>
      </c>
      <c r="C7308" s="15" t="n">
        <v>0.113538363553412</v>
      </c>
      <c r="D7308" s="14" t="n">
        <f aca="false">Summary!$B$5-B7308</f>
        <v>-3840.1705126303</v>
      </c>
      <c r="E7308" s="15" t="n">
        <f aca="false">B7308/Summary!$B$5-1</f>
        <v>0.038401705126303</v>
      </c>
    </row>
    <row r="7309" customFormat="false" ht="15" hidden="false" customHeight="false" outlineLevel="0" collapsed="false">
      <c r="A7309" s="0" t="n">
        <v>7308</v>
      </c>
      <c r="B7309" s="14" t="n">
        <v>116332.686412056</v>
      </c>
      <c r="C7309" s="15" t="n">
        <v>0.0511786699860697</v>
      </c>
      <c r="D7309" s="14" t="n">
        <f aca="false">Summary!$B$5-B7309</f>
        <v>-16332.6864120561</v>
      </c>
      <c r="E7309" s="15" t="n">
        <f aca="false">B7309/Summary!$B$5-1</f>
        <v>0.163326864120561</v>
      </c>
    </row>
    <row r="7310" customFormat="false" ht="15" hidden="false" customHeight="false" outlineLevel="0" collapsed="false">
      <c r="A7310" s="0" t="n">
        <v>7309</v>
      </c>
      <c r="B7310" s="14" t="n">
        <v>91009.4941670334</v>
      </c>
      <c r="C7310" s="15" t="n">
        <v>0.141103217451901</v>
      </c>
      <c r="D7310" s="14" t="n">
        <f aca="false">Summary!$B$5-B7310</f>
        <v>8990.50583296665</v>
      </c>
      <c r="E7310" s="15" t="n">
        <f aca="false">B7310/Summary!$B$5-1</f>
        <v>-0.0899050583296666</v>
      </c>
    </row>
    <row r="7311" customFormat="false" ht="15" hidden="false" customHeight="false" outlineLevel="0" collapsed="false">
      <c r="A7311" s="0" t="n">
        <v>7310</v>
      </c>
      <c r="B7311" s="14" t="n">
        <v>135999.3746526</v>
      </c>
      <c r="C7311" s="15" t="n">
        <v>0.0525895080208492</v>
      </c>
      <c r="D7311" s="14" t="n">
        <f aca="false">Summary!$B$5-B7311</f>
        <v>-35999.3746526001</v>
      </c>
      <c r="E7311" s="15" t="n">
        <f aca="false">B7311/Summary!$B$5-1</f>
        <v>0.359993746526001</v>
      </c>
    </row>
    <row r="7312" customFormat="false" ht="15" hidden="false" customHeight="false" outlineLevel="0" collapsed="false">
      <c r="A7312" s="0" t="n">
        <v>7311</v>
      </c>
      <c r="B7312" s="14" t="n">
        <v>93759.0817489592</v>
      </c>
      <c r="C7312" s="15" t="n">
        <v>0.121675684427372</v>
      </c>
      <c r="D7312" s="14" t="n">
        <f aca="false">Summary!$B$5-B7312</f>
        <v>6240.91825104083</v>
      </c>
      <c r="E7312" s="15" t="n">
        <f aca="false">B7312/Summary!$B$5-1</f>
        <v>-0.0624091825104083</v>
      </c>
    </row>
    <row r="7313" customFormat="false" ht="15" hidden="false" customHeight="false" outlineLevel="0" collapsed="false">
      <c r="A7313" s="0" t="n">
        <v>7312</v>
      </c>
      <c r="B7313" s="14" t="n">
        <v>109863.833166715</v>
      </c>
      <c r="C7313" s="15" t="n">
        <v>0.125342495874195</v>
      </c>
      <c r="D7313" s="14" t="n">
        <f aca="false">Summary!$B$5-B7313</f>
        <v>-9863.8331667145</v>
      </c>
      <c r="E7313" s="15" t="n">
        <f aca="false">B7313/Summary!$B$5-1</f>
        <v>0.0986383316671449</v>
      </c>
    </row>
    <row r="7314" customFormat="false" ht="15" hidden="false" customHeight="false" outlineLevel="0" collapsed="false">
      <c r="A7314" s="0" t="n">
        <v>7313</v>
      </c>
      <c r="B7314" s="14" t="n">
        <v>111447.63188375</v>
      </c>
      <c r="C7314" s="15" t="n">
        <v>0.0864315762530309</v>
      </c>
      <c r="D7314" s="14" t="n">
        <f aca="false">Summary!$B$5-B7314</f>
        <v>-11447.6318837499</v>
      </c>
      <c r="E7314" s="15" t="n">
        <f aca="false">B7314/Summary!$B$5-1</f>
        <v>0.114476318837499</v>
      </c>
    </row>
    <row r="7315" customFormat="false" ht="15" hidden="false" customHeight="false" outlineLevel="0" collapsed="false">
      <c r="A7315" s="0" t="n">
        <v>7314</v>
      </c>
      <c r="B7315" s="14" t="n">
        <v>90772.180355336</v>
      </c>
      <c r="C7315" s="15" t="n">
        <v>0.133522875598469</v>
      </c>
      <c r="D7315" s="14" t="n">
        <f aca="false">Summary!$B$5-B7315</f>
        <v>9227.81964466405</v>
      </c>
      <c r="E7315" s="15" t="n">
        <f aca="false">B7315/Summary!$B$5-1</f>
        <v>-0.0922781964466405</v>
      </c>
    </row>
    <row r="7316" customFormat="false" ht="15" hidden="false" customHeight="false" outlineLevel="0" collapsed="false">
      <c r="A7316" s="0" t="n">
        <v>7315</v>
      </c>
      <c r="B7316" s="14" t="n">
        <v>91410.7893948604</v>
      </c>
      <c r="C7316" s="15" t="n">
        <v>0.11965937651964</v>
      </c>
      <c r="D7316" s="14" t="n">
        <f aca="false">Summary!$B$5-B7316</f>
        <v>8589.21060513961</v>
      </c>
      <c r="E7316" s="15" t="n">
        <f aca="false">B7316/Summary!$B$5-1</f>
        <v>-0.0858921060513961</v>
      </c>
    </row>
    <row r="7317" customFormat="false" ht="15" hidden="false" customHeight="false" outlineLevel="0" collapsed="false">
      <c r="A7317" s="0" t="n">
        <v>7316</v>
      </c>
      <c r="B7317" s="14" t="n">
        <v>130903.067556299</v>
      </c>
      <c r="C7317" s="15" t="n">
        <v>0.100829945535774</v>
      </c>
      <c r="D7317" s="14" t="n">
        <f aca="false">Summary!$B$5-B7317</f>
        <v>-30903.0675562994</v>
      </c>
      <c r="E7317" s="15" t="n">
        <f aca="false">B7317/Summary!$B$5-1</f>
        <v>0.309030675562994</v>
      </c>
    </row>
    <row r="7318" customFormat="false" ht="15" hidden="false" customHeight="false" outlineLevel="0" collapsed="false">
      <c r="A7318" s="0" t="n">
        <v>7317</v>
      </c>
      <c r="B7318" s="14" t="n">
        <v>112435.312697974</v>
      </c>
      <c r="C7318" s="15" t="n">
        <v>0.14191033859717</v>
      </c>
      <c r="D7318" s="14" t="n">
        <f aca="false">Summary!$B$5-B7318</f>
        <v>-12435.3126979744</v>
      </c>
      <c r="E7318" s="15" t="n">
        <f aca="false">B7318/Summary!$B$5-1</f>
        <v>0.124353126979744</v>
      </c>
    </row>
    <row r="7319" customFormat="false" ht="15" hidden="false" customHeight="false" outlineLevel="0" collapsed="false">
      <c r="A7319" s="0" t="n">
        <v>7318</v>
      </c>
      <c r="B7319" s="14" t="n">
        <v>113792.196611364</v>
      </c>
      <c r="C7319" s="15" t="n">
        <v>0.102159036515737</v>
      </c>
      <c r="D7319" s="14" t="n">
        <f aca="false">Summary!$B$5-B7319</f>
        <v>-13792.1966113637</v>
      </c>
      <c r="E7319" s="15" t="n">
        <f aca="false">B7319/Summary!$B$5-1</f>
        <v>0.137921966113637</v>
      </c>
    </row>
    <row r="7320" customFormat="false" ht="15" hidden="false" customHeight="false" outlineLevel="0" collapsed="false">
      <c r="A7320" s="0" t="n">
        <v>7319</v>
      </c>
      <c r="B7320" s="14" t="n">
        <v>110645.136075533</v>
      </c>
      <c r="C7320" s="15" t="n">
        <v>0.0788288837494882</v>
      </c>
      <c r="D7320" s="14" t="n">
        <f aca="false">Summary!$B$5-B7320</f>
        <v>-10645.136075533</v>
      </c>
      <c r="E7320" s="15" t="n">
        <f aca="false">B7320/Summary!$B$5-1</f>
        <v>0.10645136075533</v>
      </c>
    </row>
    <row r="7321" customFormat="false" ht="15" hidden="false" customHeight="false" outlineLevel="0" collapsed="false">
      <c r="A7321" s="0" t="n">
        <v>7320</v>
      </c>
      <c r="B7321" s="14" t="n">
        <v>101900.39769676</v>
      </c>
      <c r="C7321" s="15" t="n">
        <v>0.0872918263826832</v>
      </c>
      <c r="D7321" s="14" t="n">
        <f aca="false">Summary!$B$5-B7321</f>
        <v>-1900.3976967599</v>
      </c>
      <c r="E7321" s="15" t="n">
        <f aca="false">B7321/Summary!$B$5-1</f>
        <v>0.0190039769675989</v>
      </c>
    </row>
    <row r="7322" customFormat="false" ht="15" hidden="false" customHeight="false" outlineLevel="0" collapsed="false">
      <c r="A7322" s="0" t="n">
        <v>7321</v>
      </c>
      <c r="B7322" s="14" t="n">
        <v>121951.092817324</v>
      </c>
      <c r="C7322" s="15" t="n">
        <v>0.0866776948682209</v>
      </c>
      <c r="D7322" s="14" t="n">
        <f aca="false">Summary!$B$5-B7322</f>
        <v>-21951.0928173236</v>
      </c>
      <c r="E7322" s="15" t="n">
        <f aca="false">B7322/Summary!$B$5-1</f>
        <v>0.219510928173236</v>
      </c>
    </row>
    <row r="7323" customFormat="false" ht="15" hidden="false" customHeight="false" outlineLevel="0" collapsed="false">
      <c r="A7323" s="0" t="n">
        <v>7322</v>
      </c>
      <c r="B7323" s="14" t="n">
        <v>103931.273757224</v>
      </c>
      <c r="C7323" s="15" t="n">
        <v>0.111013368296979</v>
      </c>
      <c r="D7323" s="14" t="n">
        <f aca="false">Summary!$B$5-B7323</f>
        <v>-3931.27375722351</v>
      </c>
      <c r="E7323" s="15" t="n">
        <f aca="false">B7323/Summary!$B$5-1</f>
        <v>0.0393127375722351</v>
      </c>
    </row>
    <row r="7324" customFormat="false" ht="15" hidden="false" customHeight="false" outlineLevel="0" collapsed="false">
      <c r="A7324" s="0" t="n">
        <v>7323</v>
      </c>
      <c r="B7324" s="14" t="n">
        <v>105674.74406319</v>
      </c>
      <c r="C7324" s="15" t="n">
        <v>0.0856572350632149</v>
      </c>
      <c r="D7324" s="14" t="n">
        <f aca="false">Summary!$B$5-B7324</f>
        <v>-5674.7440631901</v>
      </c>
      <c r="E7324" s="15" t="n">
        <f aca="false">B7324/Summary!$B$5-1</f>
        <v>0.0567474406319011</v>
      </c>
    </row>
    <row r="7325" customFormat="false" ht="15" hidden="false" customHeight="false" outlineLevel="0" collapsed="false">
      <c r="A7325" s="0" t="n">
        <v>7324</v>
      </c>
      <c r="B7325" s="14" t="n">
        <v>108550.770238815</v>
      </c>
      <c r="C7325" s="15" t="n">
        <v>0.0667911408577007</v>
      </c>
      <c r="D7325" s="14" t="n">
        <f aca="false">Summary!$B$5-B7325</f>
        <v>-8550.7702388146</v>
      </c>
      <c r="E7325" s="15" t="n">
        <f aca="false">B7325/Summary!$B$5-1</f>
        <v>0.0855077023881461</v>
      </c>
    </row>
    <row r="7326" customFormat="false" ht="15" hidden="false" customHeight="false" outlineLevel="0" collapsed="false">
      <c r="A7326" s="0" t="n">
        <v>7325</v>
      </c>
      <c r="B7326" s="14" t="n">
        <v>116795.649263009</v>
      </c>
      <c r="C7326" s="15" t="n">
        <v>0.111927778818583</v>
      </c>
      <c r="D7326" s="14" t="n">
        <f aca="false">Summary!$B$5-B7326</f>
        <v>-16795.6492630086</v>
      </c>
      <c r="E7326" s="15" t="n">
        <f aca="false">B7326/Summary!$B$5-1</f>
        <v>0.167956492630086</v>
      </c>
    </row>
    <row r="7327" customFormat="false" ht="15" hidden="false" customHeight="false" outlineLevel="0" collapsed="false">
      <c r="A7327" s="0" t="n">
        <v>7326</v>
      </c>
      <c r="B7327" s="14" t="n">
        <v>119991.262243455</v>
      </c>
      <c r="C7327" s="15" t="n">
        <v>0.050555876640875</v>
      </c>
      <c r="D7327" s="14" t="n">
        <f aca="false">Summary!$B$5-B7327</f>
        <v>-19991.262243455</v>
      </c>
      <c r="E7327" s="15" t="n">
        <f aca="false">B7327/Summary!$B$5-1</f>
        <v>0.19991262243455</v>
      </c>
    </row>
    <row r="7328" customFormat="false" ht="15" hidden="false" customHeight="false" outlineLevel="0" collapsed="false">
      <c r="A7328" s="0" t="n">
        <v>7327</v>
      </c>
      <c r="B7328" s="14" t="n">
        <v>105778.620681951</v>
      </c>
      <c r="C7328" s="15" t="n">
        <v>0.110328423802885</v>
      </c>
      <c r="D7328" s="14" t="n">
        <f aca="false">Summary!$B$5-B7328</f>
        <v>-5778.6206819511</v>
      </c>
      <c r="E7328" s="15" t="n">
        <f aca="false">B7328/Summary!$B$5-1</f>
        <v>0.057786206819511</v>
      </c>
    </row>
    <row r="7329" customFormat="false" ht="15" hidden="false" customHeight="false" outlineLevel="0" collapsed="false">
      <c r="A7329" s="0" t="n">
        <v>7328</v>
      </c>
      <c r="B7329" s="14" t="n">
        <v>97567.9901821478</v>
      </c>
      <c r="C7329" s="15" t="n">
        <v>0.120627031089979</v>
      </c>
      <c r="D7329" s="14" t="n">
        <f aca="false">Summary!$B$5-B7329</f>
        <v>2432.0098178522</v>
      </c>
      <c r="E7329" s="15" t="n">
        <f aca="false">B7329/Summary!$B$5-1</f>
        <v>-0.024320098178522</v>
      </c>
    </row>
    <row r="7330" customFormat="false" ht="15" hidden="false" customHeight="false" outlineLevel="0" collapsed="false">
      <c r="A7330" s="0" t="n">
        <v>7329</v>
      </c>
      <c r="B7330" s="14" t="n">
        <v>107341.375404172</v>
      </c>
      <c r="C7330" s="15" t="n">
        <v>0.0784605524604177</v>
      </c>
      <c r="D7330" s="14" t="n">
        <f aca="false">Summary!$B$5-B7330</f>
        <v>-7341.3754041715</v>
      </c>
      <c r="E7330" s="15" t="n">
        <f aca="false">B7330/Summary!$B$5-1</f>
        <v>0.073413754041715</v>
      </c>
    </row>
    <row r="7331" customFormat="false" ht="15" hidden="false" customHeight="false" outlineLevel="0" collapsed="false">
      <c r="A7331" s="0" t="n">
        <v>7330</v>
      </c>
      <c r="B7331" s="14" t="n">
        <v>103800.059582322</v>
      </c>
      <c r="C7331" s="15" t="n">
        <v>0.146548970812543</v>
      </c>
      <c r="D7331" s="14" t="n">
        <f aca="false">Summary!$B$5-B7331</f>
        <v>-3800.0595823219</v>
      </c>
      <c r="E7331" s="15" t="n">
        <f aca="false">B7331/Summary!$B$5-1</f>
        <v>0.038000595823219</v>
      </c>
    </row>
    <row r="7332" customFormat="false" ht="15" hidden="false" customHeight="false" outlineLevel="0" collapsed="false">
      <c r="A7332" s="0" t="n">
        <v>7331</v>
      </c>
      <c r="B7332" s="14" t="n">
        <v>89116.125361171</v>
      </c>
      <c r="C7332" s="15" t="n">
        <v>0.184739073286788</v>
      </c>
      <c r="D7332" s="14" t="n">
        <f aca="false">Summary!$B$5-B7332</f>
        <v>10883.874638829</v>
      </c>
      <c r="E7332" s="15" t="n">
        <f aca="false">B7332/Summary!$B$5-1</f>
        <v>-0.10883874638829</v>
      </c>
    </row>
    <row r="7333" customFormat="false" ht="15" hidden="false" customHeight="false" outlineLevel="0" collapsed="false">
      <c r="A7333" s="0" t="n">
        <v>7332</v>
      </c>
      <c r="B7333" s="14" t="n">
        <v>103063.562961667</v>
      </c>
      <c r="C7333" s="15" t="n">
        <v>0.119846944942583</v>
      </c>
      <c r="D7333" s="14" t="n">
        <f aca="false">Summary!$B$5-B7333</f>
        <v>-3063.5629616673</v>
      </c>
      <c r="E7333" s="15" t="n">
        <f aca="false">B7333/Summary!$B$5-1</f>
        <v>0.030635629616673</v>
      </c>
    </row>
    <row r="7334" customFormat="false" ht="15" hidden="false" customHeight="false" outlineLevel="0" collapsed="false">
      <c r="A7334" s="0" t="n">
        <v>7333</v>
      </c>
      <c r="B7334" s="14" t="n">
        <v>109641.709390345</v>
      </c>
      <c r="C7334" s="15" t="n">
        <v>0.0949247661040995</v>
      </c>
      <c r="D7334" s="14" t="n">
        <f aca="false">Summary!$B$5-B7334</f>
        <v>-9641.7093903452</v>
      </c>
      <c r="E7334" s="15" t="n">
        <f aca="false">B7334/Summary!$B$5-1</f>
        <v>0.0964170939034521</v>
      </c>
    </row>
    <row r="7335" customFormat="false" ht="15" hidden="false" customHeight="false" outlineLevel="0" collapsed="false">
      <c r="A7335" s="0" t="n">
        <v>7334</v>
      </c>
      <c r="B7335" s="14" t="n">
        <v>105433.837786305</v>
      </c>
      <c r="C7335" s="15" t="n">
        <v>0.103424172340764</v>
      </c>
      <c r="D7335" s="14" t="n">
        <f aca="false">Summary!$B$5-B7335</f>
        <v>-5433.8377863051</v>
      </c>
      <c r="E7335" s="15" t="n">
        <f aca="false">B7335/Summary!$B$5-1</f>
        <v>0.0543383778630511</v>
      </c>
    </row>
    <row r="7336" customFormat="false" ht="15" hidden="false" customHeight="false" outlineLevel="0" collapsed="false">
      <c r="A7336" s="0" t="n">
        <v>7335</v>
      </c>
      <c r="B7336" s="14" t="n">
        <v>95415.4178475525</v>
      </c>
      <c r="C7336" s="15" t="n">
        <v>0.116807097008268</v>
      </c>
      <c r="D7336" s="14" t="n">
        <f aca="false">Summary!$B$5-B7336</f>
        <v>4584.58215244746</v>
      </c>
      <c r="E7336" s="15" t="n">
        <f aca="false">B7336/Summary!$B$5-1</f>
        <v>-0.0458458215244746</v>
      </c>
    </row>
    <row r="7337" customFormat="false" ht="15" hidden="false" customHeight="false" outlineLevel="0" collapsed="false">
      <c r="A7337" s="0" t="n">
        <v>7336</v>
      </c>
      <c r="B7337" s="14" t="n">
        <v>91815.0537966918</v>
      </c>
      <c r="C7337" s="15" t="n">
        <v>0.121370639721671</v>
      </c>
      <c r="D7337" s="14" t="n">
        <f aca="false">Summary!$B$5-B7337</f>
        <v>8184.94620330818</v>
      </c>
      <c r="E7337" s="15" t="n">
        <f aca="false">B7337/Summary!$B$5-1</f>
        <v>-0.0818494620330819</v>
      </c>
    </row>
    <row r="7338" customFormat="false" ht="15" hidden="false" customHeight="false" outlineLevel="0" collapsed="false">
      <c r="A7338" s="0" t="n">
        <v>7337</v>
      </c>
      <c r="B7338" s="14" t="n">
        <v>117144.343038093</v>
      </c>
      <c r="C7338" s="15" t="n">
        <v>0.0637096480407182</v>
      </c>
      <c r="D7338" s="14" t="n">
        <f aca="false">Summary!$B$5-B7338</f>
        <v>-17144.3430380931</v>
      </c>
      <c r="E7338" s="15" t="n">
        <f aca="false">B7338/Summary!$B$5-1</f>
        <v>0.171443430380931</v>
      </c>
    </row>
    <row r="7339" customFormat="false" ht="15" hidden="false" customHeight="false" outlineLevel="0" collapsed="false">
      <c r="A7339" s="0" t="n">
        <v>7338</v>
      </c>
      <c r="B7339" s="14" t="n">
        <v>93619.1675979865</v>
      </c>
      <c r="C7339" s="15" t="n">
        <v>0.124421287435595</v>
      </c>
      <c r="D7339" s="14" t="n">
        <f aca="false">Summary!$B$5-B7339</f>
        <v>6380.8324020135</v>
      </c>
      <c r="E7339" s="15" t="n">
        <f aca="false">B7339/Summary!$B$5-1</f>
        <v>-0.063808324020135</v>
      </c>
    </row>
    <row r="7340" customFormat="false" ht="15" hidden="false" customHeight="false" outlineLevel="0" collapsed="false">
      <c r="A7340" s="0" t="n">
        <v>7339</v>
      </c>
      <c r="B7340" s="14" t="n">
        <v>96677.4217543893</v>
      </c>
      <c r="C7340" s="15" t="n">
        <v>0.0841477796630867</v>
      </c>
      <c r="D7340" s="14" t="n">
        <f aca="false">Summary!$B$5-B7340</f>
        <v>3322.57824561067</v>
      </c>
      <c r="E7340" s="15" t="n">
        <f aca="false">B7340/Summary!$B$5-1</f>
        <v>-0.0332257824561066</v>
      </c>
    </row>
    <row r="7341" customFormat="false" ht="15" hidden="false" customHeight="false" outlineLevel="0" collapsed="false">
      <c r="A7341" s="0" t="n">
        <v>7340</v>
      </c>
      <c r="B7341" s="14" t="n">
        <v>99521.0265805718</v>
      </c>
      <c r="C7341" s="15" t="n">
        <v>0.160086453121594</v>
      </c>
      <c r="D7341" s="14" t="n">
        <f aca="false">Summary!$B$5-B7341</f>
        <v>478.973419428192</v>
      </c>
      <c r="E7341" s="15" t="n">
        <f aca="false">B7341/Summary!$B$5-1</f>
        <v>-0.00478973419428197</v>
      </c>
    </row>
    <row r="7342" customFormat="false" ht="15" hidden="false" customHeight="false" outlineLevel="0" collapsed="false">
      <c r="A7342" s="0" t="n">
        <v>7341</v>
      </c>
      <c r="B7342" s="14" t="n">
        <v>88788.5961002195</v>
      </c>
      <c r="C7342" s="15" t="n">
        <v>0.160328921395839</v>
      </c>
      <c r="D7342" s="14" t="n">
        <f aca="false">Summary!$B$5-B7342</f>
        <v>11211.4038997805</v>
      </c>
      <c r="E7342" s="15" t="n">
        <f aca="false">B7342/Summary!$B$5-1</f>
        <v>-0.112114038997805</v>
      </c>
    </row>
    <row r="7343" customFormat="false" ht="15" hidden="false" customHeight="false" outlineLevel="0" collapsed="false">
      <c r="A7343" s="0" t="n">
        <v>7342</v>
      </c>
      <c r="B7343" s="14" t="n">
        <v>116196.804097437</v>
      </c>
      <c r="C7343" s="15" t="n">
        <v>0.0895524412812683</v>
      </c>
      <c r="D7343" s="14" t="n">
        <f aca="false">Summary!$B$5-B7343</f>
        <v>-16196.8040974367</v>
      </c>
      <c r="E7343" s="15" t="n">
        <f aca="false">B7343/Summary!$B$5-1</f>
        <v>0.161968040974367</v>
      </c>
    </row>
    <row r="7344" customFormat="false" ht="15" hidden="false" customHeight="false" outlineLevel="0" collapsed="false">
      <c r="A7344" s="0" t="n">
        <v>7343</v>
      </c>
      <c r="B7344" s="14" t="n">
        <v>111418.509329426</v>
      </c>
      <c r="C7344" s="15" t="n">
        <v>0.0692831326061015</v>
      </c>
      <c r="D7344" s="14" t="n">
        <f aca="false">Summary!$B$5-B7344</f>
        <v>-11418.5093294257</v>
      </c>
      <c r="E7344" s="15" t="n">
        <f aca="false">B7344/Summary!$B$5-1</f>
        <v>0.114185093294257</v>
      </c>
    </row>
    <row r="7345" customFormat="false" ht="15" hidden="false" customHeight="false" outlineLevel="0" collapsed="false">
      <c r="A7345" s="0" t="n">
        <v>7344</v>
      </c>
      <c r="B7345" s="14" t="n">
        <v>143900.803259606</v>
      </c>
      <c r="C7345" s="15" t="n">
        <v>0.0582085313730145</v>
      </c>
      <c r="D7345" s="14" t="n">
        <f aca="false">Summary!$B$5-B7345</f>
        <v>-43900.8032596059</v>
      </c>
      <c r="E7345" s="15" t="n">
        <f aca="false">B7345/Summary!$B$5-1</f>
        <v>0.439008032596059</v>
      </c>
    </row>
    <row r="7346" customFormat="false" ht="15" hidden="false" customHeight="false" outlineLevel="0" collapsed="false">
      <c r="A7346" s="0" t="n">
        <v>7345</v>
      </c>
      <c r="B7346" s="14" t="n">
        <v>109441.053457518</v>
      </c>
      <c r="C7346" s="15" t="n">
        <v>0.105245931275977</v>
      </c>
      <c r="D7346" s="14" t="n">
        <f aca="false">Summary!$B$5-B7346</f>
        <v>-9441.0534575177</v>
      </c>
      <c r="E7346" s="15" t="n">
        <f aca="false">B7346/Summary!$B$5-1</f>
        <v>0.0944105345751769</v>
      </c>
    </row>
    <row r="7347" customFormat="false" ht="15" hidden="false" customHeight="false" outlineLevel="0" collapsed="false">
      <c r="A7347" s="0" t="n">
        <v>7346</v>
      </c>
      <c r="B7347" s="14" t="n">
        <v>110544.687625499</v>
      </c>
      <c r="C7347" s="15" t="n">
        <v>0.0826389796789193</v>
      </c>
      <c r="D7347" s="14" t="n">
        <f aca="false">Summary!$B$5-B7347</f>
        <v>-10544.6876254991</v>
      </c>
      <c r="E7347" s="15" t="n">
        <f aca="false">B7347/Summary!$B$5-1</f>
        <v>0.105446876254991</v>
      </c>
    </row>
    <row r="7348" customFormat="false" ht="15" hidden="false" customHeight="false" outlineLevel="0" collapsed="false">
      <c r="A7348" s="0" t="n">
        <v>7347</v>
      </c>
      <c r="B7348" s="14" t="n">
        <v>113816.401708756</v>
      </c>
      <c r="C7348" s="15" t="n">
        <v>0.0658687248670605</v>
      </c>
      <c r="D7348" s="14" t="n">
        <f aca="false">Summary!$B$5-B7348</f>
        <v>-13816.4017087562</v>
      </c>
      <c r="E7348" s="15" t="n">
        <f aca="false">B7348/Summary!$B$5-1</f>
        <v>0.138164017087562</v>
      </c>
    </row>
    <row r="7349" customFormat="false" ht="15" hidden="false" customHeight="false" outlineLevel="0" collapsed="false">
      <c r="A7349" s="0" t="n">
        <v>7348</v>
      </c>
      <c r="B7349" s="14" t="n">
        <v>101464.749001085</v>
      </c>
      <c r="C7349" s="15" t="n">
        <v>0.158965301552893</v>
      </c>
      <c r="D7349" s="14" t="n">
        <f aca="false">Summary!$B$5-B7349</f>
        <v>-1464.7490010847</v>
      </c>
      <c r="E7349" s="15" t="n">
        <f aca="false">B7349/Summary!$B$5-1</f>
        <v>0.0146474900108469</v>
      </c>
    </row>
    <row r="7350" customFormat="false" ht="15" hidden="false" customHeight="false" outlineLevel="0" collapsed="false">
      <c r="A7350" s="0" t="n">
        <v>7349</v>
      </c>
      <c r="B7350" s="14" t="n">
        <v>114500.74935644</v>
      </c>
      <c r="C7350" s="15" t="n">
        <v>0.10738416666375</v>
      </c>
      <c r="D7350" s="14" t="n">
        <f aca="false">Summary!$B$5-B7350</f>
        <v>-14500.7493564402</v>
      </c>
      <c r="E7350" s="15" t="n">
        <f aca="false">B7350/Summary!$B$5-1</f>
        <v>0.145007493564402</v>
      </c>
    </row>
    <row r="7351" customFormat="false" ht="15" hidden="false" customHeight="false" outlineLevel="0" collapsed="false">
      <c r="A7351" s="0" t="n">
        <v>7350</v>
      </c>
      <c r="B7351" s="14" t="n">
        <v>105988.278441383</v>
      </c>
      <c r="C7351" s="15" t="n">
        <v>0.14876573283628</v>
      </c>
      <c r="D7351" s="14" t="n">
        <f aca="false">Summary!$B$5-B7351</f>
        <v>-5988.27844138281</v>
      </c>
      <c r="E7351" s="15" t="n">
        <f aca="false">B7351/Summary!$B$5-1</f>
        <v>0.0598827844138281</v>
      </c>
    </row>
    <row r="7352" customFormat="false" ht="15" hidden="false" customHeight="false" outlineLevel="0" collapsed="false">
      <c r="A7352" s="0" t="n">
        <v>7351</v>
      </c>
      <c r="B7352" s="14" t="n">
        <v>106262.000081952</v>
      </c>
      <c r="C7352" s="15" t="n">
        <v>0.0923484449029784</v>
      </c>
      <c r="D7352" s="14" t="n">
        <f aca="false">Summary!$B$5-B7352</f>
        <v>-6262.00008195191</v>
      </c>
      <c r="E7352" s="15" t="n">
        <f aca="false">B7352/Summary!$B$5-1</f>
        <v>0.062620000819519</v>
      </c>
    </row>
    <row r="7353" customFormat="false" ht="15" hidden="false" customHeight="false" outlineLevel="0" collapsed="false">
      <c r="A7353" s="0" t="n">
        <v>7352</v>
      </c>
      <c r="B7353" s="14" t="n">
        <v>99277.1727510749</v>
      </c>
      <c r="C7353" s="15" t="n">
        <v>0.13156408594512</v>
      </c>
      <c r="D7353" s="14" t="n">
        <f aca="false">Summary!$B$5-B7353</f>
        <v>722.827248925081</v>
      </c>
      <c r="E7353" s="15" t="n">
        <f aca="false">B7353/Summary!$B$5-1</f>
        <v>-0.00722827248925084</v>
      </c>
    </row>
    <row r="7354" customFormat="false" ht="15" hidden="false" customHeight="false" outlineLevel="0" collapsed="false">
      <c r="A7354" s="0" t="n">
        <v>7353</v>
      </c>
      <c r="B7354" s="14" t="n">
        <v>108354.698556067</v>
      </c>
      <c r="C7354" s="15" t="n">
        <v>0.104055643232576</v>
      </c>
      <c r="D7354" s="14" t="n">
        <f aca="false">Summary!$B$5-B7354</f>
        <v>-8354.6985560668</v>
      </c>
      <c r="E7354" s="15" t="n">
        <f aca="false">B7354/Summary!$B$5-1</f>
        <v>0.0835469855606679</v>
      </c>
    </row>
    <row r="7355" customFormat="false" ht="15" hidden="false" customHeight="false" outlineLevel="0" collapsed="false">
      <c r="A7355" s="0" t="n">
        <v>7354</v>
      </c>
      <c r="B7355" s="14" t="n">
        <v>93149.3705152877</v>
      </c>
      <c r="C7355" s="15" t="n">
        <v>0.14974456350416</v>
      </c>
      <c r="D7355" s="14" t="n">
        <f aca="false">Summary!$B$5-B7355</f>
        <v>6850.62948471228</v>
      </c>
      <c r="E7355" s="15" t="n">
        <f aca="false">B7355/Summary!$B$5-1</f>
        <v>-0.0685062948471228</v>
      </c>
    </row>
    <row r="7356" customFormat="false" ht="15" hidden="false" customHeight="false" outlineLevel="0" collapsed="false">
      <c r="A7356" s="0" t="n">
        <v>7355</v>
      </c>
      <c r="B7356" s="14" t="n">
        <v>117348.809461468</v>
      </c>
      <c r="C7356" s="15" t="n">
        <v>0.0628283541699974</v>
      </c>
      <c r="D7356" s="14" t="n">
        <f aca="false">Summary!$B$5-B7356</f>
        <v>-17348.8094614676</v>
      </c>
      <c r="E7356" s="15" t="n">
        <f aca="false">B7356/Summary!$B$5-1</f>
        <v>0.173488094614676</v>
      </c>
    </row>
    <row r="7357" customFormat="false" ht="15" hidden="false" customHeight="false" outlineLevel="0" collapsed="false">
      <c r="A7357" s="0" t="n">
        <v>7356</v>
      </c>
      <c r="B7357" s="14" t="n">
        <v>116586.883083578</v>
      </c>
      <c r="C7357" s="15" t="n">
        <v>0.104944851053158</v>
      </c>
      <c r="D7357" s="14" t="n">
        <f aca="false">Summary!$B$5-B7357</f>
        <v>-16586.8830835776</v>
      </c>
      <c r="E7357" s="15" t="n">
        <f aca="false">B7357/Summary!$B$5-1</f>
        <v>0.165868830835776</v>
      </c>
    </row>
    <row r="7358" customFormat="false" ht="15" hidden="false" customHeight="false" outlineLevel="0" collapsed="false">
      <c r="A7358" s="0" t="n">
        <v>7357</v>
      </c>
      <c r="B7358" s="14" t="n">
        <v>99976.2505308163</v>
      </c>
      <c r="C7358" s="15" t="n">
        <v>0.162303363350294</v>
      </c>
      <c r="D7358" s="14" t="n">
        <f aca="false">Summary!$B$5-B7358</f>
        <v>23.7494691837346</v>
      </c>
      <c r="E7358" s="15" t="n">
        <f aca="false">B7358/Summary!$B$5-1</f>
        <v>-0.000237494691837314</v>
      </c>
    </row>
    <row r="7359" customFormat="false" ht="15" hidden="false" customHeight="false" outlineLevel="0" collapsed="false">
      <c r="A7359" s="0" t="n">
        <v>7358</v>
      </c>
      <c r="B7359" s="14" t="n">
        <v>115301.335101531</v>
      </c>
      <c r="C7359" s="15" t="n">
        <v>0.0551814735748848</v>
      </c>
      <c r="D7359" s="14" t="n">
        <f aca="false">Summary!$B$5-B7359</f>
        <v>-15301.3351015313</v>
      </c>
      <c r="E7359" s="15" t="n">
        <f aca="false">B7359/Summary!$B$5-1</f>
        <v>0.153013351015313</v>
      </c>
    </row>
    <row r="7360" customFormat="false" ht="15" hidden="false" customHeight="false" outlineLevel="0" collapsed="false">
      <c r="A7360" s="0" t="n">
        <v>7359</v>
      </c>
      <c r="B7360" s="14" t="n">
        <v>109734.201711353</v>
      </c>
      <c r="C7360" s="15" t="n">
        <v>0.0661456533297207</v>
      </c>
      <c r="D7360" s="14" t="n">
        <f aca="false">Summary!$B$5-B7360</f>
        <v>-9734.201711353</v>
      </c>
      <c r="E7360" s="15" t="n">
        <f aca="false">B7360/Summary!$B$5-1</f>
        <v>0.09734201711353</v>
      </c>
    </row>
    <row r="7361" customFormat="false" ht="15" hidden="false" customHeight="false" outlineLevel="0" collapsed="false">
      <c r="A7361" s="0" t="n">
        <v>7360</v>
      </c>
      <c r="B7361" s="14" t="n">
        <v>111359.675075311</v>
      </c>
      <c r="C7361" s="15" t="n">
        <v>0.0927045097838416</v>
      </c>
      <c r="D7361" s="14" t="n">
        <f aca="false">Summary!$B$5-B7361</f>
        <v>-11359.6750753106</v>
      </c>
      <c r="E7361" s="15" t="n">
        <f aca="false">B7361/Summary!$B$5-1</f>
        <v>0.113596750753106</v>
      </c>
    </row>
    <row r="7362" customFormat="false" ht="15" hidden="false" customHeight="false" outlineLevel="0" collapsed="false">
      <c r="A7362" s="0" t="n">
        <v>7361</v>
      </c>
      <c r="B7362" s="14" t="n">
        <v>107997.321402291</v>
      </c>
      <c r="C7362" s="15" t="n">
        <v>0.0984251332014923</v>
      </c>
      <c r="D7362" s="14" t="n">
        <f aca="false">Summary!$B$5-B7362</f>
        <v>-7997.321402291</v>
      </c>
      <c r="E7362" s="15" t="n">
        <f aca="false">B7362/Summary!$B$5-1</f>
        <v>0.0799732140229099</v>
      </c>
    </row>
    <row r="7363" customFormat="false" ht="15" hidden="false" customHeight="false" outlineLevel="0" collapsed="false">
      <c r="A7363" s="0" t="n">
        <v>7362</v>
      </c>
      <c r="B7363" s="14" t="n">
        <v>89854.520182137</v>
      </c>
      <c r="C7363" s="15" t="n">
        <v>0.187461293186246</v>
      </c>
      <c r="D7363" s="14" t="n">
        <f aca="false">Summary!$B$5-B7363</f>
        <v>10145.479817863</v>
      </c>
      <c r="E7363" s="15" t="n">
        <f aca="false">B7363/Summary!$B$5-1</f>
        <v>-0.10145479817863</v>
      </c>
    </row>
    <row r="7364" customFormat="false" ht="15" hidden="false" customHeight="false" outlineLevel="0" collapsed="false">
      <c r="A7364" s="0" t="n">
        <v>7363</v>
      </c>
      <c r="B7364" s="14" t="n">
        <v>98541.8589514857</v>
      </c>
      <c r="C7364" s="15" t="n">
        <v>0.154581524854021</v>
      </c>
      <c r="D7364" s="14" t="n">
        <f aca="false">Summary!$B$5-B7364</f>
        <v>1458.14104851434</v>
      </c>
      <c r="E7364" s="15" t="n">
        <f aca="false">B7364/Summary!$B$5-1</f>
        <v>-0.0145814104851434</v>
      </c>
    </row>
    <row r="7365" customFormat="false" ht="15" hidden="false" customHeight="false" outlineLevel="0" collapsed="false">
      <c r="A7365" s="0" t="n">
        <v>7364</v>
      </c>
      <c r="B7365" s="14" t="n">
        <v>82183.8652557025</v>
      </c>
      <c r="C7365" s="15" t="n">
        <v>0.195827029706776</v>
      </c>
      <c r="D7365" s="14" t="n">
        <f aca="false">Summary!$B$5-B7365</f>
        <v>17816.1347442975</v>
      </c>
      <c r="E7365" s="15" t="n">
        <f aca="false">B7365/Summary!$B$5-1</f>
        <v>-0.178161347442975</v>
      </c>
    </row>
    <row r="7366" customFormat="false" ht="15" hidden="false" customHeight="false" outlineLevel="0" collapsed="false">
      <c r="A7366" s="0" t="n">
        <v>7365</v>
      </c>
      <c r="B7366" s="14" t="n">
        <v>114916.6388519</v>
      </c>
      <c r="C7366" s="15" t="n">
        <v>0.0677223834864038</v>
      </c>
      <c r="D7366" s="14" t="n">
        <f aca="false">Summary!$B$5-B7366</f>
        <v>-14916.6388518999</v>
      </c>
      <c r="E7366" s="15" t="n">
        <f aca="false">B7366/Summary!$B$5-1</f>
        <v>0.149166388518999</v>
      </c>
    </row>
    <row r="7367" customFormat="false" ht="15" hidden="false" customHeight="false" outlineLevel="0" collapsed="false">
      <c r="A7367" s="0" t="n">
        <v>7366</v>
      </c>
      <c r="B7367" s="14" t="n">
        <v>102751.996400977</v>
      </c>
      <c r="C7367" s="15" t="n">
        <v>0.0827419648596913</v>
      </c>
      <c r="D7367" s="14" t="n">
        <f aca="false">Summary!$B$5-B7367</f>
        <v>-2751.9964009768</v>
      </c>
      <c r="E7367" s="15" t="n">
        <f aca="false">B7367/Summary!$B$5-1</f>
        <v>0.0275199640097681</v>
      </c>
    </row>
    <row r="7368" customFormat="false" ht="15" hidden="false" customHeight="false" outlineLevel="0" collapsed="false">
      <c r="A7368" s="0" t="n">
        <v>7367</v>
      </c>
      <c r="B7368" s="14" t="n">
        <v>125929.392242785</v>
      </c>
      <c r="C7368" s="15" t="n">
        <v>0.0832062919831598</v>
      </c>
      <c r="D7368" s="14" t="n">
        <f aca="false">Summary!$B$5-B7368</f>
        <v>-25929.3922427854</v>
      </c>
      <c r="E7368" s="15" t="n">
        <f aca="false">B7368/Summary!$B$5-1</f>
        <v>0.259293922427854</v>
      </c>
    </row>
    <row r="7369" customFormat="false" ht="15" hidden="false" customHeight="false" outlineLevel="0" collapsed="false">
      <c r="A7369" s="0" t="n">
        <v>7368</v>
      </c>
      <c r="B7369" s="14" t="n">
        <v>113841.917664897</v>
      </c>
      <c r="C7369" s="15" t="n">
        <v>0.0523508209739017</v>
      </c>
      <c r="D7369" s="14" t="n">
        <f aca="false">Summary!$B$5-B7369</f>
        <v>-13841.9176648968</v>
      </c>
      <c r="E7369" s="15" t="n">
        <f aca="false">B7369/Summary!$B$5-1</f>
        <v>0.138419176648968</v>
      </c>
    </row>
    <row r="7370" customFormat="false" ht="15" hidden="false" customHeight="false" outlineLevel="0" collapsed="false">
      <c r="A7370" s="0" t="n">
        <v>7369</v>
      </c>
      <c r="B7370" s="14" t="n">
        <v>96485.0888867401</v>
      </c>
      <c r="C7370" s="15" t="n">
        <v>0.110373663161416</v>
      </c>
      <c r="D7370" s="14" t="n">
        <f aca="false">Summary!$B$5-B7370</f>
        <v>3514.91111325991</v>
      </c>
      <c r="E7370" s="15" t="n">
        <f aca="false">B7370/Summary!$B$5-1</f>
        <v>-0.0351491111325991</v>
      </c>
    </row>
    <row r="7371" customFormat="false" ht="15" hidden="false" customHeight="false" outlineLevel="0" collapsed="false">
      <c r="A7371" s="0" t="n">
        <v>7370</v>
      </c>
      <c r="B7371" s="14" t="n">
        <v>96313.9726943922</v>
      </c>
      <c r="C7371" s="15" t="n">
        <v>0.143578157657016</v>
      </c>
      <c r="D7371" s="14" t="n">
        <f aca="false">Summary!$B$5-B7371</f>
        <v>3686.02730560783</v>
      </c>
      <c r="E7371" s="15" t="n">
        <f aca="false">B7371/Summary!$B$5-1</f>
        <v>-0.0368602730560783</v>
      </c>
    </row>
    <row r="7372" customFormat="false" ht="15" hidden="false" customHeight="false" outlineLevel="0" collapsed="false">
      <c r="A7372" s="0" t="n">
        <v>7371</v>
      </c>
      <c r="B7372" s="14" t="n">
        <v>99823.3425814146</v>
      </c>
      <c r="C7372" s="15" t="n">
        <v>0.146832657648546</v>
      </c>
      <c r="D7372" s="14" t="n">
        <f aca="false">Summary!$B$5-B7372</f>
        <v>176.657418585382</v>
      </c>
      <c r="E7372" s="15" t="n">
        <f aca="false">B7372/Summary!$B$5-1</f>
        <v>-0.0017665741858538</v>
      </c>
    </row>
    <row r="7373" customFormat="false" ht="15" hidden="false" customHeight="false" outlineLevel="0" collapsed="false">
      <c r="A7373" s="0" t="n">
        <v>7372</v>
      </c>
      <c r="B7373" s="14" t="n">
        <v>117068.944831695</v>
      </c>
      <c r="C7373" s="15" t="n">
        <v>0.0738573215981841</v>
      </c>
      <c r="D7373" s="14" t="n">
        <f aca="false">Summary!$B$5-B7373</f>
        <v>-17068.9448316946</v>
      </c>
      <c r="E7373" s="15" t="n">
        <f aca="false">B7373/Summary!$B$5-1</f>
        <v>0.170689448316946</v>
      </c>
    </row>
    <row r="7374" customFormat="false" ht="15" hidden="false" customHeight="false" outlineLevel="0" collapsed="false">
      <c r="A7374" s="0" t="n">
        <v>7373</v>
      </c>
      <c r="B7374" s="14" t="n">
        <v>115480.757833932</v>
      </c>
      <c r="C7374" s="15" t="n">
        <v>0.063225145855623</v>
      </c>
      <c r="D7374" s="14" t="n">
        <f aca="false">Summary!$B$5-B7374</f>
        <v>-15480.757833932</v>
      </c>
      <c r="E7374" s="15" t="n">
        <f aca="false">B7374/Summary!$B$5-1</f>
        <v>0.15480757833932</v>
      </c>
    </row>
    <row r="7375" customFormat="false" ht="15" hidden="false" customHeight="false" outlineLevel="0" collapsed="false">
      <c r="A7375" s="0" t="n">
        <v>7374</v>
      </c>
      <c r="B7375" s="14" t="n">
        <v>129614.56499156</v>
      </c>
      <c r="C7375" s="15" t="n">
        <v>0.111187037297306</v>
      </c>
      <c r="D7375" s="14" t="n">
        <f aca="false">Summary!$B$5-B7375</f>
        <v>-29614.56499156</v>
      </c>
      <c r="E7375" s="15" t="n">
        <f aca="false">B7375/Summary!$B$5-1</f>
        <v>0.2961456499156</v>
      </c>
    </row>
    <row r="7376" customFormat="false" ht="15" hidden="false" customHeight="false" outlineLevel="0" collapsed="false">
      <c r="A7376" s="0" t="n">
        <v>7375</v>
      </c>
      <c r="B7376" s="14" t="n">
        <v>110070.336389563</v>
      </c>
      <c r="C7376" s="15" t="n">
        <v>0.0772814057331254</v>
      </c>
      <c r="D7376" s="14" t="n">
        <f aca="false">Summary!$B$5-B7376</f>
        <v>-10070.3363895627</v>
      </c>
      <c r="E7376" s="15" t="n">
        <f aca="false">B7376/Summary!$B$5-1</f>
        <v>0.100703363895627</v>
      </c>
    </row>
    <row r="7377" customFormat="false" ht="15" hidden="false" customHeight="false" outlineLevel="0" collapsed="false">
      <c r="A7377" s="0" t="n">
        <v>7376</v>
      </c>
      <c r="B7377" s="14" t="n">
        <v>120667.865655455</v>
      </c>
      <c r="C7377" s="15" t="n">
        <v>0.0674939651994154</v>
      </c>
      <c r="D7377" s="14" t="n">
        <f aca="false">Summary!$B$5-B7377</f>
        <v>-20667.8656554547</v>
      </c>
      <c r="E7377" s="15" t="n">
        <f aca="false">B7377/Summary!$B$5-1</f>
        <v>0.206678656554547</v>
      </c>
    </row>
    <row r="7378" customFormat="false" ht="15" hidden="false" customHeight="false" outlineLevel="0" collapsed="false">
      <c r="A7378" s="0" t="n">
        <v>7377</v>
      </c>
      <c r="B7378" s="14" t="n">
        <v>134669.200729582</v>
      </c>
      <c r="C7378" s="15" t="n">
        <v>0.0565464408019664</v>
      </c>
      <c r="D7378" s="14" t="n">
        <f aca="false">Summary!$B$5-B7378</f>
        <v>-34669.2007295821</v>
      </c>
      <c r="E7378" s="15" t="n">
        <f aca="false">B7378/Summary!$B$5-1</f>
        <v>0.346692007295821</v>
      </c>
    </row>
    <row r="7379" customFormat="false" ht="15" hidden="false" customHeight="false" outlineLevel="0" collapsed="false">
      <c r="A7379" s="0" t="n">
        <v>7378</v>
      </c>
      <c r="B7379" s="14" t="n">
        <v>109855.657406482</v>
      </c>
      <c r="C7379" s="15" t="n">
        <v>0.0537848439468508</v>
      </c>
      <c r="D7379" s="14" t="n">
        <f aca="false">Summary!$B$5-B7379</f>
        <v>-9855.6574064818</v>
      </c>
      <c r="E7379" s="15" t="n">
        <f aca="false">B7379/Summary!$B$5-1</f>
        <v>0.098556574064818</v>
      </c>
    </row>
    <row r="7380" customFormat="false" ht="15" hidden="false" customHeight="false" outlineLevel="0" collapsed="false">
      <c r="A7380" s="0" t="n">
        <v>7379</v>
      </c>
      <c r="B7380" s="14" t="n">
        <v>100086.058453947</v>
      </c>
      <c r="C7380" s="15" t="n">
        <v>0.108265312115056</v>
      </c>
      <c r="D7380" s="14" t="n">
        <f aca="false">Summary!$B$5-B7380</f>
        <v>-86.0584539470001</v>
      </c>
      <c r="E7380" s="15" t="n">
        <f aca="false">B7380/Summary!$B$5-1</f>
        <v>0.000860584539470022</v>
      </c>
    </row>
    <row r="7381" customFormat="false" ht="15" hidden="false" customHeight="false" outlineLevel="0" collapsed="false">
      <c r="A7381" s="0" t="n">
        <v>7380</v>
      </c>
      <c r="B7381" s="14" t="n">
        <v>104757.541416943</v>
      </c>
      <c r="C7381" s="15" t="n">
        <v>0.0904472526256448</v>
      </c>
      <c r="D7381" s="14" t="n">
        <f aca="false">Summary!$B$5-B7381</f>
        <v>-4757.54141694331</v>
      </c>
      <c r="E7381" s="15" t="n">
        <f aca="false">B7381/Summary!$B$5-1</f>
        <v>0.0475754141694331</v>
      </c>
    </row>
    <row r="7382" customFormat="false" ht="15" hidden="false" customHeight="false" outlineLevel="0" collapsed="false">
      <c r="A7382" s="0" t="n">
        <v>7381</v>
      </c>
      <c r="B7382" s="14" t="n">
        <v>108819.939656847</v>
      </c>
      <c r="C7382" s="15" t="n">
        <v>0.0988057509170598</v>
      </c>
      <c r="D7382" s="14" t="n">
        <f aca="false">Summary!$B$5-B7382</f>
        <v>-8819.9396568469</v>
      </c>
      <c r="E7382" s="15" t="n">
        <f aca="false">B7382/Summary!$B$5-1</f>
        <v>0.0881993965684689</v>
      </c>
    </row>
    <row r="7383" customFormat="false" ht="15" hidden="false" customHeight="false" outlineLevel="0" collapsed="false">
      <c r="A7383" s="0" t="n">
        <v>7382</v>
      </c>
      <c r="B7383" s="14" t="n">
        <v>99109.2499072217</v>
      </c>
      <c r="C7383" s="15" t="n">
        <v>0.144416814984018</v>
      </c>
      <c r="D7383" s="14" t="n">
        <f aca="false">Summary!$B$5-B7383</f>
        <v>890.750092778268</v>
      </c>
      <c r="E7383" s="15" t="n">
        <f aca="false">B7383/Summary!$B$5-1</f>
        <v>-0.0089075009277827</v>
      </c>
    </row>
    <row r="7384" customFormat="false" ht="15" hidden="false" customHeight="false" outlineLevel="0" collapsed="false">
      <c r="A7384" s="0" t="n">
        <v>7383</v>
      </c>
      <c r="B7384" s="14" t="n">
        <v>116097.115332594</v>
      </c>
      <c r="C7384" s="15" t="n">
        <v>0.0631466926299816</v>
      </c>
      <c r="D7384" s="14" t="n">
        <f aca="false">Summary!$B$5-B7384</f>
        <v>-16097.1153325937</v>
      </c>
      <c r="E7384" s="15" t="n">
        <f aca="false">B7384/Summary!$B$5-1</f>
        <v>0.160971153325937</v>
      </c>
    </row>
    <row r="7385" customFormat="false" ht="15" hidden="false" customHeight="false" outlineLevel="0" collapsed="false">
      <c r="A7385" s="0" t="n">
        <v>7384</v>
      </c>
      <c r="B7385" s="14" t="n">
        <v>112784.188836107</v>
      </c>
      <c r="C7385" s="15" t="n">
        <v>0.0690590073211455</v>
      </c>
      <c r="D7385" s="14" t="n">
        <f aca="false">Summary!$B$5-B7385</f>
        <v>-12784.1888361066</v>
      </c>
      <c r="E7385" s="15" t="n">
        <f aca="false">B7385/Summary!$B$5-1</f>
        <v>0.127841888361066</v>
      </c>
    </row>
    <row r="7386" customFormat="false" ht="15" hidden="false" customHeight="false" outlineLevel="0" collapsed="false">
      <c r="A7386" s="0" t="n">
        <v>7385</v>
      </c>
      <c r="B7386" s="14" t="n">
        <v>126510.287772827</v>
      </c>
      <c r="C7386" s="15" t="n">
        <v>0.0526630452735867</v>
      </c>
      <c r="D7386" s="14" t="n">
        <f aca="false">Summary!$B$5-B7386</f>
        <v>-26510.2877728266</v>
      </c>
      <c r="E7386" s="15" t="n">
        <f aca="false">B7386/Summary!$B$5-1</f>
        <v>0.265102877728266</v>
      </c>
    </row>
    <row r="7387" customFormat="false" ht="15" hidden="false" customHeight="false" outlineLevel="0" collapsed="false">
      <c r="A7387" s="0" t="n">
        <v>7386</v>
      </c>
      <c r="B7387" s="14" t="n">
        <v>102334.84046812</v>
      </c>
      <c r="C7387" s="15" t="n">
        <v>0.0827216384713436</v>
      </c>
      <c r="D7387" s="14" t="n">
        <f aca="false">Summary!$B$5-B7387</f>
        <v>-2334.8404681197</v>
      </c>
      <c r="E7387" s="15" t="n">
        <f aca="false">B7387/Summary!$B$5-1</f>
        <v>0.0233484046811969</v>
      </c>
    </row>
    <row r="7388" customFormat="false" ht="15" hidden="false" customHeight="false" outlineLevel="0" collapsed="false">
      <c r="A7388" s="0" t="n">
        <v>7387</v>
      </c>
      <c r="B7388" s="14" t="n">
        <v>98762.6775393129</v>
      </c>
      <c r="C7388" s="15" t="n">
        <v>0.13150276648779</v>
      </c>
      <c r="D7388" s="14" t="n">
        <f aca="false">Summary!$B$5-B7388</f>
        <v>1237.32246068708</v>
      </c>
      <c r="E7388" s="15" t="n">
        <f aca="false">B7388/Summary!$B$5-1</f>
        <v>-0.0123732246068707</v>
      </c>
    </row>
    <row r="7389" customFormat="false" ht="15" hidden="false" customHeight="false" outlineLevel="0" collapsed="false">
      <c r="A7389" s="0" t="n">
        <v>7388</v>
      </c>
      <c r="B7389" s="14" t="n">
        <v>97014.7091852113</v>
      </c>
      <c r="C7389" s="15" t="n">
        <v>0.109000595880951</v>
      </c>
      <c r="D7389" s="14" t="n">
        <f aca="false">Summary!$B$5-B7389</f>
        <v>2985.29081478871</v>
      </c>
      <c r="E7389" s="15" t="n">
        <f aca="false">B7389/Summary!$B$5-1</f>
        <v>-0.0298529081478871</v>
      </c>
    </row>
    <row r="7390" customFormat="false" ht="15" hidden="false" customHeight="false" outlineLevel="0" collapsed="false">
      <c r="A7390" s="0" t="n">
        <v>7389</v>
      </c>
      <c r="B7390" s="14" t="n">
        <v>109837.082224181</v>
      </c>
      <c r="C7390" s="15" t="n">
        <v>0.120256659433049</v>
      </c>
      <c r="D7390" s="14" t="n">
        <f aca="false">Summary!$B$5-B7390</f>
        <v>-9837.0822241813</v>
      </c>
      <c r="E7390" s="15" t="n">
        <f aca="false">B7390/Summary!$B$5-1</f>
        <v>0.0983708222418129</v>
      </c>
    </row>
    <row r="7391" customFormat="false" ht="15" hidden="false" customHeight="false" outlineLevel="0" collapsed="false">
      <c r="A7391" s="0" t="n">
        <v>7390</v>
      </c>
      <c r="B7391" s="14" t="n">
        <v>116088.963344885</v>
      </c>
      <c r="C7391" s="15" t="n">
        <v>0.0598701377193267</v>
      </c>
      <c r="D7391" s="14" t="n">
        <f aca="false">Summary!$B$5-B7391</f>
        <v>-16088.9633448846</v>
      </c>
      <c r="E7391" s="15" t="n">
        <f aca="false">B7391/Summary!$B$5-1</f>
        <v>0.160889633448846</v>
      </c>
    </row>
    <row r="7392" customFormat="false" ht="15" hidden="false" customHeight="false" outlineLevel="0" collapsed="false">
      <c r="A7392" s="0" t="n">
        <v>7391</v>
      </c>
      <c r="B7392" s="14" t="n">
        <v>103954.633731496</v>
      </c>
      <c r="C7392" s="15" t="n">
        <v>0.0947094626124239</v>
      </c>
      <c r="D7392" s="14" t="n">
        <f aca="false">Summary!$B$5-B7392</f>
        <v>-3954.6337314956</v>
      </c>
      <c r="E7392" s="15" t="n">
        <f aca="false">B7392/Summary!$B$5-1</f>
        <v>0.0395463373149561</v>
      </c>
    </row>
    <row r="7393" customFormat="false" ht="15" hidden="false" customHeight="false" outlineLevel="0" collapsed="false">
      <c r="A7393" s="0" t="n">
        <v>7392</v>
      </c>
      <c r="B7393" s="14" t="n">
        <v>118876.097696967</v>
      </c>
      <c r="C7393" s="15" t="n">
        <v>0.121043815241142</v>
      </c>
      <c r="D7393" s="14" t="n">
        <f aca="false">Summary!$B$5-B7393</f>
        <v>-18876.0976969671</v>
      </c>
      <c r="E7393" s="15" t="n">
        <f aca="false">B7393/Summary!$B$5-1</f>
        <v>0.188760976969671</v>
      </c>
    </row>
    <row r="7394" customFormat="false" ht="15" hidden="false" customHeight="false" outlineLevel="0" collapsed="false">
      <c r="A7394" s="0" t="n">
        <v>7393</v>
      </c>
      <c r="B7394" s="14" t="n">
        <v>108755.212336567</v>
      </c>
      <c r="C7394" s="15" t="n">
        <v>0.0551320594853747</v>
      </c>
      <c r="D7394" s="14" t="n">
        <f aca="false">Summary!$B$5-B7394</f>
        <v>-8755.2123365669</v>
      </c>
      <c r="E7394" s="15" t="n">
        <f aca="false">B7394/Summary!$B$5-1</f>
        <v>0.0875521233656689</v>
      </c>
    </row>
    <row r="7395" customFormat="false" ht="15" hidden="false" customHeight="false" outlineLevel="0" collapsed="false">
      <c r="A7395" s="0" t="n">
        <v>7394</v>
      </c>
      <c r="B7395" s="14" t="n">
        <v>133363.286473399</v>
      </c>
      <c r="C7395" s="15" t="n">
        <v>0.0759710632447898</v>
      </c>
      <c r="D7395" s="14" t="n">
        <f aca="false">Summary!$B$5-B7395</f>
        <v>-33363.2864733991</v>
      </c>
      <c r="E7395" s="15" t="n">
        <f aca="false">B7395/Summary!$B$5-1</f>
        <v>0.333632864733991</v>
      </c>
    </row>
    <row r="7396" customFormat="false" ht="15" hidden="false" customHeight="false" outlineLevel="0" collapsed="false">
      <c r="A7396" s="0" t="n">
        <v>7395</v>
      </c>
      <c r="B7396" s="14" t="n">
        <v>96944.0935252367</v>
      </c>
      <c r="C7396" s="15" t="n">
        <v>0.139431016889094</v>
      </c>
      <c r="D7396" s="14" t="n">
        <f aca="false">Summary!$B$5-B7396</f>
        <v>3055.90647476335</v>
      </c>
      <c r="E7396" s="15" t="n">
        <f aca="false">B7396/Summary!$B$5-1</f>
        <v>-0.0305590647476335</v>
      </c>
    </row>
    <row r="7397" customFormat="false" ht="15" hidden="false" customHeight="false" outlineLevel="0" collapsed="false">
      <c r="A7397" s="0" t="n">
        <v>7396</v>
      </c>
      <c r="B7397" s="14" t="n">
        <v>105176.951329626</v>
      </c>
      <c r="C7397" s="15" t="n">
        <v>0.100805417682895</v>
      </c>
      <c r="D7397" s="14" t="n">
        <f aca="false">Summary!$B$5-B7397</f>
        <v>-5176.9513296259</v>
      </c>
      <c r="E7397" s="15" t="n">
        <f aca="false">B7397/Summary!$B$5-1</f>
        <v>0.051769513296259</v>
      </c>
    </row>
    <row r="7398" customFormat="false" ht="15" hidden="false" customHeight="false" outlineLevel="0" collapsed="false">
      <c r="A7398" s="0" t="n">
        <v>7397</v>
      </c>
      <c r="B7398" s="14" t="n">
        <v>96760.8629584044</v>
      </c>
      <c r="C7398" s="15" t="n">
        <v>0.155694095705076</v>
      </c>
      <c r="D7398" s="14" t="n">
        <f aca="false">Summary!$B$5-B7398</f>
        <v>3239.1370415956</v>
      </c>
      <c r="E7398" s="15" t="n">
        <f aca="false">B7398/Summary!$B$5-1</f>
        <v>-0.0323913704159561</v>
      </c>
    </row>
    <row r="7399" customFormat="false" ht="15" hidden="false" customHeight="false" outlineLevel="0" collapsed="false">
      <c r="A7399" s="0" t="n">
        <v>7398</v>
      </c>
      <c r="B7399" s="14" t="n">
        <v>100199.224926353</v>
      </c>
      <c r="C7399" s="15" t="n">
        <v>0.0982986008788528</v>
      </c>
      <c r="D7399" s="14" t="n">
        <f aca="false">Summary!$B$5-B7399</f>
        <v>-199.224926353098</v>
      </c>
      <c r="E7399" s="15" t="n">
        <f aca="false">B7399/Summary!$B$5-1</f>
        <v>0.00199224926353092</v>
      </c>
    </row>
    <row r="7400" customFormat="false" ht="15" hidden="false" customHeight="false" outlineLevel="0" collapsed="false">
      <c r="A7400" s="0" t="n">
        <v>7399</v>
      </c>
      <c r="B7400" s="14" t="n">
        <v>91943.9376183684</v>
      </c>
      <c r="C7400" s="15" t="n">
        <v>0.17868081471899</v>
      </c>
      <c r="D7400" s="14" t="n">
        <f aca="false">Summary!$B$5-B7400</f>
        <v>8056.06238163161</v>
      </c>
      <c r="E7400" s="15" t="n">
        <f aca="false">B7400/Summary!$B$5-1</f>
        <v>-0.0805606238163161</v>
      </c>
    </row>
    <row r="7401" customFormat="false" ht="15" hidden="false" customHeight="false" outlineLevel="0" collapsed="false">
      <c r="A7401" s="0" t="n">
        <v>7400</v>
      </c>
      <c r="B7401" s="14" t="n">
        <v>113816.425582178</v>
      </c>
      <c r="C7401" s="15" t="n">
        <v>0.0907552118246119</v>
      </c>
      <c r="D7401" s="14" t="n">
        <f aca="false">Summary!$B$5-B7401</f>
        <v>-13816.4255821778</v>
      </c>
      <c r="E7401" s="15" t="n">
        <f aca="false">B7401/Summary!$B$5-1</f>
        <v>0.138164255821778</v>
      </c>
    </row>
    <row r="7402" customFormat="false" ht="15" hidden="false" customHeight="false" outlineLevel="0" collapsed="false">
      <c r="A7402" s="0" t="n">
        <v>7401</v>
      </c>
      <c r="B7402" s="14" t="n">
        <v>131688.194838061</v>
      </c>
      <c r="C7402" s="15" t="n">
        <v>0.0792749580837237</v>
      </c>
      <c r="D7402" s="14" t="n">
        <f aca="false">Summary!$B$5-B7402</f>
        <v>-31688.1948380605</v>
      </c>
      <c r="E7402" s="15" t="n">
        <f aca="false">B7402/Summary!$B$5-1</f>
        <v>0.316881948380605</v>
      </c>
    </row>
    <row r="7403" customFormat="false" ht="15" hidden="false" customHeight="false" outlineLevel="0" collapsed="false">
      <c r="A7403" s="0" t="n">
        <v>7402</v>
      </c>
      <c r="B7403" s="14" t="n">
        <v>114893.85492152</v>
      </c>
      <c r="C7403" s="15" t="n">
        <v>0.0779180335216636</v>
      </c>
      <c r="D7403" s="14" t="n">
        <f aca="false">Summary!$B$5-B7403</f>
        <v>-14893.8549215201</v>
      </c>
      <c r="E7403" s="15" t="n">
        <f aca="false">B7403/Summary!$B$5-1</f>
        <v>0.148938549215201</v>
      </c>
    </row>
    <row r="7404" customFormat="false" ht="15" hidden="false" customHeight="false" outlineLevel="0" collapsed="false">
      <c r="A7404" s="0" t="n">
        <v>7403</v>
      </c>
      <c r="B7404" s="14" t="n">
        <v>83515.1133595769</v>
      </c>
      <c r="C7404" s="15" t="n">
        <v>0.175609425784957</v>
      </c>
      <c r="D7404" s="14" t="n">
        <f aca="false">Summary!$B$5-B7404</f>
        <v>16484.8866404231</v>
      </c>
      <c r="E7404" s="15" t="n">
        <f aca="false">B7404/Summary!$B$5-1</f>
        <v>-0.164848866404231</v>
      </c>
    </row>
    <row r="7405" customFormat="false" ht="15" hidden="false" customHeight="false" outlineLevel="0" collapsed="false">
      <c r="A7405" s="0" t="n">
        <v>7404</v>
      </c>
      <c r="B7405" s="14" t="n">
        <v>104642.21376005</v>
      </c>
      <c r="C7405" s="15" t="n">
        <v>0.080365174681669</v>
      </c>
      <c r="D7405" s="14" t="n">
        <f aca="false">Summary!$B$5-B7405</f>
        <v>-4642.21376005041</v>
      </c>
      <c r="E7405" s="15" t="n">
        <f aca="false">B7405/Summary!$B$5-1</f>
        <v>0.0464221376005041</v>
      </c>
    </row>
    <row r="7406" customFormat="false" ht="15" hidden="false" customHeight="false" outlineLevel="0" collapsed="false">
      <c r="A7406" s="0" t="n">
        <v>7405</v>
      </c>
      <c r="B7406" s="14" t="n">
        <v>98032.3752888307</v>
      </c>
      <c r="C7406" s="15" t="n">
        <v>0.084248977443859</v>
      </c>
      <c r="D7406" s="14" t="n">
        <f aca="false">Summary!$B$5-B7406</f>
        <v>1967.62471116934</v>
      </c>
      <c r="E7406" s="15" t="n">
        <f aca="false">B7406/Summary!$B$5-1</f>
        <v>-0.0196762471116934</v>
      </c>
    </row>
    <row r="7407" customFormat="false" ht="15" hidden="false" customHeight="false" outlineLevel="0" collapsed="false">
      <c r="A7407" s="0" t="n">
        <v>7406</v>
      </c>
      <c r="B7407" s="14" t="n">
        <v>118304.782888348</v>
      </c>
      <c r="C7407" s="15" t="n">
        <v>0.0581960854283156</v>
      </c>
      <c r="D7407" s="14" t="n">
        <f aca="false">Summary!$B$5-B7407</f>
        <v>-18304.7828883476</v>
      </c>
      <c r="E7407" s="15" t="n">
        <f aca="false">B7407/Summary!$B$5-1</f>
        <v>0.183047828883476</v>
      </c>
    </row>
    <row r="7408" customFormat="false" ht="15" hidden="false" customHeight="false" outlineLevel="0" collapsed="false">
      <c r="A7408" s="0" t="n">
        <v>7407</v>
      </c>
      <c r="B7408" s="14" t="n">
        <v>103997.474341202</v>
      </c>
      <c r="C7408" s="15" t="n">
        <v>0.128992996431688</v>
      </c>
      <c r="D7408" s="14" t="n">
        <f aca="false">Summary!$B$5-B7408</f>
        <v>-3997.4743412018</v>
      </c>
      <c r="E7408" s="15" t="n">
        <f aca="false">B7408/Summary!$B$5-1</f>
        <v>0.0399747434120179</v>
      </c>
    </row>
    <row r="7409" customFormat="false" ht="15" hidden="false" customHeight="false" outlineLevel="0" collapsed="false">
      <c r="A7409" s="0" t="n">
        <v>7408</v>
      </c>
      <c r="B7409" s="14" t="n">
        <v>143149.927275526</v>
      </c>
      <c r="C7409" s="15" t="n">
        <v>0.0441455225058561</v>
      </c>
      <c r="D7409" s="14" t="n">
        <f aca="false">Summary!$B$5-B7409</f>
        <v>-43149.9272755264</v>
      </c>
      <c r="E7409" s="15" t="n">
        <f aca="false">B7409/Summary!$B$5-1</f>
        <v>0.431499272755264</v>
      </c>
    </row>
    <row r="7410" customFormat="false" ht="15" hidden="false" customHeight="false" outlineLevel="0" collapsed="false">
      <c r="A7410" s="0" t="n">
        <v>7409</v>
      </c>
      <c r="B7410" s="14" t="n">
        <v>91555.1764771804</v>
      </c>
      <c r="C7410" s="15" t="n">
        <v>0.137929417864449</v>
      </c>
      <c r="D7410" s="14" t="n">
        <f aca="false">Summary!$B$5-B7410</f>
        <v>8444.82352281964</v>
      </c>
      <c r="E7410" s="15" t="n">
        <f aca="false">B7410/Summary!$B$5-1</f>
        <v>-0.0844482352281964</v>
      </c>
    </row>
    <row r="7411" customFormat="false" ht="15" hidden="false" customHeight="false" outlineLevel="0" collapsed="false">
      <c r="A7411" s="0" t="n">
        <v>7410</v>
      </c>
      <c r="B7411" s="14" t="n">
        <v>100419.453658985</v>
      </c>
      <c r="C7411" s="15" t="n">
        <v>0.115417612171751</v>
      </c>
      <c r="D7411" s="14" t="n">
        <f aca="false">Summary!$B$5-B7411</f>
        <v>-419.453658984596</v>
      </c>
      <c r="E7411" s="15" t="n">
        <f aca="false">B7411/Summary!$B$5-1</f>
        <v>0.00419453658984592</v>
      </c>
    </row>
    <row r="7412" customFormat="false" ht="15" hidden="false" customHeight="false" outlineLevel="0" collapsed="false">
      <c r="A7412" s="0" t="n">
        <v>7411</v>
      </c>
      <c r="B7412" s="14" t="n">
        <v>132342.426510851</v>
      </c>
      <c r="C7412" s="15" t="n">
        <v>0.080889720357892</v>
      </c>
      <c r="D7412" s="14" t="n">
        <f aca="false">Summary!$B$5-B7412</f>
        <v>-32342.4265108508</v>
      </c>
      <c r="E7412" s="15" t="n">
        <f aca="false">B7412/Summary!$B$5-1</f>
        <v>0.323424265108508</v>
      </c>
    </row>
    <row r="7413" customFormat="false" ht="15" hidden="false" customHeight="false" outlineLevel="0" collapsed="false">
      <c r="A7413" s="0" t="n">
        <v>7412</v>
      </c>
      <c r="B7413" s="14" t="n">
        <v>102268.248786655</v>
      </c>
      <c r="C7413" s="15" t="n">
        <v>0.0818834066758218</v>
      </c>
      <c r="D7413" s="14" t="n">
        <f aca="false">Summary!$B$5-B7413</f>
        <v>-2268.2487866548</v>
      </c>
      <c r="E7413" s="15" t="n">
        <f aca="false">B7413/Summary!$B$5-1</f>
        <v>0.0226824878665481</v>
      </c>
    </row>
    <row r="7414" customFormat="false" ht="15" hidden="false" customHeight="false" outlineLevel="0" collapsed="false">
      <c r="A7414" s="0" t="n">
        <v>7413</v>
      </c>
      <c r="B7414" s="14" t="n">
        <v>95093.7825341983</v>
      </c>
      <c r="C7414" s="15" t="n">
        <v>0.118912018268948</v>
      </c>
      <c r="D7414" s="14" t="n">
        <f aca="false">Summary!$B$5-B7414</f>
        <v>4906.21746580172</v>
      </c>
      <c r="E7414" s="15" t="n">
        <f aca="false">B7414/Summary!$B$5-1</f>
        <v>-0.0490621746580172</v>
      </c>
    </row>
    <row r="7415" customFormat="false" ht="15" hidden="false" customHeight="false" outlineLevel="0" collapsed="false">
      <c r="A7415" s="0" t="n">
        <v>7414</v>
      </c>
      <c r="B7415" s="14" t="n">
        <v>95496.1966871346</v>
      </c>
      <c r="C7415" s="15" t="n">
        <v>0.141412478407447</v>
      </c>
      <c r="D7415" s="14" t="n">
        <f aca="false">Summary!$B$5-B7415</f>
        <v>4503.80331286538</v>
      </c>
      <c r="E7415" s="15" t="n">
        <f aca="false">B7415/Summary!$B$5-1</f>
        <v>-0.0450380331286537</v>
      </c>
    </row>
    <row r="7416" customFormat="false" ht="15" hidden="false" customHeight="false" outlineLevel="0" collapsed="false">
      <c r="A7416" s="0" t="n">
        <v>7415</v>
      </c>
      <c r="B7416" s="14" t="n">
        <v>82786.6954651802</v>
      </c>
      <c r="C7416" s="15" t="n">
        <v>0.178738239033454</v>
      </c>
      <c r="D7416" s="14" t="n">
        <f aca="false">Summary!$B$5-B7416</f>
        <v>17213.3045348198</v>
      </c>
      <c r="E7416" s="15" t="n">
        <f aca="false">B7416/Summary!$B$5-1</f>
        <v>-0.172133045348198</v>
      </c>
    </row>
    <row r="7417" customFormat="false" ht="15" hidden="false" customHeight="false" outlineLevel="0" collapsed="false">
      <c r="A7417" s="0" t="n">
        <v>7416</v>
      </c>
      <c r="B7417" s="14" t="n">
        <v>103727.314525374</v>
      </c>
      <c r="C7417" s="15" t="n">
        <v>0.187044044878076</v>
      </c>
      <c r="D7417" s="14" t="n">
        <f aca="false">Summary!$B$5-B7417</f>
        <v>-3727.3145253743</v>
      </c>
      <c r="E7417" s="15" t="n">
        <f aca="false">B7417/Summary!$B$5-1</f>
        <v>0.0372731452537429</v>
      </c>
    </row>
    <row r="7418" customFormat="false" ht="15" hidden="false" customHeight="false" outlineLevel="0" collapsed="false">
      <c r="A7418" s="0" t="n">
        <v>7417</v>
      </c>
      <c r="B7418" s="14" t="n">
        <v>134206.585233003</v>
      </c>
      <c r="C7418" s="15" t="n">
        <v>0.0926818420077102</v>
      </c>
      <c r="D7418" s="14" t="n">
        <f aca="false">Summary!$B$5-B7418</f>
        <v>-34206.5852330034</v>
      </c>
      <c r="E7418" s="15" t="n">
        <f aca="false">B7418/Summary!$B$5-1</f>
        <v>0.342065852330034</v>
      </c>
    </row>
    <row r="7419" customFormat="false" ht="15" hidden="false" customHeight="false" outlineLevel="0" collapsed="false">
      <c r="A7419" s="0" t="n">
        <v>7418</v>
      </c>
      <c r="B7419" s="14" t="n">
        <v>94697.4893425666</v>
      </c>
      <c r="C7419" s="15" t="n">
        <v>0.123130904889609</v>
      </c>
      <c r="D7419" s="14" t="n">
        <f aca="false">Summary!$B$5-B7419</f>
        <v>5302.51065743338</v>
      </c>
      <c r="E7419" s="15" t="n">
        <f aca="false">B7419/Summary!$B$5-1</f>
        <v>-0.0530251065743338</v>
      </c>
    </row>
    <row r="7420" customFormat="false" ht="15" hidden="false" customHeight="false" outlineLevel="0" collapsed="false">
      <c r="A7420" s="0" t="n">
        <v>7419</v>
      </c>
      <c r="B7420" s="14" t="n">
        <v>107324.286095044</v>
      </c>
      <c r="C7420" s="15" t="n">
        <v>0.108932639103753</v>
      </c>
      <c r="D7420" s="14" t="n">
        <f aca="false">Summary!$B$5-B7420</f>
        <v>-7324.2860950436</v>
      </c>
      <c r="E7420" s="15" t="n">
        <f aca="false">B7420/Summary!$B$5-1</f>
        <v>0.0732428609504361</v>
      </c>
    </row>
    <row r="7421" customFormat="false" ht="15" hidden="false" customHeight="false" outlineLevel="0" collapsed="false">
      <c r="A7421" s="0" t="n">
        <v>7420</v>
      </c>
      <c r="B7421" s="14" t="n">
        <v>127925.290626275</v>
      </c>
      <c r="C7421" s="15" t="n">
        <v>0.0700861779451539</v>
      </c>
      <c r="D7421" s="14" t="n">
        <f aca="false">Summary!$B$5-B7421</f>
        <v>-27925.2906262748</v>
      </c>
      <c r="E7421" s="15" t="n">
        <f aca="false">B7421/Summary!$B$5-1</f>
        <v>0.279252906262748</v>
      </c>
    </row>
    <row r="7422" customFormat="false" ht="15" hidden="false" customHeight="false" outlineLevel="0" collapsed="false">
      <c r="A7422" s="0" t="n">
        <v>7421</v>
      </c>
      <c r="B7422" s="14" t="n">
        <v>106792.923756343</v>
      </c>
      <c r="C7422" s="15" t="n">
        <v>0.129820050747992</v>
      </c>
      <c r="D7422" s="14" t="n">
        <f aca="false">Summary!$B$5-B7422</f>
        <v>-6792.9237563433</v>
      </c>
      <c r="E7422" s="15" t="n">
        <f aca="false">B7422/Summary!$B$5-1</f>
        <v>0.0679292375634331</v>
      </c>
    </row>
    <row r="7423" customFormat="false" ht="15" hidden="false" customHeight="false" outlineLevel="0" collapsed="false">
      <c r="A7423" s="0" t="n">
        <v>7422</v>
      </c>
      <c r="B7423" s="14" t="n">
        <v>97728.5012111148</v>
      </c>
      <c r="C7423" s="15" t="n">
        <v>0.102102987950066</v>
      </c>
      <c r="D7423" s="14" t="n">
        <f aca="false">Summary!$B$5-B7423</f>
        <v>2271.49878888523</v>
      </c>
      <c r="E7423" s="15" t="n">
        <f aca="false">B7423/Summary!$B$5-1</f>
        <v>-0.0227149878888523</v>
      </c>
    </row>
    <row r="7424" customFormat="false" ht="15" hidden="false" customHeight="false" outlineLevel="0" collapsed="false">
      <c r="A7424" s="0" t="n">
        <v>7423</v>
      </c>
      <c r="B7424" s="14" t="n">
        <v>115022.393048191</v>
      </c>
      <c r="C7424" s="15" t="n">
        <v>0.0839742492466153</v>
      </c>
      <c r="D7424" s="14" t="n">
        <f aca="false">Summary!$B$5-B7424</f>
        <v>-15022.3930481912</v>
      </c>
      <c r="E7424" s="15" t="n">
        <f aca="false">B7424/Summary!$B$5-1</f>
        <v>0.150223930481912</v>
      </c>
    </row>
    <row r="7425" customFormat="false" ht="15" hidden="false" customHeight="false" outlineLevel="0" collapsed="false">
      <c r="A7425" s="0" t="n">
        <v>7424</v>
      </c>
      <c r="B7425" s="14" t="n">
        <v>100172.421846372</v>
      </c>
      <c r="C7425" s="15" t="n">
        <v>0.0803913481868036</v>
      </c>
      <c r="D7425" s="14" t="n">
        <f aca="false">Summary!$B$5-B7425</f>
        <v>-172.421846371901</v>
      </c>
      <c r="E7425" s="15" t="n">
        <f aca="false">B7425/Summary!$B$5-1</f>
        <v>0.00172421846371895</v>
      </c>
    </row>
    <row r="7426" customFormat="false" ht="15" hidden="false" customHeight="false" outlineLevel="0" collapsed="false">
      <c r="A7426" s="0" t="n">
        <v>7425</v>
      </c>
      <c r="B7426" s="14" t="n">
        <v>90862.6422728806</v>
      </c>
      <c r="C7426" s="15" t="n">
        <v>0.177856938330523</v>
      </c>
      <c r="D7426" s="14" t="n">
        <f aca="false">Summary!$B$5-B7426</f>
        <v>9137.35772711941</v>
      </c>
      <c r="E7426" s="15" t="n">
        <f aca="false">B7426/Summary!$B$5-1</f>
        <v>-0.0913735772711941</v>
      </c>
    </row>
    <row r="7427" customFormat="false" ht="15" hidden="false" customHeight="false" outlineLevel="0" collapsed="false">
      <c r="A7427" s="0" t="n">
        <v>7426</v>
      </c>
      <c r="B7427" s="14" t="n">
        <v>106800.78871997</v>
      </c>
      <c r="C7427" s="15" t="n">
        <v>0.12259986510374</v>
      </c>
      <c r="D7427" s="14" t="n">
        <f aca="false">Summary!$B$5-B7427</f>
        <v>-6800.78871997001</v>
      </c>
      <c r="E7427" s="15" t="n">
        <f aca="false">B7427/Summary!$B$5-1</f>
        <v>0.0680078871997001</v>
      </c>
    </row>
    <row r="7428" customFormat="false" ht="15" hidden="false" customHeight="false" outlineLevel="0" collapsed="false">
      <c r="A7428" s="0" t="n">
        <v>7427</v>
      </c>
      <c r="B7428" s="14" t="n">
        <v>95292.3022375499</v>
      </c>
      <c r="C7428" s="15" t="n">
        <v>0.0751377186409746</v>
      </c>
      <c r="D7428" s="14" t="n">
        <f aca="false">Summary!$B$5-B7428</f>
        <v>4707.69776245015</v>
      </c>
      <c r="E7428" s="15" t="n">
        <f aca="false">B7428/Summary!$B$5-1</f>
        <v>-0.0470769776245015</v>
      </c>
    </row>
    <row r="7429" customFormat="false" ht="15" hidden="false" customHeight="false" outlineLevel="0" collapsed="false">
      <c r="A7429" s="0" t="n">
        <v>7428</v>
      </c>
      <c r="B7429" s="14" t="n">
        <v>109273.686520584</v>
      </c>
      <c r="C7429" s="15" t="n">
        <v>0.0878331787658866</v>
      </c>
      <c r="D7429" s="14" t="n">
        <f aca="false">Summary!$B$5-B7429</f>
        <v>-9273.6865205842</v>
      </c>
      <c r="E7429" s="15" t="n">
        <f aca="false">B7429/Summary!$B$5-1</f>
        <v>0.092736865205842</v>
      </c>
    </row>
    <row r="7430" customFormat="false" ht="15" hidden="false" customHeight="false" outlineLevel="0" collapsed="false">
      <c r="A7430" s="0" t="n">
        <v>7429</v>
      </c>
      <c r="B7430" s="14" t="n">
        <v>126626.235088993</v>
      </c>
      <c r="C7430" s="15" t="n">
        <v>0.0791578364077744</v>
      </c>
      <c r="D7430" s="14" t="n">
        <f aca="false">Summary!$B$5-B7430</f>
        <v>-26626.2350889927</v>
      </c>
      <c r="E7430" s="15" t="n">
        <f aca="false">B7430/Summary!$B$5-1</f>
        <v>0.266262350889927</v>
      </c>
    </row>
    <row r="7431" customFormat="false" ht="15" hidden="false" customHeight="false" outlineLevel="0" collapsed="false">
      <c r="A7431" s="0" t="n">
        <v>7430</v>
      </c>
      <c r="B7431" s="14" t="n">
        <v>132575.951837111</v>
      </c>
      <c r="C7431" s="15" t="n">
        <v>0.08635924768148</v>
      </c>
      <c r="D7431" s="14" t="n">
        <f aca="false">Summary!$B$5-B7431</f>
        <v>-32575.9518371112</v>
      </c>
      <c r="E7431" s="15" t="n">
        <f aca="false">B7431/Summary!$B$5-1</f>
        <v>0.325759518371112</v>
      </c>
    </row>
    <row r="7432" customFormat="false" ht="15" hidden="false" customHeight="false" outlineLevel="0" collapsed="false">
      <c r="A7432" s="0" t="n">
        <v>7431</v>
      </c>
      <c r="B7432" s="14" t="n">
        <v>112798.004037006</v>
      </c>
      <c r="C7432" s="15" t="n">
        <v>0.109713028647167</v>
      </c>
      <c r="D7432" s="14" t="n">
        <f aca="false">Summary!$B$5-B7432</f>
        <v>-12798.0040370056</v>
      </c>
      <c r="E7432" s="15" t="n">
        <f aca="false">B7432/Summary!$B$5-1</f>
        <v>0.127980040370056</v>
      </c>
    </row>
    <row r="7433" customFormat="false" ht="15" hidden="false" customHeight="false" outlineLevel="0" collapsed="false">
      <c r="A7433" s="0" t="n">
        <v>7432</v>
      </c>
      <c r="B7433" s="14" t="n">
        <v>106915.815622095</v>
      </c>
      <c r="C7433" s="15" t="n">
        <v>0.0596126523084094</v>
      </c>
      <c r="D7433" s="14" t="n">
        <f aca="false">Summary!$B$5-B7433</f>
        <v>-6915.8156220945</v>
      </c>
      <c r="E7433" s="15" t="n">
        <f aca="false">B7433/Summary!$B$5-1</f>
        <v>0.0691581562209449</v>
      </c>
    </row>
    <row r="7434" customFormat="false" ht="15" hidden="false" customHeight="false" outlineLevel="0" collapsed="false">
      <c r="A7434" s="0" t="n">
        <v>7433</v>
      </c>
      <c r="B7434" s="14" t="n">
        <v>108135.475797296</v>
      </c>
      <c r="C7434" s="15" t="n">
        <v>0.0836516248729279</v>
      </c>
      <c r="D7434" s="14" t="n">
        <f aca="false">Summary!$B$5-B7434</f>
        <v>-8135.4757972957</v>
      </c>
      <c r="E7434" s="15" t="n">
        <f aca="false">B7434/Summary!$B$5-1</f>
        <v>0.081354757972957</v>
      </c>
    </row>
    <row r="7435" customFormat="false" ht="15" hidden="false" customHeight="false" outlineLevel="0" collapsed="false">
      <c r="A7435" s="0" t="n">
        <v>7434</v>
      </c>
      <c r="B7435" s="14" t="n">
        <v>90682.7995255559</v>
      </c>
      <c r="C7435" s="15" t="n">
        <v>0.135584421136907</v>
      </c>
      <c r="D7435" s="14" t="n">
        <f aca="false">Summary!$B$5-B7435</f>
        <v>9317.20047444414</v>
      </c>
      <c r="E7435" s="15" t="n">
        <f aca="false">B7435/Summary!$B$5-1</f>
        <v>-0.0931720047444413</v>
      </c>
    </row>
    <row r="7436" customFormat="false" ht="15" hidden="false" customHeight="false" outlineLevel="0" collapsed="false">
      <c r="A7436" s="0" t="n">
        <v>7435</v>
      </c>
      <c r="B7436" s="14" t="n">
        <v>107246.47141183</v>
      </c>
      <c r="C7436" s="15" t="n">
        <v>0.153128056293925</v>
      </c>
      <c r="D7436" s="14" t="n">
        <f aca="false">Summary!$B$5-B7436</f>
        <v>-7246.4714118299</v>
      </c>
      <c r="E7436" s="15" t="n">
        <f aca="false">B7436/Summary!$B$5-1</f>
        <v>0.072464714118299</v>
      </c>
    </row>
    <row r="7437" customFormat="false" ht="15" hidden="false" customHeight="false" outlineLevel="0" collapsed="false">
      <c r="A7437" s="0" t="n">
        <v>7436</v>
      </c>
      <c r="B7437" s="14" t="n">
        <v>128106.981439028</v>
      </c>
      <c r="C7437" s="15" t="n">
        <v>0.0472495597293455</v>
      </c>
      <c r="D7437" s="14" t="n">
        <f aca="false">Summary!$B$5-B7437</f>
        <v>-28106.981439028</v>
      </c>
      <c r="E7437" s="15" t="n">
        <f aca="false">B7437/Summary!$B$5-1</f>
        <v>0.28106981439028</v>
      </c>
    </row>
    <row r="7438" customFormat="false" ht="15" hidden="false" customHeight="false" outlineLevel="0" collapsed="false">
      <c r="A7438" s="0" t="n">
        <v>7437</v>
      </c>
      <c r="B7438" s="14" t="n">
        <v>87364.8134728568</v>
      </c>
      <c r="C7438" s="15" t="n">
        <v>0.186781435634259</v>
      </c>
      <c r="D7438" s="14" t="n">
        <f aca="false">Summary!$B$5-B7438</f>
        <v>12635.1865271432</v>
      </c>
      <c r="E7438" s="15" t="n">
        <f aca="false">B7438/Summary!$B$5-1</f>
        <v>-0.126351865271432</v>
      </c>
    </row>
    <row r="7439" customFormat="false" ht="15" hidden="false" customHeight="false" outlineLevel="0" collapsed="false">
      <c r="A7439" s="0" t="n">
        <v>7438</v>
      </c>
      <c r="B7439" s="14" t="n">
        <v>128904.916347499</v>
      </c>
      <c r="C7439" s="15" t="n">
        <v>0.097549363574985</v>
      </c>
      <c r="D7439" s="14" t="n">
        <f aca="false">Summary!$B$5-B7439</f>
        <v>-28904.9163474987</v>
      </c>
      <c r="E7439" s="15" t="n">
        <f aca="false">B7439/Summary!$B$5-1</f>
        <v>0.289049163474987</v>
      </c>
    </row>
    <row r="7440" customFormat="false" ht="15" hidden="false" customHeight="false" outlineLevel="0" collapsed="false">
      <c r="A7440" s="0" t="n">
        <v>7439</v>
      </c>
      <c r="B7440" s="14" t="n">
        <v>102234.251476651</v>
      </c>
      <c r="C7440" s="15" t="n">
        <v>0.0926039696880983</v>
      </c>
      <c r="D7440" s="14" t="n">
        <f aca="false">Summary!$B$5-B7440</f>
        <v>-2234.25147665069</v>
      </c>
      <c r="E7440" s="15" t="n">
        <f aca="false">B7440/Summary!$B$5-1</f>
        <v>0.0223425147665068</v>
      </c>
    </row>
    <row r="7441" customFormat="false" ht="15" hidden="false" customHeight="false" outlineLevel="0" collapsed="false">
      <c r="A7441" s="0" t="n">
        <v>7440</v>
      </c>
      <c r="B7441" s="14" t="n">
        <v>82672.5794020591</v>
      </c>
      <c r="C7441" s="15" t="n">
        <v>0.235381692262259</v>
      </c>
      <c r="D7441" s="14" t="n">
        <f aca="false">Summary!$B$5-B7441</f>
        <v>17327.4205979409</v>
      </c>
      <c r="E7441" s="15" t="n">
        <f aca="false">B7441/Summary!$B$5-1</f>
        <v>-0.173274205979409</v>
      </c>
    </row>
    <row r="7442" customFormat="false" ht="15" hidden="false" customHeight="false" outlineLevel="0" collapsed="false">
      <c r="A7442" s="0" t="n">
        <v>7441</v>
      </c>
      <c r="B7442" s="14" t="n">
        <v>103417.831636466</v>
      </c>
      <c r="C7442" s="15" t="n">
        <v>0.0943358439448651</v>
      </c>
      <c r="D7442" s="14" t="n">
        <f aca="false">Summary!$B$5-B7442</f>
        <v>-3417.8316364661</v>
      </c>
      <c r="E7442" s="15" t="n">
        <f aca="false">B7442/Summary!$B$5-1</f>
        <v>0.034178316364661</v>
      </c>
    </row>
    <row r="7443" customFormat="false" ht="15" hidden="false" customHeight="false" outlineLevel="0" collapsed="false">
      <c r="A7443" s="0" t="n">
        <v>7442</v>
      </c>
      <c r="B7443" s="14" t="n">
        <v>125869.156673521</v>
      </c>
      <c r="C7443" s="15" t="n">
        <v>0.0619169848948757</v>
      </c>
      <c r="D7443" s="14" t="n">
        <f aca="false">Summary!$B$5-B7443</f>
        <v>-25869.1566735206</v>
      </c>
      <c r="E7443" s="15" t="n">
        <f aca="false">B7443/Summary!$B$5-1</f>
        <v>0.258691566735206</v>
      </c>
    </row>
    <row r="7444" customFormat="false" ht="15" hidden="false" customHeight="false" outlineLevel="0" collapsed="false">
      <c r="A7444" s="0" t="n">
        <v>7443</v>
      </c>
      <c r="B7444" s="14" t="n">
        <v>99611.2239744694</v>
      </c>
      <c r="C7444" s="15" t="n">
        <v>0.094811411164158</v>
      </c>
      <c r="D7444" s="14" t="n">
        <f aca="false">Summary!$B$5-B7444</f>
        <v>388.776025530562</v>
      </c>
      <c r="E7444" s="15" t="n">
        <f aca="false">B7444/Summary!$B$5-1</f>
        <v>-0.00388776025530557</v>
      </c>
    </row>
    <row r="7445" customFormat="false" ht="15" hidden="false" customHeight="false" outlineLevel="0" collapsed="false">
      <c r="A7445" s="0" t="n">
        <v>7444</v>
      </c>
      <c r="B7445" s="14" t="n">
        <v>111170.606361679</v>
      </c>
      <c r="C7445" s="15" t="n">
        <v>0.102443537520902</v>
      </c>
      <c r="D7445" s="14" t="n">
        <f aca="false">Summary!$B$5-B7445</f>
        <v>-11170.606361679</v>
      </c>
      <c r="E7445" s="15" t="n">
        <f aca="false">B7445/Summary!$B$5-1</f>
        <v>0.11170606361679</v>
      </c>
    </row>
    <row r="7446" customFormat="false" ht="15" hidden="false" customHeight="false" outlineLevel="0" collapsed="false">
      <c r="A7446" s="0" t="n">
        <v>7445</v>
      </c>
      <c r="B7446" s="14" t="n">
        <v>105186.066443467</v>
      </c>
      <c r="C7446" s="15" t="n">
        <v>0.105848639875464</v>
      </c>
      <c r="D7446" s="14" t="n">
        <f aca="false">Summary!$B$5-B7446</f>
        <v>-5186.06644346729</v>
      </c>
      <c r="E7446" s="15" t="n">
        <f aca="false">B7446/Summary!$B$5-1</f>
        <v>0.0518606644346729</v>
      </c>
    </row>
    <row r="7447" customFormat="false" ht="15" hidden="false" customHeight="false" outlineLevel="0" collapsed="false">
      <c r="A7447" s="0" t="n">
        <v>7446</v>
      </c>
      <c r="B7447" s="14" t="n">
        <v>112582.278919518</v>
      </c>
      <c r="C7447" s="15" t="n">
        <v>0.0993586929625772</v>
      </c>
      <c r="D7447" s="14" t="n">
        <f aca="false">Summary!$B$5-B7447</f>
        <v>-12582.2789195183</v>
      </c>
      <c r="E7447" s="15" t="n">
        <f aca="false">B7447/Summary!$B$5-1</f>
        <v>0.125822789195183</v>
      </c>
    </row>
    <row r="7448" customFormat="false" ht="15" hidden="false" customHeight="false" outlineLevel="0" collapsed="false">
      <c r="A7448" s="0" t="n">
        <v>7447</v>
      </c>
      <c r="B7448" s="14" t="n">
        <v>94328.2605077794</v>
      </c>
      <c r="C7448" s="15" t="n">
        <v>0.112326231638638</v>
      </c>
      <c r="D7448" s="14" t="n">
        <f aca="false">Summary!$B$5-B7448</f>
        <v>5671.73949222057</v>
      </c>
      <c r="E7448" s="15" t="n">
        <f aca="false">B7448/Summary!$B$5-1</f>
        <v>-0.0567173949222057</v>
      </c>
    </row>
    <row r="7449" customFormat="false" ht="15" hidden="false" customHeight="false" outlineLevel="0" collapsed="false">
      <c r="A7449" s="0" t="n">
        <v>7448</v>
      </c>
      <c r="B7449" s="14" t="n">
        <v>121684.740076748</v>
      </c>
      <c r="C7449" s="15" t="n">
        <v>0.0718153804972395</v>
      </c>
      <c r="D7449" s="14" t="n">
        <f aca="false">Summary!$B$5-B7449</f>
        <v>-21684.7400767482</v>
      </c>
      <c r="E7449" s="15" t="n">
        <f aca="false">B7449/Summary!$B$5-1</f>
        <v>0.216847400767482</v>
      </c>
    </row>
    <row r="7450" customFormat="false" ht="15" hidden="false" customHeight="false" outlineLevel="0" collapsed="false">
      <c r="A7450" s="0" t="n">
        <v>7449</v>
      </c>
      <c r="B7450" s="14" t="n">
        <v>118867.393607414</v>
      </c>
      <c r="C7450" s="15" t="n">
        <v>0.0767844693343621</v>
      </c>
      <c r="D7450" s="14" t="n">
        <f aca="false">Summary!$B$5-B7450</f>
        <v>-18867.3936074138</v>
      </c>
      <c r="E7450" s="15" t="n">
        <f aca="false">B7450/Summary!$B$5-1</f>
        <v>0.188673936074138</v>
      </c>
    </row>
    <row r="7451" customFormat="false" ht="15" hidden="false" customHeight="false" outlineLevel="0" collapsed="false">
      <c r="A7451" s="0" t="n">
        <v>7450</v>
      </c>
      <c r="B7451" s="14" t="n">
        <v>134558.446565321</v>
      </c>
      <c r="C7451" s="15" t="n">
        <v>0.0708329453213151</v>
      </c>
      <c r="D7451" s="14" t="n">
        <f aca="false">Summary!$B$5-B7451</f>
        <v>-34558.4465653208</v>
      </c>
      <c r="E7451" s="15" t="n">
        <f aca="false">B7451/Summary!$B$5-1</f>
        <v>0.345584465653208</v>
      </c>
    </row>
    <row r="7452" customFormat="false" ht="15" hidden="false" customHeight="false" outlineLevel="0" collapsed="false">
      <c r="A7452" s="0" t="n">
        <v>7451</v>
      </c>
      <c r="B7452" s="14" t="n">
        <v>89615.8682326295</v>
      </c>
      <c r="C7452" s="15" t="n">
        <v>0.141580970299138</v>
      </c>
      <c r="D7452" s="14" t="n">
        <f aca="false">Summary!$B$5-B7452</f>
        <v>10384.1317673705</v>
      </c>
      <c r="E7452" s="15" t="n">
        <f aca="false">B7452/Summary!$B$5-1</f>
        <v>-0.103841317673705</v>
      </c>
    </row>
    <row r="7453" customFormat="false" ht="15" hidden="false" customHeight="false" outlineLevel="0" collapsed="false">
      <c r="A7453" s="0" t="n">
        <v>7452</v>
      </c>
      <c r="B7453" s="14" t="n">
        <v>122357.550227318</v>
      </c>
      <c r="C7453" s="15" t="n">
        <v>0.0847599587074677</v>
      </c>
      <c r="D7453" s="14" t="n">
        <f aca="false">Summary!$B$5-B7453</f>
        <v>-22357.5502273183</v>
      </c>
      <c r="E7453" s="15" t="n">
        <f aca="false">B7453/Summary!$B$5-1</f>
        <v>0.223575502273183</v>
      </c>
    </row>
    <row r="7454" customFormat="false" ht="15" hidden="false" customHeight="false" outlineLevel="0" collapsed="false">
      <c r="A7454" s="0" t="n">
        <v>7453</v>
      </c>
      <c r="B7454" s="14" t="n">
        <v>114067.421026151</v>
      </c>
      <c r="C7454" s="15" t="n">
        <v>0.0594410435666063</v>
      </c>
      <c r="D7454" s="14" t="n">
        <f aca="false">Summary!$B$5-B7454</f>
        <v>-14067.4210261508</v>
      </c>
      <c r="E7454" s="15" t="n">
        <f aca="false">B7454/Summary!$B$5-1</f>
        <v>0.140674210261508</v>
      </c>
    </row>
    <row r="7455" customFormat="false" ht="15" hidden="false" customHeight="false" outlineLevel="0" collapsed="false">
      <c r="A7455" s="0" t="n">
        <v>7454</v>
      </c>
      <c r="B7455" s="14" t="n">
        <v>101540.352826851</v>
      </c>
      <c r="C7455" s="15" t="n">
        <v>0.0745219571364478</v>
      </c>
      <c r="D7455" s="14" t="n">
        <f aca="false">Summary!$B$5-B7455</f>
        <v>-1540.35282685079</v>
      </c>
      <c r="E7455" s="15" t="n">
        <f aca="false">B7455/Summary!$B$5-1</f>
        <v>0.0154035282685079</v>
      </c>
    </row>
    <row r="7456" customFormat="false" ht="15" hidden="false" customHeight="false" outlineLevel="0" collapsed="false">
      <c r="A7456" s="0" t="n">
        <v>7455</v>
      </c>
      <c r="B7456" s="14" t="n">
        <v>103520.797266415</v>
      </c>
      <c r="C7456" s="15" t="n">
        <v>0.0931639363995466</v>
      </c>
      <c r="D7456" s="14" t="n">
        <f aca="false">Summary!$B$5-B7456</f>
        <v>-3520.79726641469</v>
      </c>
      <c r="E7456" s="15" t="n">
        <f aca="false">B7456/Summary!$B$5-1</f>
        <v>0.035207972664147</v>
      </c>
    </row>
    <row r="7457" customFormat="false" ht="15" hidden="false" customHeight="false" outlineLevel="0" collapsed="false">
      <c r="A7457" s="0" t="n">
        <v>7456</v>
      </c>
      <c r="B7457" s="14" t="n">
        <v>105604.75660655</v>
      </c>
      <c r="C7457" s="15" t="n">
        <v>0.144010673040244</v>
      </c>
      <c r="D7457" s="14" t="n">
        <f aca="false">Summary!$B$5-B7457</f>
        <v>-5604.75660655</v>
      </c>
      <c r="E7457" s="15" t="n">
        <f aca="false">B7457/Summary!$B$5-1</f>
        <v>0.0560475660655</v>
      </c>
    </row>
    <row r="7458" customFormat="false" ht="15" hidden="false" customHeight="false" outlineLevel="0" collapsed="false">
      <c r="A7458" s="0" t="n">
        <v>7457</v>
      </c>
      <c r="B7458" s="14" t="n">
        <v>148513.536042256</v>
      </c>
      <c r="C7458" s="15" t="n">
        <v>0.0806208822143292</v>
      </c>
      <c r="D7458" s="14" t="n">
        <f aca="false">Summary!$B$5-B7458</f>
        <v>-48513.5360422555</v>
      </c>
      <c r="E7458" s="15" t="n">
        <f aca="false">B7458/Summary!$B$5-1</f>
        <v>0.485135360422555</v>
      </c>
    </row>
    <row r="7459" customFormat="false" ht="15" hidden="false" customHeight="false" outlineLevel="0" collapsed="false">
      <c r="A7459" s="0" t="n">
        <v>7458</v>
      </c>
      <c r="B7459" s="14" t="n">
        <v>106402.596312954</v>
      </c>
      <c r="C7459" s="15" t="n">
        <v>0.0774988732954859</v>
      </c>
      <c r="D7459" s="14" t="n">
        <f aca="false">Summary!$B$5-B7459</f>
        <v>-6402.59631295429</v>
      </c>
      <c r="E7459" s="15" t="n">
        <f aca="false">B7459/Summary!$B$5-1</f>
        <v>0.064025963129543</v>
      </c>
    </row>
    <row r="7460" customFormat="false" ht="15" hidden="false" customHeight="false" outlineLevel="0" collapsed="false">
      <c r="A7460" s="0" t="n">
        <v>7459</v>
      </c>
      <c r="B7460" s="14" t="n">
        <v>122785.357052467</v>
      </c>
      <c r="C7460" s="15" t="n">
        <v>0.0799298100004879</v>
      </c>
      <c r="D7460" s="14" t="n">
        <f aca="false">Summary!$B$5-B7460</f>
        <v>-22785.3570524666</v>
      </c>
      <c r="E7460" s="15" t="n">
        <f aca="false">B7460/Summary!$B$5-1</f>
        <v>0.227853570524666</v>
      </c>
    </row>
    <row r="7461" customFormat="false" ht="15" hidden="false" customHeight="false" outlineLevel="0" collapsed="false">
      <c r="A7461" s="0" t="n">
        <v>7460</v>
      </c>
      <c r="B7461" s="14" t="n">
        <v>109409.17375683</v>
      </c>
      <c r="C7461" s="15" t="n">
        <v>0.0848668002268576</v>
      </c>
      <c r="D7461" s="14" t="n">
        <f aca="false">Summary!$B$5-B7461</f>
        <v>-9409.1737568298</v>
      </c>
      <c r="E7461" s="15" t="n">
        <f aca="false">B7461/Summary!$B$5-1</f>
        <v>0.0940917375682979</v>
      </c>
    </row>
    <row r="7462" customFormat="false" ht="15" hidden="false" customHeight="false" outlineLevel="0" collapsed="false">
      <c r="A7462" s="0" t="n">
        <v>7461</v>
      </c>
      <c r="B7462" s="14" t="n">
        <v>125636.102328323</v>
      </c>
      <c r="C7462" s="15" t="n">
        <v>0.0567777090182923</v>
      </c>
      <c r="D7462" s="14" t="n">
        <f aca="false">Summary!$B$5-B7462</f>
        <v>-25636.1023283229</v>
      </c>
      <c r="E7462" s="15" t="n">
        <f aca="false">B7462/Summary!$B$5-1</f>
        <v>0.256361023283229</v>
      </c>
    </row>
    <row r="7463" customFormat="false" ht="15" hidden="false" customHeight="false" outlineLevel="0" collapsed="false">
      <c r="A7463" s="0" t="n">
        <v>7462</v>
      </c>
      <c r="B7463" s="14" t="n">
        <v>96096.2168001895</v>
      </c>
      <c r="C7463" s="15" t="n">
        <v>0.142818822881174</v>
      </c>
      <c r="D7463" s="14" t="n">
        <f aca="false">Summary!$B$5-B7463</f>
        <v>3903.78319981054</v>
      </c>
      <c r="E7463" s="15" t="n">
        <f aca="false">B7463/Summary!$B$5-1</f>
        <v>-0.0390378319981054</v>
      </c>
    </row>
    <row r="7464" customFormat="false" ht="15" hidden="false" customHeight="false" outlineLevel="0" collapsed="false">
      <c r="A7464" s="0" t="n">
        <v>7463</v>
      </c>
      <c r="B7464" s="14" t="n">
        <v>139833.209701713</v>
      </c>
      <c r="C7464" s="15" t="n">
        <v>0.068956912302801</v>
      </c>
      <c r="D7464" s="14" t="n">
        <f aca="false">Summary!$B$5-B7464</f>
        <v>-39833.2097017125</v>
      </c>
      <c r="E7464" s="15" t="n">
        <f aca="false">B7464/Summary!$B$5-1</f>
        <v>0.398332097017125</v>
      </c>
    </row>
    <row r="7465" customFormat="false" ht="15" hidden="false" customHeight="false" outlineLevel="0" collapsed="false">
      <c r="A7465" s="0" t="n">
        <v>7464</v>
      </c>
      <c r="B7465" s="14" t="n">
        <v>123880.332400998</v>
      </c>
      <c r="C7465" s="15" t="n">
        <v>0.0766655462179534</v>
      </c>
      <c r="D7465" s="14" t="n">
        <f aca="false">Summary!$B$5-B7465</f>
        <v>-23880.3324009976</v>
      </c>
      <c r="E7465" s="15" t="n">
        <f aca="false">B7465/Summary!$B$5-1</f>
        <v>0.238803324009976</v>
      </c>
    </row>
    <row r="7466" customFormat="false" ht="15" hidden="false" customHeight="false" outlineLevel="0" collapsed="false">
      <c r="A7466" s="0" t="n">
        <v>7465</v>
      </c>
      <c r="B7466" s="14" t="n">
        <v>130725.013954793</v>
      </c>
      <c r="C7466" s="15" t="n">
        <v>0.0763836583795206</v>
      </c>
      <c r="D7466" s="14" t="n">
        <f aca="false">Summary!$B$5-B7466</f>
        <v>-30725.0139547933</v>
      </c>
      <c r="E7466" s="15" t="n">
        <f aca="false">B7466/Summary!$B$5-1</f>
        <v>0.307250139547933</v>
      </c>
    </row>
    <row r="7467" customFormat="false" ht="15" hidden="false" customHeight="false" outlineLevel="0" collapsed="false">
      <c r="A7467" s="0" t="n">
        <v>7466</v>
      </c>
      <c r="B7467" s="14" t="n">
        <v>107400.793626593</v>
      </c>
      <c r="C7467" s="15" t="n">
        <v>0.0788877112536914</v>
      </c>
      <c r="D7467" s="14" t="n">
        <f aca="false">Summary!$B$5-B7467</f>
        <v>-7400.7936265926</v>
      </c>
      <c r="E7467" s="15" t="n">
        <f aca="false">B7467/Summary!$B$5-1</f>
        <v>0.0740079362659261</v>
      </c>
    </row>
    <row r="7468" customFormat="false" ht="15" hidden="false" customHeight="false" outlineLevel="0" collapsed="false">
      <c r="A7468" s="0" t="n">
        <v>7467</v>
      </c>
      <c r="B7468" s="14" t="n">
        <v>116407.127020707</v>
      </c>
      <c r="C7468" s="15" t="n">
        <v>0.1022681750733</v>
      </c>
      <c r="D7468" s="14" t="n">
        <f aca="false">Summary!$B$5-B7468</f>
        <v>-16407.1270207073</v>
      </c>
      <c r="E7468" s="15" t="n">
        <f aca="false">B7468/Summary!$B$5-1</f>
        <v>0.164071270207073</v>
      </c>
    </row>
    <row r="7469" customFormat="false" ht="15" hidden="false" customHeight="false" outlineLevel="0" collapsed="false">
      <c r="A7469" s="0" t="n">
        <v>7468</v>
      </c>
      <c r="B7469" s="14" t="n">
        <v>101135.201477471</v>
      </c>
      <c r="C7469" s="15" t="n">
        <v>0.0712508534925213</v>
      </c>
      <c r="D7469" s="14" t="n">
        <f aca="false">Summary!$B$5-B7469</f>
        <v>-1135.20147747071</v>
      </c>
      <c r="E7469" s="15" t="n">
        <f aca="false">B7469/Summary!$B$5-1</f>
        <v>0.011352014774707</v>
      </c>
    </row>
    <row r="7470" customFormat="false" ht="15" hidden="false" customHeight="false" outlineLevel="0" collapsed="false">
      <c r="A7470" s="0" t="n">
        <v>7469</v>
      </c>
      <c r="B7470" s="14" t="n">
        <v>114553.435662997</v>
      </c>
      <c r="C7470" s="15" t="n">
        <v>0.127763772124854</v>
      </c>
      <c r="D7470" s="14" t="n">
        <f aca="false">Summary!$B$5-B7470</f>
        <v>-14553.435662997</v>
      </c>
      <c r="E7470" s="15" t="n">
        <f aca="false">B7470/Summary!$B$5-1</f>
        <v>0.14553435662997</v>
      </c>
    </row>
    <row r="7471" customFormat="false" ht="15" hidden="false" customHeight="false" outlineLevel="0" collapsed="false">
      <c r="A7471" s="0" t="n">
        <v>7470</v>
      </c>
      <c r="B7471" s="14" t="n">
        <v>126309.730691779</v>
      </c>
      <c r="C7471" s="15" t="n">
        <v>0.0959727384112111</v>
      </c>
      <c r="D7471" s="14" t="n">
        <f aca="false">Summary!$B$5-B7471</f>
        <v>-26309.730691779</v>
      </c>
      <c r="E7471" s="15" t="n">
        <f aca="false">B7471/Summary!$B$5-1</f>
        <v>0.26309730691779</v>
      </c>
    </row>
    <row r="7472" customFormat="false" ht="15" hidden="false" customHeight="false" outlineLevel="0" collapsed="false">
      <c r="A7472" s="0" t="n">
        <v>7471</v>
      </c>
      <c r="B7472" s="14" t="n">
        <v>125008.458933991</v>
      </c>
      <c r="C7472" s="15" t="n">
        <v>0.057967265623978</v>
      </c>
      <c r="D7472" s="14" t="n">
        <f aca="false">Summary!$B$5-B7472</f>
        <v>-25008.4589339912</v>
      </c>
      <c r="E7472" s="15" t="n">
        <f aca="false">B7472/Summary!$B$5-1</f>
        <v>0.250084589339912</v>
      </c>
    </row>
    <row r="7473" customFormat="false" ht="15" hidden="false" customHeight="false" outlineLevel="0" collapsed="false">
      <c r="A7473" s="0" t="n">
        <v>7472</v>
      </c>
      <c r="B7473" s="14" t="n">
        <v>94177.6009001776</v>
      </c>
      <c r="C7473" s="15" t="n">
        <v>0.103211552327168</v>
      </c>
      <c r="D7473" s="14" t="n">
        <f aca="false">Summary!$B$5-B7473</f>
        <v>5822.39909982236</v>
      </c>
      <c r="E7473" s="15" t="n">
        <f aca="false">B7473/Summary!$B$5-1</f>
        <v>-0.0582239909982236</v>
      </c>
    </row>
    <row r="7474" customFormat="false" ht="15" hidden="false" customHeight="false" outlineLevel="0" collapsed="false">
      <c r="A7474" s="0" t="n">
        <v>7473</v>
      </c>
      <c r="B7474" s="14" t="n">
        <v>95245.3579579902</v>
      </c>
      <c r="C7474" s="15" t="n">
        <v>0.157545537867162</v>
      </c>
      <c r="D7474" s="14" t="n">
        <f aca="false">Summary!$B$5-B7474</f>
        <v>4754.64204200983</v>
      </c>
      <c r="E7474" s="15" t="n">
        <f aca="false">B7474/Summary!$B$5-1</f>
        <v>-0.0475464204200983</v>
      </c>
    </row>
    <row r="7475" customFormat="false" ht="15" hidden="false" customHeight="false" outlineLevel="0" collapsed="false">
      <c r="A7475" s="0" t="n">
        <v>7474</v>
      </c>
      <c r="B7475" s="14" t="n">
        <v>85640.5784628555</v>
      </c>
      <c r="C7475" s="15" t="n">
        <v>0.15503674912699</v>
      </c>
      <c r="D7475" s="14" t="n">
        <f aca="false">Summary!$B$5-B7475</f>
        <v>14359.4215371445</v>
      </c>
      <c r="E7475" s="15" t="n">
        <f aca="false">B7475/Summary!$B$5-1</f>
        <v>-0.143594215371445</v>
      </c>
    </row>
    <row r="7476" customFormat="false" ht="15" hidden="false" customHeight="false" outlineLevel="0" collapsed="false">
      <c r="A7476" s="0" t="n">
        <v>7475</v>
      </c>
      <c r="B7476" s="14" t="n">
        <v>104306.164415</v>
      </c>
      <c r="C7476" s="15" t="n">
        <v>0.0937370765945828</v>
      </c>
      <c r="D7476" s="14" t="n">
        <f aca="false">Summary!$B$5-B7476</f>
        <v>-4306.1644149996</v>
      </c>
      <c r="E7476" s="15" t="n">
        <f aca="false">B7476/Summary!$B$5-1</f>
        <v>0.043061644149996</v>
      </c>
    </row>
    <row r="7477" customFormat="false" ht="15" hidden="false" customHeight="false" outlineLevel="0" collapsed="false">
      <c r="A7477" s="0" t="n">
        <v>7476</v>
      </c>
      <c r="B7477" s="14" t="n">
        <v>85011.0699254045</v>
      </c>
      <c r="C7477" s="15" t="n">
        <v>0.165927690156159</v>
      </c>
      <c r="D7477" s="14" t="n">
        <f aca="false">Summary!$B$5-B7477</f>
        <v>14988.9300745955</v>
      </c>
      <c r="E7477" s="15" t="n">
        <f aca="false">B7477/Summary!$B$5-1</f>
        <v>-0.149889300745955</v>
      </c>
    </row>
    <row r="7478" customFormat="false" ht="15" hidden="false" customHeight="false" outlineLevel="0" collapsed="false">
      <c r="A7478" s="0" t="n">
        <v>7477</v>
      </c>
      <c r="B7478" s="14" t="n">
        <v>89839.9056569619</v>
      </c>
      <c r="C7478" s="15" t="n">
        <v>0.243990850228082</v>
      </c>
      <c r="D7478" s="14" t="n">
        <f aca="false">Summary!$B$5-B7478</f>
        <v>10160.0943430381</v>
      </c>
      <c r="E7478" s="15" t="n">
        <f aca="false">B7478/Summary!$B$5-1</f>
        <v>-0.101600943430381</v>
      </c>
    </row>
    <row r="7479" customFormat="false" ht="15" hidden="false" customHeight="false" outlineLevel="0" collapsed="false">
      <c r="A7479" s="0" t="n">
        <v>7478</v>
      </c>
      <c r="B7479" s="14" t="n">
        <v>103695.449510055</v>
      </c>
      <c r="C7479" s="15" t="n">
        <v>0.126541742920399</v>
      </c>
      <c r="D7479" s="14" t="n">
        <f aca="false">Summary!$B$5-B7479</f>
        <v>-3695.449510055</v>
      </c>
      <c r="E7479" s="15" t="n">
        <f aca="false">B7479/Summary!$B$5-1</f>
        <v>0.03695449510055</v>
      </c>
    </row>
    <row r="7480" customFormat="false" ht="15" hidden="false" customHeight="false" outlineLevel="0" collapsed="false">
      <c r="A7480" s="0" t="n">
        <v>7479</v>
      </c>
      <c r="B7480" s="14" t="n">
        <v>133051.557074584</v>
      </c>
      <c r="C7480" s="15" t="n">
        <v>0.0728350975560265</v>
      </c>
      <c r="D7480" s="14" t="n">
        <f aca="false">Summary!$B$5-B7480</f>
        <v>-33051.5570745838</v>
      </c>
      <c r="E7480" s="15" t="n">
        <f aca="false">B7480/Summary!$B$5-1</f>
        <v>0.330515570745838</v>
      </c>
    </row>
    <row r="7481" customFormat="false" ht="15" hidden="false" customHeight="false" outlineLevel="0" collapsed="false">
      <c r="A7481" s="0" t="n">
        <v>7480</v>
      </c>
      <c r="B7481" s="14" t="n">
        <v>87498.3950498194</v>
      </c>
      <c r="C7481" s="15" t="n">
        <v>0.166720520665718</v>
      </c>
      <c r="D7481" s="14" t="n">
        <f aca="false">Summary!$B$5-B7481</f>
        <v>12501.6049501806</v>
      </c>
      <c r="E7481" s="15" t="n">
        <f aca="false">B7481/Summary!$B$5-1</f>
        <v>-0.125016049501806</v>
      </c>
    </row>
    <row r="7482" customFormat="false" ht="15" hidden="false" customHeight="false" outlineLevel="0" collapsed="false">
      <c r="A7482" s="0" t="n">
        <v>7481</v>
      </c>
      <c r="B7482" s="14" t="n">
        <v>114203.524074229</v>
      </c>
      <c r="C7482" s="15" t="n">
        <v>0.0551472414336885</v>
      </c>
      <c r="D7482" s="14" t="n">
        <f aca="false">Summary!$B$5-B7482</f>
        <v>-14203.5240742287</v>
      </c>
      <c r="E7482" s="15" t="n">
        <f aca="false">B7482/Summary!$B$5-1</f>
        <v>0.142035240742287</v>
      </c>
    </row>
    <row r="7483" customFormat="false" ht="15" hidden="false" customHeight="false" outlineLevel="0" collapsed="false">
      <c r="A7483" s="0" t="n">
        <v>7482</v>
      </c>
      <c r="B7483" s="14" t="n">
        <v>110772.809714735</v>
      </c>
      <c r="C7483" s="15" t="n">
        <v>0.0787093610319102</v>
      </c>
      <c r="D7483" s="14" t="n">
        <f aca="false">Summary!$B$5-B7483</f>
        <v>-10772.8097147346</v>
      </c>
      <c r="E7483" s="15" t="n">
        <f aca="false">B7483/Summary!$B$5-1</f>
        <v>0.107728097147346</v>
      </c>
    </row>
    <row r="7484" customFormat="false" ht="15" hidden="false" customHeight="false" outlineLevel="0" collapsed="false">
      <c r="A7484" s="0" t="n">
        <v>7483</v>
      </c>
      <c r="B7484" s="14" t="n">
        <v>105206.379674221</v>
      </c>
      <c r="C7484" s="15" t="n">
        <v>0.0595775328454576</v>
      </c>
      <c r="D7484" s="14" t="n">
        <f aca="false">Summary!$B$5-B7484</f>
        <v>-5206.37967422081</v>
      </c>
      <c r="E7484" s="15" t="n">
        <f aca="false">B7484/Summary!$B$5-1</f>
        <v>0.0520637967422082</v>
      </c>
    </row>
    <row r="7485" customFormat="false" ht="15" hidden="false" customHeight="false" outlineLevel="0" collapsed="false">
      <c r="A7485" s="0" t="n">
        <v>7484</v>
      </c>
      <c r="B7485" s="14" t="n">
        <v>128472.578866034</v>
      </c>
      <c r="C7485" s="15" t="n">
        <v>0.0900772915576833</v>
      </c>
      <c r="D7485" s="14" t="n">
        <f aca="false">Summary!$B$5-B7485</f>
        <v>-28472.5788660336</v>
      </c>
      <c r="E7485" s="15" t="n">
        <f aca="false">B7485/Summary!$B$5-1</f>
        <v>0.284725788660336</v>
      </c>
    </row>
    <row r="7486" customFormat="false" ht="15" hidden="false" customHeight="false" outlineLevel="0" collapsed="false">
      <c r="A7486" s="0" t="n">
        <v>7485</v>
      </c>
      <c r="B7486" s="14" t="n">
        <v>106809.158172087</v>
      </c>
      <c r="C7486" s="15" t="n">
        <v>0.0766592022280489</v>
      </c>
      <c r="D7486" s="14" t="n">
        <f aca="false">Summary!$B$5-B7486</f>
        <v>-6809.158172087</v>
      </c>
      <c r="E7486" s="15" t="n">
        <f aca="false">B7486/Summary!$B$5-1</f>
        <v>0.06809158172087</v>
      </c>
    </row>
    <row r="7487" customFormat="false" ht="15" hidden="false" customHeight="false" outlineLevel="0" collapsed="false">
      <c r="A7487" s="0" t="n">
        <v>7486</v>
      </c>
      <c r="B7487" s="14" t="n">
        <v>147427.580179586</v>
      </c>
      <c r="C7487" s="15" t="n">
        <v>0.0726590700437985</v>
      </c>
      <c r="D7487" s="14" t="n">
        <f aca="false">Summary!$B$5-B7487</f>
        <v>-47427.5801795864</v>
      </c>
      <c r="E7487" s="15" t="n">
        <f aca="false">B7487/Summary!$B$5-1</f>
        <v>0.474275801795864</v>
      </c>
    </row>
    <row r="7488" customFormat="false" ht="15" hidden="false" customHeight="false" outlineLevel="0" collapsed="false">
      <c r="A7488" s="0" t="n">
        <v>7487</v>
      </c>
      <c r="B7488" s="14" t="n">
        <v>103228.626874943</v>
      </c>
      <c r="C7488" s="15" t="n">
        <v>0.10787899874846</v>
      </c>
      <c r="D7488" s="14" t="n">
        <f aca="false">Summary!$B$5-B7488</f>
        <v>-3228.6268749429</v>
      </c>
      <c r="E7488" s="15" t="n">
        <f aca="false">B7488/Summary!$B$5-1</f>
        <v>0.032286268749429</v>
      </c>
    </row>
    <row r="7489" customFormat="false" ht="15" hidden="false" customHeight="false" outlineLevel="0" collapsed="false">
      <c r="A7489" s="0" t="n">
        <v>7488</v>
      </c>
      <c r="B7489" s="14" t="n">
        <v>132675.947535848</v>
      </c>
      <c r="C7489" s="15" t="n">
        <v>0.0820201011045038</v>
      </c>
      <c r="D7489" s="14" t="n">
        <f aca="false">Summary!$B$5-B7489</f>
        <v>-32675.9475358483</v>
      </c>
      <c r="E7489" s="15" t="n">
        <f aca="false">B7489/Summary!$B$5-1</f>
        <v>0.326759475358483</v>
      </c>
    </row>
    <row r="7490" customFormat="false" ht="15" hidden="false" customHeight="false" outlineLevel="0" collapsed="false">
      <c r="A7490" s="0" t="n">
        <v>7489</v>
      </c>
      <c r="B7490" s="14" t="n">
        <v>97044.8716906634</v>
      </c>
      <c r="C7490" s="15" t="n">
        <v>0.144536712754028</v>
      </c>
      <c r="D7490" s="14" t="n">
        <f aca="false">Summary!$B$5-B7490</f>
        <v>2955.12830933658</v>
      </c>
      <c r="E7490" s="15" t="n">
        <f aca="false">B7490/Summary!$B$5-1</f>
        <v>-0.0295512830933657</v>
      </c>
    </row>
    <row r="7491" customFormat="false" ht="15" hidden="false" customHeight="false" outlineLevel="0" collapsed="false">
      <c r="A7491" s="0" t="n">
        <v>7490</v>
      </c>
      <c r="B7491" s="14" t="n">
        <v>112956.689846668</v>
      </c>
      <c r="C7491" s="15" t="n">
        <v>0.0804752624882791</v>
      </c>
      <c r="D7491" s="14" t="n">
        <f aca="false">Summary!$B$5-B7491</f>
        <v>-12956.6898466675</v>
      </c>
      <c r="E7491" s="15" t="n">
        <f aca="false">B7491/Summary!$B$5-1</f>
        <v>0.129566898466675</v>
      </c>
    </row>
    <row r="7492" customFormat="false" ht="15" hidden="false" customHeight="false" outlineLevel="0" collapsed="false">
      <c r="A7492" s="0" t="n">
        <v>7491</v>
      </c>
      <c r="B7492" s="14" t="n">
        <v>100482.496587787</v>
      </c>
      <c r="C7492" s="15" t="n">
        <v>0.116390004506692</v>
      </c>
      <c r="D7492" s="14" t="n">
        <f aca="false">Summary!$B$5-B7492</f>
        <v>-482.496587786896</v>
      </c>
      <c r="E7492" s="15" t="n">
        <f aca="false">B7492/Summary!$B$5-1</f>
        <v>0.00482496587786896</v>
      </c>
    </row>
    <row r="7493" customFormat="false" ht="15" hidden="false" customHeight="false" outlineLevel="0" collapsed="false">
      <c r="A7493" s="0" t="n">
        <v>7492</v>
      </c>
      <c r="B7493" s="14" t="n">
        <v>114408.259932023</v>
      </c>
      <c r="C7493" s="15" t="n">
        <v>0.0688566915943383</v>
      </c>
      <c r="D7493" s="14" t="n">
        <f aca="false">Summary!$B$5-B7493</f>
        <v>-14408.2599320232</v>
      </c>
      <c r="E7493" s="15" t="n">
        <f aca="false">B7493/Summary!$B$5-1</f>
        <v>0.144082599320232</v>
      </c>
    </row>
    <row r="7494" customFormat="false" ht="15" hidden="false" customHeight="false" outlineLevel="0" collapsed="false">
      <c r="A7494" s="0" t="n">
        <v>7493</v>
      </c>
      <c r="B7494" s="14" t="n">
        <v>111056.457426754</v>
      </c>
      <c r="C7494" s="15" t="n">
        <v>0.0804155337952778</v>
      </c>
      <c r="D7494" s="14" t="n">
        <f aca="false">Summary!$B$5-B7494</f>
        <v>-11056.457426754</v>
      </c>
      <c r="E7494" s="15" t="n">
        <f aca="false">B7494/Summary!$B$5-1</f>
        <v>0.11056457426754</v>
      </c>
    </row>
    <row r="7495" customFormat="false" ht="15" hidden="false" customHeight="false" outlineLevel="0" collapsed="false">
      <c r="A7495" s="0" t="n">
        <v>7494</v>
      </c>
      <c r="B7495" s="14" t="n">
        <v>105603.445408759</v>
      </c>
      <c r="C7495" s="15" t="n">
        <v>0.150325695201596</v>
      </c>
      <c r="D7495" s="14" t="n">
        <f aca="false">Summary!$B$5-B7495</f>
        <v>-5603.4454087588</v>
      </c>
      <c r="E7495" s="15" t="n">
        <f aca="false">B7495/Summary!$B$5-1</f>
        <v>0.0560344540875879</v>
      </c>
    </row>
    <row r="7496" customFormat="false" ht="15" hidden="false" customHeight="false" outlineLevel="0" collapsed="false">
      <c r="A7496" s="0" t="n">
        <v>7495</v>
      </c>
      <c r="B7496" s="14" t="n">
        <v>96232.5342461666</v>
      </c>
      <c r="C7496" s="15" t="n">
        <v>0.0702218757507245</v>
      </c>
      <c r="D7496" s="14" t="n">
        <f aca="false">Summary!$B$5-B7496</f>
        <v>3767.46575383341</v>
      </c>
      <c r="E7496" s="15" t="n">
        <f aca="false">B7496/Summary!$B$5-1</f>
        <v>-0.0376746575383341</v>
      </c>
    </row>
    <row r="7497" customFormat="false" ht="15" hidden="false" customHeight="false" outlineLevel="0" collapsed="false">
      <c r="A7497" s="0" t="n">
        <v>7496</v>
      </c>
      <c r="B7497" s="14" t="n">
        <v>120848.44076622</v>
      </c>
      <c r="C7497" s="15" t="n">
        <v>0.052331229986688</v>
      </c>
      <c r="D7497" s="14" t="n">
        <f aca="false">Summary!$B$5-B7497</f>
        <v>-20848.44076622</v>
      </c>
      <c r="E7497" s="15" t="n">
        <f aca="false">B7497/Summary!$B$5-1</f>
        <v>0.2084844076622</v>
      </c>
    </row>
    <row r="7498" customFormat="false" ht="15" hidden="false" customHeight="false" outlineLevel="0" collapsed="false">
      <c r="A7498" s="0" t="n">
        <v>7497</v>
      </c>
      <c r="B7498" s="14" t="n">
        <v>125645.653479356</v>
      </c>
      <c r="C7498" s="15" t="n">
        <v>0.0761201453150434</v>
      </c>
      <c r="D7498" s="14" t="n">
        <f aca="false">Summary!$B$5-B7498</f>
        <v>-25645.6534793555</v>
      </c>
      <c r="E7498" s="15" t="n">
        <f aca="false">B7498/Summary!$B$5-1</f>
        <v>0.256456534793555</v>
      </c>
    </row>
    <row r="7499" customFormat="false" ht="15" hidden="false" customHeight="false" outlineLevel="0" collapsed="false">
      <c r="A7499" s="0" t="n">
        <v>7498</v>
      </c>
      <c r="B7499" s="14" t="n">
        <v>127371.892935543</v>
      </c>
      <c r="C7499" s="15" t="n">
        <v>0.0476092906721306</v>
      </c>
      <c r="D7499" s="14" t="n">
        <f aca="false">Summary!$B$5-B7499</f>
        <v>-27371.892935543</v>
      </c>
      <c r="E7499" s="15" t="n">
        <f aca="false">B7499/Summary!$B$5-1</f>
        <v>0.27371892935543</v>
      </c>
    </row>
    <row r="7500" customFormat="false" ht="15" hidden="false" customHeight="false" outlineLevel="0" collapsed="false">
      <c r="A7500" s="0" t="n">
        <v>7499</v>
      </c>
      <c r="B7500" s="14" t="n">
        <v>105675.685441693</v>
      </c>
      <c r="C7500" s="15" t="n">
        <v>0.138991871778008</v>
      </c>
      <c r="D7500" s="14" t="n">
        <f aca="false">Summary!$B$5-B7500</f>
        <v>-5675.6854416928</v>
      </c>
      <c r="E7500" s="15" t="n">
        <f aca="false">B7500/Summary!$B$5-1</f>
        <v>0.0567568544169279</v>
      </c>
    </row>
    <row r="7501" customFormat="false" ht="15" hidden="false" customHeight="false" outlineLevel="0" collapsed="false">
      <c r="A7501" s="0" t="n">
        <v>7500</v>
      </c>
      <c r="B7501" s="14" t="n">
        <v>108051.343038095</v>
      </c>
      <c r="C7501" s="15" t="n">
        <v>0.0861161735292029</v>
      </c>
      <c r="D7501" s="14" t="n">
        <f aca="false">Summary!$B$5-B7501</f>
        <v>-8051.34303809451</v>
      </c>
      <c r="E7501" s="15" t="n">
        <f aca="false">B7501/Summary!$B$5-1</f>
        <v>0.0805134303809452</v>
      </c>
    </row>
    <row r="7502" customFormat="false" ht="15" hidden="false" customHeight="false" outlineLevel="0" collapsed="false">
      <c r="A7502" s="0" t="n">
        <v>7501</v>
      </c>
      <c r="B7502" s="14" t="n">
        <v>86796.1418224081</v>
      </c>
      <c r="C7502" s="15" t="n">
        <v>0.143292358078908</v>
      </c>
      <c r="D7502" s="14" t="n">
        <f aca="false">Summary!$B$5-B7502</f>
        <v>13203.8581775919</v>
      </c>
      <c r="E7502" s="15" t="n">
        <f aca="false">B7502/Summary!$B$5-1</f>
        <v>-0.132038581775919</v>
      </c>
    </row>
    <row r="7503" customFormat="false" ht="15" hidden="false" customHeight="false" outlineLevel="0" collapsed="false">
      <c r="A7503" s="0" t="n">
        <v>7502</v>
      </c>
      <c r="B7503" s="14" t="n">
        <v>96992.7723582102</v>
      </c>
      <c r="C7503" s="15" t="n">
        <v>0.131573567682212</v>
      </c>
      <c r="D7503" s="14" t="n">
        <f aca="false">Summary!$B$5-B7503</f>
        <v>3007.22764178977</v>
      </c>
      <c r="E7503" s="15" t="n">
        <f aca="false">B7503/Summary!$B$5-1</f>
        <v>-0.0300722764178977</v>
      </c>
    </row>
    <row r="7504" customFormat="false" ht="15" hidden="false" customHeight="false" outlineLevel="0" collapsed="false">
      <c r="A7504" s="0" t="n">
        <v>7503</v>
      </c>
      <c r="B7504" s="14" t="n">
        <v>101412.819787584</v>
      </c>
      <c r="C7504" s="15" t="n">
        <v>0.149801890236136</v>
      </c>
      <c r="D7504" s="14" t="n">
        <f aca="false">Summary!$B$5-B7504</f>
        <v>-1412.8197875835</v>
      </c>
      <c r="E7504" s="15" t="n">
        <f aca="false">B7504/Summary!$B$5-1</f>
        <v>0.014128197875835</v>
      </c>
    </row>
    <row r="7505" customFormat="false" ht="15" hidden="false" customHeight="false" outlineLevel="0" collapsed="false">
      <c r="A7505" s="0" t="n">
        <v>7504</v>
      </c>
      <c r="B7505" s="14" t="n">
        <v>112108.628341475</v>
      </c>
      <c r="C7505" s="15" t="n">
        <v>0.0766552769984208</v>
      </c>
      <c r="D7505" s="14" t="n">
        <f aca="false">Summary!$B$5-B7505</f>
        <v>-12108.6283414751</v>
      </c>
      <c r="E7505" s="15" t="n">
        <f aca="false">B7505/Summary!$B$5-1</f>
        <v>0.121086283414751</v>
      </c>
    </row>
    <row r="7506" customFormat="false" ht="15" hidden="false" customHeight="false" outlineLevel="0" collapsed="false">
      <c r="A7506" s="0" t="n">
        <v>7505</v>
      </c>
      <c r="B7506" s="14" t="n">
        <v>105394.063294006</v>
      </c>
      <c r="C7506" s="15" t="n">
        <v>0.108578565175653</v>
      </c>
      <c r="D7506" s="14" t="n">
        <f aca="false">Summary!$B$5-B7506</f>
        <v>-5394.0632940061</v>
      </c>
      <c r="E7506" s="15" t="n">
        <f aca="false">B7506/Summary!$B$5-1</f>
        <v>0.0539406329400611</v>
      </c>
    </row>
    <row r="7507" customFormat="false" ht="15" hidden="false" customHeight="false" outlineLevel="0" collapsed="false">
      <c r="A7507" s="0" t="n">
        <v>7506</v>
      </c>
      <c r="B7507" s="14" t="n">
        <v>115639.773179949</v>
      </c>
      <c r="C7507" s="15" t="n">
        <v>0.0872723982710655</v>
      </c>
      <c r="D7507" s="14" t="n">
        <f aca="false">Summary!$B$5-B7507</f>
        <v>-15639.7731799491</v>
      </c>
      <c r="E7507" s="15" t="n">
        <f aca="false">B7507/Summary!$B$5-1</f>
        <v>0.156397731799491</v>
      </c>
    </row>
    <row r="7508" customFormat="false" ht="15" hidden="false" customHeight="false" outlineLevel="0" collapsed="false">
      <c r="A7508" s="0" t="n">
        <v>7507</v>
      </c>
      <c r="B7508" s="14" t="n">
        <v>118650.533365983</v>
      </c>
      <c r="C7508" s="15" t="n">
        <v>0.0723228461334773</v>
      </c>
      <c r="D7508" s="14" t="n">
        <f aca="false">Summary!$B$5-B7508</f>
        <v>-18650.5333659828</v>
      </c>
      <c r="E7508" s="15" t="n">
        <f aca="false">B7508/Summary!$B$5-1</f>
        <v>0.186505333659828</v>
      </c>
    </row>
    <row r="7509" customFormat="false" ht="15" hidden="false" customHeight="false" outlineLevel="0" collapsed="false">
      <c r="A7509" s="0" t="n">
        <v>7508</v>
      </c>
      <c r="B7509" s="14" t="n">
        <v>95169.0882357265</v>
      </c>
      <c r="C7509" s="15" t="n">
        <v>0.125470317255965</v>
      </c>
      <c r="D7509" s="14" t="n">
        <f aca="false">Summary!$B$5-B7509</f>
        <v>4830.91176427348</v>
      </c>
      <c r="E7509" s="15" t="n">
        <f aca="false">B7509/Summary!$B$5-1</f>
        <v>-0.0483091176427348</v>
      </c>
    </row>
    <row r="7510" customFormat="false" ht="15" hidden="false" customHeight="false" outlineLevel="0" collapsed="false">
      <c r="A7510" s="0" t="n">
        <v>7509</v>
      </c>
      <c r="B7510" s="14" t="n">
        <v>133289.929353543</v>
      </c>
      <c r="C7510" s="15" t="n">
        <v>0.103945925524306</v>
      </c>
      <c r="D7510" s="14" t="n">
        <f aca="false">Summary!$B$5-B7510</f>
        <v>-33289.9293535431</v>
      </c>
      <c r="E7510" s="15" t="n">
        <f aca="false">B7510/Summary!$B$5-1</f>
        <v>0.332899293535431</v>
      </c>
    </row>
    <row r="7511" customFormat="false" ht="15" hidden="false" customHeight="false" outlineLevel="0" collapsed="false">
      <c r="A7511" s="0" t="n">
        <v>7510</v>
      </c>
      <c r="B7511" s="14" t="n">
        <v>112442.682174389</v>
      </c>
      <c r="C7511" s="15" t="n">
        <v>0.105851787453619</v>
      </c>
      <c r="D7511" s="14" t="n">
        <f aca="false">Summary!$B$5-B7511</f>
        <v>-12442.6821743891</v>
      </c>
      <c r="E7511" s="15" t="n">
        <f aca="false">B7511/Summary!$B$5-1</f>
        <v>0.124426821743891</v>
      </c>
    </row>
    <row r="7512" customFormat="false" ht="15" hidden="false" customHeight="false" outlineLevel="0" collapsed="false">
      <c r="A7512" s="0" t="n">
        <v>7511</v>
      </c>
      <c r="B7512" s="14" t="n">
        <v>104527.997415728</v>
      </c>
      <c r="C7512" s="15" t="n">
        <v>0.0733828416706848</v>
      </c>
      <c r="D7512" s="14" t="n">
        <f aca="false">Summary!$B$5-B7512</f>
        <v>-4527.99741572781</v>
      </c>
      <c r="E7512" s="15" t="n">
        <f aca="false">B7512/Summary!$B$5-1</f>
        <v>0.045279974157278</v>
      </c>
    </row>
    <row r="7513" customFormat="false" ht="15" hidden="false" customHeight="false" outlineLevel="0" collapsed="false">
      <c r="A7513" s="0" t="n">
        <v>7512</v>
      </c>
      <c r="B7513" s="14" t="n">
        <v>104596.386383233</v>
      </c>
      <c r="C7513" s="15" t="n">
        <v>0.10612278543265</v>
      </c>
      <c r="D7513" s="14" t="n">
        <f aca="false">Summary!$B$5-B7513</f>
        <v>-4596.3863832332</v>
      </c>
      <c r="E7513" s="15" t="n">
        <f aca="false">B7513/Summary!$B$5-1</f>
        <v>0.0459638638323321</v>
      </c>
    </row>
    <row r="7514" customFormat="false" ht="15" hidden="false" customHeight="false" outlineLevel="0" collapsed="false">
      <c r="A7514" s="0" t="n">
        <v>7513</v>
      </c>
      <c r="B7514" s="14" t="n">
        <v>94574.7366105632</v>
      </c>
      <c r="C7514" s="15" t="n">
        <v>0.135220611032912</v>
      </c>
      <c r="D7514" s="14" t="n">
        <f aca="false">Summary!$B$5-B7514</f>
        <v>5425.26338943681</v>
      </c>
      <c r="E7514" s="15" t="n">
        <f aca="false">B7514/Summary!$B$5-1</f>
        <v>-0.0542526338943681</v>
      </c>
    </row>
    <row r="7515" customFormat="false" ht="15" hidden="false" customHeight="false" outlineLevel="0" collapsed="false">
      <c r="A7515" s="0" t="n">
        <v>7514</v>
      </c>
      <c r="B7515" s="14" t="n">
        <v>113134.830827052</v>
      </c>
      <c r="C7515" s="15" t="n">
        <v>0.0562131271611274</v>
      </c>
      <c r="D7515" s="14" t="n">
        <f aca="false">Summary!$B$5-B7515</f>
        <v>-13134.8308270518</v>
      </c>
      <c r="E7515" s="15" t="n">
        <f aca="false">B7515/Summary!$B$5-1</f>
        <v>0.131348308270518</v>
      </c>
    </row>
    <row r="7516" customFormat="false" ht="15" hidden="false" customHeight="false" outlineLevel="0" collapsed="false">
      <c r="A7516" s="0" t="n">
        <v>7515</v>
      </c>
      <c r="B7516" s="14" t="n">
        <v>128329.676953676</v>
      </c>
      <c r="C7516" s="15" t="n">
        <v>0.056761678767248</v>
      </c>
      <c r="D7516" s="14" t="n">
        <f aca="false">Summary!$B$5-B7516</f>
        <v>-28329.6769536757</v>
      </c>
      <c r="E7516" s="15" t="n">
        <f aca="false">B7516/Summary!$B$5-1</f>
        <v>0.283296769536757</v>
      </c>
    </row>
    <row r="7517" customFormat="false" ht="15" hidden="false" customHeight="false" outlineLevel="0" collapsed="false">
      <c r="A7517" s="0" t="n">
        <v>7516</v>
      </c>
      <c r="B7517" s="14" t="n">
        <v>133938.883395716</v>
      </c>
      <c r="C7517" s="15" t="n">
        <v>0.0513720323272499</v>
      </c>
      <c r="D7517" s="14" t="n">
        <f aca="false">Summary!$B$5-B7517</f>
        <v>-33938.8833957157</v>
      </c>
      <c r="E7517" s="15" t="n">
        <f aca="false">B7517/Summary!$B$5-1</f>
        <v>0.339388833957157</v>
      </c>
    </row>
    <row r="7518" customFormat="false" ht="15" hidden="false" customHeight="false" outlineLevel="0" collapsed="false">
      <c r="A7518" s="0" t="n">
        <v>7517</v>
      </c>
      <c r="B7518" s="14" t="n">
        <v>123061.134963042</v>
      </c>
      <c r="C7518" s="15" t="n">
        <v>0.0728490953473887</v>
      </c>
      <c r="D7518" s="14" t="n">
        <f aca="false">Summary!$B$5-B7518</f>
        <v>-23061.1349630422</v>
      </c>
      <c r="E7518" s="15" t="n">
        <f aca="false">B7518/Summary!$B$5-1</f>
        <v>0.230611349630422</v>
      </c>
    </row>
    <row r="7519" customFormat="false" ht="15" hidden="false" customHeight="false" outlineLevel="0" collapsed="false">
      <c r="A7519" s="0" t="n">
        <v>7518</v>
      </c>
      <c r="B7519" s="14" t="n">
        <v>105875.505457259</v>
      </c>
      <c r="C7519" s="15" t="n">
        <v>0.0790424399496863</v>
      </c>
      <c r="D7519" s="14" t="n">
        <f aca="false">Summary!$B$5-B7519</f>
        <v>-5875.50545725859</v>
      </c>
      <c r="E7519" s="15" t="n">
        <f aca="false">B7519/Summary!$B$5-1</f>
        <v>0.0587550545725859</v>
      </c>
    </row>
    <row r="7520" customFormat="false" ht="15" hidden="false" customHeight="false" outlineLevel="0" collapsed="false">
      <c r="A7520" s="0" t="n">
        <v>7519</v>
      </c>
      <c r="B7520" s="14" t="n">
        <v>106767.890902092</v>
      </c>
      <c r="C7520" s="15" t="n">
        <v>0.0863629066264124</v>
      </c>
      <c r="D7520" s="14" t="n">
        <f aca="false">Summary!$B$5-B7520</f>
        <v>-6767.8909020923</v>
      </c>
      <c r="E7520" s="15" t="n">
        <f aca="false">B7520/Summary!$B$5-1</f>
        <v>0.0676789090209231</v>
      </c>
    </row>
    <row r="7521" customFormat="false" ht="15" hidden="false" customHeight="false" outlineLevel="0" collapsed="false">
      <c r="A7521" s="0" t="n">
        <v>7520</v>
      </c>
      <c r="B7521" s="14" t="n">
        <v>92233.591219049</v>
      </c>
      <c r="C7521" s="15" t="n">
        <v>0.176307488519638</v>
      </c>
      <c r="D7521" s="14" t="n">
        <f aca="false">Summary!$B$5-B7521</f>
        <v>7766.40878095097</v>
      </c>
      <c r="E7521" s="15" t="n">
        <f aca="false">B7521/Summary!$B$5-1</f>
        <v>-0.0776640878095096</v>
      </c>
    </row>
    <row r="7522" customFormat="false" ht="15" hidden="false" customHeight="false" outlineLevel="0" collapsed="false">
      <c r="A7522" s="0" t="n">
        <v>7521</v>
      </c>
      <c r="B7522" s="14" t="n">
        <v>101935.472824426</v>
      </c>
      <c r="C7522" s="15" t="n">
        <v>0.184834768824545</v>
      </c>
      <c r="D7522" s="14" t="n">
        <f aca="false">Summary!$B$5-B7522</f>
        <v>-1935.4728244264</v>
      </c>
      <c r="E7522" s="15" t="n">
        <f aca="false">B7522/Summary!$B$5-1</f>
        <v>0.0193547282442639</v>
      </c>
    </row>
    <row r="7523" customFormat="false" ht="15" hidden="false" customHeight="false" outlineLevel="0" collapsed="false">
      <c r="A7523" s="0" t="n">
        <v>7522</v>
      </c>
      <c r="B7523" s="14" t="n">
        <v>93092.2281240519</v>
      </c>
      <c r="C7523" s="15" t="n">
        <v>0.133503297563077</v>
      </c>
      <c r="D7523" s="14" t="n">
        <f aca="false">Summary!$B$5-B7523</f>
        <v>6907.77187594815</v>
      </c>
      <c r="E7523" s="15" t="n">
        <f aca="false">B7523/Summary!$B$5-1</f>
        <v>-0.0690777187594815</v>
      </c>
    </row>
    <row r="7524" customFormat="false" ht="15" hidden="false" customHeight="false" outlineLevel="0" collapsed="false">
      <c r="A7524" s="0" t="n">
        <v>7523</v>
      </c>
      <c r="B7524" s="14" t="n">
        <v>100826.757492198</v>
      </c>
      <c r="C7524" s="15" t="n">
        <v>0.125720911580266</v>
      </c>
      <c r="D7524" s="14" t="n">
        <f aca="false">Summary!$B$5-B7524</f>
        <v>-826.757492197503</v>
      </c>
      <c r="E7524" s="15" t="n">
        <f aca="false">B7524/Summary!$B$5-1</f>
        <v>0.00826757492197494</v>
      </c>
    </row>
    <row r="7525" customFormat="false" ht="15" hidden="false" customHeight="false" outlineLevel="0" collapsed="false">
      <c r="A7525" s="0" t="n">
        <v>7524</v>
      </c>
      <c r="B7525" s="14" t="n">
        <v>115037.621069918</v>
      </c>
      <c r="C7525" s="15" t="n">
        <v>0.0818145350541829</v>
      </c>
      <c r="D7525" s="14" t="n">
        <f aca="false">Summary!$B$5-B7525</f>
        <v>-15037.621069918</v>
      </c>
      <c r="E7525" s="15" t="n">
        <f aca="false">B7525/Summary!$B$5-1</f>
        <v>0.15037621069918</v>
      </c>
    </row>
    <row r="7526" customFormat="false" ht="15" hidden="false" customHeight="false" outlineLevel="0" collapsed="false">
      <c r="A7526" s="0" t="n">
        <v>7525</v>
      </c>
      <c r="B7526" s="14" t="n">
        <v>116289.438334025</v>
      </c>
      <c r="C7526" s="15" t="n">
        <v>0.0888937299933026</v>
      </c>
      <c r="D7526" s="14" t="n">
        <f aca="false">Summary!$B$5-B7526</f>
        <v>-16289.4383340251</v>
      </c>
      <c r="E7526" s="15" t="n">
        <f aca="false">B7526/Summary!$B$5-1</f>
        <v>0.162894383340251</v>
      </c>
    </row>
    <row r="7527" customFormat="false" ht="15" hidden="false" customHeight="false" outlineLevel="0" collapsed="false">
      <c r="A7527" s="0" t="n">
        <v>7526</v>
      </c>
      <c r="B7527" s="14" t="n">
        <v>122472.192437271</v>
      </c>
      <c r="C7527" s="15" t="n">
        <v>0.0659043620612152</v>
      </c>
      <c r="D7527" s="14" t="n">
        <f aca="false">Summary!$B$5-B7527</f>
        <v>-22472.1924372714</v>
      </c>
      <c r="E7527" s="15" t="n">
        <f aca="false">B7527/Summary!$B$5-1</f>
        <v>0.224721924372714</v>
      </c>
    </row>
    <row r="7528" customFormat="false" ht="15" hidden="false" customHeight="false" outlineLevel="0" collapsed="false">
      <c r="A7528" s="0" t="n">
        <v>7527</v>
      </c>
      <c r="B7528" s="14" t="n">
        <v>103479.526409983</v>
      </c>
      <c r="C7528" s="15" t="n">
        <v>0.10074804146779</v>
      </c>
      <c r="D7528" s="14" t="n">
        <f aca="false">Summary!$B$5-B7528</f>
        <v>-3479.5264099831</v>
      </c>
      <c r="E7528" s="15" t="n">
        <f aca="false">B7528/Summary!$B$5-1</f>
        <v>0.034795264099831</v>
      </c>
    </row>
    <row r="7529" customFormat="false" ht="15" hidden="false" customHeight="false" outlineLevel="0" collapsed="false">
      <c r="A7529" s="0" t="n">
        <v>7528</v>
      </c>
      <c r="B7529" s="14" t="n">
        <v>103478.454876923</v>
      </c>
      <c r="C7529" s="15" t="n">
        <v>0.0883837441334284</v>
      </c>
      <c r="D7529" s="14" t="n">
        <f aca="false">Summary!$B$5-B7529</f>
        <v>-3478.4548769227</v>
      </c>
      <c r="E7529" s="15" t="n">
        <f aca="false">B7529/Summary!$B$5-1</f>
        <v>0.0347845487692269</v>
      </c>
    </row>
    <row r="7530" customFormat="false" ht="15" hidden="false" customHeight="false" outlineLevel="0" collapsed="false">
      <c r="A7530" s="0" t="n">
        <v>7529</v>
      </c>
      <c r="B7530" s="14" t="n">
        <v>109214.152144375</v>
      </c>
      <c r="C7530" s="15" t="n">
        <v>0.0799857567909135</v>
      </c>
      <c r="D7530" s="14" t="n">
        <f aca="false">Summary!$B$5-B7530</f>
        <v>-9214.152144375</v>
      </c>
      <c r="E7530" s="15" t="n">
        <f aca="false">B7530/Summary!$B$5-1</f>
        <v>0.09214152144375</v>
      </c>
    </row>
    <row r="7531" customFormat="false" ht="15" hidden="false" customHeight="false" outlineLevel="0" collapsed="false">
      <c r="A7531" s="0" t="n">
        <v>7530</v>
      </c>
      <c r="B7531" s="14" t="n">
        <v>119702.440607414</v>
      </c>
      <c r="C7531" s="15" t="n">
        <v>0.060310405896258</v>
      </c>
      <c r="D7531" s="14" t="n">
        <f aca="false">Summary!$B$5-B7531</f>
        <v>-19702.4406074136</v>
      </c>
      <c r="E7531" s="15" t="n">
        <f aca="false">B7531/Summary!$B$5-1</f>
        <v>0.197024406074136</v>
      </c>
    </row>
    <row r="7532" customFormat="false" ht="15" hidden="false" customHeight="false" outlineLevel="0" collapsed="false">
      <c r="A7532" s="0" t="n">
        <v>7531</v>
      </c>
      <c r="B7532" s="14" t="n">
        <v>138761.644261685</v>
      </c>
      <c r="C7532" s="15" t="n">
        <v>0.0468119839932554</v>
      </c>
      <c r="D7532" s="14" t="n">
        <f aca="false">Summary!$B$5-B7532</f>
        <v>-38761.6442616847</v>
      </c>
      <c r="E7532" s="15" t="n">
        <f aca="false">B7532/Summary!$B$5-1</f>
        <v>0.387616442616847</v>
      </c>
    </row>
    <row r="7533" customFormat="false" ht="15" hidden="false" customHeight="false" outlineLevel="0" collapsed="false">
      <c r="A7533" s="0" t="n">
        <v>7532</v>
      </c>
      <c r="B7533" s="14" t="n">
        <v>119987.195100078</v>
      </c>
      <c r="C7533" s="15" t="n">
        <v>0.0708040608390853</v>
      </c>
      <c r="D7533" s="14" t="n">
        <f aca="false">Summary!$B$5-B7533</f>
        <v>-19987.1951000781</v>
      </c>
      <c r="E7533" s="15" t="n">
        <f aca="false">B7533/Summary!$B$5-1</f>
        <v>0.199871951000781</v>
      </c>
    </row>
    <row r="7534" customFormat="false" ht="15" hidden="false" customHeight="false" outlineLevel="0" collapsed="false">
      <c r="A7534" s="0" t="n">
        <v>7533</v>
      </c>
      <c r="B7534" s="14" t="n">
        <v>105290.895185165</v>
      </c>
      <c r="C7534" s="15" t="n">
        <v>0.078147274894173</v>
      </c>
      <c r="D7534" s="14" t="n">
        <f aca="false">Summary!$B$5-B7534</f>
        <v>-5290.8951851645</v>
      </c>
      <c r="E7534" s="15" t="n">
        <f aca="false">B7534/Summary!$B$5-1</f>
        <v>0.052908951851645</v>
      </c>
    </row>
    <row r="7535" customFormat="false" ht="15" hidden="false" customHeight="false" outlineLevel="0" collapsed="false">
      <c r="A7535" s="0" t="n">
        <v>7534</v>
      </c>
      <c r="B7535" s="14" t="n">
        <v>100389.329880165</v>
      </c>
      <c r="C7535" s="15" t="n">
        <v>0.131810477248884</v>
      </c>
      <c r="D7535" s="14" t="n">
        <f aca="false">Summary!$B$5-B7535</f>
        <v>-389.329880165402</v>
      </c>
      <c r="E7535" s="15" t="n">
        <f aca="false">B7535/Summary!$B$5-1</f>
        <v>0.00389329880165401</v>
      </c>
    </row>
    <row r="7536" customFormat="false" ht="15" hidden="false" customHeight="false" outlineLevel="0" collapsed="false">
      <c r="A7536" s="0" t="n">
        <v>7535</v>
      </c>
      <c r="B7536" s="14" t="n">
        <v>113164.132805503</v>
      </c>
      <c r="C7536" s="15" t="n">
        <v>0.0821087981650982</v>
      </c>
      <c r="D7536" s="14" t="n">
        <f aca="false">Summary!$B$5-B7536</f>
        <v>-13164.132805503</v>
      </c>
      <c r="E7536" s="15" t="n">
        <f aca="false">B7536/Summary!$B$5-1</f>
        <v>0.13164132805503</v>
      </c>
    </row>
    <row r="7537" customFormat="false" ht="15" hidden="false" customHeight="false" outlineLevel="0" collapsed="false">
      <c r="A7537" s="0" t="n">
        <v>7536</v>
      </c>
      <c r="B7537" s="14" t="n">
        <v>119437.470051983</v>
      </c>
      <c r="C7537" s="15" t="n">
        <v>0.0693979915748835</v>
      </c>
      <c r="D7537" s="14" t="n">
        <f aca="false">Summary!$B$5-B7537</f>
        <v>-19437.4700519834</v>
      </c>
      <c r="E7537" s="15" t="n">
        <f aca="false">B7537/Summary!$B$5-1</f>
        <v>0.194374700519834</v>
      </c>
    </row>
    <row r="7538" customFormat="false" ht="15" hidden="false" customHeight="false" outlineLevel="0" collapsed="false">
      <c r="A7538" s="0" t="n">
        <v>7537</v>
      </c>
      <c r="B7538" s="14" t="n">
        <v>93621.9181152298</v>
      </c>
      <c r="C7538" s="15" t="n">
        <v>0.178526993737996</v>
      </c>
      <c r="D7538" s="14" t="n">
        <f aca="false">Summary!$B$5-B7538</f>
        <v>6378.08188477016</v>
      </c>
      <c r="E7538" s="15" t="n">
        <f aca="false">B7538/Summary!$B$5-1</f>
        <v>-0.0637808188477016</v>
      </c>
    </row>
    <row r="7539" customFormat="false" ht="15" hidden="false" customHeight="false" outlineLevel="0" collapsed="false">
      <c r="A7539" s="0" t="n">
        <v>7538</v>
      </c>
      <c r="B7539" s="14" t="n">
        <v>113819.780405574</v>
      </c>
      <c r="C7539" s="15" t="n">
        <v>0.064947121088924</v>
      </c>
      <c r="D7539" s="14" t="n">
        <f aca="false">Summary!$B$5-B7539</f>
        <v>-13819.7804055735</v>
      </c>
      <c r="E7539" s="15" t="n">
        <f aca="false">B7539/Summary!$B$5-1</f>
        <v>0.138197804055735</v>
      </c>
    </row>
    <row r="7540" customFormat="false" ht="15" hidden="false" customHeight="false" outlineLevel="0" collapsed="false">
      <c r="A7540" s="0" t="n">
        <v>7539</v>
      </c>
      <c r="B7540" s="14" t="n">
        <v>114622.463621286</v>
      </c>
      <c r="C7540" s="15" t="n">
        <v>0.114382423598962</v>
      </c>
      <c r="D7540" s="14" t="n">
        <f aca="false">Summary!$B$5-B7540</f>
        <v>-14622.4636212856</v>
      </c>
      <c r="E7540" s="15" t="n">
        <f aca="false">B7540/Summary!$B$5-1</f>
        <v>0.146224636212856</v>
      </c>
    </row>
    <row r="7541" customFormat="false" ht="15" hidden="false" customHeight="false" outlineLevel="0" collapsed="false">
      <c r="A7541" s="0" t="n">
        <v>7540</v>
      </c>
      <c r="B7541" s="14" t="n">
        <v>104229.800821328</v>
      </c>
      <c r="C7541" s="15" t="n">
        <v>0.0685634098964764</v>
      </c>
      <c r="D7541" s="14" t="n">
        <f aca="false">Summary!$B$5-B7541</f>
        <v>-4229.8008213279</v>
      </c>
      <c r="E7541" s="15" t="n">
        <f aca="false">B7541/Summary!$B$5-1</f>
        <v>0.0422980082132789</v>
      </c>
    </row>
    <row r="7542" customFormat="false" ht="15" hidden="false" customHeight="false" outlineLevel="0" collapsed="false">
      <c r="A7542" s="0" t="n">
        <v>7541</v>
      </c>
      <c r="B7542" s="14" t="n">
        <v>122004.36738275</v>
      </c>
      <c r="C7542" s="15" t="n">
        <v>0.0649100770098653</v>
      </c>
      <c r="D7542" s="14" t="n">
        <f aca="false">Summary!$B$5-B7542</f>
        <v>-22004.3673827499</v>
      </c>
      <c r="E7542" s="15" t="n">
        <f aca="false">B7542/Summary!$B$5-1</f>
        <v>0.220043673827499</v>
      </c>
    </row>
    <row r="7543" customFormat="false" ht="15" hidden="false" customHeight="false" outlineLevel="0" collapsed="false">
      <c r="A7543" s="0" t="n">
        <v>7542</v>
      </c>
      <c r="B7543" s="14" t="n">
        <v>119209.426579175</v>
      </c>
      <c r="C7543" s="15" t="n">
        <v>0.0481597327030628</v>
      </c>
      <c r="D7543" s="14" t="n">
        <f aca="false">Summary!$B$5-B7543</f>
        <v>-19209.4265791752</v>
      </c>
      <c r="E7543" s="15" t="n">
        <f aca="false">B7543/Summary!$B$5-1</f>
        <v>0.192094265791752</v>
      </c>
    </row>
    <row r="7544" customFormat="false" ht="15" hidden="false" customHeight="false" outlineLevel="0" collapsed="false">
      <c r="A7544" s="0" t="n">
        <v>7543</v>
      </c>
      <c r="B7544" s="14" t="n">
        <v>95642.7461406549</v>
      </c>
      <c r="C7544" s="15" t="n">
        <v>0.12382978577639</v>
      </c>
      <c r="D7544" s="14" t="n">
        <f aca="false">Summary!$B$5-B7544</f>
        <v>4357.25385934513</v>
      </c>
      <c r="E7544" s="15" t="n">
        <f aca="false">B7544/Summary!$B$5-1</f>
        <v>-0.0435725385934513</v>
      </c>
    </row>
    <row r="7545" customFormat="false" ht="15" hidden="false" customHeight="false" outlineLevel="0" collapsed="false">
      <c r="A7545" s="0" t="n">
        <v>7544</v>
      </c>
      <c r="B7545" s="14" t="n">
        <v>147483.962532017</v>
      </c>
      <c r="C7545" s="15" t="n">
        <v>0.0328932522984552</v>
      </c>
      <c r="D7545" s="14" t="n">
        <f aca="false">Summary!$B$5-B7545</f>
        <v>-47483.9625320173</v>
      </c>
      <c r="E7545" s="15" t="n">
        <f aca="false">B7545/Summary!$B$5-1</f>
        <v>0.474839625320173</v>
      </c>
    </row>
    <row r="7546" customFormat="false" ht="15" hidden="false" customHeight="false" outlineLevel="0" collapsed="false">
      <c r="A7546" s="0" t="n">
        <v>7545</v>
      </c>
      <c r="B7546" s="14" t="n">
        <v>93609.5622021763</v>
      </c>
      <c r="C7546" s="15" t="n">
        <v>0.134610370455114</v>
      </c>
      <c r="D7546" s="14" t="n">
        <f aca="false">Summary!$B$5-B7546</f>
        <v>6390.4377978237</v>
      </c>
      <c r="E7546" s="15" t="n">
        <f aca="false">B7546/Summary!$B$5-1</f>
        <v>-0.063904377978237</v>
      </c>
    </row>
    <row r="7547" customFormat="false" ht="15" hidden="false" customHeight="false" outlineLevel="0" collapsed="false">
      <c r="A7547" s="0" t="n">
        <v>7546</v>
      </c>
      <c r="B7547" s="14" t="n">
        <v>109367.828147821</v>
      </c>
      <c r="C7547" s="15" t="n">
        <v>0.0730972909028116</v>
      </c>
      <c r="D7547" s="14" t="n">
        <f aca="false">Summary!$B$5-B7547</f>
        <v>-9367.828147821</v>
      </c>
      <c r="E7547" s="15" t="n">
        <f aca="false">B7547/Summary!$B$5-1</f>
        <v>0.09367828147821</v>
      </c>
    </row>
    <row r="7548" customFormat="false" ht="15" hidden="false" customHeight="false" outlineLevel="0" collapsed="false">
      <c r="A7548" s="0" t="n">
        <v>7547</v>
      </c>
      <c r="B7548" s="14" t="n">
        <v>102621.751333128</v>
      </c>
      <c r="C7548" s="15" t="n">
        <v>0.0759182379391461</v>
      </c>
      <c r="D7548" s="14" t="n">
        <f aca="false">Summary!$B$5-B7548</f>
        <v>-2621.75133312801</v>
      </c>
      <c r="E7548" s="15" t="n">
        <f aca="false">B7548/Summary!$B$5-1</f>
        <v>0.0262175133312801</v>
      </c>
    </row>
    <row r="7549" customFormat="false" ht="15" hidden="false" customHeight="false" outlineLevel="0" collapsed="false">
      <c r="A7549" s="0" t="n">
        <v>7548</v>
      </c>
      <c r="B7549" s="14" t="n">
        <v>101813.409344426</v>
      </c>
      <c r="C7549" s="15" t="n">
        <v>0.146579565842072</v>
      </c>
      <c r="D7549" s="14" t="n">
        <f aca="false">Summary!$B$5-B7549</f>
        <v>-1813.40934442609</v>
      </c>
      <c r="E7549" s="15" t="n">
        <f aca="false">B7549/Summary!$B$5-1</f>
        <v>0.0181340934442609</v>
      </c>
    </row>
    <row r="7550" customFormat="false" ht="15" hidden="false" customHeight="false" outlineLevel="0" collapsed="false">
      <c r="A7550" s="0" t="n">
        <v>7549</v>
      </c>
      <c r="B7550" s="14" t="n">
        <v>100990.372542584</v>
      </c>
      <c r="C7550" s="15" t="n">
        <v>0.0775442465385683</v>
      </c>
      <c r="D7550" s="14" t="n">
        <f aca="false">Summary!$B$5-B7550</f>
        <v>-990.372542583602</v>
      </c>
      <c r="E7550" s="15" t="n">
        <f aca="false">B7550/Summary!$B$5-1</f>
        <v>0.00990372542583606</v>
      </c>
    </row>
    <row r="7551" customFormat="false" ht="15" hidden="false" customHeight="false" outlineLevel="0" collapsed="false">
      <c r="A7551" s="0" t="n">
        <v>7550</v>
      </c>
      <c r="B7551" s="14" t="n">
        <v>84959.6637559051</v>
      </c>
      <c r="C7551" s="15" t="n">
        <v>0.173642007797393</v>
      </c>
      <c r="D7551" s="14" t="n">
        <f aca="false">Summary!$B$5-B7551</f>
        <v>15040.3362440949</v>
      </c>
      <c r="E7551" s="15" t="n">
        <f aca="false">B7551/Summary!$B$5-1</f>
        <v>-0.150403362440949</v>
      </c>
    </row>
    <row r="7552" customFormat="false" ht="15" hidden="false" customHeight="false" outlineLevel="0" collapsed="false">
      <c r="A7552" s="0" t="n">
        <v>7551</v>
      </c>
      <c r="B7552" s="14" t="n">
        <v>101729.054819964</v>
      </c>
      <c r="C7552" s="15" t="n">
        <v>0.129286771728637</v>
      </c>
      <c r="D7552" s="14" t="n">
        <f aca="false">Summary!$B$5-B7552</f>
        <v>-1729.05481996421</v>
      </c>
      <c r="E7552" s="15" t="n">
        <f aca="false">B7552/Summary!$B$5-1</f>
        <v>0.0172905481996422</v>
      </c>
    </row>
    <row r="7553" customFormat="false" ht="15" hidden="false" customHeight="false" outlineLevel="0" collapsed="false">
      <c r="A7553" s="0" t="n">
        <v>7552</v>
      </c>
      <c r="B7553" s="14" t="n">
        <v>89256.2048493275</v>
      </c>
      <c r="C7553" s="15" t="n">
        <v>0.164043377565959</v>
      </c>
      <c r="D7553" s="14" t="n">
        <f aca="false">Summary!$B$5-B7553</f>
        <v>10743.7951506725</v>
      </c>
      <c r="E7553" s="15" t="n">
        <f aca="false">B7553/Summary!$B$5-1</f>
        <v>-0.107437951506725</v>
      </c>
    </row>
    <row r="7554" customFormat="false" ht="15" hidden="false" customHeight="false" outlineLevel="0" collapsed="false">
      <c r="A7554" s="0" t="n">
        <v>7553</v>
      </c>
      <c r="B7554" s="14" t="n">
        <v>95415.2101106384</v>
      </c>
      <c r="C7554" s="15" t="n">
        <v>0.111223099512084</v>
      </c>
      <c r="D7554" s="14" t="n">
        <f aca="false">Summary!$B$5-B7554</f>
        <v>4584.78988936164</v>
      </c>
      <c r="E7554" s="15" t="n">
        <f aca="false">B7554/Summary!$B$5-1</f>
        <v>-0.0458478988936164</v>
      </c>
    </row>
    <row r="7555" customFormat="false" ht="15" hidden="false" customHeight="false" outlineLevel="0" collapsed="false">
      <c r="A7555" s="0" t="n">
        <v>7554</v>
      </c>
      <c r="B7555" s="14" t="n">
        <v>129385.729458195</v>
      </c>
      <c r="C7555" s="15" t="n">
        <v>0.0670661087485956</v>
      </c>
      <c r="D7555" s="14" t="n">
        <f aca="false">Summary!$B$5-B7555</f>
        <v>-29385.7294581952</v>
      </c>
      <c r="E7555" s="15" t="n">
        <f aca="false">B7555/Summary!$B$5-1</f>
        <v>0.293857294581952</v>
      </c>
    </row>
    <row r="7556" customFormat="false" ht="15" hidden="false" customHeight="false" outlineLevel="0" collapsed="false">
      <c r="A7556" s="0" t="n">
        <v>7555</v>
      </c>
      <c r="B7556" s="14" t="n">
        <v>105008.119028551</v>
      </c>
      <c r="C7556" s="15" t="n">
        <v>0.0988641897712084</v>
      </c>
      <c r="D7556" s="14" t="n">
        <f aca="false">Summary!$B$5-B7556</f>
        <v>-5008.11902855081</v>
      </c>
      <c r="E7556" s="15" t="n">
        <f aca="false">B7556/Summary!$B$5-1</f>
        <v>0.0500811902855081</v>
      </c>
    </row>
    <row r="7557" customFormat="false" ht="15" hidden="false" customHeight="false" outlineLevel="0" collapsed="false">
      <c r="A7557" s="0" t="n">
        <v>7556</v>
      </c>
      <c r="B7557" s="14" t="n">
        <v>91252.1627446664</v>
      </c>
      <c r="C7557" s="15" t="n">
        <v>0.102656547746534</v>
      </c>
      <c r="D7557" s="14" t="n">
        <f aca="false">Summary!$B$5-B7557</f>
        <v>8747.83725533364</v>
      </c>
      <c r="E7557" s="15" t="n">
        <f aca="false">B7557/Summary!$B$5-1</f>
        <v>-0.0874783725533364</v>
      </c>
    </row>
    <row r="7558" customFormat="false" ht="15" hidden="false" customHeight="false" outlineLevel="0" collapsed="false">
      <c r="A7558" s="0" t="n">
        <v>7557</v>
      </c>
      <c r="B7558" s="14" t="n">
        <v>98795.0483889065</v>
      </c>
      <c r="C7558" s="15" t="n">
        <v>0.0992486344203276</v>
      </c>
      <c r="D7558" s="14" t="n">
        <f aca="false">Summary!$B$5-B7558</f>
        <v>1204.95161109354</v>
      </c>
      <c r="E7558" s="15" t="n">
        <f aca="false">B7558/Summary!$B$5-1</f>
        <v>-0.0120495161109354</v>
      </c>
    </row>
    <row r="7559" customFormat="false" ht="15" hidden="false" customHeight="false" outlineLevel="0" collapsed="false">
      <c r="A7559" s="0" t="n">
        <v>7558</v>
      </c>
      <c r="B7559" s="14" t="n">
        <v>116461.271158216</v>
      </c>
      <c r="C7559" s="15" t="n">
        <v>0.0545072618236918</v>
      </c>
      <c r="D7559" s="14" t="n">
        <f aca="false">Summary!$B$5-B7559</f>
        <v>-16461.2711582161</v>
      </c>
      <c r="E7559" s="15" t="n">
        <f aca="false">B7559/Summary!$B$5-1</f>
        <v>0.164612711582161</v>
      </c>
    </row>
    <row r="7560" customFormat="false" ht="15" hidden="false" customHeight="false" outlineLevel="0" collapsed="false">
      <c r="A7560" s="0" t="n">
        <v>7559</v>
      </c>
      <c r="B7560" s="14" t="n">
        <v>96464.2593204283</v>
      </c>
      <c r="C7560" s="15" t="n">
        <v>0.14073038509935</v>
      </c>
      <c r="D7560" s="14" t="n">
        <f aca="false">Summary!$B$5-B7560</f>
        <v>3535.74067957171</v>
      </c>
      <c r="E7560" s="15" t="n">
        <f aca="false">B7560/Summary!$B$5-1</f>
        <v>-0.0353574067957171</v>
      </c>
    </row>
    <row r="7561" customFormat="false" ht="15" hidden="false" customHeight="false" outlineLevel="0" collapsed="false">
      <c r="A7561" s="0" t="n">
        <v>7560</v>
      </c>
      <c r="B7561" s="14" t="n">
        <v>108392.562861901</v>
      </c>
      <c r="C7561" s="15" t="n">
        <v>0.0981176779399309</v>
      </c>
      <c r="D7561" s="14" t="n">
        <f aca="false">Summary!$B$5-B7561</f>
        <v>-8392.5628619013</v>
      </c>
      <c r="E7561" s="15" t="n">
        <f aca="false">B7561/Summary!$B$5-1</f>
        <v>0.0839256286190131</v>
      </c>
    </row>
    <row r="7562" customFormat="false" ht="15" hidden="false" customHeight="false" outlineLevel="0" collapsed="false">
      <c r="A7562" s="0" t="n">
        <v>7561</v>
      </c>
      <c r="B7562" s="14" t="n">
        <v>105908.802233646</v>
      </c>
      <c r="C7562" s="15" t="n">
        <v>0.0832356620876719</v>
      </c>
      <c r="D7562" s="14" t="n">
        <f aca="false">Summary!$B$5-B7562</f>
        <v>-5908.8022336462</v>
      </c>
      <c r="E7562" s="15" t="n">
        <f aca="false">B7562/Summary!$B$5-1</f>
        <v>0.059088022336462</v>
      </c>
    </row>
    <row r="7563" customFormat="false" ht="15" hidden="false" customHeight="false" outlineLevel="0" collapsed="false">
      <c r="A7563" s="0" t="n">
        <v>7562</v>
      </c>
      <c r="B7563" s="14" t="n">
        <v>102939.771625473</v>
      </c>
      <c r="C7563" s="15" t="n">
        <v>0.131458026533405</v>
      </c>
      <c r="D7563" s="14" t="n">
        <f aca="false">Summary!$B$5-B7563</f>
        <v>-2939.7716254734</v>
      </c>
      <c r="E7563" s="15" t="n">
        <f aca="false">B7563/Summary!$B$5-1</f>
        <v>0.0293977162547339</v>
      </c>
    </row>
    <row r="7564" customFormat="false" ht="15" hidden="false" customHeight="false" outlineLevel="0" collapsed="false">
      <c r="A7564" s="0" t="n">
        <v>7563</v>
      </c>
      <c r="B7564" s="14" t="n">
        <v>89525.389302101</v>
      </c>
      <c r="C7564" s="15" t="n">
        <v>0.135543617015804</v>
      </c>
      <c r="D7564" s="14" t="n">
        <f aca="false">Summary!$B$5-B7564</f>
        <v>10474.610697899</v>
      </c>
      <c r="E7564" s="15" t="n">
        <f aca="false">B7564/Summary!$B$5-1</f>
        <v>-0.10474610697899</v>
      </c>
    </row>
    <row r="7565" customFormat="false" ht="15" hidden="false" customHeight="false" outlineLevel="0" collapsed="false">
      <c r="A7565" s="0" t="n">
        <v>7564</v>
      </c>
      <c r="B7565" s="14" t="n">
        <v>99979.385860495</v>
      </c>
      <c r="C7565" s="15" t="n">
        <v>0.0963486974346379</v>
      </c>
      <c r="D7565" s="14" t="n">
        <f aca="false">Summary!$B$5-B7565</f>
        <v>20.6141395050217</v>
      </c>
      <c r="E7565" s="15" t="n">
        <f aca="false">B7565/Summary!$B$5-1</f>
        <v>-0.000206141395050263</v>
      </c>
    </row>
    <row r="7566" customFormat="false" ht="15" hidden="false" customHeight="false" outlineLevel="0" collapsed="false">
      <c r="A7566" s="0" t="n">
        <v>7565</v>
      </c>
      <c r="B7566" s="14" t="n">
        <v>117327.95182365</v>
      </c>
      <c r="C7566" s="15" t="n">
        <v>0.0945573690615211</v>
      </c>
      <c r="D7566" s="14" t="n">
        <f aca="false">Summary!$B$5-B7566</f>
        <v>-17327.9518236498</v>
      </c>
      <c r="E7566" s="15" t="n">
        <f aca="false">B7566/Summary!$B$5-1</f>
        <v>0.173279518236498</v>
      </c>
    </row>
    <row r="7567" customFormat="false" ht="15" hidden="false" customHeight="false" outlineLevel="0" collapsed="false">
      <c r="A7567" s="0" t="n">
        <v>7566</v>
      </c>
      <c r="B7567" s="14" t="n">
        <v>109965.338754954</v>
      </c>
      <c r="C7567" s="15" t="n">
        <v>0.062743468179161</v>
      </c>
      <c r="D7567" s="14" t="n">
        <f aca="false">Summary!$B$5-B7567</f>
        <v>-9965.3387549543</v>
      </c>
      <c r="E7567" s="15" t="n">
        <f aca="false">B7567/Summary!$B$5-1</f>
        <v>0.0996533875495429</v>
      </c>
    </row>
    <row r="7568" customFormat="false" ht="15" hidden="false" customHeight="false" outlineLevel="0" collapsed="false">
      <c r="A7568" s="0" t="n">
        <v>7567</v>
      </c>
      <c r="B7568" s="14" t="n">
        <v>112911.549122469</v>
      </c>
      <c r="C7568" s="15" t="n">
        <v>0.089533043072537</v>
      </c>
      <c r="D7568" s="14" t="n">
        <f aca="false">Summary!$B$5-B7568</f>
        <v>-12911.5491224693</v>
      </c>
      <c r="E7568" s="15" t="n">
        <f aca="false">B7568/Summary!$B$5-1</f>
        <v>0.129115491224693</v>
      </c>
    </row>
    <row r="7569" customFormat="false" ht="15" hidden="false" customHeight="false" outlineLevel="0" collapsed="false">
      <c r="A7569" s="0" t="n">
        <v>7568</v>
      </c>
      <c r="B7569" s="14" t="n">
        <v>109969.13271658</v>
      </c>
      <c r="C7569" s="15" t="n">
        <v>0.0888274946751273</v>
      </c>
      <c r="D7569" s="14" t="n">
        <f aca="false">Summary!$B$5-B7569</f>
        <v>-9969.1327165796</v>
      </c>
      <c r="E7569" s="15" t="n">
        <f aca="false">B7569/Summary!$B$5-1</f>
        <v>0.099691327165796</v>
      </c>
    </row>
    <row r="7570" customFormat="false" ht="15" hidden="false" customHeight="false" outlineLevel="0" collapsed="false">
      <c r="A7570" s="0" t="n">
        <v>7569</v>
      </c>
      <c r="B7570" s="14" t="n">
        <v>115981.417205223</v>
      </c>
      <c r="C7570" s="15" t="n">
        <v>0.102431000588432</v>
      </c>
      <c r="D7570" s="14" t="n">
        <f aca="false">Summary!$B$5-B7570</f>
        <v>-15981.4172052226</v>
      </c>
      <c r="E7570" s="15" t="n">
        <f aca="false">B7570/Summary!$B$5-1</f>
        <v>0.159814172052226</v>
      </c>
    </row>
    <row r="7571" customFormat="false" ht="15" hidden="false" customHeight="false" outlineLevel="0" collapsed="false">
      <c r="A7571" s="0" t="n">
        <v>7570</v>
      </c>
      <c r="B7571" s="14" t="n">
        <v>110517.289845731</v>
      </c>
      <c r="C7571" s="15" t="n">
        <v>0.0610156919451848</v>
      </c>
      <c r="D7571" s="14" t="n">
        <f aca="false">Summary!$B$5-B7571</f>
        <v>-10517.2898457306</v>
      </c>
      <c r="E7571" s="15" t="n">
        <f aca="false">B7571/Summary!$B$5-1</f>
        <v>0.105172898457306</v>
      </c>
    </row>
    <row r="7572" customFormat="false" ht="15" hidden="false" customHeight="false" outlineLevel="0" collapsed="false">
      <c r="A7572" s="0" t="n">
        <v>7571</v>
      </c>
      <c r="B7572" s="14" t="n">
        <v>130109.907461763</v>
      </c>
      <c r="C7572" s="15" t="n">
        <v>0.065303881309412</v>
      </c>
      <c r="D7572" s="14" t="n">
        <f aca="false">Summary!$B$5-B7572</f>
        <v>-30109.9074617634</v>
      </c>
      <c r="E7572" s="15" t="n">
        <f aca="false">B7572/Summary!$B$5-1</f>
        <v>0.301099074617634</v>
      </c>
    </row>
    <row r="7573" customFormat="false" ht="15" hidden="false" customHeight="false" outlineLevel="0" collapsed="false">
      <c r="A7573" s="0" t="n">
        <v>7572</v>
      </c>
      <c r="B7573" s="14" t="n">
        <v>100428.123042107</v>
      </c>
      <c r="C7573" s="15" t="n">
        <v>0.0874172842284413</v>
      </c>
      <c r="D7573" s="14" t="n">
        <f aca="false">Summary!$B$5-B7573</f>
        <v>-428.1230421074</v>
      </c>
      <c r="E7573" s="15" t="n">
        <f aca="false">B7573/Summary!$B$5-1</f>
        <v>0.00428123042107398</v>
      </c>
    </row>
    <row r="7574" customFormat="false" ht="15" hidden="false" customHeight="false" outlineLevel="0" collapsed="false">
      <c r="A7574" s="0" t="n">
        <v>7573</v>
      </c>
      <c r="B7574" s="14" t="n">
        <v>97065.174541245</v>
      </c>
      <c r="C7574" s="15" t="n">
        <v>0.116323809462511</v>
      </c>
      <c r="D7574" s="14" t="n">
        <f aca="false">Summary!$B$5-B7574</f>
        <v>2934.82545875505</v>
      </c>
      <c r="E7574" s="15" t="n">
        <f aca="false">B7574/Summary!$B$5-1</f>
        <v>-0.0293482545875505</v>
      </c>
    </row>
    <row r="7575" customFormat="false" ht="15" hidden="false" customHeight="false" outlineLevel="0" collapsed="false">
      <c r="A7575" s="0" t="n">
        <v>7574</v>
      </c>
      <c r="B7575" s="14" t="n">
        <v>108104.016591726</v>
      </c>
      <c r="C7575" s="15" t="n">
        <v>0.109953758622434</v>
      </c>
      <c r="D7575" s="14" t="n">
        <f aca="false">Summary!$B$5-B7575</f>
        <v>-8104.0165917261</v>
      </c>
      <c r="E7575" s="15" t="n">
        <f aca="false">B7575/Summary!$B$5-1</f>
        <v>0.081040165917261</v>
      </c>
    </row>
    <row r="7576" customFormat="false" ht="15" hidden="false" customHeight="false" outlineLevel="0" collapsed="false">
      <c r="A7576" s="0" t="n">
        <v>7575</v>
      </c>
      <c r="B7576" s="14" t="n">
        <v>125260.369929782</v>
      </c>
      <c r="C7576" s="15" t="n">
        <v>0.0694618069026841</v>
      </c>
      <c r="D7576" s="14" t="n">
        <f aca="false">Summary!$B$5-B7576</f>
        <v>-25260.3699297818</v>
      </c>
      <c r="E7576" s="15" t="n">
        <f aca="false">B7576/Summary!$B$5-1</f>
        <v>0.252603699297818</v>
      </c>
    </row>
    <row r="7577" customFormat="false" ht="15" hidden="false" customHeight="false" outlineLevel="0" collapsed="false">
      <c r="A7577" s="0" t="n">
        <v>7576</v>
      </c>
      <c r="B7577" s="14" t="n">
        <v>101675.221537256</v>
      </c>
      <c r="C7577" s="15" t="n">
        <v>0.145047115528805</v>
      </c>
      <c r="D7577" s="14" t="n">
        <f aca="false">Summary!$B$5-B7577</f>
        <v>-1675.2215372559</v>
      </c>
      <c r="E7577" s="15" t="n">
        <f aca="false">B7577/Summary!$B$5-1</f>
        <v>0.016752215372559</v>
      </c>
    </row>
    <row r="7578" customFormat="false" ht="15" hidden="false" customHeight="false" outlineLevel="0" collapsed="false">
      <c r="A7578" s="0" t="n">
        <v>7577</v>
      </c>
      <c r="B7578" s="14" t="n">
        <v>98721.4051328944</v>
      </c>
      <c r="C7578" s="15" t="n">
        <v>0.127065956020423</v>
      </c>
      <c r="D7578" s="14" t="n">
        <f aca="false">Summary!$B$5-B7578</f>
        <v>1278.59486710561</v>
      </c>
      <c r="E7578" s="15" t="n">
        <f aca="false">B7578/Summary!$B$5-1</f>
        <v>-0.0127859486710561</v>
      </c>
    </row>
    <row r="7579" customFormat="false" ht="15" hidden="false" customHeight="false" outlineLevel="0" collapsed="false">
      <c r="A7579" s="0" t="n">
        <v>7578</v>
      </c>
      <c r="B7579" s="14" t="n">
        <v>109677.629904148</v>
      </c>
      <c r="C7579" s="15" t="n">
        <v>0.080737622626444</v>
      </c>
      <c r="D7579" s="14" t="n">
        <f aca="false">Summary!$B$5-B7579</f>
        <v>-9677.6299041484</v>
      </c>
      <c r="E7579" s="15" t="n">
        <f aca="false">B7579/Summary!$B$5-1</f>
        <v>0.096776299041484</v>
      </c>
    </row>
    <row r="7580" customFormat="false" ht="15" hidden="false" customHeight="false" outlineLevel="0" collapsed="false">
      <c r="A7580" s="0" t="n">
        <v>7579</v>
      </c>
      <c r="B7580" s="14" t="n">
        <v>142523.236034385</v>
      </c>
      <c r="C7580" s="15" t="n">
        <v>0.0796522041747032</v>
      </c>
      <c r="D7580" s="14" t="n">
        <f aca="false">Summary!$B$5-B7580</f>
        <v>-42523.2360343853</v>
      </c>
      <c r="E7580" s="15" t="n">
        <f aca="false">B7580/Summary!$B$5-1</f>
        <v>0.425232360343853</v>
      </c>
    </row>
    <row r="7581" customFormat="false" ht="15" hidden="false" customHeight="false" outlineLevel="0" collapsed="false">
      <c r="A7581" s="0" t="n">
        <v>7580</v>
      </c>
      <c r="B7581" s="14" t="n">
        <v>103781.38615171</v>
      </c>
      <c r="C7581" s="15" t="n">
        <v>0.0983278316793177</v>
      </c>
      <c r="D7581" s="14" t="n">
        <f aca="false">Summary!$B$5-B7581</f>
        <v>-3781.38615171039</v>
      </c>
      <c r="E7581" s="15" t="n">
        <f aca="false">B7581/Summary!$B$5-1</f>
        <v>0.037813861517104</v>
      </c>
    </row>
    <row r="7582" customFormat="false" ht="15" hidden="false" customHeight="false" outlineLevel="0" collapsed="false">
      <c r="A7582" s="0" t="n">
        <v>7581</v>
      </c>
      <c r="B7582" s="14" t="n">
        <v>126341.037396958</v>
      </c>
      <c r="C7582" s="15" t="n">
        <v>0.0870911907042686</v>
      </c>
      <c r="D7582" s="14" t="n">
        <f aca="false">Summary!$B$5-B7582</f>
        <v>-26341.0373969577</v>
      </c>
      <c r="E7582" s="15" t="n">
        <f aca="false">B7582/Summary!$B$5-1</f>
        <v>0.263410373969577</v>
      </c>
    </row>
    <row r="7583" customFormat="false" ht="15" hidden="false" customHeight="false" outlineLevel="0" collapsed="false">
      <c r="A7583" s="0" t="n">
        <v>7582</v>
      </c>
      <c r="B7583" s="14" t="n">
        <v>102791.151856773</v>
      </c>
      <c r="C7583" s="15" t="n">
        <v>0.113642273678227</v>
      </c>
      <c r="D7583" s="14" t="n">
        <f aca="false">Summary!$B$5-B7583</f>
        <v>-2791.1518567726</v>
      </c>
      <c r="E7583" s="15" t="n">
        <f aca="false">B7583/Summary!$B$5-1</f>
        <v>0.0279115185677261</v>
      </c>
    </row>
    <row r="7584" customFormat="false" ht="15" hidden="false" customHeight="false" outlineLevel="0" collapsed="false">
      <c r="A7584" s="0" t="n">
        <v>7583</v>
      </c>
      <c r="B7584" s="14" t="n">
        <v>129100.658886428</v>
      </c>
      <c r="C7584" s="15" t="n">
        <v>0.126486118516239</v>
      </c>
      <c r="D7584" s="14" t="n">
        <f aca="false">Summary!$B$5-B7584</f>
        <v>-29100.6588864278</v>
      </c>
      <c r="E7584" s="15" t="n">
        <f aca="false">B7584/Summary!$B$5-1</f>
        <v>0.291006588864278</v>
      </c>
    </row>
    <row r="7585" customFormat="false" ht="15" hidden="false" customHeight="false" outlineLevel="0" collapsed="false">
      <c r="A7585" s="0" t="n">
        <v>7584</v>
      </c>
      <c r="B7585" s="14" t="n">
        <v>108351.250526961</v>
      </c>
      <c r="C7585" s="15" t="n">
        <v>0.0689986797632246</v>
      </c>
      <c r="D7585" s="14" t="n">
        <f aca="false">Summary!$B$5-B7585</f>
        <v>-8351.25052696071</v>
      </c>
      <c r="E7585" s="15" t="n">
        <f aca="false">B7585/Summary!$B$5-1</f>
        <v>0.0835125052696071</v>
      </c>
    </row>
    <row r="7586" customFormat="false" ht="15" hidden="false" customHeight="false" outlineLevel="0" collapsed="false">
      <c r="A7586" s="0" t="n">
        <v>7585</v>
      </c>
      <c r="B7586" s="14" t="n">
        <v>120159.796302944</v>
      </c>
      <c r="C7586" s="15" t="n">
        <v>0.0587276376549749</v>
      </c>
      <c r="D7586" s="14" t="n">
        <f aca="false">Summary!$B$5-B7586</f>
        <v>-20159.7963029439</v>
      </c>
      <c r="E7586" s="15" t="n">
        <f aca="false">B7586/Summary!$B$5-1</f>
        <v>0.201597963029439</v>
      </c>
    </row>
    <row r="7587" customFormat="false" ht="15" hidden="false" customHeight="false" outlineLevel="0" collapsed="false">
      <c r="A7587" s="0" t="n">
        <v>7586</v>
      </c>
      <c r="B7587" s="14" t="n">
        <v>99629.3011582899</v>
      </c>
      <c r="C7587" s="15" t="n">
        <v>0.0903912447798319</v>
      </c>
      <c r="D7587" s="14" t="n">
        <f aca="false">Summary!$B$5-B7587</f>
        <v>370.69884171008</v>
      </c>
      <c r="E7587" s="15" t="n">
        <f aca="false">B7587/Summary!$B$5-1</f>
        <v>-0.00370698841710082</v>
      </c>
    </row>
    <row r="7588" customFormat="false" ht="15" hidden="false" customHeight="false" outlineLevel="0" collapsed="false">
      <c r="A7588" s="0" t="n">
        <v>7587</v>
      </c>
      <c r="B7588" s="14" t="n">
        <v>95109.0643662184</v>
      </c>
      <c r="C7588" s="15" t="n">
        <v>0.166346456567191</v>
      </c>
      <c r="D7588" s="14" t="n">
        <f aca="false">Summary!$B$5-B7588</f>
        <v>4890.93563378157</v>
      </c>
      <c r="E7588" s="15" t="n">
        <f aca="false">B7588/Summary!$B$5-1</f>
        <v>-0.0489093563378157</v>
      </c>
    </row>
    <row r="7589" customFormat="false" ht="15" hidden="false" customHeight="false" outlineLevel="0" collapsed="false">
      <c r="A7589" s="0" t="n">
        <v>7588</v>
      </c>
      <c r="B7589" s="14" t="n">
        <v>115224.883577718</v>
      </c>
      <c r="C7589" s="15" t="n">
        <v>0.109282569826575</v>
      </c>
      <c r="D7589" s="14" t="n">
        <f aca="false">Summary!$B$5-B7589</f>
        <v>-15224.8835777176</v>
      </c>
      <c r="E7589" s="15" t="n">
        <f aca="false">B7589/Summary!$B$5-1</f>
        <v>0.152248835777176</v>
      </c>
    </row>
    <row r="7590" customFormat="false" ht="15" hidden="false" customHeight="false" outlineLevel="0" collapsed="false">
      <c r="A7590" s="0" t="n">
        <v>7589</v>
      </c>
      <c r="B7590" s="14" t="n">
        <v>117606.392218767</v>
      </c>
      <c r="C7590" s="15" t="n">
        <v>0.0368059574492879</v>
      </c>
      <c r="D7590" s="14" t="n">
        <f aca="false">Summary!$B$5-B7590</f>
        <v>-17606.392218767</v>
      </c>
      <c r="E7590" s="15" t="n">
        <f aca="false">B7590/Summary!$B$5-1</f>
        <v>0.17606392218767</v>
      </c>
    </row>
    <row r="7591" customFormat="false" ht="15" hidden="false" customHeight="false" outlineLevel="0" collapsed="false">
      <c r="A7591" s="0" t="n">
        <v>7590</v>
      </c>
      <c r="B7591" s="14" t="n">
        <v>120426.897428118</v>
      </c>
      <c r="C7591" s="15" t="n">
        <v>0.0702380777949315</v>
      </c>
      <c r="D7591" s="14" t="n">
        <f aca="false">Summary!$B$5-B7591</f>
        <v>-20426.8974281183</v>
      </c>
      <c r="E7591" s="15" t="n">
        <f aca="false">B7591/Summary!$B$5-1</f>
        <v>0.204268974281183</v>
      </c>
    </row>
    <row r="7592" customFormat="false" ht="15" hidden="false" customHeight="false" outlineLevel="0" collapsed="false">
      <c r="A7592" s="0" t="n">
        <v>7591</v>
      </c>
      <c r="B7592" s="14" t="n">
        <v>102686.606255558</v>
      </c>
      <c r="C7592" s="15" t="n">
        <v>0.115635861239008</v>
      </c>
      <c r="D7592" s="14" t="n">
        <f aca="false">Summary!$B$5-B7592</f>
        <v>-2686.606255558</v>
      </c>
      <c r="E7592" s="15" t="n">
        <f aca="false">B7592/Summary!$B$5-1</f>
        <v>0.0268660625555799</v>
      </c>
    </row>
    <row r="7593" customFormat="false" ht="15" hidden="false" customHeight="false" outlineLevel="0" collapsed="false">
      <c r="A7593" s="0" t="n">
        <v>7592</v>
      </c>
      <c r="B7593" s="14" t="n">
        <v>117866.949380566</v>
      </c>
      <c r="C7593" s="15" t="n">
        <v>0.0983588386959156</v>
      </c>
      <c r="D7593" s="14" t="n">
        <f aca="false">Summary!$B$5-B7593</f>
        <v>-17866.9493805662</v>
      </c>
      <c r="E7593" s="15" t="n">
        <f aca="false">B7593/Summary!$B$5-1</f>
        <v>0.178669493805662</v>
      </c>
    </row>
    <row r="7594" customFormat="false" ht="15" hidden="false" customHeight="false" outlineLevel="0" collapsed="false">
      <c r="A7594" s="0" t="n">
        <v>7593</v>
      </c>
      <c r="B7594" s="14" t="n">
        <v>79791.838824353</v>
      </c>
      <c r="C7594" s="15" t="n">
        <v>0.245701743952719</v>
      </c>
      <c r="D7594" s="14" t="n">
        <f aca="false">Summary!$B$5-B7594</f>
        <v>20208.161175647</v>
      </c>
      <c r="E7594" s="15" t="n">
        <f aca="false">B7594/Summary!$B$5-1</f>
        <v>-0.20208161175647</v>
      </c>
    </row>
    <row r="7595" customFormat="false" ht="15" hidden="false" customHeight="false" outlineLevel="0" collapsed="false">
      <c r="A7595" s="0" t="n">
        <v>7594</v>
      </c>
      <c r="B7595" s="14" t="n">
        <v>97876.9553308071</v>
      </c>
      <c r="C7595" s="15" t="n">
        <v>0.109077538038266</v>
      </c>
      <c r="D7595" s="14" t="n">
        <f aca="false">Summary!$B$5-B7595</f>
        <v>2123.04466919292</v>
      </c>
      <c r="E7595" s="15" t="n">
        <f aca="false">B7595/Summary!$B$5-1</f>
        <v>-0.0212304466919292</v>
      </c>
    </row>
    <row r="7596" customFormat="false" ht="15" hidden="false" customHeight="false" outlineLevel="0" collapsed="false">
      <c r="A7596" s="0" t="n">
        <v>7595</v>
      </c>
      <c r="B7596" s="14" t="n">
        <v>88488.6294529721</v>
      </c>
      <c r="C7596" s="15" t="n">
        <v>0.170530514125605</v>
      </c>
      <c r="D7596" s="14" t="n">
        <f aca="false">Summary!$B$5-B7596</f>
        <v>11511.3705470279</v>
      </c>
      <c r="E7596" s="15" t="n">
        <f aca="false">B7596/Summary!$B$5-1</f>
        <v>-0.115113705470279</v>
      </c>
    </row>
    <row r="7597" customFormat="false" ht="15" hidden="false" customHeight="false" outlineLevel="0" collapsed="false">
      <c r="A7597" s="0" t="n">
        <v>7596</v>
      </c>
      <c r="B7597" s="14" t="n">
        <v>94659.3782492521</v>
      </c>
      <c r="C7597" s="15" t="n">
        <v>0.125681581950652</v>
      </c>
      <c r="D7597" s="14" t="n">
        <f aca="false">Summary!$B$5-B7597</f>
        <v>5340.62175074793</v>
      </c>
      <c r="E7597" s="15" t="n">
        <f aca="false">B7597/Summary!$B$5-1</f>
        <v>-0.0534062175074793</v>
      </c>
    </row>
    <row r="7598" customFormat="false" ht="15" hidden="false" customHeight="false" outlineLevel="0" collapsed="false">
      <c r="A7598" s="0" t="n">
        <v>7597</v>
      </c>
      <c r="B7598" s="14" t="n">
        <v>134946.109643839</v>
      </c>
      <c r="C7598" s="15" t="n">
        <v>0.0772074956258858</v>
      </c>
      <c r="D7598" s="14" t="n">
        <f aca="false">Summary!$B$5-B7598</f>
        <v>-34946.1096438387</v>
      </c>
      <c r="E7598" s="15" t="n">
        <f aca="false">B7598/Summary!$B$5-1</f>
        <v>0.349461096438387</v>
      </c>
    </row>
    <row r="7599" customFormat="false" ht="15" hidden="false" customHeight="false" outlineLevel="0" collapsed="false">
      <c r="A7599" s="0" t="n">
        <v>7598</v>
      </c>
      <c r="B7599" s="14" t="n">
        <v>127774.748685783</v>
      </c>
      <c r="C7599" s="15" t="n">
        <v>0.0363963093199252</v>
      </c>
      <c r="D7599" s="14" t="n">
        <f aca="false">Summary!$B$5-B7599</f>
        <v>-27774.7486857825</v>
      </c>
      <c r="E7599" s="15" t="n">
        <f aca="false">B7599/Summary!$B$5-1</f>
        <v>0.277747486857825</v>
      </c>
    </row>
    <row r="7600" customFormat="false" ht="15" hidden="false" customHeight="false" outlineLevel="0" collapsed="false">
      <c r="A7600" s="0" t="n">
        <v>7599</v>
      </c>
      <c r="B7600" s="14" t="n">
        <v>131844.789439936</v>
      </c>
      <c r="C7600" s="15" t="n">
        <v>0.0436167305391441</v>
      </c>
      <c r="D7600" s="14" t="n">
        <f aca="false">Summary!$B$5-B7600</f>
        <v>-31844.7894399355</v>
      </c>
      <c r="E7600" s="15" t="n">
        <f aca="false">B7600/Summary!$B$5-1</f>
        <v>0.318447894399355</v>
      </c>
    </row>
    <row r="7601" customFormat="false" ht="15" hidden="false" customHeight="false" outlineLevel="0" collapsed="false">
      <c r="A7601" s="0" t="n">
        <v>7600</v>
      </c>
      <c r="B7601" s="14" t="n">
        <v>115140.256587483</v>
      </c>
      <c r="C7601" s="15" t="n">
        <v>0.0702332296121323</v>
      </c>
      <c r="D7601" s="14" t="n">
        <f aca="false">Summary!$B$5-B7601</f>
        <v>-15140.2565874831</v>
      </c>
      <c r="E7601" s="15" t="n">
        <f aca="false">B7601/Summary!$B$5-1</f>
        <v>0.151402565874831</v>
      </c>
    </row>
    <row r="7602" customFormat="false" ht="15" hidden="false" customHeight="false" outlineLevel="0" collapsed="false">
      <c r="A7602" s="0" t="n">
        <v>7601</v>
      </c>
      <c r="B7602" s="14" t="n">
        <v>97707.6379950497</v>
      </c>
      <c r="C7602" s="15" t="n">
        <v>0.0916073231582028</v>
      </c>
      <c r="D7602" s="14" t="n">
        <f aca="false">Summary!$B$5-B7602</f>
        <v>2292.36200495034</v>
      </c>
      <c r="E7602" s="15" t="n">
        <f aca="false">B7602/Summary!$B$5-1</f>
        <v>-0.0229236200495033</v>
      </c>
    </row>
    <row r="7603" customFormat="false" ht="15" hidden="false" customHeight="false" outlineLevel="0" collapsed="false">
      <c r="A7603" s="0" t="n">
        <v>7602</v>
      </c>
      <c r="B7603" s="14" t="n">
        <v>113934.49347138</v>
      </c>
      <c r="C7603" s="15" t="n">
        <v>0.0797890796210335</v>
      </c>
      <c r="D7603" s="14" t="n">
        <f aca="false">Summary!$B$5-B7603</f>
        <v>-13934.4934713804</v>
      </c>
      <c r="E7603" s="15" t="n">
        <f aca="false">B7603/Summary!$B$5-1</f>
        <v>0.139344934713804</v>
      </c>
    </row>
    <row r="7604" customFormat="false" ht="15" hidden="false" customHeight="false" outlineLevel="0" collapsed="false">
      <c r="A7604" s="0" t="n">
        <v>7603</v>
      </c>
      <c r="B7604" s="14" t="n">
        <v>104735.386446303</v>
      </c>
      <c r="C7604" s="15" t="n">
        <v>0.112603864476576</v>
      </c>
      <c r="D7604" s="14" t="n">
        <f aca="false">Summary!$B$5-B7604</f>
        <v>-4735.38644630311</v>
      </c>
      <c r="E7604" s="15" t="n">
        <f aca="false">B7604/Summary!$B$5-1</f>
        <v>0.0473538644630311</v>
      </c>
    </row>
    <row r="7605" customFormat="false" ht="15" hidden="false" customHeight="false" outlineLevel="0" collapsed="false">
      <c r="A7605" s="0" t="n">
        <v>7604</v>
      </c>
      <c r="B7605" s="14" t="n">
        <v>106888.973309403</v>
      </c>
      <c r="C7605" s="15" t="n">
        <v>0.0967981115819565</v>
      </c>
      <c r="D7605" s="14" t="n">
        <f aca="false">Summary!$B$5-B7605</f>
        <v>-6888.97330940281</v>
      </c>
      <c r="E7605" s="15" t="n">
        <f aca="false">B7605/Summary!$B$5-1</f>
        <v>0.0688897330940281</v>
      </c>
    </row>
    <row r="7606" customFormat="false" ht="15" hidden="false" customHeight="false" outlineLevel="0" collapsed="false">
      <c r="A7606" s="0" t="n">
        <v>7605</v>
      </c>
      <c r="B7606" s="14" t="n">
        <v>103264.86756639</v>
      </c>
      <c r="C7606" s="15" t="n">
        <v>0.0956194756143692</v>
      </c>
      <c r="D7606" s="14" t="n">
        <f aca="false">Summary!$B$5-B7606</f>
        <v>-3264.8675663895</v>
      </c>
      <c r="E7606" s="15" t="n">
        <f aca="false">B7606/Summary!$B$5-1</f>
        <v>0.0326486756638951</v>
      </c>
    </row>
    <row r="7607" customFormat="false" ht="15" hidden="false" customHeight="false" outlineLevel="0" collapsed="false">
      <c r="A7607" s="0" t="n">
        <v>7606</v>
      </c>
      <c r="B7607" s="14" t="n">
        <v>96000.6636027442</v>
      </c>
      <c r="C7607" s="15" t="n">
        <v>0.141258895221318</v>
      </c>
      <c r="D7607" s="14" t="n">
        <f aca="false">Summary!$B$5-B7607</f>
        <v>3999.33639725583</v>
      </c>
      <c r="E7607" s="15" t="n">
        <f aca="false">B7607/Summary!$B$5-1</f>
        <v>-0.0399933639725583</v>
      </c>
    </row>
    <row r="7608" customFormat="false" ht="15" hidden="false" customHeight="false" outlineLevel="0" collapsed="false">
      <c r="A7608" s="0" t="n">
        <v>7607</v>
      </c>
      <c r="B7608" s="14" t="n">
        <v>96142.6117068411</v>
      </c>
      <c r="C7608" s="15" t="n">
        <v>0.0879228301866103</v>
      </c>
      <c r="D7608" s="14" t="n">
        <f aca="false">Summary!$B$5-B7608</f>
        <v>3857.38829315892</v>
      </c>
      <c r="E7608" s="15" t="n">
        <f aca="false">B7608/Summary!$B$5-1</f>
        <v>-0.0385738829315891</v>
      </c>
    </row>
    <row r="7609" customFormat="false" ht="15" hidden="false" customHeight="false" outlineLevel="0" collapsed="false">
      <c r="A7609" s="0" t="n">
        <v>7608</v>
      </c>
      <c r="B7609" s="14" t="n">
        <v>99180.3037810036</v>
      </c>
      <c r="C7609" s="15" t="n">
        <v>0.106456213228658</v>
      </c>
      <c r="D7609" s="14" t="n">
        <f aca="false">Summary!$B$5-B7609</f>
        <v>819.696218996396</v>
      </c>
      <c r="E7609" s="15" t="n">
        <f aca="false">B7609/Summary!$B$5-1</f>
        <v>-0.00819696218996391</v>
      </c>
    </row>
    <row r="7610" customFormat="false" ht="15" hidden="false" customHeight="false" outlineLevel="0" collapsed="false">
      <c r="A7610" s="0" t="n">
        <v>7609</v>
      </c>
      <c r="B7610" s="14" t="n">
        <v>101951.178900278</v>
      </c>
      <c r="C7610" s="15" t="n">
        <v>0.130731536052349</v>
      </c>
      <c r="D7610" s="14" t="n">
        <f aca="false">Summary!$B$5-B7610</f>
        <v>-1951.17890027761</v>
      </c>
      <c r="E7610" s="15" t="n">
        <f aca="false">B7610/Summary!$B$5-1</f>
        <v>0.0195117890027761</v>
      </c>
    </row>
    <row r="7611" customFormat="false" ht="15" hidden="false" customHeight="false" outlineLevel="0" collapsed="false">
      <c r="A7611" s="0" t="n">
        <v>7610</v>
      </c>
      <c r="B7611" s="14" t="n">
        <v>109207.678210856</v>
      </c>
      <c r="C7611" s="15" t="n">
        <v>0.0834559618901744</v>
      </c>
      <c r="D7611" s="14" t="n">
        <f aca="false">Summary!$B$5-B7611</f>
        <v>-9207.678210856</v>
      </c>
      <c r="E7611" s="15" t="n">
        <f aca="false">B7611/Summary!$B$5-1</f>
        <v>0.09207678210856</v>
      </c>
    </row>
    <row r="7612" customFormat="false" ht="15" hidden="false" customHeight="false" outlineLevel="0" collapsed="false">
      <c r="A7612" s="0" t="n">
        <v>7611</v>
      </c>
      <c r="B7612" s="14" t="n">
        <v>100475.785344997</v>
      </c>
      <c r="C7612" s="15" t="n">
        <v>0.113404843880042</v>
      </c>
      <c r="D7612" s="14" t="n">
        <f aca="false">Summary!$B$5-B7612</f>
        <v>-475.785344996999</v>
      </c>
      <c r="E7612" s="15" t="n">
        <f aca="false">B7612/Summary!$B$5-1</f>
        <v>0.00475785344996993</v>
      </c>
    </row>
    <row r="7613" customFormat="false" ht="15" hidden="false" customHeight="false" outlineLevel="0" collapsed="false">
      <c r="A7613" s="0" t="n">
        <v>7612</v>
      </c>
      <c r="B7613" s="14" t="n">
        <v>112469.174922982</v>
      </c>
      <c r="C7613" s="15" t="n">
        <v>0.0702789143520388</v>
      </c>
      <c r="D7613" s="14" t="n">
        <f aca="false">Summary!$B$5-B7613</f>
        <v>-12469.1749229822</v>
      </c>
      <c r="E7613" s="15" t="n">
        <f aca="false">B7613/Summary!$B$5-1</f>
        <v>0.124691749229822</v>
      </c>
    </row>
    <row r="7614" customFormat="false" ht="15" hidden="false" customHeight="false" outlineLevel="0" collapsed="false">
      <c r="A7614" s="0" t="n">
        <v>7613</v>
      </c>
      <c r="B7614" s="14" t="n">
        <v>93910.5616011247</v>
      </c>
      <c r="C7614" s="15" t="n">
        <v>0.12534705895999</v>
      </c>
      <c r="D7614" s="14" t="n">
        <f aca="false">Summary!$B$5-B7614</f>
        <v>6089.4383988753</v>
      </c>
      <c r="E7614" s="15" t="n">
        <f aca="false">B7614/Summary!$B$5-1</f>
        <v>-0.0608943839887529</v>
      </c>
    </row>
    <row r="7615" customFormat="false" ht="15" hidden="false" customHeight="false" outlineLevel="0" collapsed="false">
      <c r="A7615" s="0" t="n">
        <v>7614</v>
      </c>
      <c r="B7615" s="14" t="n">
        <v>134988.033947439</v>
      </c>
      <c r="C7615" s="15" t="n">
        <v>0.0757645422944715</v>
      </c>
      <c r="D7615" s="14" t="n">
        <f aca="false">Summary!$B$5-B7615</f>
        <v>-34988.033947439</v>
      </c>
      <c r="E7615" s="15" t="n">
        <f aca="false">B7615/Summary!$B$5-1</f>
        <v>0.34988033947439</v>
      </c>
    </row>
    <row r="7616" customFormat="false" ht="15" hidden="false" customHeight="false" outlineLevel="0" collapsed="false">
      <c r="A7616" s="0" t="n">
        <v>7615</v>
      </c>
      <c r="B7616" s="14" t="n">
        <v>124552.981637625</v>
      </c>
      <c r="C7616" s="15" t="n">
        <v>0.0693507610547084</v>
      </c>
      <c r="D7616" s="14" t="n">
        <f aca="false">Summary!$B$5-B7616</f>
        <v>-24552.9816376247</v>
      </c>
      <c r="E7616" s="15" t="n">
        <f aca="false">B7616/Summary!$B$5-1</f>
        <v>0.245529816376247</v>
      </c>
    </row>
    <row r="7617" customFormat="false" ht="15" hidden="false" customHeight="false" outlineLevel="0" collapsed="false">
      <c r="A7617" s="0" t="n">
        <v>7616</v>
      </c>
      <c r="B7617" s="14" t="n">
        <v>128743.901510682</v>
      </c>
      <c r="C7617" s="15" t="n">
        <v>0.0695020128252316</v>
      </c>
      <c r="D7617" s="14" t="n">
        <f aca="false">Summary!$B$5-B7617</f>
        <v>-28743.9015106822</v>
      </c>
      <c r="E7617" s="15" t="n">
        <f aca="false">B7617/Summary!$B$5-1</f>
        <v>0.287439015106822</v>
      </c>
    </row>
    <row r="7618" customFormat="false" ht="15" hidden="false" customHeight="false" outlineLevel="0" collapsed="false">
      <c r="A7618" s="0" t="n">
        <v>7617</v>
      </c>
      <c r="B7618" s="14" t="n">
        <v>92110.8205327831</v>
      </c>
      <c r="C7618" s="15" t="n">
        <v>0.150218486062327</v>
      </c>
      <c r="D7618" s="14" t="n">
        <f aca="false">Summary!$B$5-B7618</f>
        <v>7889.17946721692</v>
      </c>
      <c r="E7618" s="15" t="n">
        <f aca="false">B7618/Summary!$B$5-1</f>
        <v>-0.0788917946721692</v>
      </c>
    </row>
    <row r="7619" customFormat="false" ht="15" hidden="false" customHeight="false" outlineLevel="0" collapsed="false">
      <c r="A7619" s="0" t="n">
        <v>7618</v>
      </c>
      <c r="B7619" s="14" t="n">
        <v>98163.1377463279</v>
      </c>
      <c r="C7619" s="15" t="n">
        <v>0.0980441449736685</v>
      </c>
      <c r="D7619" s="14" t="n">
        <f aca="false">Summary!$B$5-B7619</f>
        <v>1836.86225367215</v>
      </c>
      <c r="E7619" s="15" t="n">
        <f aca="false">B7619/Summary!$B$5-1</f>
        <v>-0.0183686225367216</v>
      </c>
    </row>
    <row r="7620" customFormat="false" ht="15" hidden="false" customHeight="false" outlineLevel="0" collapsed="false">
      <c r="A7620" s="0" t="n">
        <v>7619</v>
      </c>
      <c r="B7620" s="14" t="n">
        <v>115202.057882682</v>
      </c>
      <c r="C7620" s="15" t="n">
        <v>0.0746586697757012</v>
      </c>
      <c r="D7620" s="14" t="n">
        <f aca="false">Summary!$B$5-B7620</f>
        <v>-15202.0578826815</v>
      </c>
      <c r="E7620" s="15" t="n">
        <f aca="false">B7620/Summary!$B$5-1</f>
        <v>0.152020578826815</v>
      </c>
    </row>
    <row r="7621" customFormat="false" ht="15" hidden="false" customHeight="false" outlineLevel="0" collapsed="false">
      <c r="A7621" s="0" t="n">
        <v>7620</v>
      </c>
      <c r="B7621" s="14" t="n">
        <v>96163.785674941</v>
      </c>
      <c r="C7621" s="15" t="n">
        <v>0.111714202329794</v>
      </c>
      <c r="D7621" s="14" t="n">
        <f aca="false">Summary!$B$5-B7621</f>
        <v>3836.21432505903</v>
      </c>
      <c r="E7621" s="15" t="n">
        <f aca="false">B7621/Summary!$B$5-1</f>
        <v>-0.0383621432505903</v>
      </c>
    </row>
    <row r="7622" customFormat="false" ht="15" hidden="false" customHeight="false" outlineLevel="0" collapsed="false">
      <c r="A7622" s="0" t="n">
        <v>7621</v>
      </c>
      <c r="B7622" s="14" t="n">
        <v>106799.279404793</v>
      </c>
      <c r="C7622" s="15" t="n">
        <v>0.0735789891236766</v>
      </c>
      <c r="D7622" s="14" t="n">
        <f aca="false">Summary!$B$5-B7622</f>
        <v>-6799.2794047934</v>
      </c>
      <c r="E7622" s="15" t="n">
        <f aca="false">B7622/Summary!$B$5-1</f>
        <v>0.0679927940479339</v>
      </c>
    </row>
    <row r="7623" customFormat="false" ht="15" hidden="false" customHeight="false" outlineLevel="0" collapsed="false">
      <c r="A7623" s="0" t="n">
        <v>7622</v>
      </c>
      <c r="B7623" s="14" t="n">
        <v>107269.300244504</v>
      </c>
      <c r="C7623" s="15" t="n">
        <v>0.124626051177191</v>
      </c>
      <c r="D7623" s="14" t="n">
        <f aca="false">Summary!$B$5-B7623</f>
        <v>-7269.30024450349</v>
      </c>
      <c r="E7623" s="15" t="n">
        <f aca="false">B7623/Summary!$B$5-1</f>
        <v>0.072693002445035</v>
      </c>
    </row>
    <row r="7624" customFormat="false" ht="15" hidden="false" customHeight="false" outlineLevel="0" collapsed="false">
      <c r="A7624" s="0" t="n">
        <v>7623</v>
      </c>
      <c r="B7624" s="14" t="n">
        <v>95176.4149373868</v>
      </c>
      <c r="C7624" s="15" t="n">
        <v>0.167766338255959</v>
      </c>
      <c r="D7624" s="14" t="n">
        <f aca="false">Summary!$B$5-B7624</f>
        <v>4823.58506261317</v>
      </c>
      <c r="E7624" s="15" t="n">
        <f aca="false">B7624/Summary!$B$5-1</f>
        <v>-0.0482358506261317</v>
      </c>
    </row>
    <row r="7625" customFormat="false" ht="15" hidden="false" customHeight="false" outlineLevel="0" collapsed="false">
      <c r="A7625" s="0" t="n">
        <v>7624</v>
      </c>
      <c r="B7625" s="14" t="n">
        <v>110458.519949941</v>
      </c>
      <c r="C7625" s="15" t="n">
        <v>0.0731647956609038</v>
      </c>
      <c r="D7625" s="14" t="n">
        <f aca="false">Summary!$B$5-B7625</f>
        <v>-10458.5199499405</v>
      </c>
      <c r="E7625" s="15" t="n">
        <f aca="false">B7625/Summary!$B$5-1</f>
        <v>0.104585199499405</v>
      </c>
    </row>
    <row r="7626" customFormat="false" ht="15" hidden="false" customHeight="false" outlineLevel="0" collapsed="false">
      <c r="A7626" s="0" t="n">
        <v>7625</v>
      </c>
      <c r="B7626" s="14" t="n">
        <v>103204.711541055</v>
      </c>
      <c r="C7626" s="15" t="n">
        <v>0.188796936652994</v>
      </c>
      <c r="D7626" s="14" t="n">
        <f aca="false">Summary!$B$5-B7626</f>
        <v>-3204.7115410548</v>
      </c>
      <c r="E7626" s="15" t="n">
        <f aca="false">B7626/Summary!$B$5-1</f>
        <v>0.0320471154105479</v>
      </c>
    </row>
    <row r="7627" customFormat="false" ht="15" hidden="false" customHeight="false" outlineLevel="0" collapsed="false">
      <c r="A7627" s="0" t="n">
        <v>7626</v>
      </c>
      <c r="B7627" s="14" t="n">
        <v>115907.198356847</v>
      </c>
      <c r="C7627" s="15" t="n">
        <v>0.106497813806606</v>
      </c>
      <c r="D7627" s="14" t="n">
        <f aca="false">Summary!$B$5-B7627</f>
        <v>-15907.198356847</v>
      </c>
      <c r="E7627" s="15" t="n">
        <f aca="false">B7627/Summary!$B$5-1</f>
        <v>0.15907198356847</v>
      </c>
    </row>
    <row r="7628" customFormat="false" ht="15" hidden="false" customHeight="false" outlineLevel="0" collapsed="false">
      <c r="A7628" s="0" t="n">
        <v>7627</v>
      </c>
      <c r="B7628" s="14" t="n">
        <v>122166.999379325</v>
      </c>
      <c r="C7628" s="15" t="n">
        <v>0.0642129323352907</v>
      </c>
      <c r="D7628" s="14" t="n">
        <f aca="false">Summary!$B$5-B7628</f>
        <v>-22166.9993793246</v>
      </c>
      <c r="E7628" s="15" t="n">
        <f aca="false">B7628/Summary!$B$5-1</f>
        <v>0.221669993793246</v>
      </c>
    </row>
    <row r="7629" customFormat="false" ht="15" hidden="false" customHeight="false" outlineLevel="0" collapsed="false">
      <c r="A7629" s="0" t="n">
        <v>7628</v>
      </c>
      <c r="B7629" s="14" t="n">
        <v>121448.781927482</v>
      </c>
      <c r="C7629" s="15" t="n">
        <v>0.0548440827303531</v>
      </c>
      <c r="D7629" s="14" t="n">
        <f aca="false">Summary!$B$5-B7629</f>
        <v>-21448.7819274817</v>
      </c>
      <c r="E7629" s="15" t="n">
        <f aca="false">B7629/Summary!$B$5-1</f>
        <v>0.214487819274817</v>
      </c>
    </row>
    <row r="7630" customFormat="false" ht="15" hidden="false" customHeight="false" outlineLevel="0" collapsed="false">
      <c r="A7630" s="0" t="n">
        <v>7629</v>
      </c>
      <c r="B7630" s="14" t="n">
        <v>105412.194532673</v>
      </c>
      <c r="C7630" s="15" t="n">
        <v>0.110027712135006</v>
      </c>
      <c r="D7630" s="14" t="n">
        <f aca="false">Summary!$B$5-B7630</f>
        <v>-5412.1945326728</v>
      </c>
      <c r="E7630" s="15" t="n">
        <f aca="false">B7630/Summary!$B$5-1</f>
        <v>0.0541219453267281</v>
      </c>
    </row>
    <row r="7631" customFormat="false" ht="15" hidden="false" customHeight="false" outlineLevel="0" collapsed="false">
      <c r="A7631" s="0" t="n">
        <v>7630</v>
      </c>
      <c r="B7631" s="14" t="n">
        <v>113151.102121779</v>
      </c>
      <c r="C7631" s="15" t="n">
        <v>0.126183507295852</v>
      </c>
      <c r="D7631" s="14" t="n">
        <f aca="false">Summary!$B$5-B7631</f>
        <v>-13151.1021217791</v>
      </c>
      <c r="E7631" s="15" t="n">
        <f aca="false">B7631/Summary!$B$5-1</f>
        <v>0.131511021217791</v>
      </c>
    </row>
    <row r="7632" customFormat="false" ht="15" hidden="false" customHeight="false" outlineLevel="0" collapsed="false">
      <c r="A7632" s="0" t="n">
        <v>7631</v>
      </c>
      <c r="B7632" s="14" t="n">
        <v>86561.2859189308</v>
      </c>
      <c r="C7632" s="15" t="n">
        <v>0.15198616654866</v>
      </c>
      <c r="D7632" s="14" t="n">
        <f aca="false">Summary!$B$5-B7632</f>
        <v>13438.7140810692</v>
      </c>
      <c r="E7632" s="15" t="n">
        <f aca="false">B7632/Summary!$B$5-1</f>
        <v>-0.134387140810692</v>
      </c>
    </row>
    <row r="7633" customFormat="false" ht="15" hidden="false" customHeight="false" outlineLevel="0" collapsed="false">
      <c r="A7633" s="0" t="n">
        <v>7632</v>
      </c>
      <c r="B7633" s="14" t="n">
        <v>81882.4414218062</v>
      </c>
      <c r="C7633" s="15" t="n">
        <v>0.194351247283806</v>
      </c>
      <c r="D7633" s="14" t="n">
        <f aca="false">Summary!$B$5-B7633</f>
        <v>18117.5585781938</v>
      </c>
      <c r="E7633" s="15" t="n">
        <f aca="false">B7633/Summary!$B$5-1</f>
        <v>-0.181175585781938</v>
      </c>
    </row>
    <row r="7634" customFormat="false" ht="15" hidden="false" customHeight="false" outlineLevel="0" collapsed="false">
      <c r="A7634" s="0" t="n">
        <v>7633</v>
      </c>
      <c r="B7634" s="14" t="n">
        <v>112005.297821961</v>
      </c>
      <c r="C7634" s="15" t="n">
        <v>0.078810553356207</v>
      </c>
      <c r="D7634" s="14" t="n">
        <f aca="false">Summary!$B$5-B7634</f>
        <v>-12005.2978219612</v>
      </c>
      <c r="E7634" s="15" t="n">
        <f aca="false">B7634/Summary!$B$5-1</f>
        <v>0.120052978219612</v>
      </c>
    </row>
    <row r="7635" customFormat="false" ht="15" hidden="false" customHeight="false" outlineLevel="0" collapsed="false">
      <c r="A7635" s="0" t="n">
        <v>7634</v>
      </c>
      <c r="B7635" s="14" t="n">
        <v>103406.46018873</v>
      </c>
      <c r="C7635" s="15" t="n">
        <v>0.110494892093206</v>
      </c>
      <c r="D7635" s="14" t="n">
        <f aca="false">Summary!$B$5-B7635</f>
        <v>-3406.4601887295</v>
      </c>
      <c r="E7635" s="15" t="n">
        <f aca="false">B7635/Summary!$B$5-1</f>
        <v>0.034064601887295</v>
      </c>
    </row>
    <row r="7636" customFormat="false" ht="15" hidden="false" customHeight="false" outlineLevel="0" collapsed="false">
      <c r="A7636" s="0" t="n">
        <v>7635</v>
      </c>
      <c r="B7636" s="14" t="n">
        <v>110514.865689449</v>
      </c>
      <c r="C7636" s="15" t="n">
        <v>0.063472056513448</v>
      </c>
      <c r="D7636" s="14" t="n">
        <f aca="false">Summary!$B$5-B7636</f>
        <v>-10514.8656894485</v>
      </c>
      <c r="E7636" s="15" t="n">
        <f aca="false">B7636/Summary!$B$5-1</f>
        <v>0.105148656894485</v>
      </c>
    </row>
    <row r="7637" customFormat="false" ht="15" hidden="false" customHeight="false" outlineLevel="0" collapsed="false">
      <c r="A7637" s="0" t="n">
        <v>7636</v>
      </c>
      <c r="B7637" s="14" t="n">
        <v>117611.438128143</v>
      </c>
      <c r="C7637" s="15" t="n">
        <v>0.0584289724563085</v>
      </c>
      <c r="D7637" s="14" t="n">
        <f aca="false">Summary!$B$5-B7637</f>
        <v>-17611.4381281433</v>
      </c>
      <c r="E7637" s="15" t="n">
        <f aca="false">B7637/Summary!$B$5-1</f>
        <v>0.176114381281433</v>
      </c>
    </row>
    <row r="7638" customFormat="false" ht="15" hidden="false" customHeight="false" outlineLevel="0" collapsed="false">
      <c r="A7638" s="0" t="n">
        <v>7637</v>
      </c>
      <c r="B7638" s="14" t="n">
        <v>94020.3083675177</v>
      </c>
      <c r="C7638" s="15" t="n">
        <v>0.159883791775159</v>
      </c>
      <c r="D7638" s="14" t="n">
        <f aca="false">Summary!$B$5-B7638</f>
        <v>5979.69163248228</v>
      </c>
      <c r="E7638" s="15" t="n">
        <f aca="false">B7638/Summary!$B$5-1</f>
        <v>-0.0597969163248229</v>
      </c>
    </row>
    <row r="7639" customFormat="false" ht="15" hidden="false" customHeight="false" outlineLevel="0" collapsed="false">
      <c r="A7639" s="0" t="n">
        <v>7638</v>
      </c>
      <c r="B7639" s="14" t="n">
        <v>104984.788311523</v>
      </c>
      <c r="C7639" s="15" t="n">
        <v>0.0886292407933916</v>
      </c>
      <c r="D7639" s="14" t="n">
        <f aca="false">Summary!$B$5-B7639</f>
        <v>-4984.7883115227</v>
      </c>
      <c r="E7639" s="15" t="n">
        <f aca="false">B7639/Summary!$B$5-1</f>
        <v>0.0498478831152269</v>
      </c>
    </row>
    <row r="7640" customFormat="false" ht="15" hidden="false" customHeight="false" outlineLevel="0" collapsed="false">
      <c r="A7640" s="0" t="n">
        <v>7639</v>
      </c>
      <c r="B7640" s="14" t="n">
        <v>124593.236034135</v>
      </c>
      <c r="C7640" s="15" t="n">
        <v>0.063299593473832</v>
      </c>
      <c r="D7640" s="14" t="n">
        <f aca="false">Summary!$B$5-B7640</f>
        <v>-24593.236034135</v>
      </c>
      <c r="E7640" s="15" t="n">
        <f aca="false">B7640/Summary!$B$5-1</f>
        <v>0.24593236034135</v>
      </c>
    </row>
    <row r="7641" customFormat="false" ht="15" hidden="false" customHeight="false" outlineLevel="0" collapsed="false">
      <c r="A7641" s="0" t="n">
        <v>7640</v>
      </c>
      <c r="B7641" s="14" t="n">
        <v>105377.361945109</v>
      </c>
      <c r="C7641" s="15" t="n">
        <v>0.132641281016364</v>
      </c>
      <c r="D7641" s="14" t="n">
        <f aca="false">Summary!$B$5-B7641</f>
        <v>-5377.3619451086</v>
      </c>
      <c r="E7641" s="15" t="n">
        <f aca="false">B7641/Summary!$B$5-1</f>
        <v>0.0537736194510861</v>
      </c>
    </row>
    <row r="7642" customFormat="false" ht="15" hidden="false" customHeight="false" outlineLevel="0" collapsed="false">
      <c r="A7642" s="0" t="n">
        <v>7641</v>
      </c>
      <c r="B7642" s="14" t="n">
        <v>125558.308363761</v>
      </c>
      <c r="C7642" s="15" t="n">
        <v>0.0596920749926763</v>
      </c>
      <c r="D7642" s="14" t="n">
        <f aca="false">Summary!$B$5-B7642</f>
        <v>-25558.308363761</v>
      </c>
      <c r="E7642" s="15" t="n">
        <f aca="false">B7642/Summary!$B$5-1</f>
        <v>0.25558308363761</v>
      </c>
    </row>
    <row r="7643" customFormat="false" ht="15" hidden="false" customHeight="false" outlineLevel="0" collapsed="false">
      <c r="A7643" s="0" t="n">
        <v>7642</v>
      </c>
      <c r="B7643" s="14" t="n">
        <v>96001.9503739653</v>
      </c>
      <c r="C7643" s="15" t="n">
        <v>0.103087572248236</v>
      </c>
      <c r="D7643" s="14" t="n">
        <f aca="false">Summary!$B$5-B7643</f>
        <v>3998.04962603466</v>
      </c>
      <c r="E7643" s="15" t="n">
        <f aca="false">B7643/Summary!$B$5-1</f>
        <v>-0.0399804962603465</v>
      </c>
    </row>
    <row r="7644" customFormat="false" ht="15" hidden="false" customHeight="false" outlineLevel="0" collapsed="false">
      <c r="A7644" s="0" t="n">
        <v>7643</v>
      </c>
      <c r="B7644" s="14" t="n">
        <v>96572.3084850442</v>
      </c>
      <c r="C7644" s="15" t="n">
        <v>0.136700965517791</v>
      </c>
      <c r="D7644" s="14" t="n">
        <f aca="false">Summary!$B$5-B7644</f>
        <v>3427.69151495576</v>
      </c>
      <c r="E7644" s="15" t="n">
        <f aca="false">B7644/Summary!$B$5-1</f>
        <v>-0.0342769151495577</v>
      </c>
    </row>
    <row r="7645" customFormat="false" ht="15" hidden="false" customHeight="false" outlineLevel="0" collapsed="false">
      <c r="A7645" s="0" t="n">
        <v>7644</v>
      </c>
      <c r="B7645" s="14" t="n">
        <v>99009.2801019794</v>
      </c>
      <c r="C7645" s="15" t="n">
        <v>0.0916253421903031</v>
      </c>
      <c r="D7645" s="14" t="n">
        <f aca="false">Summary!$B$5-B7645</f>
        <v>990.719898020616</v>
      </c>
      <c r="E7645" s="15" t="n">
        <f aca="false">B7645/Summary!$B$5-1</f>
        <v>-0.0099071989802062</v>
      </c>
    </row>
    <row r="7646" customFormat="false" ht="15" hidden="false" customHeight="false" outlineLevel="0" collapsed="false">
      <c r="A7646" s="0" t="n">
        <v>7645</v>
      </c>
      <c r="B7646" s="14" t="n">
        <v>108094.408993296</v>
      </c>
      <c r="C7646" s="15" t="n">
        <v>0.0757981606711879</v>
      </c>
      <c r="D7646" s="14" t="n">
        <f aca="false">Summary!$B$5-B7646</f>
        <v>-8094.4089932957</v>
      </c>
      <c r="E7646" s="15" t="n">
        <f aca="false">B7646/Summary!$B$5-1</f>
        <v>0.080944089932957</v>
      </c>
    </row>
    <row r="7647" customFormat="false" ht="15" hidden="false" customHeight="false" outlineLevel="0" collapsed="false">
      <c r="A7647" s="0" t="n">
        <v>7646</v>
      </c>
      <c r="B7647" s="14" t="n">
        <v>121745.152137654</v>
      </c>
      <c r="C7647" s="15" t="n">
        <v>0.0859076287560934</v>
      </c>
      <c r="D7647" s="14" t="n">
        <f aca="false">Summary!$B$5-B7647</f>
        <v>-21745.1521376544</v>
      </c>
      <c r="E7647" s="15" t="n">
        <f aca="false">B7647/Summary!$B$5-1</f>
        <v>0.217451521376544</v>
      </c>
    </row>
    <row r="7648" customFormat="false" ht="15" hidden="false" customHeight="false" outlineLevel="0" collapsed="false">
      <c r="A7648" s="0" t="n">
        <v>7647</v>
      </c>
      <c r="B7648" s="14" t="n">
        <v>108683.911824655</v>
      </c>
      <c r="C7648" s="15" t="n">
        <v>0.0926819847404096</v>
      </c>
      <c r="D7648" s="14" t="n">
        <f aca="false">Summary!$B$5-B7648</f>
        <v>-8683.9118246545</v>
      </c>
      <c r="E7648" s="15" t="n">
        <f aca="false">B7648/Summary!$B$5-1</f>
        <v>0.0868391182465449</v>
      </c>
    </row>
    <row r="7649" customFormat="false" ht="15" hidden="false" customHeight="false" outlineLevel="0" collapsed="false">
      <c r="A7649" s="0" t="n">
        <v>7648</v>
      </c>
      <c r="B7649" s="14" t="n">
        <v>97374.2306023321</v>
      </c>
      <c r="C7649" s="15" t="n">
        <v>0.12078374332978</v>
      </c>
      <c r="D7649" s="14" t="n">
        <f aca="false">Summary!$B$5-B7649</f>
        <v>2625.76939766794</v>
      </c>
      <c r="E7649" s="15" t="n">
        <f aca="false">B7649/Summary!$B$5-1</f>
        <v>-0.0262576939766794</v>
      </c>
    </row>
    <row r="7650" customFormat="false" ht="15" hidden="false" customHeight="false" outlineLevel="0" collapsed="false">
      <c r="A7650" s="0" t="n">
        <v>7649</v>
      </c>
      <c r="B7650" s="14" t="n">
        <v>124470.208213357</v>
      </c>
      <c r="C7650" s="15" t="n">
        <v>0.07780197057371</v>
      </c>
      <c r="D7650" s="14" t="n">
        <f aca="false">Summary!$B$5-B7650</f>
        <v>-24470.2082133574</v>
      </c>
      <c r="E7650" s="15" t="n">
        <f aca="false">B7650/Summary!$B$5-1</f>
        <v>0.244702082133574</v>
      </c>
    </row>
    <row r="7651" customFormat="false" ht="15" hidden="false" customHeight="false" outlineLevel="0" collapsed="false">
      <c r="A7651" s="0" t="n">
        <v>7650</v>
      </c>
      <c r="B7651" s="14" t="n">
        <v>96071.2820841415</v>
      </c>
      <c r="C7651" s="15" t="n">
        <v>0.137168216241339</v>
      </c>
      <c r="D7651" s="14" t="n">
        <f aca="false">Summary!$B$5-B7651</f>
        <v>3928.71791585851</v>
      </c>
      <c r="E7651" s="15" t="n">
        <f aca="false">B7651/Summary!$B$5-1</f>
        <v>-0.039287179158585</v>
      </c>
    </row>
    <row r="7652" customFormat="false" ht="15" hidden="false" customHeight="false" outlineLevel="0" collapsed="false">
      <c r="A7652" s="0" t="n">
        <v>7651</v>
      </c>
      <c r="B7652" s="14" t="n">
        <v>131459.974871539</v>
      </c>
      <c r="C7652" s="15" t="n">
        <v>0.0906710268412297</v>
      </c>
      <c r="D7652" s="14" t="n">
        <f aca="false">Summary!$B$5-B7652</f>
        <v>-31459.9748715389</v>
      </c>
      <c r="E7652" s="15" t="n">
        <f aca="false">B7652/Summary!$B$5-1</f>
        <v>0.314599748715389</v>
      </c>
    </row>
    <row r="7653" customFormat="false" ht="15" hidden="false" customHeight="false" outlineLevel="0" collapsed="false">
      <c r="A7653" s="0" t="n">
        <v>7652</v>
      </c>
      <c r="B7653" s="14" t="n">
        <v>93221.3855335435</v>
      </c>
      <c r="C7653" s="15" t="n">
        <v>0.164097890139249</v>
      </c>
      <c r="D7653" s="14" t="n">
        <f aca="false">Summary!$B$5-B7653</f>
        <v>6778.61446645646</v>
      </c>
      <c r="E7653" s="15" t="n">
        <f aca="false">B7653/Summary!$B$5-1</f>
        <v>-0.0677861446645647</v>
      </c>
    </row>
    <row r="7654" customFormat="false" ht="15" hidden="false" customHeight="false" outlineLevel="0" collapsed="false">
      <c r="A7654" s="0" t="n">
        <v>7653</v>
      </c>
      <c r="B7654" s="14" t="n">
        <v>110725.055835804</v>
      </c>
      <c r="C7654" s="15" t="n">
        <v>0.0559724766680452</v>
      </c>
      <c r="D7654" s="14" t="n">
        <f aca="false">Summary!$B$5-B7654</f>
        <v>-10725.0558358041</v>
      </c>
      <c r="E7654" s="15" t="n">
        <f aca="false">B7654/Summary!$B$5-1</f>
        <v>0.107250558358041</v>
      </c>
    </row>
    <row r="7655" customFormat="false" ht="15" hidden="false" customHeight="false" outlineLevel="0" collapsed="false">
      <c r="A7655" s="0" t="n">
        <v>7654</v>
      </c>
      <c r="B7655" s="14" t="n">
        <v>107437.024394817</v>
      </c>
      <c r="C7655" s="15" t="n">
        <v>0.0635775650900675</v>
      </c>
      <c r="D7655" s="14" t="n">
        <f aca="false">Summary!$B$5-B7655</f>
        <v>-7437.024394817</v>
      </c>
      <c r="E7655" s="15" t="n">
        <f aca="false">B7655/Summary!$B$5-1</f>
        <v>0.0743702439481699</v>
      </c>
    </row>
    <row r="7656" customFormat="false" ht="15" hidden="false" customHeight="false" outlineLevel="0" collapsed="false">
      <c r="A7656" s="0" t="n">
        <v>7655</v>
      </c>
      <c r="B7656" s="14" t="n">
        <v>108332.64944583</v>
      </c>
      <c r="C7656" s="15" t="n">
        <v>0.0736760051093868</v>
      </c>
      <c r="D7656" s="14" t="n">
        <f aca="false">Summary!$B$5-B7656</f>
        <v>-8332.64944582959</v>
      </c>
      <c r="E7656" s="15" t="n">
        <f aca="false">B7656/Summary!$B$5-1</f>
        <v>0.0833264944582959</v>
      </c>
    </row>
    <row r="7657" customFormat="false" ht="15" hidden="false" customHeight="false" outlineLevel="0" collapsed="false">
      <c r="A7657" s="0" t="n">
        <v>7656</v>
      </c>
      <c r="B7657" s="14" t="n">
        <v>100984.720162877</v>
      </c>
      <c r="C7657" s="15" t="n">
        <v>0.113565945993161</v>
      </c>
      <c r="D7657" s="14" t="n">
        <f aca="false">Summary!$B$5-B7657</f>
        <v>-984.720162876605</v>
      </c>
      <c r="E7657" s="15" t="n">
        <f aca="false">B7657/Summary!$B$5-1</f>
        <v>0.00984720162876607</v>
      </c>
    </row>
    <row r="7658" customFormat="false" ht="15" hidden="false" customHeight="false" outlineLevel="0" collapsed="false">
      <c r="A7658" s="0" t="n">
        <v>7657</v>
      </c>
      <c r="B7658" s="14" t="n">
        <v>105836.342137006</v>
      </c>
      <c r="C7658" s="15" t="n">
        <v>0.0840971072421733</v>
      </c>
      <c r="D7658" s="14" t="n">
        <f aca="false">Summary!$B$5-B7658</f>
        <v>-5836.3421370055</v>
      </c>
      <c r="E7658" s="15" t="n">
        <f aca="false">B7658/Summary!$B$5-1</f>
        <v>0.058363421370055</v>
      </c>
    </row>
    <row r="7659" customFormat="false" ht="15" hidden="false" customHeight="false" outlineLevel="0" collapsed="false">
      <c r="A7659" s="0" t="n">
        <v>7658</v>
      </c>
      <c r="B7659" s="14" t="n">
        <v>98684.1320367012</v>
      </c>
      <c r="C7659" s="15" t="n">
        <v>0.0997068835343632</v>
      </c>
      <c r="D7659" s="14" t="n">
        <f aca="false">Summary!$B$5-B7659</f>
        <v>1315.86796329884</v>
      </c>
      <c r="E7659" s="15" t="n">
        <f aca="false">B7659/Summary!$B$5-1</f>
        <v>-0.0131586796329883</v>
      </c>
    </row>
    <row r="7660" customFormat="false" ht="15" hidden="false" customHeight="false" outlineLevel="0" collapsed="false">
      <c r="A7660" s="0" t="n">
        <v>7659</v>
      </c>
      <c r="B7660" s="14" t="n">
        <v>107341.514654503</v>
      </c>
      <c r="C7660" s="15" t="n">
        <v>0.0741103562120309</v>
      </c>
      <c r="D7660" s="14" t="n">
        <f aca="false">Summary!$B$5-B7660</f>
        <v>-7341.51465450331</v>
      </c>
      <c r="E7660" s="15" t="n">
        <f aca="false">B7660/Summary!$B$5-1</f>
        <v>0.073415146545033</v>
      </c>
    </row>
    <row r="7661" customFormat="false" ht="15" hidden="false" customHeight="false" outlineLevel="0" collapsed="false">
      <c r="A7661" s="0" t="n">
        <v>7660</v>
      </c>
      <c r="B7661" s="14" t="n">
        <v>100759.242340416</v>
      </c>
      <c r="C7661" s="15" t="n">
        <v>0.114172898377924</v>
      </c>
      <c r="D7661" s="14" t="n">
        <f aca="false">Summary!$B$5-B7661</f>
        <v>-759.2423404164</v>
      </c>
      <c r="E7661" s="15" t="n">
        <f aca="false">B7661/Summary!$B$5-1</f>
        <v>0.007592423404164</v>
      </c>
    </row>
    <row r="7662" customFormat="false" ht="15" hidden="false" customHeight="false" outlineLevel="0" collapsed="false">
      <c r="A7662" s="0" t="n">
        <v>7661</v>
      </c>
      <c r="B7662" s="14" t="n">
        <v>118853.175099363</v>
      </c>
      <c r="C7662" s="15" t="n">
        <v>0.0798779633878655</v>
      </c>
      <c r="D7662" s="14" t="n">
        <f aca="false">Summary!$B$5-B7662</f>
        <v>-18853.1750993633</v>
      </c>
      <c r="E7662" s="15" t="n">
        <f aca="false">B7662/Summary!$B$5-1</f>
        <v>0.188531750993633</v>
      </c>
    </row>
    <row r="7663" customFormat="false" ht="15" hidden="false" customHeight="false" outlineLevel="0" collapsed="false">
      <c r="A7663" s="0" t="n">
        <v>7662</v>
      </c>
      <c r="B7663" s="14" t="n">
        <v>107437.141273699</v>
      </c>
      <c r="C7663" s="15" t="n">
        <v>0.0989101158166346</v>
      </c>
      <c r="D7663" s="14" t="n">
        <f aca="false">Summary!$B$5-B7663</f>
        <v>-7437.1412736989</v>
      </c>
      <c r="E7663" s="15" t="n">
        <f aca="false">B7663/Summary!$B$5-1</f>
        <v>0.074371412736989</v>
      </c>
    </row>
    <row r="7664" customFormat="false" ht="15" hidden="false" customHeight="false" outlineLevel="0" collapsed="false">
      <c r="A7664" s="0" t="n">
        <v>7663</v>
      </c>
      <c r="B7664" s="14" t="n">
        <v>103328.078655597</v>
      </c>
      <c r="C7664" s="15" t="n">
        <v>0.102917851286054</v>
      </c>
      <c r="D7664" s="14" t="n">
        <f aca="false">Summary!$B$5-B7664</f>
        <v>-3328.0786555972</v>
      </c>
      <c r="E7664" s="15" t="n">
        <f aca="false">B7664/Summary!$B$5-1</f>
        <v>0.0332807865559721</v>
      </c>
    </row>
    <row r="7665" customFormat="false" ht="15" hidden="false" customHeight="false" outlineLevel="0" collapsed="false">
      <c r="A7665" s="0" t="n">
        <v>7664</v>
      </c>
      <c r="B7665" s="14" t="n">
        <v>107609.728046255</v>
      </c>
      <c r="C7665" s="15" t="n">
        <v>0.121702994592639</v>
      </c>
      <c r="D7665" s="14" t="n">
        <f aca="false">Summary!$B$5-B7665</f>
        <v>-7609.7280462554</v>
      </c>
      <c r="E7665" s="15" t="n">
        <f aca="false">B7665/Summary!$B$5-1</f>
        <v>0.0760972804625542</v>
      </c>
    </row>
    <row r="7666" customFormat="false" ht="15" hidden="false" customHeight="false" outlineLevel="0" collapsed="false">
      <c r="A7666" s="0" t="n">
        <v>7665</v>
      </c>
      <c r="B7666" s="14" t="n">
        <v>103967.912957429</v>
      </c>
      <c r="C7666" s="15" t="n">
        <v>0.121375697527981</v>
      </c>
      <c r="D7666" s="14" t="n">
        <f aca="false">Summary!$B$5-B7666</f>
        <v>-3967.9129574292</v>
      </c>
      <c r="E7666" s="15" t="n">
        <f aca="false">B7666/Summary!$B$5-1</f>
        <v>0.039679129574292</v>
      </c>
    </row>
    <row r="7667" customFormat="false" ht="15" hidden="false" customHeight="false" outlineLevel="0" collapsed="false">
      <c r="A7667" s="0" t="n">
        <v>7666</v>
      </c>
      <c r="B7667" s="14" t="n">
        <v>99579.9689713712</v>
      </c>
      <c r="C7667" s="15" t="n">
        <v>0.111892009925647</v>
      </c>
      <c r="D7667" s="14" t="n">
        <f aca="false">Summary!$B$5-B7667</f>
        <v>420.03102862883</v>
      </c>
      <c r="E7667" s="15" t="n">
        <f aca="false">B7667/Summary!$B$5-1</f>
        <v>-0.00420031028628831</v>
      </c>
    </row>
    <row r="7668" customFormat="false" ht="15" hidden="false" customHeight="false" outlineLevel="0" collapsed="false">
      <c r="A7668" s="0" t="n">
        <v>7667</v>
      </c>
      <c r="B7668" s="14" t="n">
        <v>112419.447342642</v>
      </c>
      <c r="C7668" s="15" t="n">
        <v>0.0757268743620171</v>
      </c>
      <c r="D7668" s="14" t="n">
        <f aca="false">Summary!$B$5-B7668</f>
        <v>-12419.4473426421</v>
      </c>
      <c r="E7668" s="15" t="n">
        <f aca="false">B7668/Summary!$B$5-1</f>
        <v>0.124194473426421</v>
      </c>
    </row>
    <row r="7669" customFormat="false" ht="15" hidden="false" customHeight="false" outlineLevel="0" collapsed="false">
      <c r="A7669" s="0" t="n">
        <v>7668</v>
      </c>
      <c r="B7669" s="14" t="n">
        <v>105347.181699149</v>
      </c>
      <c r="C7669" s="15" t="n">
        <v>0.114310503442552</v>
      </c>
      <c r="D7669" s="14" t="n">
        <f aca="false">Summary!$B$5-B7669</f>
        <v>-5347.1816991487</v>
      </c>
      <c r="E7669" s="15" t="n">
        <f aca="false">B7669/Summary!$B$5-1</f>
        <v>0.053471816991487</v>
      </c>
    </row>
    <row r="7670" customFormat="false" ht="15" hidden="false" customHeight="false" outlineLevel="0" collapsed="false">
      <c r="A7670" s="0" t="n">
        <v>7669</v>
      </c>
      <c r="B7670" s="14" t="n">
        <v>103816.973948125</v>
      </c>
      <c r="C7670" s="15" t="n">
        <v>0.123802858546837</v>
      </c>
      <c r="D7670" s="14" t="n">
        <f aca="false">Summary!$B$5-B7670</f>
        <v>-3816.97394812461</v>
      </c>
      <c r="E7670" s="15" t="n">
        <f aca="false">B7670/Summary!$B$5-1</f>
        <v>0.0381697394812461</v>
      </c>
    </row>
    <row r="7671" customFormat="false" ht="15" hidden="false" customHeight="false" outlineLevel="0" collapsed="false">
      <c r="A7671" s="0" t="n">
        <v>7670</v>
      </c>
      <c r="B7671" s="14" t="n">
        <v>94058.2086691237</v>
      </c>
      <c r="C7671" s="15" t="n">
        <v>0.171032571621387</v>
      </c>
      <c r="D7671" s="14" t="n">
        <f aca="false">Summary!$B$5-B7671</f>
        <v>5941.79133087635</v>
      </c>
      <c r="E7671" s="15" t="n">
        <f aca="false">B7671/Summary!$B$5-1</f>
        <v>-0.0594179133087636</v>
      </c>
    </row>
    <row r="7672" customFormat="false" ht="15" hidden="false" customHeight="false" outlineLevel="0" collapsed="false">
      <c r="A7672" s="0" t="n">
        <v>7671</v>
      </c>
      <c r="B7672" s="14" t="n">
        <v>105174.165748805</v>
      </c>
      <c r="C7672" s="15" t="n">
        <v>0.118504856475842</v>
      </c>
      <c r="D7672" s="14" t="n">
        <f aca="false">Summary!$B$5-B7672</f>
        <v>-5174.165748805</v>
      </c>
      <c r="E7672" s="15" t="n">
        <f aca="false">B7672/Summary!$B$5-1</f>
        <v>0.05174165748805</v>
      </c>
    </row>
    <row r="7673" customFormat="false" ht="15" hidden="false" customHeight="false" outlineLevel="0" collapsed="false">
      <c r="A7673" s="0" t="n">
        <v>7672</v>
      </c>
      <c r="B7673" s="14" t="n">
        <v>114667.704475683</v>
      </c>
      <c r="C7673" s="15" t="n">
        <v>0.12250757116842</v>
      </c>
      <c r="D7673" s="14" t="n">
        <f aca="false">Summary!$B$5-B7673</f>
        <v>-14667.7044756833</v>
      </c>
      <c r="E7673" s="15" t="n">
        <f aca="false">B7673/Summary!$B$5-1</f>
        <v>0.146677044756833</v>
      </c>
    </row>
    <row r="7674" customFormat="false" ht="15" hidden="false" customHeight="false" outlineLevel="0" collapsed="false">
      <c r="A7674" s="0" t="n">
        <v>7673</v>
      </c>
      <c r="B7674" s="14" t="n">
        <v>90829.9219826498</v>
      </c>
      <c r="C7674" s="15" t="n">
        <v>0.191394343407251</v>
      </c>
      <c r="D7674" s="14" t="n">
        <f aca="false">Summary!$B$5-B7674</f>
        <v>9170.07801735021</v>
      </c>
      <c r="E7674" s="15" t="n">
        <f aca="false">B7674/Summary!$B$5-1</f>
        <v>-0.0917007801735021</v>
      </c>
    </row>
    <row r="7675" customFormat="false" ht="15" hidden="false" customHeight="false" outlineLevel="0" collapsed="false">
      <c r="A7675" s="0" t="n">
        <v>7674</v>
      </c>
      <c r="B7675" s="14" t="n">
        <v>95812.8243818485</v>
      </c>
      <c r="C7675" s="15" t="n">
        <v>0.112869270293555</v>
      </c>
      <c r="D7675" s="14" t="n">
        <f aca="false">Summary!$B$5-B7675</f>
        <v>4187.17561815152</v>
      </c>
      <c r="E7675" s="15" t="n">
        <f aca="false">B7675/Summary!$B$5-1</f>
        <v>-0.0418717561815152</v>
      </c>
    </row>
    <row r="7676" customFormat="false" ht="15" hidden="false" customHeight="false" outlineLevel="0" collapsed="false">
      <c r="A7676" s="0" t="n">
        <v>7675</v>
      </c>
      <c r="B7676" s="14" t="n">
        <v>117958.716680147</v>
      </c>
      <c r="C7676" s="15" t="n">
        <v>0.0898743642239153</v>
      </c>
      <c r="D7676" s="14" t="n">
        <f aca="false">Summary!$B$5-B7676</f>
        <v>-17958.7166801471</v>
      </c>
      <c r="E7676" s="15" t="n">
        <f aca="false">B7676/Summary!$B$5-1</f>
        <v>0.179587166801471</v>
      </c>
    </row>
    <row r="7677" customFormat="false" ht="15" hidden="false" customHeight="false" outlineLevel="0" collapsed="false">
      <c r="A7677" s="0" t="n">
        <v>7676</v>
      </c>
      <c r="B7677" s="14" t="n">
        <v>107379.256572615</v>
      </c>
      <c r="C7677" s="15" t="n">
        <v>0.10669836068788</v>
      </c>
      <c r="D7677" s="14" t="n">
        <f aca="false">Summary!$B$5-B7677</f>
        <v>-7379.2565726154</v>
      </c>
      <c r="E7677" s="15" t="n">
        <f aca="false">B7677/Summary!$B$5-1</f>
        <v>0.073792565726154</v>
      </c>
    </row>
    <row r="7678" customFormat="false" ht="15" hidden="false" customHeight="false" outlineLevel="0" collapsed="false">
      <c r="A7678" s="0" t="n">
        <v>7677</v>
      </c>
      <c r="B7678" s="14" t="n">
        <v>98335.0516626545</v>
      </c>
      <c r="C7678" s="15" t="n">
        <v>0.0760959512177152</v>
      </c>
      <c r="D7678" s="14" t="n">
        <f aca="false">Summary!$B$5-B7678</f>
        <v>1664.94833734553</v>
      </c>
      <c r="E7678" s="15" t="n">
        <f aca="false">B7678/Summary!$B$5-1</f>
        <v>-0.0166494833734553</v>
      </c>
    </row>
    <row r="7679" customFormat="false" ht="15" hidden="false" customHeight="false" outlineLevel="0" collapsed="false">
      <c r="A7679" s="0" t="n">
        <v>7678</v>
      </c>
      <c r="B7679" s="14" t="n">
        <v>92170.0148067976</v>
      </c>
      <c r="C7679" s="15" t="n">
        <v>0.11617315008635</v>
      </c>
      <c r="D7679" s="14" t="n">
        <f aca="false">Summary!$B$5-B7679</f>
        <v>7829.98519320242</v>
      </c>
      <c r="E7679" s="15" t="n">
        <f aca="false">B7679/Summary!$B$5-1</f>
        <v>-0.0782998519320242</v>
      </c>
    </row>
    <row r="7680" customFormat="false" ht="15" hidden="false" customHeight="false" outlineLevel="0" collapsed="false">
      <c r="A7680" s="0" t="n">
        <v>7679</v>
      </c>
      <c r="B7680" s="14" t="n">
        <v>100095.024539737</v>
      </c>
      <c r="C7680" s="15" t="n">
        <v>0.0940626455821263</v>
      </c>
      <c r="D7680" s="14" t="n">
        <f aca="false">Summary!$B$5-B7680</f>
        <v>-95.024539736507</v>
      </c>
      <c r="E7680" s="15" t="n">
        <f aca="false">B7680/Summary!$B$5-1</f>
        <v>0.000950245397365102</v>
      </c>
    </row>
    <row r="7681" customFormat="false" ht="15" hidden="false" customHeight="false" outlineLevel="0" collapsed="false">
      <c r="A7681" s="0" t="n">
        <v>7680</v>
      </c>
      <c r="B7681" s="14" t="n">
        <v>121207.54800158</v>
      </c>
      <c r="C7681" s="15" t="n">
        <v>0.0717335483499783</v>
      </c>
      <c r="D7681" s="14" t="n">
        <f aca="false">Summary!$B$5-B7681</f>
        <v>-21207.5480015799</v>
      </c>
      <c r="E7681" s="15" t="n">
        <f aca="false">B7681/Summary!$B$5-1</f>
        <v>0.212075480015799</v>
      </c>
    </row>
    <row r="7682" customFormat="false" ht="15" hidden="false" customHeight="false" outlineLevel="0" collapsed="false">
      <c r="A7682" s="0" t="n">
        <v>7681</v>
      </c>
      <c r="B7682" s="14" t="n">
        <v>119419.455404713</v>
      </c>
      <c r="C7682" s="15" t="n">
        <v>0.106892084909622</v>
      </c>
      <c r="D7682" s="14" t="n">
        <f aca="false">Summary!$B$5-B7682</f>
        <v>-19419.4554047134</v>
      </c>
      <c r="E7682" s="15" t="n">
        <f aca="false">B7682/Summary!$B$5-1</f>
        <v>0.194194554047134</v>
      </c>
    </row>
    <row r="7683" customFormat="false" ht="15" hidden="false" customHeight="false" outlineLevel="0" collapsed="false">
      <c r="A7683" s="0" t="n">
        <v>7682</v>
      </c>
      <c r="B7683" s="14" t="n">
        <v>123784.360246722</v>
      </c>
      <c r="C7683" s="15" t="n">
        <v>0.0650549142195891</v>
      </c>
      <c r="D7683" s="14" t="n">
        <f aca="false">Summary!$B$5-B7683</f>
        <v>-23784.3602467219</v>
      </c>
      <c r="E7683" s="15" t="n">
        <f aca="false">B7683/Summary!$B$5-1</f>
        <v>0.237843602467219</v>
      </c>
    </row>
    <row r="7684" customFormat="false" ht="15" hidden="false" customHeight="false" outlineLevel="0" collapsed="false">
      <c r="A7684" s="0" t="n">
        <v>7683</v>
      </c>
      <c r="B7684" s="14" t="n">
        <v>123101.995240297</v>
      </c>
      <c r="C7684" s="15" t="n">
        <v>0.0940472713042458</v>
      </c>
      <c r="D7684" s="14" t="n">
        <f aca="false">Summary!$B$5-B7684</f>
        <v>-23101.9952402973</v>
      </c>
      <c r="E7684" s="15" t="n">
        <f aca="false">B7684/Summary!$B$5-1</f>
        <v>0.231019952402973</v>
      </c>
    </row>
    <row r="7685" customFormat="false" ht="15" hidden="false" customHeight="false" outlineLevel="0" collapsed="false">
      <c r="A7685" s="0" t="n">
        <v>7684</v>
      </c>
      <c r="B7685" s="14" t="n">
        <v>100199.530377123</v>
      </c>
      <c r="C7685" s="15" t="n">
        <v>0.166001580371371</v>
      </c>
      <c r="D7685" s="14" t="n">
        <f aca="false">Summary!$B$5-B7685</f>
        <v>-199.530377123403</v>
      </c>
      <c r="E7685" s="15" t="n">
        <f aca="false">B7685/Summary!$B$5-1</f>
        <v>0.00199530377123414</v>
      </c>
    </row>
    <row r="7686" customFormat="false" ht="15" hidden="false" customHeight="false" outlineLevel="0" collapsed="false">
      <c r="A7686" s="0" t="n">
        <v>7685</v>
      </c>
      <c r="B7686" s="14" t="n">
        <v>107870.064068456</v>
      </c>
      <c r="C7686" s="15" t="n">
        <v>0.100108513224416</v>
      </c>
      <c r="D7686" s="14" t="n">
        <f aca="false">Summary!$B$5-B7686</f>
        <v>-7870.0640684559</v>
      </c>
      <c r="E7686" s="15" t="n">
        <f aca="false">B7686/Summary!$B$5-1</f>
        <v>0.078700640684559</v>
      </c>
    </row>
    <row r="7687" customFormat="false" ht="15" hidden="false" customHeight="false" outlineLevel="0" collapsed="false">
      <c r="A7687" s="0" t="n">
        <v>7686</v>
      </c>
      <c r="B7687" s="14" t="n">
        <v>109375.250402585</v>
      </c>
      <c r="C7687" s="15" t="n">
        <v>0.0691275092757048</v>
      </c>
      <c r="D7687" s="14" t="n">
        <f aca="false">Summary!$B$5-B7687</f>
        <v>-9375.2504025846</v>
      </c>
      <c r="E7687" s="15" t="n">
        <f aca="false">B7687/Summary!$B$5-1</f>
        <v>0.093752504025846</v>
      </c>
    </row>
    <row r="7688" customFormat="false" ht="15" hidden="false" customHeight="false" outlineLevel="0" collapsed="false">
      <c r="A7688" s="0" t="n">
        <v>7687</v>
      </c>
      <c r="B7688" s="14" t="n">
        <v>123928.936173596</v>
      </c>
      <c r="C7688" s="15" t="n">
        <v>0.0586412969541093</v>
      </c>
      <c r="D7688" s="14" t="n">
        <f aca="false">Summary!$B$5-B7688</f>
        <v>-23928.936173596</v>
      </c>
      <c r="E7688" s="15" t="n">
        <f aca="false">B7688/Summary!$B$5-1</f>
        <v>0.23928936173596</v>
      </c>
    </row>
    <row r="7689" customFormat="false" ht="15" hidden="false" customHeight="false" outlineLevel="0" collapsed="false">
      <c r="A7689" s="0" t="n">
        <v>7688</v>
      </c>
      <c r="B7689" s="14" t="n">
        <v>101638.401347528</v>
      </c>
      <c r="C7689" s="15" t="n">
        <v>0.129301317490407</v>
      </c>
      <c r="D7689" s="14" t="n">
        <f aca="false">Summary!$B$5-B7689</f>
        <v>-1638.4013475283</v>
      </c>
      <c r="E7689" s="15" t="n">
        <f aca="false">B7689/Summary!$B$5-1</f>
        <v>0.0163840134752831</v>
      </c>
    </row>
    <row r="7690" customFormat="false" ht="15" hidden="false" customHeight="false" outlineLevel="0" collapsed="false">
      <c r="A7690" s="0" t="n">
        <v>7689</v>
      </c>
      <c r="B7690" s="14" t="n">
        <v>85889.5977488959</v>
      </c>
      <c r="C7690" s="15" t="n">
        <v>0.169030567024803</v>
      </c>
      <c r="D7690" s="14" t="n">
        <f aca="false">Summary!$B$5-B7690</f>
        <v>14110.4022511041</v>
      </c>
      <c r="E7690" s="15" t="n">
        <f aca="false">B7690/Summary!$B$5-1</f>
        <v>-0.141104022511041</v>
      </c>
    </row>
    <row r="7691" customFormat="false" ht="15" hidden="false" customHeight="false" outlineLevel="0" collapsed="false">
      <c r="A7691" s="0" t="n">
        <v>7690</v>
      </c>
      <c r="B7691" s="14" t="n">
        <v>116159.862353964</v>
      </c>
      <c r="C7691" s="15" t="n">
        <v>0.0534927633684806</v>
      </c>
      <c r="D7691" s="14" t="n">
        <f aca="false">Summary!$B$5-B7691</f>
        <v>-16159.8623539638</v>
      </c>
      <c r="E7691" s="15" t="n">
        <f aca="false">B7691/Summary!$B$5-1</f>
        <v>0.161598623539638</v>
      </c>
    </row>
    <row r="7692" customFormat="false" ht="15" hidden="false" customHeight="false" outlineLevel="0" collapsed="false">
      <c r="A7692" s="0" t="n">
        <v>7691</v>
      </c>
      <c r="B7692" s="14" t="n">
        <v>87082.6403741064</v>
      </c>
      <c r="C7692" s="15" t="n">
        <v>0.209242391432308</v>
      </c>
      <c r="D7692" s="14" t="n">
        <f aca="false">Summary!$B$5-B7692</f>
        <v>12917.3596258936</v>
      </c>
      <c r="E7692" s="15" t="n">
        <f aca="false">B7692/Summary!$B$5-1</f>
        <v>-0.129173596258936</v>
      </c>
    </row>
    <row r="7693" customFormat="false" ht="15" hidden="false" customHeight="false" outlineLevel="0" collapsed="false">
      <c r="A7693" s="0" t="n">
        <v>7692</v>
      </c>
      <c r="B7693" s="14" t="n">
        <v>101750.653811625</v>
      </c>
      <c r="C7693" s="15" t="n">
        <v>0.131657098073416</v>
      </c>
      <c r="D7693" s="14" t="n">
        <f aca="false">Summary!$B$5-B7693</f>
        <v>-1750.6538116247</v>
      </c>
      <c r="E7693" s="15" t="n">
        <f aca="false">B7693/Summary!$B$5-1</f>
        <v>0.0175065381162469</v>
      </c>
    </row>
    <row r="7694" customFormat="false" ht="15" hidden="false" customHeight="false" outlineLevel="0" collapsed="false">
      <c r="A7694" s="0" t="n">
        <v>7693</v>
      </c>
      <c r="B7694" s="14" t="n">
        <v>99586.9817781682</v>
      </c>
      <c r="C7694" s="15" t="n">
        <v>0.0895266610979223</v>
      </c>
      <c r="D7694" s="14" t="n">
        <f aca="false">Summary!$B$5-B7694</f>
        <v>413.018221831851</v>
      </c>
      <c r="E7694" s="15" t="n">
        <f aca="false">B7694/Summary!$B$5-1</f>
        <v>-0.00413018221831851</v>
      </c>
    </row>
    <row r="7695" customFormat="false" ht="15" hidden="false" customHeight="false" outlineLevel="0" collapsed="false">
      <c r="A7695" s="0" t="n">
        <v>7694</v>
      </c>
      <c r="B7695" s="14" t="n">
        <v>112317.385081806</v>
      </c>
      <c r="C7695" s="15" t="n">
        <v>0.0976186660202674</v>
      </c>
      <c r="D7695" s="14" t="n">
        <f aca="false">Summary!$B$5-B7695</f>
        <v>-12317.3850818063</v>
      </c>
      <c r="E7695" s="15" t="n">
        <f aca="false">B7695/Summary!$B$5-1</f>
        <v>0.123173850818063</v>
      </c>
    </row>
    <row r="7696" customFormat="false" ht="15" hidden="false" customHeight="false" outlineLevel="0" collapsed="false">
      <c r="A7696" s="0" t="n">
        <v>7695</v>
      </c>
      <c r="B7696" s="14" t="n">
        <v>111329.356474932</v>
      </c>
      <c r="C7696" s="15" t="n">
        <v>0.0901311110195906</v>
      </c>
      <c r="D7696" s="14" t="n">
        <f aca="false">Summary!$B$5-B7696</f>
        <v>-11329.3564749318</v>
      </c>
      <c r="E7696" s="15" t="n">
        <f aca="false">B7696/Summary!$B$5-1</f>
        <v>0.113293564749318</v>
      </c>
    </row>
    <row r="7697" customFormat="false" ht="15" hidden="false" customHeight="false" outlineLevel="0" collapsed="false">
      <c r="A7697" s="0" t="n">
        <v>7696</v>
      </c>
      <c r="B7697" s="14" t="n">
        <v>127231.652404363</v>
      </c>
      <c r="C7697" s="15" t="n">
        <v>0.0382107408449004</v>
      </c>
      <c r="D7697" s="14" t="n">
        <f aca="false">Summary!$B$5-B7697</f>
        <v>-27231.6524043627</v>
      </c>
      <c r="E7697" s="15" t="n">
        <f aca="false">B7697/Summary!$B$5-1</f>
        <v>0.272316524043627</v>
      </c>
    </row>
    <row r="7698" customFormat="false" ht="15" hidden="false" customHeight="false" outlineLevel="0" collapsed="false">
      <c r="A7698" s="0" t="n">
        <v>7697</v>
      </c>
      <c r="B7698" s="14" t="n">
        <v>96604.7106815383</v>
      </c>
      <c r="C7698" s="15" t="n">
        <v>0.12780023844135</v>
      </c>
      <c r="D7698" s="14" t="n">
        <f aca="false">Summary!$B$5-B7698</f>
        <v>3395.28931846173</v>
      </c>
      <c r="E7698" s="15" t="n">
        <f aca="false">B7698/Summary!$B$5-1</f>
        <v>-0.0339528931846173</v>
      </c>
    </row>
    <row r="7699" customFormat="false" ht="15" hidden="false" customHeight="false" outlineLevel="0" collapsed="false">
      <c r="A7699" s="0" t="n">
        <v>7698</v>
      </c>
      <c r="B7699" s="14" t="n">
        <v>113166.258917367</v>
      </c>
      <c r="C7699" s="15" t="n">
        <v>0.143167880480014</v>
      </c>
      <c r="D7699" s="14" t="n">
        <f aca="false">Summary!$B$5-B7699</f>
        <v>-13166.2589173673</v>
      </c>
      <c r="E7699" s="15" t="n">
        <f aca="false">B7699/Summary!$B$5-1</f>
        <v>0.131662589173673</v>
      </c>
    </row>
    <row r="7700" customFormat="false" ht="15" hidden="false" customHeight="false" outlineLevel="0" collapsed="false">
      <c r="A7700" s="0" t="n">
        <v>7699</v>
      </c>
      <c r="B7700" s="14" t="n">
        <v>108471.651064438</v>
      </c>
      <c r="C7700" s="15" t="n">
        <v>0.0564823336617444</v>
      </c>
      <c r="D7700" s="14" t="n">
        <f aca="false">Summary!$B$5-B7700</f>
        <v>-8471.6510644378</v>
      </c>
      <c r="E7700" s="15" t="n">
        <f aca="false">B7700/Summary!$B$5-1</f>
        <v>0.0847165106443779</v>
      </c>
    </row>
    <row r="7701" customFormat="false" ht="15" hidden="false" customHeight="false" outlineLevel="0" collapsed="false">
      <c r="A7701" s="0" t="n">
        <v>7700</v>
      </c>
      <c r="B7701" s="14" t="n">
        <v>125839.341237426</v>
      </c>
      <c r="C7701" s="15" t="n">
        <v>0.0477828492356885</v>
      </c>
      <c r="D7701" s="14" t="n">
        <f aca="false">Summary!$B$5-B7701</f>
        <v>-25839.3412374263</v>
      </c>
      <c r="E7701" s="15" t="n">
        <f aca="false">B7701/Summary!$B$5-1</f>
        <v>0.258393412374263</v>
      </c>
    </row>
    <row r="7702" customFormat="false" ht="15" hidden="false" customHeight="false" outlineLevel="0" collapsed="false">
      <c r="A7702" s="0" t="n">
        <v>7701</v>
      </c>
      <c r="B7702" s="14" t="n">
        <v>97798.8711880863</v>
      </c>
      <c r="C7702" s="15" t="n">
        <v>0.14266434629019</v>
      </c>
      <c r="D7702" s="14" t="n">
        <f aca="false">Summary!$B$5-B7702</f>
        <v>2201.12881191373</v>
      </c>
      <c r="E7702" s="15" t="n">
        <f aca="false">B7702/Summary!$B$5-1</f>
        <v>-0.0220112881191373</v>
      </c>
    </row>
    <row r="7703" customFormat="false" ht="15" hidden="false" customHeight="false" outlineLevel="0" collapsed="false">
      <c r="A7703" s="0" t="n">
        <v>7702</v>
      </c>
      <c r="B7703" s="14" t="n">
        <v>117313.349734515</v>
      </c>
      <c r="C7703" s="15" t="n">
        <v>0.0697814083638996</v>
      </c>
      <c r="D7703" s="14" t="n">
        <f aca="false">Summary!$B$5-B7703</f>
        <v>-17313.349734515</v>
      </c>
      <c r="E7703" s="15" t="n">
        <f aca="false">B7703/Summary!$B$5-1</f>
        <v>0.17313349734515</v>
      </c>
    </row>
    <row r="7704" customFormat="false" ht="15" hidden="false" customHeight="false" outlineLevel="0" collapsed="false">
      <c r="A7704" s="0" t="n">
        <v>7703</v>
      </c>
      <c r="B7704" s="14" t="n">
        <v>113257.335811309</v>
      </c>
      <c r="C7704" s="15" t="n">
        <v>0.127032432632185</v>
      </c>
      <c r="D7704" s="14" t="n">
        <f aca="false">Summary!$B$5-B7704</f>
        <v>-13257.3358113086</v>
      </c>
      <c r="E7704" s="15" t="n">
        <f aca="false">B7704/Summary!$B$5-1</f>
        <v>0.132573358113086</v>
      </c>
    </row>
    <row r="7705" customFormat="false" ht="15" hidden="false" customHeight="false" outlineLevel="0" collapsed="false">
      <c r="A7705" s="0" t="n">
        <v>7704</v>
      </c>
      <c r="B7705" s="14" t="n">
        <v>102811.651144085</v>
      </c>
      <c r="C7705" s="15" t="n">
        <v>0.0946184162519534</v>
      </c>
      <c r="D7705" s="14" t="n">
        <f aca="false">Summary!$B$5-B7705</f>
        <v>-2811.651144085</v>
      </c>
      <c r="E7705" s="15" t="n">
        <f aca="false">B7705/Summary!$B$5-1</f>
        <v>0.0281165114408499</v>
      </c>
    </row>
    <row r="7706" customFormat="false" ht="15" hidden="false" customHeight="false" outlineLevel="0" collapsed="false">
      <c r="A7706" s="0" t="n">
        <v>7705</v>
      </c>
      <c r="B7706" s="14" t="n">
        <v>108292.840753437</v>
      </c>
      <c r="C7706" s="15" t="n">
        <v>0.122659575536909</v>
      </c>
      <c r="D7706" s="14" t="n">
        <f aca="false">Summary!$B$5-B7706</f>
        <v>-8292.8407534365</v>
      </c>
      <c r="E7706" s="15" t="n">
        <f aca="false">B7706/Summary!$B$5-1</f>
        <v>0.082928407534365</v>
      </c>
    </row>
    <row r="7707" customFormat="false" ht="15" hidden="false" customHeight="false" outlineLevel="0" collapsed="false">
      <c r="A7707" s="0" t="n">
        <v>7706</v>
      </c>
      <c r="B7707" s="14" t="n">
        <v>117852.49542662</v>
      </c>
      <c r="C7707" s="15" t="n">
        <v>0.0850652389321311</v>
      </c>
      <c r="D7707" s="14" t="n">
        <f aca="false">Summary!$B$5-B7707</f>
        <v>-17852.4954266195</v>
      </c>
      <c r="E7707" s="15" t="n">
        <f aca="false">B7707/Summary!$B$5-1</f>
        <v>0.178524954266195</v>
      </c>
    </row>
    <row r="7708" customFormat="false" ht="15" hidden="false" customHeight="false" outlineLevel="0" collapsed="false">
      <c r="A7708" s="0" t="n">
        <v>7707</v>
      </c>
      <c r="B7708" s="14" t="n">
        <v>109787.32558965</v>
      </c>
      <c r="C7708" s="15" t="n">
        <v>0.0626224179348409</v>
      </c>
      <c r="D7708" s="14" t="n">
        <f aca="false">Summary!$B$5-B7708</f>
        <v>-9787.3255896495</v>
      </c>
      <c r="E7708" s="15" t="n">
        <f aca="false">B7708/Summary!$B$5-1</f>
        <v>0.097873255896495</v>
      </c>
    </row>
    <row r="7709" customFormat="false" ht="15" hidden="false" customHeight="false" outlineLevel="0" collapsed="false">
      <c r="A7709" s="0" t="n">
        <v>7708</v>
      </c>
      <c r="B7709" s="14" t="n">
        <v>101291.558892469</v>
      </c>
      <c r="C7709" s="15" t="n">
        <v>0.132984460785034</v>
      </c>
      <c r="D7709" s="14" t="n">
        <f aca="false">Summary!$B$5-B7709</f>
        <v>-1291.5588924686</v>
      </c>
      <c r="E7709" s="15" t="n">
        <f aca="false">B7709/Summary!$B$5-1</f>
        <v>0.0129155889246859</v>
      </c>
    </row>
    <row r="7710" customFormat="false" ht="15" hidden="false" customHeight="false" outlineLevel="0" collapsed="false">
      <c r="A7710" s="0" t="n">
        <v>7709</v>
      </c>
      <c r="B7710" s="14" t="n">
        <v>120750.905130021</v>
      </c>
      <c r="C7710" s="15" t="n">
        <v>0.0529567583513921</v>
      </c>
      <c r="D7710" s="14" t="n">
        <f aca="false">Summary!$B$5-B7710</f>
        <v>-20750.9051300206</v>
      </c>
      <c r="E7710" s="15" t="n">
        <f aca="false">B7710/Summary!$B$5-1</f>
        <v>0.207509051300206</v>
      </c>
    </row>
    <row r="7711" customFormat="false" ht="15" hidden="false" customHeight="false" outlineLevel="0" collapsed="false">
      <c r="A7711" s="0" t="n">
        <v>7710</v>
      </c>
      <c r="B7711" s="14" t="n">
        <v>102095.34809071</v>
      </c>
      <c r="C7711" s="15" t="n">
        <v>0.116333657396299</v>
      </c>
      <c r="D7711" s="14" t="n">
        <f aca="false">Summary!$B$5-B7711</f>
        <v>-2095.3480907098</v>
      </c>
      <c r="E7711" s="15" t="n">
        <f aca="false">B7711/Summary!$B$5-1</f>
        <v>0.0209534809070979</v>
      </c>
    </row>
    <row r="7712" customFormat="false" ht="15" hidden="false" customHeight="false" outlineLevel="0" collapsed="false">
      <c r="A7712" s="0" t="n">
        <v>7711</v>
      </c>
      <c r="B7712" s="14" t="n">
        <v>108746.434824359</v>
      </c>
      <c r="C7712" s="15" t="n">
        <v>0.0713194678591239</v>
      </c>
      <c r="D7712" s="14" t="n">
        <f aca="false">Summary!$B$5-B7712</f>
        <v>-8746.4348243585</v>
      </c>
      <c r="E7712" s="15" t="n">
        <f aca="false">B7712/Summary!$B$5-1</f>
        <v>0.0874643482435851</v>
      </c>
    </row>
    <row r="7713" customFormat="false" ht="15" hidden="false" customHeight="false" outlineLevel="0" collapsed="false">
      <c r="A7713" s="0" t="n">
        <v>7712</v>
      </c>
      <c r="B7713" s="14" t="n">
        <v>137463.103986596</v>
      </c>
      <c r="C7713" s="15" t="n">
        <v>0.0689902496385932</v>
      </c>
      <c r="D7713" s="14" t="n">
        <f aca="false">Summary!$B$5-B7713</f>
        <v>-37463.1039865957</v>
      </c>
      <c r="E7713" s="15" t="n">
        <f aca="false">B7713/Summary!$B$5-1</f>
        <v>0.374631039865957</v>
      </c>
    </row>
    <row r="7714" customFormat="false" ht="15" hidden="false" customHeight="false" outlineLevel="0" collapsed="false">
      <c r="A7714" s="0" t="n">
        <v>7713</v>
      </c>
      <c r="B7714" s="14" t="n">
        <v>89810.5353830776</v>
      </c>
      <c r="C7714" s="15" t="n">
        <v>0.12379359087465</v>
      </c>
      <c r="D7714" s="14" t="n">
        <f aca="false">Summary!$B$5-B7714</f>
        <v>10189.4646169224</v>
      </c>
      <c r="E7714" s="15" t="n">
        <f aca="false">B7714/Summary!$B$5-1</f>
        <v>-0.101894646169224</v>
      </c>
    </row>
    <row r="7715" customFormat="false" ht="15" hidden="false" customHeight="false" outlineLevel="0" collapsed="false">
      <c r="A7715" s="0" t="n">
        <v>7714</v>
      </c>
      <c r="B7715" s="14" t="n">
        <v>106459.933381275</v>
      </c>
      <c r="C7715" s="15" t="n">
        <v>0.13096965426809</v>
      </c>
      <c r="D7715" s="14" t="n">
        <f aca="false">Summary!$B$5-B7715</f>
        <v>-6459.93338127541</v>
      </c>
      <c r="E7715" s="15" t="n">
        <f aca="false">B7715/Summary!$B$5-1</f>
        <v>0.064599333812754</v>
      </c>
    </row>
    <row r="7716" customFormat="false" ht="15" hidden="false" customHeight="false" outlineLevel="0" collapsed="false">
      <c r="A7716" s="0" t="n">
        <v>7715</v>
      </c>
      <c r="B7716" s="14" t="n">
        <v>101893.282704683</v>
      </c>
      <c r="C7716" s="15" t="n">
        <v>0.0952765145421256</v>
      </c>
      <c r="D7716" s="14" t="n">
        <f aca="false">Summary!$B$5-B7716</f>
        <v>-1893.2827046829</v>
      </c>
      <c r="E7716" s="15" t="n">
        <f aca="false">B7716/Summary!$B$5-1</f>
        <v>0.018932827046829</v>
      </c>
    </row>
    <row r="7717" customFormat="false" ht="15" hidden="false" customHeight="false" outlineLevel="0" collapsed="false">
      <c r="A7717" s="0" t="n">
        <v>7716</v>
      </c>
      <c r="B7717" s="14" t="n">
        <v>107797.528350726</v>
      </c>
      <c r="C7717" s="15" t="n">
        <v>0.0759388001430386</v>
      </c>
      <c r="D7717" s="14" t="n">
        <f aca="false">Summary!$B$5-B7717</f>
        <v>-7797.5283507256</v>
      </c>
      <c r="E7717" s="15" t="n">
        <f aca="false">B7717/Summary!$B$5-1</f>
        <v>0.077975283507256</v>
      </c>
    </row>
    <row r="7718" customFormat="false" ht="15" hidden="false" customHeight="false" outlineLevel="0" collapsed="false">
      <c r="A7718" s="0" t="n">
        <v>7717</v>
      </c>
      <c r="B7718" s="14" t="n">
        <v>149694.328370568</v>
      </c>
      <c r="C7718" s="15" t="n">
        <v>0.0414084170213359</v>
      </c>
      <c r="D7718" s="14" t="n">
        <f aca="false">Summary!$B$5-B7718</f>
        <v>-49694.3283705675</v>
      </c>
      <c r="E7718" s="15" t="n">
        <f aca="false">B7718/Summary!$B$5-1</f>
        <v>0.496943283705675</v>
      </c>
    </row>
    <row r="7719" customFormat="false" ht="15" hidden="false" customHeight="false" outlineLevel="0" collapsed="false">
      <c r="A7719" s="0" t="n">
        <v>7718</v>
      </c>
      <c r="B7719" s="14" t="n">
        <v>108203.678865598</v>
      </c>
      <c r="C7719" s="15" t="n">
        <v>0.135907705649011</v>
      </c>
      <c r="D7719" s="14" t="n">
        <f aca="false">Summary!$B$5-B7719</f>
        <v>-8203.67886559801</v>
      </c>
      <c r="E7719" s="15" t="n">
        <f aca="false">B7719/Summary!$B$5-1</f>
        <v>0.0820367886559801</v>
      </c>
    </row>
    <row r="7720" customFormat="false" ht="15" hidden="false" customHeight="false" outlineLevel="0" collapsed="false">
      <c r="A7720" s="0" t="n">
        <v>7719</v>
      </c>
      <c r="B7720" s="14" t="n">
        <v>114956.527966505</v>
      </c>
      <c r="C7720" s="15" t="n">
        <v>0.0794273864748483</v>
      </c>
      <c r="D7720" s="14" t="n">
        <f aca="false">Summary!$B$5-B7720</f>
        <v>-14956.5279665052</v>
      </c>
      <c r="E7720" s="15" t="n">
        <f aca="false">B7720/Summary!$B$5-1</f>
        <v>0.149565279665052</v>
      </c>
    </row>
    <row r="7721" customFormat="false" ht="15" hidden="false" customHeight="false" outlineLevel="0" collapsed="false">
      <c r="A7721" s="0" t="n">
        <v>7720</v>
      </c>
      <c r="B7721" s="14" t="n">
        <v>133063.151674742</v>
      </c>
      <c r="C7721" s="15" t="n">
        <v>0.0552068999707258</v>
      </c>
      <c r="D7721" s="14" t="n">
        <f aca="false">Summary!$B$5-B7721</f>
        <v>-33063.1516747415</v>
      </c>
      <c r="E7721" s="15" t="n">
        <f aca="false">B7721/Summary!$B$5-1</f>
        <v>0.330631516747415</v>
      </c>
    </row>
    <row r="7722" customFormat="false" ht="15" hidden="false" customHeight="false" outlineLevel="0" collapsed="false">
      <c r="A7722" s="0" t="n">
        <v>7721</v>
      </c>
      <c r="B7722" s="14" t="n">
        <v>112411.647162267</v>
      </c>
      <c r="C7722" s="15" t="n">
        <v>0.0462162917169381</v>
      </c>
      <c r="D7722" s="14" t="n">
        <f aca="false">Summary!$B$5-B7722</f>
        <v>-12411.6471622672</v>
      </c>
      <c r="E7722" s="15" t="n">
        <f aca="false">B7722/Summary!$B$5-1</f>
        <v>0.124116471622672</v>
      </c>
    </row>
    <row r="7723" customFormat="false" ht="15" hidden="false" customHeight="false" outlineLevel="0" collapsed="false">
      <c r="A7723" s="0" t="n">
        <v>7722</v>
      </c>
      <c r="B7723" s="14" t="n">
        <v>106451.292881945</v>
      </c>
      <c r="C7723" s="15" t="n">
        <v>0.0876426945792278</v>
      </c>
      <c r="D7723" s="14" t="n">
        <f aca="false">Summary!$B$5-B7723</f>
        <v>-6451.29288194521</v>
      </c>
      <c r="E7723" s="15" t="n">
        <f aca="false">B7723/Summary!$B$5-1</f>
        <v>0.0645129288194521</v>
      </c>
    </row>
    <row r="7724" customFormat="false" ht="15" hidden="false" customHeight="false" outlineLevel="0" collapsed="false">
      <c r="A7724" s="0" t="n">
        <v>7723</v>
      </c>
      <c r="B7724" s="14" t="n">
        <v>116323.729386103</v>
      </c>
      <c r="C7724" s="15" t="n">
        <v>0.0991370345308352</v>
      </c>
      <c r="D7724" s="14" t="n">
        <f aca="false">Summary!$B$5-B7724</f>
        <v>-16323.7293861027</v>
      </c>
      <c r="E7724" s="15" t="n">
        <f aca="false">B7724/Summary!$B$5-1</f>
        <v>0.163237293861027</v>
      </c>
    </row>
    <row r="7725" customFormat="false" ht="15" hidden="false" customHeight="false" outlineLevel="0" collapsed="false">
      <c r="A7725" s="0" t="n">
        <v>7724</v>
      </c>
      <c r="B7725" s="14" t="n">
        <v>126238.339810039</v>
      </c>
      <c r="C7725" s="15" t="n">
        <v>0.0772042148734751</v>
      </c>
      <c r="D7725" s="14" t="n">
        <f aca="false">Summary!$B$5-B7725</f>
        <v>-26238.3398100392</v>
      </c>
      <c r="E7725" s="15" t="n">
        <f aca="false">B7725/Summary!$B$5-1</f>
        <v>0.262383398100392</v>
      </c>
    </row>
    <row r="7726" customFormat="false" ht="15" hidden="false" customHeight="false" outlineLevel="0" collapsed="false">
      <c r="A7726" s="0" t="n">
        <v>7725</v>
      </c>
      <c r="B7726" s="14" t="n">
        <v>99903.5459175829</v>
      </c>
      <c r="C7726" s="15" t="n">
        <v>0.101817808138708</v>
      </c>
      <c r="D7726" s="14" t="n">
        <f aca="false">Summary!$B$5-B7726</f>
        <v>96.454082417069</v>
      </c>
      <c r="E7726" s="15" t="n">
        <f aca="false">B7726/Summary!$B$5-1</f>
        <v>-0.000964540824170745</v>
      </c>
    </row>
    <row r="7727" customFormat="false" ht="15" hidden="false" customHeight="false" outlineLevel="0" collapsed="false">
      <c r="A7727" s="0" t="n">
        <v>7726</v>
      </c>
      <c r="B7727" s="14" t="n">
        <v>98086.8318647878</v>
      </c>
      <c r="C7727" s="15" t="n">
        <v>0.10680437873055</v>
      </c>
      <c r="D7727" s="14" t="n">
        <f aca="false">Summary!$B$5-B7727</f>
        <v>1913.16813521225</v>
      </c>
      <c r="E7727" s="15" t="n">
        <f aca="false">B7727/Summary!$B$5-1</f>
        <v>-0.0191316813521225</v>
      </c>
    </row>
    <row r="7728" customFormat="false" ht="15" hidden="false" customHeight="false" outlineLevel="0" collapsed="false">
      <c r="A7728" s="0" t="n">
        <v>7727</v>
      </c>
      <c r="B7728" s="14" t="n">
        <v>102202.267602396</v>
      </c>
      <c r="C7728" s="15" t="n">
        <v>0.0721466056292909</v>
      </c>
      <c r="D7728" s="14" t="n">
        <f aca="false">Summary!$B$5-B7728</f>
        <v>-2202.2676023962</v>
      </c>
      <c r="E7728" s="15" t="n">
        <f aca="false">B7728/Summary!$B$5-1</f>
        <v>0.0220226760239619</v>
      </c>
    </row>
    <row r="7729" customFormat="false" ht="15" hidden="false" customHeight="false" outlineLevel="0" collapsed="false">
      <c r="A7729" s="0" t="n">
        <v>7728</v>
      </c>
      <c r="B7729" s="14" t="n">
        <v>102952.59660961</v>
      </c>
      <c r="C7729" s="15" t="n">
        <v>0.126758286231446</v>
      </c>
      <c r="D7729" s="14" t="n">
        <f aca="false">Summary!$B$5-B7729</f>
        <v>-2952.59660960959</v>
      </c>
      <c r="E7729" s="15" t="n">
        <f aca="false">B7729/Summary!$B$5-1</f>
        <v>0.029525966096096</v>
      </c>
    </row>
    <row r="7730" customFormat="false" ht="15" hidden="false" customHeight="false" outlineLevel="0" collapsed="false">
      <c r="A7730" s="0" t="n">
        <v>7729</v>
      </c>
      <c r="B7730" s="14" t="n">
        <v>107820.279215971</v>
      </c>
      <c r="C7730" s="15" t="n">
        <v>0.135934878741897</v>
      </c>
      <c r="D7730" s="14" t="n">
        <f aca="false">Summary!$B$5-B7730</f>
        <v>-7820.2792159714</v>
      </c>
      <c r="E7730" s="15" t="n">
        <f aca="false">B7730/Summary!$B$5-1</f>
        <v>0.0782027921597139</v>
      </c>
    </row>
    <row r="7731" customFormat="false" ht="15" hidden="false" customHeight="false" outlineLevel="0" collapsed="false">
      <c r="A7731" s="0" t="n">
        <v>7730</v>
      </c>
      <c r="B7731" s="14" t="n">
        <v>124946.658436048</v>
      </c>
      <c r="C7731" s="15" t="n">
        <v>0.0661115380810452</v>
      </c>
      <c r="D7731" s="14" t="n">
        <f aca="false">Summary!$B$5-B7731</f>
        <v>-24946.6584360484</v>
      </c>
      <c r="E7731" s="15" t="n">
        <f aca="false">B7731/Summary!$B$5-1</f>
        <v>0.249466584360484</v>
      </c>
    </row>
    <row r="7732" customFormat="false" ht="15" hidden="false" customHeight="false" outlineLevel="0" collapsed="false">
      <c r="A7732" s="0" t="n">
        <v>7731</v>
      </c>
      <c r="B7732" s="14" t="n">
        <v>103188.380250441</v>
      </c>
      <c r="C7732" s="15" t="n">
        <v>0.0986534788829949</v>
      </c>
      <c r="D7732" s="14" t="n">
        <f aca="false">Summary!$B$5-B7732</f>
        <v>-3188.380250441</v>
      </c>
      <c r="E7732" s="15" t="n">
        <f aca="false">B7732/Summary!$B$5-1</f>
        <v>0.0318838025044099</v>
      </c>
    </row>
    <row r="7733" customFormat="false" ht="15" hidden="false" customHeight="false" outlineLevel="0" collapsed="false">
      <c r="A7733" s="0" t="n">
        <v>7732</v>
      </c>
      <c r="B7733" s="14" t="n">
        <v>118716.497589056</v>
      </c>
      <c r="C7733" s="15" t="n">
        <v>0.0564247985212122</v>
      </c>
      <c r="D7733" s="14" t="n">
        <f aca="false">Summary!$B$5-B7733</f>
        <v>-18716.4975890564</v>
      </c>
      <c r="E7733" s="15" t="n">
        <f aca="false">B7733/Summary!$B$5-1</f>
        <v>0.187164975890564</v>
      </c>
    </row>
    <row r="7734" customFormat="false" ht="15" hidden="false" customHeight="false" outlineLevel="0" collapsed="false">
      <c r="A7734" s="0" t="n">
        <v>7733</v>
      </c>
      <c r="B7734" s="14" t="n">
        <v>121758.014647975</v>
      </c>
      <c r="C7734" s="15" t="n">
        <v>0.0788703405825127</v>
      </c>
      <c r="D7734" s="14" t="n">
        <f aca="false">Summary!$B$5-B7734</f>
        <v>-21758.0146479748</v>
      </c>
      <c r="E7734" s="15" t="n">
        <f aca="false">B7734/Summary!$B$5-1</f>
        <v>0.217580146479748</v>
      </c>
    </row>
    <row r="7735" customFormat="false" ht="15" hidden="false" customHeight="false" outlineLevel="0" collapsed="false">
      <c r="A7735" s="0" t="n">
        <v>7734</v>
      </c>
      <c r="B7735" s="14" t="n">
        <v>120138.050176601</v>
      </c>
      <c r="C7735" s="15" t="n">
        <v>0.0571125067868068</v>
      </c>
      <c r="D7735" s="14" t="n">
        <f aca="false">Summary!$B$5-B7735</f>
        <v>-20138.0501766013</v>
      </c>
      <c r="E7735" s="15" t="n">
        <f aca="false">B7735/Summary!$B$5-1</f>
        <v>0.201380501766013</v>
      </c>
    </row>
    <row r="7736" customFormat="false" ht="15" hidden="false" customHeight="false" outlineLevel="0" collapsed="false">
      <c r="A7736" s="0" t="n">
        <v>7735</v>
      </c>
      <c r="B7736" s="14" t="n">
        <v>109824.276695393</v>
      </c>
      <c r="C7736" s="15" t="n">
        <v>0.0751997219016304</v>
      </c>
      <c r="D7736" s="14" t="n">
        <f aca="false">Summary!$B$5-B7736</f>
        <v>-9824.2766953925</v>
      </c>
      <c r="E7736" s="15" t="n">
        <f aca="false">B7736/Summary!$B$5-1</f>
        <v>0.098242766953925</v>
      </c>
    </row>
    <row r="7737" customFormat="false" ht="15" hidden="false" customHeight="false" outlineLevel="0" collapsed="false">
      <c r="A7737" s="0" t="n">
        <v>7736</v>
      </c>
      <c r="B7737" s="14" t="n">
        <v>107501.480936158</v>
      </c>
      <c r="C7737" s="15" t="n">
        <v>0.0820459596750057</v>
      </c>
      <c r="D7737" s="14" t="n">
        <f aca="false">Summary!$B$5-B7737</f>
        <v>-7501.4809361576</v>
      </c>
      <c r="E7737" s="15" t="n">
        <f aca="false">B7737/Summary!$B$5-1</f>
        <v>0.0750148093615761</v>
      </c>
    </row>
    <row r="7738" customFormat="false" ht="15" hidden="false" customHeight="false" outlineLevel="0" collapsed="false">
      <c r="A7738" s="0" t="n">
        <v>7737</v>
      </c>
      <c r="B7738" s="14" t="n">
        <v>133463.691858665</v>
      </c>
      <c r="C7738" s="15" t="n">
        <v>0.0516772265228656</v>
      </c>
      <c r="D7738" s="14" t="n">
        <f aca="false">Summary!$B$5-B7738</f>
        <v>-33463.6918586652</v>
      </c>
      <c r="E7738" s="15" t="n">
        <f aca="false">B7738/Summary!$B$5-1</f>
        <v>0.334636918586652</v>
      </c>
    </row>
    <row r="7739" customFormat="false" ht="15" hidden="false" customHeight="false" outlineLevel="0" collapsed="false">
      <c r="A7739" s="0" t="n">
        <v>7738</v>
      </c>
      <c r="B7739" s="14" t="n">
        <v>140983.271301124</v>
      </c>
      <c r="C7739" s="15" t="n">
        <v>0.0419639902475105</v>
      </c>
      <c r="D7739" s="14" t="n">
        <f aca="false">Summary!$B$5-B7739</f>
        <v>-40983.2713011243</v>
      </c>
      <c r="E7739" s="15" t="n">
        <f aca="false">B7739/Summary!$B$5-1</f>
        <v>0.409832713011243</v>
      </c>
    </row>
    <row r="7740" customFormat="false" ht="15" hidden="false" customHeight="false" outlineLevel="0" collapsed="false">
      <c r="A7740" s="0" t="n">
        <v>7739</v>
      </c>
      <c r="B7740" s="14" t="n">
        <v>119788.7330477</v>
      </c>
      <c r="C7740" s="15" t="n">
        <v>0.0961270093194847</v>
      </c>
      <c r="D7740" s="14" t="n">
        <f aca="false">Summary!$B$5-B7740</f>
        <v>-19788.7330477002</v>
      </c>
      <c r="E7740" s="15" t="n">
        <f aca="false">B7740/Summary!$B$5-1</f>
        <v>0.197887330477002</v>
      </c>
    </row>
    <row r="7741" customFormat="false" ht="15" hidden="false" customHeight="false" outlineLevel="0" collapsed="false">
      <c r="A7741" s="0" t="n">
        <v>7740</v>
      </c>
      <c r="B7741" s="14" t="n">
        <v>90352.527196218</v>
      </c>
      <c r="C7741" s="15" t="n">
        <v>0.156019820773272</v>
      </c>
      <c r="D7741" s="14" t="n">
        <f aca="false">Summary!$B$5-B7741</f>
        <v>9647.47280378203</v>
      </c>
      <c r="E7741" s="15" t="n">
        <f aca="false">B7741/Summary!$B$5-1</f>
        <v>-0.0964747280378203</v>
      </c>
    </row>
    <row r="7742" customFormat="false" ht="15" hidden="false" customHeight="false" outlineLevel="0" collapsed="false">
      <c r="A7742" s="0" t="n">
        <v>7741</v>
      </c>
      <c r="B7742" s="14" t="n">
        <v>110110.208829063</v>
      </c>
      <c r="C7742" s="15" t="n">
        <v>0.0705369657410707</v>
      </c>
      <c r="D7742" s="14" t="n">
        <f aca="false">Summary!$B$5-B7742</f>
        <v>-10110.2088290631</v>
      </c>
      <c r="E7742" s="15" t="n">
        <f aca="false">B7742/Summary!$B$5-1</f>
        <v>0.101102088290631</v>
      </c>
    </row>
    <row r="7743" customFormat="false" ht="15" hidden="false" customHeight="false" outlineLevel="0" collapsed="false">
      <c r="A7743" s="0" t="n">
        <v>7742</v>
      </c>
      <c r="B7743" s="14" t="n">
        <v>103413.961742762</v>
      </c>
      <c r="C7743" s="15" t="n">
        <v>0.12489055869724</v>
      </c>
      <c r="D7743" s="14" t="n">
        <f aca="false">Summary!$B$5-B7743</f>
        <v>-3413.9617427615</v>
      </c>
      <c r="E7743" s="15" t="n">
        <f aca="false">B7743/Summary!$B$5-1</f>
        <v>0.034139617427615</v>
      </c>
    </row>
    <row r="7744" customFormat="false" ht="15" hidden="false" customHeight="false" outlineLevel="0" collapsed="false">
      <c r="A7744" s="0" t="n">
        <v>7743</v>
      </c>
      <c r="B7744" s="14" t="n">
        <v>132964.0293933</v>
      </c>
      <c r="C7744" s="15" t="n">
        <v>0.0570254659228183</v>
      </c>
      <c r="D7744" s="14" t="n">
        <f aca="false">Summary!$B$5-B7744</f>
        <v>-32964.0293932997</v>
      </c>
      <c r="E7744" s="15" t="n">
        <f aca="false">B7744/Summary!$B$5-1</f>
        <v>0.329640293932997</v>
      </c>
    </row>
    <row r="7745" customFormat="false" ht="15" hidden="false" customHeight="false" outlineLevel="0" collapsed="false">
      <c r="A7745" s="0" t="n">
        <v>7744</v>
      </c>
      <c r="B7745" s="14" t="n">
        <v>104220.536876761</v>
      </c>
      <c r="C7745" s="15" t="n">
        <v>0.0939365767144299</v>
      </c>
      <c r="D7745" s="14" t="n">
        <f aca="false">Summary!$B$5-B7745</f>
        <v>-4220.5368767605</v>
      </c>
      <c r="E7745" s="15" t="n">
        <f aca="false">B7745/Summary!$B$5-1</f>
        <v>0.0422053687676049</v>
      </c>
    </row>
    <row r="7746" customFormat="false" ht="15" hidden="false" customHeight="false" outlineLevel="0" collapsed="false">
      <c r="A7746" s="0" t="n">
        <v>7745</v>
      </c>
      <c r="B7746" s="14" t="n">
        <v>102570.363343168</v>
      </c>
      <c r="C7746" s="15" t="n">
        <v>0.123696329963148</v>
      </c>
      <c r="D7746" s="14" t="n">
        <f aca="false">Summary!$B$5-B7746</f>
        <v>-2570.3633431677</v>
      </c>
      <c r="E7746" s="15" t="n">
        <f aca="false">B7746/Summary!$B$5-1</f>
        <v>0.0257036334316769</v>
      </c>
    </row>
    <row r="7747" customFormat="false" ht="15" hidden="false" customHeight="false" outlineLevel="0" collapsed="false">
      <c r="A7747" s="0" t="n">
        <v>7746</v>
      </c>
      <c r="B7747" s="14" t="n">
        <v>94164.4155301883</v>
      </c>
      <c r="C7747" s="15" t="n">
        <v>0.10522473245602</v>
      </c>
      <c r="D7747" s="14" t="n">
        <f aca="false">Summary!$B$5-B7747</f>
        <v>5835.5844698117</v>
      </c>
      <c r="E7747" s="15" t="n">
        <f aca="false">B7747/Summary!$B$5-1</f>
        <v>-0.0583558446981169</v>
      </c>
    </row>
    <row r="7748" customFormat="false" ht="15" hidden="false" customHeight="false" outlineLevel="0" collapsed="false">
      <c r="A7748" s="0" t="n">
        <v>7747</v>
      </c>
      <c r="B7748" s="14" t="n">
        <v>116988.445423244</v>
      </c>
      <c r="C7748" s="15" t="n">
        <v>0.0873575851909157</v>
      </c>
      <c r="D7748" s="14" t="n">
        <f aca="false">Summary!$B$5-B7748</f>
        <v>-16988.4454232438</v>
      </c>
      <c r="E7748" s="15" t="n">
        <f aca="false">B7748/Summary!$B$5-1</f>
        <v>0.169884454232438</v>
      </c>
    </row>
    <row r="7749" customFormat="false" ht="15" hidden="false" customHeight="false" outlineLevel="0" collapsed="false">
      <c r="A7749" s="0" t="n">
        <v>7748</v>
      </c>
      <c r="B7749" s="14" t="n">
        <v>117524.085102685</v>
      </c>
      <c r="C7749" s="15" t="n">
        <v>0.068309258149134</v>
      </c>
      <c r="D7749" s="14" t="n">
        <f aca="false">Summary!$B$5-B7749</f>
        <v>-17524.0851026851</v>
      </c>
      <c r="E7749" s="15" t="n">
        <f aca="false">B7749/Summary!$B$5-1</f>
        <v>0.175240851026851</v>
      </c>
    </row>
    <row r="7750" customFormat="false" ht="15" hidden="false" customHeight="false" outlineLevel="0" collapsed="false">
      <c r="A7750" s="0" t="n">
        <v>7749</v>
      </c>
      <c r="B7750" s="14" t="n">
        <v>112875.832090082</v>
      </c>
      <c r="C7750" s="15" t="n">
        <v>0.0805004437909103</v>
      </c>
      <c r="D7750" s="14" t="n">
        <f aca="false">Summary!$B$5-B7750</f>
        <v>-12875.832090082</v>
      </c>
      <c r="E7750" s="15" t="n">
        <f aca="false">B7750/Summary!$B$5-1</f>
        <v>0.12875832090082</v>
      </c>
    </row>
    <row r="7751" customFormat="false" ht="15" hidden="false" customHeight="false" outlineLevel="0" collapsed="false">
      <c r="A7751" s="0" t="n">
        <v>7750</v>
      </c>
      <c r="B7751" s="14" t="n">
        <v>122455.330075906</v>
      </c>
      <c r="C7751" s="15" t="n">
        <v>0.0603012644404668</v>
      </c>
      <c r="D7751" s="14" t="n">
        <f aca="false">Summary!$B$5-B7751</f>
        <v>-22455.3300759064</v>
      </c>
      <c r="E7751" s="15" t="n">
        <f aca="false">B7751/Summary!$B$5-1</f>
        <v>0.224553300759064</v>
      </c>
    </row>
    <row r="7752" customFormat="false" ht="15" hidden="false" customHeight="false" outlineLevel="0" collapsed="false">
      <c r="A7752" s="0" t="n">
        <v>7751</v>
      </c>
      <c r="B7752" s="14" t="n">
        <v>119828.337878977</v>
      </c>
      <c r="C7752" s="15" t="n">
        <v>0.0637949450670222</v>
      </c>
      <c r="D7752" s="14" t="n">
        <f aca="false">Summary!$B$5-B7752</f>
        <v>-19828.3378789767</v>
      </c>
      <c r="E7752" s="15" t="n">
        <f aca="false">B7752/Summary!$B$5-1</f>
        <v>0.198283378789767</v>
      </c>
    </row>
    <row r="7753" customFormat="false" ht="15" hidden="false" customHeight="false" outlineLevel="0" collapsed="false">
      <c r="A7753" s="0" t="n">
        <v>7752</v>
      </c>
      <c r="B7753" s="14" t="n">
        <v>107273.650777885</v>
      </c>
      <c r="C7753" s="15" t="n">
        <v>0.101730613261556</v>
      </c>
      <c r="D7753" s="14" t="n">
        <f aca="false">Summary!$B$5-B7753</f>
        <v>-7273.6507778854</v>
      </c>
      <c r="E7753" s="15" t="n">
        <f aca="false">B7753/Summary!$B$5-1</f>
        <v>0.072736507778854</v>
      </c>
    </row>
    <row r="7754" customFormat="false" ht="15" hidden="false" customHeight="false" outlineLevel="0" collapsed="false">
      <c r="A7754" s="0" t="n">
        <v>7753</v>
      </c>
      <c r="B7754" s="14" t="n">
        <v>111847.857008764</v>
      </c>
      <c r="C7754" s="15" t="n">
        <v>0.110803241408088</v>
      </c>
      <c r="D7754" s="14" t="n">
        <f aca="false">Summary!$B$5-B7754</f>
        <v>-11847.8570087637</v>
      </c>
      <c r="E7754" s="15" t="n">
        <f aca="false">B7754/Summary!$B$5-1</f>
        <v>0.118478570087637</v>
      </c>
    </row>
    <row r="7755" customFormat="false" ht="15" hidden="false" customHeight="false" outlineLevel="0" collapsed="false">
      <c r="A7755" s="0" t="n">
        <v>7754</v>
      </c>
      <c r="B7755" s="14" t="n">
        <v>122597.757282013</v>
      </c>
      <c r="C7755" s="15" t="n">
        <v>0.0593098662348039</v>
      </c>
      <c r="D7755" s="14" t="n">
        <f aca="false">Summary!$B$5-B7755</f>
        <v>-22597.7572820125</v>
      </c>
      <c r="E7755" s="15" t="n">
        <f aca="false">B7755/Summary!$B$5-1</f>
        <v>0.225977572820125</v>
      </c>
    </row>
    <row r="7756" customFormat="false" ht="15" hidden="false" customHeight="false" outlineLevel="0" collapsed="false">
      <c r="A7756" s="0" t="n">
        <v>7755</v>
      </c>
      <c r="B7756" s="14" t="n">
        <v>132123.012900649</v>
      </c>
      <c r="C7756" s="15" t="n">
        <v>0.0570137372593997</v>
      </c>
      <c r="D7756" s="14" t="n">
        <f aca="false">Summary!$B$5-B7756</f>
        <v>-32123.0129006492</v>
      </c>
      <c r="E7756" s="15" t="n">
        <f aca="false">B7756/Summary!$B$5-1</f>
        <v>0.321230129006492</v>
      </c>
    </row>
    <row r="7757" customFormat="false" ht="15" hidden="false" customHeight="false" outlineLevel="0" collapsed="false">
      <c r="A7757" s="0" t="n">
        <v>7756</v>
      </c>
      <c r="B7757" s="14" t="n">
        <v>97635.947699827</v>
      </c>
      <c r="C7757" s="15" t="n">
        <v>0.0806954022732354</v>
      </c>
      <c r="D7757" s="14" t="n">
        <f aca="false">Summary!$B$5-B7757</f>
        <v>2364.05230017302</v>
      </c>
      <c r="E7757" s="15" t="n">
        <f aca="false">B7757/Summary!$B$5-1</f>
        <v>-0.0236405230017301</v>
      </c>
    </row>
    <row r="7758" customFormat="false" ht="15" hidden="false" customHeight="false" outlineLevel="0" collapsed="false">
      <c r="A7758" s="0" t="n">
        <v>7757</v>
      </c>
      <c r="B7758" s="14" t="n">
        <v>89549.0975545106</v>
      </c>
      <c r="C7758" s="15" t="n">
        <v>0.214994739528884</v>
      </c>
      <c r="D7758" s="14" t="n">
        <f aca="false">Summary!$B$5-B7758</f>
        <v>10450.9024454894</v>
      </c>
      <c r="E7758" s="15" t="n">
        <f aca="false">B7758/Summary!$B$5-1</f>
        <v>-0.104509024454894</v>
      </c>
    </row>
    <row r="7759" customFormat="false" ht="15" hidden="false" customHeight="false" outlineLevel="0" collapsed="false">
      <c r="A7759" s="0" t="n">
        <v>7758</v>
      </c>
      <c r="B7759" s="14" t="n">
        <v>104324.374062821</v>
      </c>
      <c r="C7759" s="15" t="n">
        <v>0.117945362918196</v>
      </c>
      <c r="D7759" s="14" t="n">
        <f aca="false">Summary!$B$5-B7759</f>
        <v>-4324.3740628208</v>
      </c>
      <c r="E7759" s="15" t="n">
        <f aca="false">B7759/Summary!$B$5-1</f>
        <v>0.043243740628208</v>
      </c>
    </row>
    <row r="7760" customFormat="false" ht="15" hidden="false" customHeight="false" outlineLevel="0" collapsed="false">
      <c r="A7760" s="0" t="n">
        <v>7759</v>
      </c>
      <c r="B7760" s="14" t="n">
        <v>115893.102009917</v>
      </c>
      <c r="C7760" s="15" t="n">
        <v>0.0808339001985194</v>
      </c>
      <c r="D7760" s="14" t="n">
        <f aca="false">Summary!$B$5-B7760</f>
        <v>-15893.1020099167</v>
      </c>
      <c r="E7760" s="15" t="n">
        <f aca="false">B7760/Summary!$B$5-1</f>
        <v>0.158931020099167</v>
      </c>
    </row>
    <row r="7761" customFormat="false" ht="15" hidden="false" customHeight="false" outlineLevel="0" collapsed="false">
      <c r="A7761" s="0" t="n">
        <v>7760</v>
      </c>
      <c r="B7761" s="14" t="n">
        <v>121165.894246842</v>
      </c>
      <c r="C7761" s="15" t="n">
        <v>0.0543625668969482</v>
      </c>
      <c r="D7761" s="14" t="n">
        <f aca="false">Summary!$B$5-B7761</f>
        <v>-21165.894246842</v>
      </c>
      <c r="E7761" s="15" t="n">
        <f aca="false">B7761/Summary!$B$5-1</f>
        <v>0.21165894246842</v>
      </c>
    </row>
    <row r="7762" customFormat="false" ht="15" hidden="false" customHeight="false" outlineLevel="0" collapsed="false">
      <c r="A7762" s="0" t="n">
        <v>7761</v>
      </c>
      <c r="B7762" s="14" t="n">
        <v>105539.494382143</v>
      </c>
      <c r="C7762" s="15" t="n">
        <v>0.0786053648723951</v>
      </c>
      <c r="D7762" s="14" t="n">
        <f aca="false">Summary!$B$5-B7762</f>
        <v>-5539.49438214301</v>
      </c>
      <c r="E7762" s="15" t="n">
        <f aca="false">B7762/Summary!$B$5-1</f>
        <v>0.0553949438214301</v>
      </c>
    </row>
    <row r="7763" customFormat="false" ht="15" hidden="false" customHeight="false" outlineLevel="0" collapsed="false">
      <c r="A7763" s="0" t="n">
        <v>7762</v>
      </c>
      <c r="B7763" s="14" t="n">
        <v>111281.334205066</v>
      </c>
      <c r="C7763" s="15" t="n">
        <v>0.0792855114478478</v>
      </c>
      <c r="D7763" s="14" t="n">
        <f aca="false">Summary!$B$5-B7763</f>
        <v>-11281.3342050656</v>
      </c>
      <c r="E7763" s="15" t="n">
        <f aca="false">B7763/Summary!$B$5-1</f>
        <v>0.112813342050656</v>
      </c>
    </row>
    <row r="7764" customFormat="false" ht="15" hidden="false" customHeight="false" outlineLevel="0" collapsed="false">
      <c r="A7764" s="0" t="n">
        <v>7763</v>
      </c>
      <c r="B7764" s="14" t="n">
        <v>115023.478682885</v>
      </c>
      <c r="C7764" s="15" t="n">
        <v>0.0675602291065881</v>
      </c>
      <c r="D7764" s="14" t="n">
        <f aca="false">Summary!$B$5-B7764</f>
        <v>-15023.4786828849</v>
      </c>
      <c r="E7764" s="15" t="n">
        <f aca="false">B7764/Summary!$B$5-1</f>
        <v>0.150234786828849</v>
      </c>
    </row>
    <row r="7765" customFormat="false" ht="15" hidden="false" customHeight="false" outlineLevel="0" collapsed="false">
      <c r="A7765" s="0" t="n">
        <v>7764</v>
      </c>
      <c r="B7765" s="14" t="n">
        <v>100532.974983788</v>
      </c>
      <c r="C7765" s="15" t="n">
        <v>0.124301911122392</v>
      </c>
      <c r="D7765" s="14" t="n">
        <f aca="false">Summary!$B$5-B7765</f>
        <v>-532.974983788299</v>
      </c>
      <c r="E7765" s="15" t="n">
        <f aca="false">B7765/Summary!$B$5-1</f>
        <v>0.00532974983788304</v>
      </c>
    </row>
    <row r="7766" customFormat="false" ht="15" hidden="false" customHeight="false" outlineLevel="0" collapsed="false">
      <c r="A7766" s="0" t="n">
        <v>7765</v>
      </c>
      <c r="B7766" s="14" t="n">
        <v>93265.213695784</v>
      </c>
      <c r="C7766" s="15" t="n">
        <v>0.11645148200937</v>
      </c>
      <c r="D7766" s="14" t="n">
        <f aca="false">Summary!$B$5-B7766</f>
        <v>6734.78630421605</v>
      </c>
      <c r="E7766" s="15" t="n">
        <f aca="false">B7766/Summary!$B$5-1</f>
        <v>-0.0673478630421605</v>
      </c>
    </row>
    <row r="7767" customFormat="false" ht="15" hidden="false" customHeight="false" outlineLevel="0" collapsed="false">
      <c r="A7767" s="0" t="n">
        <v>7766</v>
      </c>
      <c r="B7767" s="14" t="n">
        <v>110720.932568157</v>
      </c>
      <c r="C7767" s="15" t="n">
        <v>0.0757231007174272</v>
      </c>
      <c r="D7767" s="14" t="n">
        <f aca="false">Summary!$B$5-B7767</f>
        <v>-10720.9325681571</v>
      </c>
      <c r="E7767" s="15" t="n">
        <f aca="false">B7767/Summary!$B$5-1</f>
        <v>0.107209325681571</v>
      </c>
    </row>
    <row r="7768" customFormat="false" ht="15" hidden="false" customHeight="false" outlineLevel="0" collapsed="false">
      <c r="A7768" s="0" t="n">
        <v>7767</v>
      </c>
      <c r="B7768" s="14" t="n">
        <v>129389.614895162</v>
      </c>
      <c r="C7768" s="15" t="n">
        <v>0.057214120338634</v>
      </c>
      <c r="D7768" s="14" t="n">
        <f aca="false">Summary!$B$5-B7768</f>
        <v>-29389.6148951624</v>
      </c>
      <c r="E7768" s="15" t="n">
        <f aca="false">B7768/Summary!$B$5-1</f>
        <v>0.293896148951624</v>
      </c>
    </row>
    <row r="7769" customFormat="false" ht="15" hidden="false" customHeight="false" outlineLevel="0" collapsed="false">
      <c r="A7769" s="0" t="n">
        <v>7768</v>
      </c>
      <c r="B7769" s="14" t="n">
        <v>107038.528671202</v>
      </c>
      <c r="C7769" s="15" t="n">
        <v>0.139166885429501</v>
      </c>
      <c r="D7769" s="14" t="n">
        <f aca="false">Summary!$B$5-B7769</f>
        <v>-7038.52867120149</v>
      </c>
      <c r="E7769" s="15" t="n">
        <f aca="false">B7769/Summary!$B$5-1</f>
        <v>0.0703852867120149</v>
      </c>
    </row>
    <row r="7770" customFormat="false" ht="15" hidden="false" customHeight="false" outlineLevel="0" collapsed="false">
      <c r="A7770" s="0" t="n">
        <v>7769</v>
      </c>
      <c r="B7770" s="14" t="n">
        <v>126908.018042947</v>
      </c>
      <c r="C7770" s="15" t="n">
        <v>0.0566222784964683</v>
      </c>
      <c r="D7770" s="14" t="n">
        <f aca="false">Summary!$B$5-B7770</f>
        <v>-26908.0180429468</v>
      </c>
      <c r="E7770" s="15" t="n">
        <f aca="false">B7770/Summary!$B$5-1</f>
        <v>0.269080180429468</v>
      </c>
    </row>
    <row r="7771" customFormat="false" ht="15" hidden="false" customHeight="false" outlineLevel="0" collapsed="false">
      <c r="A7771" s="0" t="n">
        <v>7770</v>
      </c>
      <c r="B7771" s="14" t="n">
        <v>94791.559240673</v>
      </c>
      <c r="C7771" s="15" t="n">
        <v>0.168927575371038</v>
      </c>
      <c r="D7771" s="14" t="n">
        <f aca="false">Summary!$B$5-B7771</f>
        <v>5208.44075932702</v>
      </c>
      <c r="E7771" s="15" t="n">
        <f aca="false">B7771/Summary!$B$5-1</f>
        <v>-0.0520844075932702</v>
      </c>
    </row>
    <row r="7772" customFormat="false" ht="15" hidden="false" customHeight="false" outlineLevel="0" collapsed="false">
      <c r="A7772" s="0" t="n">
        <v>7771</v>
      </c>
      <c r="B7772" s="14" t="n">
        <v>109647.851384119</v>
      </c>
      <c r="C7772" s="15" t="n">
        <v>0.0681355059658674</v>
      </c>
      <c r="D7772" s="14" t="n">
        <f aca="false">Summary!$B$5-B7772</f>
        <v>-9647.85138411869</v>
      </c>
      <c r="E7772" s="15" t="n">
        <f aca="false">B7772/Summary!$B$5-1</f>
        <v>0.096478513841187</v>
      </c>
    </row>
    <row r="7773" customFormat="false" ht="15" hidden="false" customHeight="false" outlineLevel="0" collapsed="false">
      <c r="A7773" s="0" t="n">
        <v>7772</v>
      </c>
      <c r="B7773" s="14" t="n">
        <v>123822.587336287</v>
      </c>
      <c r="C7773" s="15" t="n">
        <v>0.0625982831237552</v>
      </c>
      <c r="D7773" s="14" t="n">
        <f aca="false">Summary!$B$5-B7773</f>
        <v>-23822.5873362868</v>
      </c>
      <c r="E7773" s="15" t="n">
        <f aca="false">B7773/Summary!$B$5-1</f>
        <v>0.238225873362868</v>
      </c>
    </row>
    <row r="7774" customFormat="false" ht="15" hidden="false" customHeight="false" outlineLevel="0" collapsed="false">
      <c r="A7774" s="0" t="n">
        <v>7773</v>
      </c>
      <c r="B7774" s="14" t="n">
        <v>131454.045727867</v>
      </c>
      <c r="C7774" s="15" t="n">
        <v>0.0390881441502919</v>
      </c>
      <c r="D7774" s="14" t="n">
        <f aca="false">Summary!$B$5-B7774</f>
        <v>-31454.0457278665</v>
      </c>
      <c r="E7774" s="15" t="n">
        <f aca="false">B7774/Summary!$B$5-1</f>
        <v>0.314540457278665</v>
      </c>
    </row>
    <row r="7775" customFormat="false" ht="15" hidden="false" customHeight="false" outlineLevel="0" collapsed="false">
      <c r="A7775" s="0" t="n">
        <v>7774</v>
      </c>
      <c r="B7775" s="14" t="n">
        <v>96872.3394409123</v>
      </c>
      <c r="C7775" s="15" t="n">
        <v>0.122121538946797</v>
      </c>
      <c r="D7775" s="14" t="n">
        <f aca="false">Summary!$B$5-B7775</f>
        <v>3127.66055908773</v>
      </c>
      <c r="E7775" s="15" t="n">
        <f aca="false">B7775/Summary!$B$5-1</f>
        <v>-0.0312766055908773</v>
      </c>
    </row>
    <row r="7776" customFormat="false" ht="15" hidden="false" customHeight="false" outlineLevel="0" collapsed="false">
      <c r="A7776" s="0" t="n">
        <v>7775</v>
      </c>
      <c r="B7776" s="14" t="n">
        <v>124513.090446979</v>
      </c>
      <c r="C7776" s="15" t="n">
        <v>0.0493526559539124</v>
      </c>
      <c r="D7776" s="14" t="n">
        <f aca="false">Summary!$B$5-B7776</f>
        <v>-24513.0904469793</v>
      </c>
      <c r="E7776" s="15" t="n">
        <f aca="false">B7776/Summary!$B$5-1</f>
        <v>0.245130904469793</v>
      </c>
    </row>
    <row r="7777" customFormat="false" ht="15" hidden="false" customHeight="false" outlineLevel="0" collapsed="false">
      <c r="A7777" s="0" t="n">
        <v>7776</v>
      </c>
      <c r="B7777" s="14" t="n">
        <v>103096.956355843</v>
      </c>
      <c r="C7777" s="15" t="n">
        <v>0.0756454771551318</v>
      </c>
      <c r="D7777" s="14" t="n">
        <f aca="false">Summary!$B$5-B7777</f>
        <v>-3096.95635584299</v>
      </c>
      <c r="E7777" s="15" t="n">
        <f aca="false">B7777/Summary!$B$5-1</f>
        <v>0.0309695635584299</v>
      </c>
    </row>
    <row r="7778" customFormat="false" ht="15" hidden="false" customHeight="false" outlineLevel="0" collapsed="false">
      <c r="A7778" s="0" t="n">
        <v>7777</v>
      </c>
      <c r="B7778" s="14" t="n">
        <v>119262.833913199</v>
      </c>
      <c r="C7778" s="15" t="n">
        <v>0.0571575062273999</v>
      </c>
      <c r="D7778" s="14" t="n">
        <f aca="false">Summary!$B$5-B7778</f>
        <v>-19262.8339131994</v>
      </c>
      <c r="E7778" s="15" t="n">
        <f aca="false">B7778/Summary!$B$5-1</f>
        <v>0.192628339131994</v>
      </c>
    </row>
    <row r="7779" customFormat="false" ht="15" hidden="false" customHeight="false" outlineLevel="0" collapsed="false">
      <c r="A7779" s="0" t="n">
        <v>7778</v>
      </c>
      <c r="B7779" s="14" t="n">
        <v>108281.686099948</v>
      </c>
      <c r="C7779" s="15" t="n">
        <v>0.0917731054673906</v>
      </c>
      <c r="D7779" s="14" t="n">
        <f aca="false">Summary!$B$5-B7779</f>
        <v>-8281.6860999483</v>
      </c>
      <c r="E7779" s="15" t="n">
        <f aca="false">B7779/Summary!$B$5-1</f>
        <v>0.082816860999483</v>
      </c>
    </row>
    <row r="7780" customFormat="false" ht="15" hidden="false" customHeight="false" outlineLevel="0" collapsed="false">
      <c r="A7780" s="0" t="n">
        <v>7779</v>
      </c>
      <c r="B7780" s="14" t="n">
        <v>102048.209505892</v>
      </c>
      <c r="C7780" s="15" t="n">
        <v>0.0880655159731104</v>
      </c>
      <c r="D7780" s="14" t="n">
        <f aca="false">Summary!$B$5-B7780</f>
        <v>-2048.20950589189</v>
      </c>
      <c r="E7780" s="15" t="n">
        <f aca="false">B7780/Summary!$B$5-1</f>
        <v>0.0204820950589188</v>
      </c>
    </row>
    <row r="7781" customFormat="false" ht="15" hidden="false" customHeight="false" outlineLevel="0" collapsed="false">
      <c r="A7781" s="0" t="n">
        <v>7780</v>
      </c>
      <c r="B7781" s="14" t="n">
        <v>93741.5973564556</v>
      </c>
      <c r="C7781" s="15" t="n">
        <v>0.0924226506806766</v>
      </c>
      <c r="D7781" s="14" t="n">
        <f aca="false">Summary!$B$5-B7781</f>
        <v>6258.40264354443</v>
      </c>
      <c r="E7781" s="15" t="n">
        <f aca="false">B7781/Summary!$B$5-1</f>
        <v>-0.0625840264354443</v>
      </c>
    </row>
    <row r="7782" customFormat="false" ht="15" hidden="false" customHeight="false" outlineLevel="0" collapsed="false">
      <c r="A7782" s="0" t="n">
        <v>7781</v>
      </c>
      <c r="B7782" s="14" t="n">
        <v>91081.803776618</v>
      </c>
      <c r="C7782" s="15" t="n">
        <v>0.118355265141364</v>
      </c>
      <c r="D7782" s="14" t="n">
        <f aca="false">Summary!$B$5-B7782</f>
        <v>8918.19622338197</v>
      </c>
      <c r="E7782" s="15" t="n">
        <f aca="false">B7782/Summary!$B$5-1</f>
        <v>-0.0891819622338197</v>
      </c>
    </row>
    <row r="7783" customFormat="false" ht="15" hidden="false" customHeight="false" outlineLevel="0" collapsed="false">
      <c r="A7783" s="0" t="n">
        <v>7782</v>
      </c>
      <c r="B7783" s="14" t="n">
        <v>112673.535811697</v>
      </c>
      <c r="C7783" s="15" t="n">
        <v>0.0731103850194678</v>
      </c>
      <c r="D7783" s="14" t="n">
        <f aca="false">Summary!$B$5-B7783</f>
        <v>-12673.5358116967</v>
      </c>
      <c r="E7783" s="15" t="n">
        <f aca="false">B7783/Summary!$B$5-1</f>
        <v>0.126735358116967</v>
      </c>
    </row>
    <row r="7784" customFormat="false" ht="15" hidden="false" customHeight="false" outlineLevel="0" collapsed="false">
      <c r="A7784" s="0" t="n">
        <v>7783</v>
      </c>
      <c r="B7784" s="14" t="n">
        <v>116919.058065646</v>
      </c>
      <c r="C7784" s="15" t="n">
        <v>0.110943380185302</v>
      </c>
      <c r="D7784" s="14" t="n">
        <f aca="false">Summary!$B$5-B7784</f>
        <v>-16919.0580656455</v>
      </c>
      <c r="E7784" s="15" t="n">
        <f aca="false">B7784/Summary!$B$5-1</f>
        <v>0.169190580656455</v>
      </c>
    </row>
    <row r="7785" customFormat="false" ht="15" hidden="false" customHeight="false" outlineLevel="0" collapsed="false">
      <c r="A7785" s="0" t="n">
        <v>7784</v>
      </c>
      <c r="B7785" s="14" t="n">
        <v>88214.0040873252</v>
      </c>
      <c r="C7785" s="15" t="n">
        <v>0.141640125361757</v>
      </c>
      <c r="D7785" s="14" t="n">
        <f aca="false">Summary!$B$5-B7785</f>
        <v>11785.9959126748</v>
      </c>
      <c r="E7785" s="15" t="n">
        <f aca="false">B7785/Summary!$B$5-1</f>
        <v>-0.117859959126748</v>
      </c>
    </row>
    <row r="7786" customFormat="false" ht="15" hidden="false" customHeight="false" outlineLevel="0" collapsed="false">
      <c r="A7786" s="0" t="n">
        <v>7785</v>
      </c>
      <c r="B7786" s="14" t="n">
        <v>84346.4415694474</v>
      </c>
      <c r="C7786" s="15" t="n">
        <v>0.189554453882413</v>
      </c>
      <c r="D7786" s="14" t="n">
        <f aca="false">Summary!$B$5-B7786</f>
        <v>15653.5584305526</v>
      </c>
      <c r="E7786" s="15" t="n">
        <f aca="false">B7786/Summary!$B$5-1</f>
        <v>-0.156535584305526</v>
      </c>
    </row>
    <row r="7787" customFormat="false" ht="15" hidden="false" customHeight="false" outlineLevel="0" collapsed="false">
      <c r="A7787" s="0" t="n">
        <v>7786</v>
      </c>
      <c r="B7787" s="14" t="n">
        <v>94963.4191158182</v>
      </c>
      <c r="C7787" s="15" t="n">
        <v>0.162556903505584</v>
      </c>
      <c r="D7787" s="14" t="n">
        <f aca="false">Summary!$B$5-B7787</f>
        <v>5036.58088418178</v>
      </c>
      <c r="E7787" s="15" t="n">
        <f aca="false">B7787/Summary!$B$5-1</f>
        <v>-0.0503658088418177</v>
      </c>
    </row>
    <row r="7788" customFormat="false" ht="15" hidden="false" customHeight="false" outlineLevel="0" collapsed="false">
      <c r="A7788" s="0" t="n">
        <v>7787</v>
      </c>
      <c r="B7788" s="14" t="n">
        <v>120590.089839447</v>
      </c>
      <c r="C7788" s="15" t="n">
        <v>0.080640296675242</v>
      </c>
      <c r="D7788" s="14" t="n">
        <f aca="false">Summary!$B$5-B7788</f>
        <v>-20590.0898394473</v>
      </c>
      <c r="E7788" s="15" t="n">
        <f aca="false">B7788/Summary!$B$5-1</f>
        <v>0.205900898394473</v>
      </c>
    </row>
    <row r="7789" customFormat="false" ht="15" hidden="false" customHeight="false" outlineLevel="0" collapsed="false">
      <c r="A7789" s="0" t="n">
        <v>7788</v>
      </c>
      <c r="B7789" s="14" t="n">
        <v>127676.154601896</v>
      </c>
      <c r="C7789" s="15" t="n">
        <v>0.119764428432511</v>
      </c>
      <c r="D7789" s="14" t="n">
        <f aca="false">Summary!$B$5-B7789</f>
        <v>-27676.154601896</v>
      </c>
      <c r="E7789" s="15" t="n">
        <f aca="false">B7789/Summary!$B$5-1</f>
        <v>0.27676154601896</v>
      </c>
    </row>
    <row r="7790" customFormat="false" ht="15" hidden="false" customHeight="false" outlineLevel="0" collapsed="false">
      <c r="A7790" s="0" t="n">
        <v>7789</v>
      </c>
      <c r="B7790" s="14" t="n">
        <v>91624.4405854002</v>
      </c>
      <c r="C7790" s="15" t="n">
        <v>0.0948663138290613</v>
      </c>
      <c r="D7790" s="14" t="n">
        <f aca="false">Summary!$B$5-B7790</f>
        <v>8375.55941459985</v>
      </c>
      <c r="E7790" s="15" t="n">
        <f aca="false">B7790/Summary!$B$5-1</f>
        <v>-0.0837555941459984</v>
      </c>
    </row>
    <row r="7791" customFormat="false" ht="15" hidden="false" customHeight="false" outlineLevel="0" collapsed="false">
      <c r="A7791" s="0" t="n">
        <v>7790</v>
      </c>
      <c r="B7791" s="14" t="n">
        <v>99082.8041148811</v>
      </c>
      <c r="C7791" s="15" t="n">
        <v>0.125022083864263</v>
      </c>
      <c r="D7791" s="14" t="n">
        <f aca="false">Summary!$B$5-B7791</f>
        <v>917.195885118912</v>
      </c>
      <c r="E7791" s="15" t="n">
        <f aca="false">B7791/Summary!$B$5-1</f>
        <v>-0.00917195885118916</v>
      </c>
    </row>
    <row r="7792" customFormat="false" ht="15" hidden="false" customHeight="false" outlineLevel="0" collapsed="false">
      <c r="A7792" s="0" t="n">
        <v>7791</v>
      </c>
      <c r="B7792" s="14" t="n">
        <v>103845.684114967</v>
      </c>
      <c r="C7792" s="15" t="n">
        <v>0.134476569036252</v>
      </c>
      <c r="D7792" s="14" t="n">
        <f aca="false">Summary!$B$5-B7792</f>
        <v>-3845.6841149673</v>
      </c>
      <c r="E7792" s="15" t="n">
        <f aca="false">B7792/Summary!$B$5-1</f>
        <v>0.0384568411496731</v>
      </c>
    </row>
    <row r="7793" customFormat="false" ht="15" hidden="false" customHeight="false" outlineLevel="0" collapsed="false">
      <c r="A7793" s="0" t="n">
        <v>7792</v>
      </c>
      <c r="B7793" s="14" t="n">
        <v>114728.881646248</v>
      </c>
      <c r="C7793" s="15" t="n">
        <v>0.0910467052711419</v>
      </c>
      <c r="D7793" s="14" t="n">
        <f aca="false">Summary!$B$5-B7793</f>
        <v>-14728.8816462481</v>
      </c>
      <c r="E7793" s="15" t="n">
        <f aca="false">B7793/Summary!$B$5-1</f>
        <v>0.147288816462481</v>
      </c>
    </row>
    <row r="7794" customFormat="false" ht="15" hidden="false" customHeight="false" outlineLevel="0" collapsed="false">
      <c r="A7794" s="0" t="n">
        <v>7793</v>
      </c>
      <c r="B7794" s="14" t="n">
        <v>105397.263254139</v>
      </c>
      <c r="C7794" s="15" t="n">
        <v>0.0733275734569799</v>
      </c>
      <c r="D7794" s="14" t="n">
        <f aca="false">Summary!$B$5-B7794</f>
        <v>-5397.2632541386</v>
      </c>
      <c r="E7794" s="15" t="n">
        <f aca="false">B7794/Summary!$B$5-1</f>
        <v>0.0539726325413861</v>
      </c>
    </row>
    <row r="7795" customFormat="false" ht="15" hidden="false" customHeight="false" outlineLevel="0" collapsed="false">
      <c r="A7795" s="0" t="n">
        <v>7794</v>
      </c>
      <c r="B7795" s="14" t="n">
        <v>129901.483646685</v>
      </c>
      <c r="C7795" s="15" t="n">
        <v>0.125566248142622</v>
      </c>
      <c r="D7795" s="14" t="n">
        <f aca="false">Summary!$B$5-B7795</f>
        <v>-29901.4836466849</v>
      </c>
      <c r="E7795" s="15" t="n">
        <f aca="false">B7795/Summary!$B$5-1</f>
        <v>0.299014836466849</v>
      </c>
    </row>
    <row r="7796" customFormat="false" ht="15" hidden="false" customHeight="false" outlineLevel="0" collapsed="false">
      <c r="A7796" s="0" t="n">
        <v>7795</v>
      </c>
      <c r="B7796" s="14" t="n">
        <v>109069.488656914</v>
      </c>
      <c r="C7796" s="15" t="n">
        <v>0.0929051181056096</v>
      </c>
      <c r="D7796" s="14" t="n">
        <f aca="false">Summary!$B$5-B7796</f>
        <v>-9069.4886569136</v>
      </c>
      <c r="E7796" s="15" t="n">
        <f aca="false">B7796/Summary!$B$5-1</f>
        <v>0.0906948865691359</v>
      </c>
    </row>
    <row r="7797" customFormat="false" ht="15" hidden="false" customHeight="false" outlineLevel="0" collapsed="false">
      <c r="A7797" s="0" t="n">
        <v>7796</v>
      </c>
      <c r="B7797" s="14" t="n">
        <v>99467.4816537902</v>
      </c>
      <c r="C7797" s="15" t="n">
        <v>0.0966502487502026</v>
      </c>
      <c r="D7797" s="14" t="n">
        <f aca="false">Summary!$B$5-B7797</f>
        <v>532.518346209778</v>
      </c>
      <c r="E7797" s="15" t="n">
        <f aca="false">B7797/Summary!$B$5-1</f>
        <v>-0.00532518346209776</v>
      </c>
    </row>
    <row r="7798" customFormat="false" ht="15" hidden="false" customHeight="false" outlineLevel="0" collapsed="false">
      <c r="A7798" s="0" t="n">
        <v>7797</v>
      </c>
      <c r="B7798" s="14" t="n">
        <v>118014.174284418</v>
      </c>
      <c r="C7798" s="15" t="n">
        <v>0.0825267225382003</v>
      </c>
      <c r="D7798" s="14" t="n">
        <f aca="false">Summary!$B$5-B7798</f>
        <v>-18014.1742844183</v>
      </c>
      <c r="E7798" s="15" t="n">
        <f aca="false">B7798/Summary!$B$5-1</f>
        <v>0.180141742844183</v>
      </c>
    </row>
    <row r="7799" customFormat="false" ht="15" hidden="false" customHeight="false" outlineLevel="0" collapsed="false">
      <c r="A7799" s="0" t="n">
        <v>7798</v>
      </c>
      <c r="B7799" s="14" t="n">
        <v>104213.483205307</v>
      </c>
      <c r="C7799" s="15" t="n">
        <v>0.0624098963124282</v>
      </c>
      <c r="D7799" s="14" t="n">
        <f aca="false">Summary!$B$5-B7799</f>
        <v>-4213.4832053072</v>
      </c>
      <c r="E7799" s="15" t="n">
        <f aca="false">B7799/Summary!$B$5-1</f>
        <v>0.0421348320530721</v>
      </c>
    </row>
    <row r="7800" customFormat="false" ht="15" hidden="false" customHeight="false" outlineLevel="0" collapsed="false">
      <c r="A7800" s="0" t="n">
        <v>7799</v>
      </c>
      <c r="B7800" s="14" t="n">
        <v>93714.4424467899</v>
      </c>
      <c r="C7800" s="15" t="n">
        <v>0.138404652332455</v>
      </c>
      <c r="D7800" s="14" t="n">
        <f aca="false">Summary!$B$5-B7800</f>
        <v>6285.55755321015</v>
      </c>
      <c r="E7800" s="15" t="n">
        <f aca="false">B7800/Summary!$B$5-1</f>
        <v>-0.0628555755321015</v>
      </c>
    </row>
    <row r="7801" customFormat="false" ht="15" hidden="false" customHeight="false" outlineLevel="0" collapsed="false">
      <c r="A7801" s="0" t="n">
        <v>7800</v>
      </c>
      <c r="B7801" s="14" t="n">
        <v>99635.6889472673</v>
      </c>
      <c r="C7801" s="15" t="n">
        <v>0.0684691558806087</v>
      </c>
      <c r="D7801" s="14" t="n">
        <f aca="false">Summary!$B$5-B7801</f>
        <v>364.311052732664</v>
      </c>
      <c r="E7801" s="15" t="n">
        <f aca="false">B7801/Summary!$B$5-1</f>
        <v>-0.00364311052732669</v>
      </c>
    </row>
    <row r="7802" customFormat="false" ht="15" hidden="false" customHeight="false" outlineLevel="0" collapsed="false">
      <c r="A7802" s="0" t="n">
        <v>7801</v>
      </c>
      <c r="B7802" s="14" t="n">
        <v>105536.267895212</v>
      </c>
      <c r="C7802" s="15" t="n">
        <v>0.178495482107212</v>
      </c>
      <c r="D7802" s="14" t="n">
        <f aca="false">Summary!$B$5-B7802</f>
        <v>-5536.2678952115</v>
      </c>
      <c r="E7802" s="15" t="n">
        <f aca="false">B7802/Summary!$B$5-1</f>
        <v>0.0553626789521149</v>
      </c>
    </row>
    <row r="7803" customFormat="false" ht="15" hidden="false" customHeight="false" outlineLevel="0" collapsed="false">
      <c r="A7803" s="0" t="n">
        <v>7802</v>
      </c>
      <c r="B7803" s="14" t="n">
        <v>95153.2813209262</v>
      </c>
      <c r="C7803" s="15" t="n">
        <v>0.138294685716442</v>
      </c>
      <c r="D7803" s="14" t="n">
        <f aca="false">Summary!$B$5-B7803</f>
        <v>4846.71867907383</v>
      </c>
      <c r="E7803" s="15" t="n">
        <f aca="false">B7803/Summary!$B$5-1</f>
        <v>-0.0484671867907384</v>
      </c>
    </row>
    <row r="7804" customFormat="false" ht="15" hidden="false" customHeight="false" outlineLevel="0" collapsed="false">
      <c r="A7804" s="0" t="n">
        <v>7803</v>
      </c>
      <c r="B7804" s="14" t="n">
        <v>116697.826143658</v>
      </c>
      <c r="C7804" s="15" t="n">
        <v>0.0709632830591271</v>
      </c>
      <c r="D7804" s="14" t="n">
        <f aca="false">Summary!$B$5-B7804</f>
        <v>-16697.8261436579</v>
      </c>
      <c r="E7804" s="15" t="n">
        <f aca="false">B7804/Summary!$B$5-1</f>
        <v>0.166978261436579</v>
      </c>
    </row>
    <row r="7805" customFormat="false" ht="15" hidden="false" customHeight="false" outlineLevel="0" collapsed="false">
      <c r="A7805" s="0" t="n">
        <v>7804</v>
      </c>
      <c r="B7805" s="14" t="n">
        <v>108504.674836819</v>
      </c>
      <c r="C7805" s="15" t="n">
        <v>0.119116453066119</v>
      </c>
      <c r="D7805" s="14" t="n">
        <f aca="false">Summary!$B$5-B7805</f>
        <v>-8504.6748368188</v>
      </c>
      <c r="E7805" s="15" t="n">
        <f aca="false">B7805/Summary!$B$5-1</f>
        <v>0.085046748368188</v>
      </c>
    </row>
    <row r="7806" customFormat="false" ht="15" hidden="false" customHeight="false" outlineLevel="0" collapsed="false">
      <c r="A7806" s="0" t="n">
        <v>7805</v>
      </c>
      <c r="B7806" s="14" t="n">
        <v>95294.6738321015</v>
      </c>
      <c r="C7806" s="15" t="n">
        <v>0.0973546467273749</v>
      </c>
      <c r="D7806" s="14" t="n">
        <f aca="false">Summary!$B$5-B7806</f>
        <v>4705.32616789854</v>
      </c>
      <c r="E7806" s="15" t="n">
        <f aca="false">B7806/Summary!$B$5-1</f>
        <v>-0.0470532616789855</v>
      </c>
    </row>
    <row r="7807" customFormat="false" ht="15" hidden="false" customHeight="false" outlineLevel="0" collapsed="false">
      <c r="A7807" s="0" t="n">
        <v>7806</v>
      </c>
      <c r="B7807" s="14" t="n">
        <v>104091.091994199</v>
      </c>
      <c r="C7807" s="15" t="n">
        <v>0.0779489202673271</v>
      </c>
      <c r="D7807" s="14" t="n">
        <f aca="false">Summary!$B$5-B7807</f>
        <v>-4091.09199419941</v>
      </c>
      <c r="E7807" s="15" t="n">
        <f aca="false">B7807/Summary!$B$5-1</f>
        <v>0.0409109199419941</v>
      </c>
    </row>
    <row r="7808" customFormat="false" ht="15" hidden="false" customHeight="false" outlineLevel="0" collapsed="false">
      <c r="A7808" s="0" t="n">
        <v>7807</v>
      </c>
      <c r="B7808" s="14" t="n">
        <v>93644.5154703289</v>
      </c>
      <c r="C7808" s="15" t="n">
        <v>0.145433285740382</v>
      </c>
      <c r="D7808" s="14" t="n">
        <f aca="false">Summary!$B$5-B7808</f>
        <v>6355.48452967109</v>
      </c>
      <c r="E7808" s="15" t="n">
        <f aca="false">B7808/Summary!$B$5-1</f>
        <v>-0.0635548452967109</v>
      </c>
    </row>
    <row r="7809" customFormat="false" ht="15" hidden="false" customHeight="false" outlineLevel="0" collapsed="false">
      <c r="A7809" s="0" t="n">
        <v>7808</v>
      </c>
      <c r="B7809" s="14" t="n">
        <v>118072.531047866</v>
      </c>
      <c r="C7809" s="15" t="n">
        <v>0.0974461731996628</v>
      </c>
      <c r="D7809" s="14" t="n">
        <f aca="false">Summary!$B$5-B7809</f>
        <v>-18072.5310478658</v>
      </c>
      <c r="E7809" s="15" t="n">
        <f aca="false">B7809/Summary!$B$5-1</f>
        <v>0.180725310478658</v>
      </c>
    </row>
    <row r="7810" customFormat="false" ht="15" hidden="false" customHeight="false" outlineLevel="0" collapsed="false">
      <c r="A7810" s="0" t="n">
        <v>7809</v>
      </c>
      <c r="B7810" s="14" t="n">
        <v>106819.60172459</v>
      </c>
      <c r="C7810" s="15" t="n">
        <v>0.0526429489510141</v>
      </c>
      <c r="D7810" s="14" t="n">
        <f aca="false">Summary!$B$5-B7810</f>
        <v>-6819.60172458951</v>
      </c>
      <c r="E7810" s="15" t="n">
        <f aca="false">B7810/Summary!$B$5-1</f>
        <v>0.0681960172458951</v>
      </c>
    </row>
    <row r="7811" customFormat="false" ht="15" hidden="false" customHeight="false" outlineLevel="0" collapsed="false">
      <c r="A7811" s="0" t="n">
        <v>7810</v>
      </c>
      <c r="B7811" s="14" t="n">
        <v>112881.275925766</v>
      </c>
      <c r="C7811" s="15" t="n">
        <v>0.0709378575126417</v>
      </c>
      <c r="D7811" s="14" t="n">
        <f aca="false">Summary!$B$5-B7811</f>
        <v>-12881.2759257664</v>
      </c>
      <c r="E7811" s="15" t="n">
        <f aca="false">B7811/Summary!$B$5-1</f>
        <v>0.128812759257664</v>
      </c>
    </row>
    <row r="7812" customFormat="false" ht="15" hidden="false" customHeight="false" outlineLevel="0" collapsed="false">
      <c r="A7812" s="0" t="n">
        <v>7811</v>
      </c>
      <c r="B7812" s="14" t="n">
        <v>101324.177279166</v>
      </c>
      <c r="C7812" s="15" t="n">
        <v>0.124058348714536</v>
      </c>
      <c r="D7812" s="14" t="n">
        <f aca="false">Summary!$B$5-B7812</f>
        <v>-1324.17727916549</v>
      </c>
      <c r="E7812" s="15" t="n">
        <f aca="false">B7812/Summary!$B$5-1</f>
        <v>0.0132417727916549</v>
      </c>
    </row>
    <row r="7813" customFormat="false" ht="15" hidden="false" customHeight="false" outlineLevel="0" collapsed="false">
      <c r="A7813" s="0" t="n">
        <v>7812</v>
      </c>
      <c r="B7813" s="14" t="n">
        <v>125388.334745497</v>
      </c>
      <c r="C7813" s="15" t="n">
        <v>0.0643399245932426</v>
      </c>
      <c r="D7813" s="14" t="n">
        <f aca="false">Summary!$B$5-B7813</f>
        <v>-25388.334745497</v>
      </c>
      <c r="E7813" s="15" t="n">
        <f aca="false">B7813/Summary!$B$5-1</f>
        <v>0.25388334745497</v>
      </c>
    </row>
    <row r="7814" customFormat="false" ht="15" hidden="false" customHeight="false" outlineLevel="0" collapsed="false">
      <c r="A7814" s="0" t="n">
        <v>7813</v>
      </c>
      <c r="B7814" s="14" t="n">
        <v>126871.420954832</v>
      </c>
      <c r="C7814" s="15" t="n">
        <v>0.128816465688232</v>
      </c>
      <c r="D7814" s="14" t="n">
        <f aca="false">Summary!$B$5-B7814</f>
        <v>-26871.4209548316</v>
      </c>
      <c r="E7814" s="15" t="n">
        <f aca="false">B7814/Summary!$B$5-1</f>
        <v>0.268714209548316</v>
      </c>
    </row>
    <row r="7815" customFormat="false" ht="15" hidden="false" customHeight="false" outlineLevel="0" collapsed="false">
      <c r="A7815" s="0" t="n">
        <v>7814</v>
      </c>
      <c r="B7815" s="14" t="n">
        <v>108504.060784215</v>
      </c>
      <c r="C7815" s="15" t="n">
        <v>0.0686625880852122</v>
      </c>
      <c r="D7815" s="14" t="n">
        <f aca="false">Summary!$B$5-B7815</f>
        <v>-8504.0607842148</v>
      </c>
      <c r="E7815" s="15" t="n">
        <f aca="false">B7815/Summary!$B$5-1</f>
        <v>0.085040607842148</v>
      </c>
    </row>
    <row r="7816" customFormat="false" ht="15" hidden="false" customHeight="false" outlineLevel="0" collapsed="false">
      <c r="A7816" s="0" t="n">
        <v>7815</v>
      </c>
      <c r="B7816" s="14" t="n">
        <v>102962.84581743</v>
      </c>
      <c r="C7816" s="15" t="n">
        <v>0.0823005128579197</v>
      </c>
      <c r="D7816" s="14" t="n">
        <f aca="false">Summary!$B$5-B7816</f>
        <v>-2962.8458174297</v>
      </c>
      <c r="E7816" s="15" t="n">
        <f aca="false">B7816/Summary!$B$5-1</f>
        <v>0.0296284581742969</v>
      </c>
    </row>
    <row r="7817" customFormat="false" ht="15" hidden="false" customHeight="false" outlineLevel="0" collapsed="false">
      <c r="A7817" s="0" t="n">
        <v>7816</v>
      </c>
      <c r="B7817" s="14" t="n">
        <v>90853.4273319577</v>
      </c>
      <c r="C7817" s="15" t="n">
        <v>0.178580983081829</v>
      </c>
      <c r="D7817" s="14" t="n">
        <f aca="false">Summary!$B$5-B7817</f>
        <v>9146.57266804233</v>
      </c>
      <c r="E7817" s="15" t="n">
        <f aca="false">B7817/Summary!$B$5-1</f>
        <v>-0.0914657266804233</v>
      </c>
    </row>
    <row r="7818" customFormat="false" ht="15" hidden="false" customHeight="false" outlineLevel="0" collapsed="false">
      <c r="A7818" s="0" t="n">
        <v>7817</v>
      </c>
      <c r="B7818" s="14" t="n">
        <v>133906.46203467</v>
      </c>
      <c r="C7818" s="15" t="n">
        <v>0.0823495493077101</v>
      </c>
      <c r="D7818" s="14" t="n">
        <f aca="false">Summary!$B$5-B7818</f>
        <v>-33906.4620346696</v>
      </c>
      <c r="E7818" s="15" t="n">
        <f aca="false">B7818/Summary!$B$5-1</f>
        <v>0.339064620346696</v>
      </c>
    </row>
    <row r="7819" customFormat="false" ht="15" hidden="false" customHeight="false" outlineLevel="0" collapsed="false">
      <c r="A7819" s="0" t="n">
        <v>7818</v>
      </c>
      <c r="B7819" s="14" t="n">
        <v>118534.2565544</v>
      </c>
      <c r="C7819" s="15" t="n">
        <v>0.0612897688197315</v>
      </c>
      <c r="D7819" s="14" t="n">
        <f aca="false">Summary!$B$5-B7819</f>
        <v>-18534.2565543998</v>
      </c>
      <c r="E7819" s="15" t="n">
        <f aca="false">B7819/Summary!$B$5-1</f>
        <v>0.185342565543998</v>
      </c>
    </row>
    <row r="7820" customFormat="false" ht="15" hidden="false" customHeight="false" outlineLevel="0" collapsed="false">
      <c r="A7820" s="0" t="n">
        <v>7819</v>
      </c>
      <c r="B7820" s="14" t="n">
        <v>109681.083524625</v>
      </c>
      <c r="C7820" s="15" t="n">
        <v>0.0836865042526996</v>
      </c>
      <c r="D7820" s="14" t="n">
        <f aca="false">Summary!$B$5-B7820</f>
        <v>-9681.08352462501</v>
      </c>
      <c r="E7820" s="15" t="n">
        <f aca="false">B7820/Summary!$B$5-1</f>
        <v>0.09681083524625</v>
      </c>
    </row>
    <row r="7821" customFormat="false" ht="15" hidden="false" customHeight="false" outlineLevel="0" collapsed="false">
      <c r="A7821" s="0" t="n">
        <v>7820</v>
      </c>
      <c r="B7821" s="14" t="n">
        <v>113034.744926907</v>
      </c>
      <c r="C7821" s="15" t="n">
        <v>0.0680128680403428</v>
      </c>
      <c r="D7821" s="14" t="n">
        <f aca="false">Summary!$B$5-B7821</f>
        <v>-13034.7449269067</v>
      </c>
      <c r="E7821" s="15" t="n">
        <f aca="false">B7821/Summary!$B$5-1</f>
        <v>0.130347449269067</v>
      </c>
    </row>
    <row r="7822" customFormat="false" ht="15" hidden="false" customHeight="false" outlineLevel="0" collapsed="false">
      <c r="A7822" s="0" t="n">
        <v>7821</v>
      </c>
      <c r="B7822" s="14" t="n">
        <v>129487.087218547</v>
      </c>
      <c r="C7822" s="15" t="n">
        <v>0.0787164615317418</v>
      </c>
      <c r="D7822" s="14" t="n">
        <f aca="false">Summary!$B$5-B7822</f>
        <v>-29487.0872185467</v>
      </c>
      <c r="E7822" s="15" t="n">
        <f aca="false">B7822/Summary!$B$5-1</f>
        <v>0.294870872185467</v>
      </c>
    </row>
    <row r="7823" customFormat="false" ht="15" hidden="false" customHeight="false" outlineLevel="0" collapsed="false">
      <c r="A7823" s="0" t="n">
        <v>7822</v>
      </c>
      <c r="B7823" s="14" t="n">
        <v>91392.6097906359</v>
      </c>
      <c r="C7823" s="15" t="n">
        <v>0.175759493466742</v>
      </c>
      <c r="D7823" s="14" t="n">
        <f aca="false">Summary!$B$5-B7823</f>
        <v>8607.39020936415</v>
      </c>
      <c r="E7823" s="15" t="n">
        <f aca="false">B7823/Summary!$B$5-1</f>
        <v>-0.0860739020936415</v>
      </c>
    </row>
    <row r="7824" customFormat="false" ht="15" hidden="false" customHeight="false" outlineLevel="0" collapsed="false">
      <c r="A7824" s="0" t="n">
        <v>7823</v>
      </c>
      <c r="B7824" s="14" t="n">
        <v>107217.671510526</v>
      </c>
      <c r="C7824" s="15" t="n">
        <v>0.0811292708409531</v>
      </c>
      <c r="D7824" s="14" t="n">
        <f aca="false">Summary!$B$5-B7824</f>
        <v>-7217.6715105262</v>
      </c>
      <c r="E7824" s="15" t="n">
        <f aca="false">B7824/Summary!$B$5-1</f>
        <v>0.0721767151052619</v>
      </c>
    </row>
    <row r="7825" customFormat="false" ht="15" hidden="false" customHeight="false" outlineLevel="0" collapsed="false">
      <c r="A7825" s="0" t="n">
        <v>7824</v>
      </c>
      <c r="B7825" s="14" t="n">
        <v>118515.264757671</v>
      </c>
      <c r="C7825" s="15" t="n">
        <v>0.109000544641678</v>
      </c>
      <c r="D7825" s="14" t="n">
        <f aca="false">Summary!$B$5-B7825</f>
        <v>-18515.2647576712</v>
      </c>
      <c r="E7825" s="15" t="n">
        <f aca="false">B7825/Summary!$B$5-1</f>
        <v>0.185152647576712</v>
      </c>
    </row>
    <row r="7826" customFormat="false" ht="15" hidden="false" customHeight="false" outlineLevel="0" collapsed="false">
      <c r="A7826" s="0" t="n">
        <v>7825</v>
      </c>
      <c r="B7826" s="14" t="n">
        <v>101260.769893647</v>
      </c>
      <c r="C7826" s="15" t="n">
        <v>0.107253256266528</v>
      </c>
      <c r="D7826" s="14" t="n">
        <f aca="false">Summary!$B$5-B7826</f>
        <v>-1260.76989364671</v>
      </c>
      <c r="E7826" s="15" t="n">
        <f aca="false">B7826/Summary!$B$5-1</f>
        <v>0.012607698936467</v>
      </c>
    </row>
    <row r="7827" customFormat="false" ht="15" hidden="false" customHeight="false" outlineLevel="0" collapsed="false">
      <c r="A7827" s="0" t="n">
        <v>7826</v>
      </c>
      <c r="B7827" s="14" t="n">
        <v>103051.784882667</v>
      </c>
      <c r="C7827" s="15" t="n">
        <v>0.0860464926985466</v>
      </c>
      <c r="D7827" s="14" t="n">
        <f aca="false">Summary!$B$5-B7827</f>
        <v>-3051.78488266699</v>
      </c>
      <c r="E7827" s="15" t="n">
        <f aca="false">B7827/Summary!$B$5-1</f>
        <v>0.03051784882667</v>
      </c>
    </row>
    <row r="7828" customFormat="false" ht="15" hidden="false" customHeight="false" outlineLevel="0" collapsed="false">
      <c r="A7828" s="0" t="n">
        <v>7827</v>
      </c>
      <c r="B7828" s="14" t="n">
        <v>92427.8979697185</v>
      </c>
      <c r="C7828" s="15" t="n">
        <v>0.109237597886695</v>
      </c>
      <c r="D7828" s="14" t="n">
        <f aca="false">Summary!$B$5-B7828</f>
        <v>7572.10203028146</v>
      </c>
      <c r="E7828" s="15" t="n">
        <f aca="false">B7828/Summary!$B$5-1</f>
        <v>-0.0757210203028146</v>
      </c>
    </row>
    <row r="7829" customFormat="false" ht="15" hidden="false" customHeight="false" outlineLevel="0" collapsed="false">
      <c r="A7829" s="0" t="n">
        <v>7828</v>
      </c>
      <c r="B7829" s="14" t="n">
        <v>96704.9049123383</v>
      </c>
      <c r="C7829" s="15" t="n">
        <v>0.11600681323386</v>
      </c>
      <c r="D7829" s="14" t="n">
        <f aca="false">Summary!$B$5-B7829</f>
        <v>3295.09508766167</v>
      </c>
      <c r="E7829" s="15" t="n">
        <f aca="false">B7829/Summary!$B$5-1</f>
        <v>-0.0329509508766167</v>
      </c>
    </row>
    <row r="7830" customFormat="false" ht="15" hidden="false" customHeight="false" outlineLevel="0" collapsed="false">
      <c r="A7830" s="0" t="n">
        <v>7829</v>
      </c>
      <c r="B7830" s="14" t="n">
        <v>99129.9595267629</v>
      </c>
      <c r="C7830" s="15" t="n">
        <v>0.125040382973403</v>
      </c>
      <c r="D7830" s="14" t="n">
        <f aca="false">Summary!$B$5-B7830</f>
        <v>870.040473237124</v>
      </c>
      <c r="E7830" s="15" t="n">
        <f aca="false">B7830/Summary!$B$5-1</f>
        <v>-0.00870040473237121</v>
      </c>
    </row>
    <row r="7831" customFormat="false" ht="15" hidden="false" customHeight="false" outlineLevel="0" collapsed="false">
      <c r="A7831" s="0" t="n">
        <v>7830</v>
      </c>
      <c r="B7831" s="14" t="n">
        <v>99546.8486370371</v>
      </c>
      <c r="C7831" s="15" t="n">
        <v>0.0768246079983821</v>
      </c>
      <c r="D7831" s="14" t="n">
        <f aca="false">Summary!$B$5-B7831</f>
        <v>453.151362962934</v>
      </c>
      <c r="E7831" s="15" t="n">
        <f aca="false">B7831/Summary!$B$5-1</f>
        <v>-0.00453151362962934</v>
      </c>
    </row>
    <row r="7832" customFormat="false" ht="15" hidden="false" customHeight="false" outlineLevel="0" collapsed="false">
      <c r="A7832" s="0" t="n">
        <v>7831</v>
      </c>
      <c r="B7832" s="14" t="n">
        <v>102668.274459222</v>
      </c>
      <c r="C7832" s="15" t="n">
        <v>0.0963793406756522</v>
      </c>
      <c r="D7832" s="14" t="n">
        <f aca="false">Summary!$B$5-B7832</f>
        <v>-2668.2744592224</v>
      </c>
      <c r="E7832" s="15" t="n">
        <f aca="false">B7832/Summary!$B$5-1</f>
        <v>0.026682744592224</v>
      </c>
    </row>
    <row r="7833" customFormat="false" ht="15" hidden="false" customHeight="false" outlineLevel="0" collapsed="false">
      <c r="A7833" s="0" t="n">
        <v>7832</v>
      </c>
      <c r="B7833" s="14" t="n">
        <v>117343.469978422</v>
      </c>
      <c r="C7833" s="15" t="n">
        <v>0.0747368513375024</v>
      </c>
      <c r="D7833" s="14" t="n">
        <f aca="false">Summary!$B$5-B7833</f>
        <v>-17343.4699784215</v>
      </c>
      <c r="E7833" s="15" t="n">
        <f aca="false">B7833/Summary!$B$5-1</f>
        <v>0.173434699784215</v>
      </c>
    </row>
    <row r="7834" customFormat="false" ht="15" hidden="false" customHeight="false" outlineLevel="0" collapsed="false">
      <c r="A7834" s="0" t="n">
        <v>7833</v>
      </c>
      <c r="B7834" s="14" t="n">
        <v>102987.867659884</v>
      </c>
      <c r="C7834" s="15" t="n">
        <v>0.0979081582359705</v>
      </c>
      <c r="D7834" s="14" t="n">
        <f aca="false">Summary!$B$5-B7834</f>
        <v>-2987.8676598841</v>
      </c>
      <c r="E7834" s="15" t="n">
        <f aca="false">B7834/Summary!$B$5-1</f>
        <v>0.029878676598841</v>
      </c>
    </row>
    <row r="7835" customFormat="false" ht="15" hidden="false" customHeight="false" outlineLevel="0" collapsed="false">
      <c r="A7835" s="0" t="n">
        <v>7834</v>
      </c>
      <c r="B7835" s="14" t="n">
        <v>88052.7153360492</v>
      </c>
      <c r="C7835" s="15" t="n">
        <v>0.18873592460886</v>
      </c>
      <c r="D7835" s="14" t="n">
        <f aca="false">Summary!$B$5-B7835</f>
        <v>11947.2846639508</v>
      </c>
      <c r="E7835" s="15" t="n">
        <f aca="false">B7835/Summary!$B$5-1</f>
        <v>-0.119472846639508</v>
      </c>
    </row>
    <row r="7836" customFormat="false" ht="15" hidden="false" customHeight="false" outlineLevel="0" collapsed="false">
      <c r="A7836" s="0" t="n">
        <v>7835</v>
      </c>
      <c r="B7836" s="14" t="n">
        <v>119941.970155879</v>
      </c>
      <c r="C7836" s="15" t="n">
        <v>0.127703746334179</v>
      </c>
      <c r="D7836" s="14" t="n">
        <f aca="false">Summary!$B$5-B7836</f>
        <v>-19941.9701558787</v>
      </c>
      <c r="E7836" s="15" t="n">
        <f aca="false">B7836/Summary!$B$5-1</f>
        <v>0.199419701558787</v>
      </c>
    </row>
    <row r="7837" customFormat="false" ht="15" hidden="false" customHeight="false" outlineLevel="0" collapsed="false">
      <c r="A7837" s="0" t="n">
        <v>7836</v>
      </c>
      <c r="B7837" s="14" t="n">
        <v>106505.724519403</v>
      </c>
      <c r="C7837" s="15" t="n">
        <v>0.105254136910842</v>
      </c>
      <c r="D7837" s="14" t="n">
        <f aca="false">Summary!$B$5-B7837</f>
        <v>-6505.7245194034</v>
      </c>
      <c r="E7837" s="15" t="n">
        <f aca="false">B7837/Summary!$B$5-1</f>
        <v>0.0650572451940341</v>
      </c>
    </row>
    <row r="7838" customFormat="false" ht="15" hidden="false" customHeight="false" outlineLevel="0" collapsed="false">
      <c r="A7838" s="0" t="n">
        <v>7837</v>
      </c>
      <c r="B7838" s="14" t="n">
        <v>129701.585821122</v>
      </c>
      <c r="C7838" s="15" t="n">
        <v>0.0591442742702785</v>
      </c>
      <c r="D7838" s="14" t="n">
        <f aca="false">Summary!$B$5-B7838</f>
        <v>-29701.5858211216</v>
      </c>
      <c r="E7838" s="15" t="n">
        <f aca="false">B7838/Summary!$B$5-1</f>
        <v>0.297015858211216</v>
      </c>
    </row>
    <row r="7839" customFormat="false" ht="15" hidden="false" customHeight="false" outlineLevel="0" collapsed="false">
      <c r="A7839" s="0" t="n">
        <v>7838</v>
      </c>
      <c r="B7839" s="14" t="n">
        <v>105117.882304773</v>
      </c>
      <c r="C7839" s="15" t="n">
        <v>0.0776164163074343</v>
      </c>
      <c r="D7839" s="14" t="n">
        <f aca="false">Summary!$B$5-B7839</f>
        <v>-5117.88230477271</v>
      </c>
      <c r="E7839" s="15" t="n">
        <f aca="false">B7839/Summary!$B$5-1</f>
        <v>0.051178823047727</v>
      </c>
    </row>
    <row r="7840" customFormat="false" ht="15" hidden="false" customHeight="false" outlineLevel="0" collapsed="false">
      <c r="A7840" s="0" t="n">
        <v>7839</v>
      </c>
      <c r="B7840" s="14" t="n">
        <v>112628.203937231</v>
      </c>
      <c r="C7840" s="15" t="n">
        <v>0.0676406097085519</v>
      </c>
      <c r="D7840" s="14" t="n">
        <f aca="false">Summary!$B$5-B7840</f>
        <v>-12628.2039372312</v>
      </c>
      <c r="E7840" s="15" t="n">
        <f aca="false">B7840/Summary!$B$5-1</f>
        <v>0.126282039372312</v>
      </c>
    </row>
    <row r="7841" customFormat="false" ht="15" hidden="false" customHeight="false" outlineLevel="0" collapsed="false">
      <c r="A7841" s="0" t="n">
        <v>7840</v>
      </c>
      <c r="B7841" s="14" t="n">
        <v>100278.003368045</v>
      </c>
      <c r="C7841" s="15" t="n">
        <v>0.0873026304718216</v>
      </c>
      <c r="D7841" s="14" t="n">
        <f aca="false">Summary!$B$5-B7841</f>
        <v>-278.003368045305</v>
      </c>
      <c r="E7841" s="15" t="n">
        <f aca="false">B7841/Summary!$B$5-1</f>
        <v>0.0027800336804531</v>
      </c>
    </row>
    <row r="7842" customFormat="false" ht="15" hidden="false" customHeight="false" outlineLevel="0" collapsed="false">
      <c r="A7842" s="0" t="n">
        <v>7841</v>
      </c>
      <c r="B7842" s="14" t="n">
        <v>94521.2621620408</v>
      </c>
      <c r="C7842" s="15" t="n">
        <v>0.114087761918605</v>
      </c>
      <c r="D7842" s="14" t="n">
        <f aca="false">Summary!$B$5-B7842</f>
        <v>5478.73783795921</v>
      </c>
      <c r="E7842" s="15" t="n">
        <f aca="false">B7842/Summary!$B$5-1</f>
        <v>-0.0547873783795921</v>
      </c>
    </row>
    <row r="7843" customFormat="false" ht="15" hidden="false" customHeight="false" outlineLevel="0" collapsed="false">
      <c r="A7843" s="0" t="n">
        <v>7842</v>
      </c>
      <c r="B7843" s="14" t="n">
        <v>94846.2141242225</v>
      </c>
      <c r="C7843" s="15" t="n">
        <v>0.121882516002182</v>
      </c>
      <c r="D7843" s="14" t="n">
        <f aca="false">Summary!$B$5-B7843</f>
        <v>5153.78587577748</v>
      </c>
      <c r="E7843" s="15" t="n">
        <f aca="false">B7843/Summary!$B$5-1</f>
        <v>-0.0515378587577748</v>
      </c>
    </row>
    <row r="7844" customFormat="false" ht="15" hidden="false" customHeight="false" outlineLevel="0" collapsed="false">
      <c r="A7844" s="0" t="n">
        <v>7843</v>
      </c>
      <c r="B7844" s="14" t="n">
        <v>104190.698957076</v>
      </c>
      <c r="C7844" s="15" t="n">
        <v>0.0916980910822057</v>
      </c>
      <c r="D7844" s="14" t="n">
        <f aca="false">Summary!$B$5-B7844</f>
        <v>-4190.6989570763</v>
      </c>
      <c r="E7844" s="15" t="n">
        <f aca="false">B7844/Summary!$B$5-1</f>
        <v>0.0419069895707629</v>
      </c>
    </row>
    <row r="7845" customFormat="false" ht="15" hidden="false" customHeight="false" outlineLevel="0" collapsed="false">
      <c r="A7845" s="0" t="n">
        <v>7844</v>
      </c>
      <c r="B7845" s="14" t="n">
        <v>108291.938976775</v>
      </c>
      <c r="C7845" s="15" t="n">
        <v>0.0682809360984137</v>
      </c>
      <c r="D7845" s="14" t="n">
        <f aca="false">Summary!$B$5-B7845</f>
        <v>-8291.93897677471</v>
      </c>
      <c r="E7845" s="15" t="n">
        <f aca="false">B7845/Summary!$B$5-1</f>
        <v>0.0829193897677472</v>
      </c>
    </row>
    <row r="7846" customFormat="false" ht="15" hidden="false" customHeight="false" outlineLevel="0" collapsed="false">
      <c r="A7846" s="0" t="n">
        <v>7845</v>
      </c>
      <c r="B7846" s="14" t="n">
        <v>94423.316883024</v>
      </c>
      <c r="C7846" s="15" t="n">
        <v>0.115574983343056</v>
      </c>
      <c r="D7846" s="14" t="n">
        <f aca="false">Summary!$B$5-B7846</f>
        <v>5576.68311697603</v>
      </c>
      <c r="E7846" s="15" t="n">
        <f aca="false">B7846/Summary!$B$5-1</f>
        <v>-0.0557668311697602</v>
      </c>
    </row>
    <row r="7847" customFormat="false" ht="15" hidden="false" customHeight="false" outlineLevel="0" collapsed="false">
      <c r="A7847" s="0" t="n">
        <v>7846</v>
      </c>
      <c r="B7847" s="14" t="n">
        <v>98953.9852055521</v>
      </c>
      <c r="C7847" s="15" t="n">
        <v>0.078016166606889</v>
      </c>
      <c r="D7847" s="14" t="n">
        <f aca="false">Summary!$B$5-B7847</f>
        <v>1046.01479444793</v>
      </c>
      <c r="E7847" s="15" t="n">
        <f aca="false">B7847/Summary!$B$5-1</f>
        <v>-0.0104601479444792</v>
      </c>
    </row>
    <row r="7848" customFormat="false" ht="15" hidden="false" customHeight="false" outlineLevel="0" collapsed="false">
      <c r="A7848" s="0" t="n">
        <v>7847</v>
      </c>
      <c r="B7848" s="14" t="n">
        <v>107447.635724086</v>
      </c>
      <c r="C7848" s="15" t="n">
        <v>0.0919829650976747</v>
      </c>
      <c r="D7848" s="14" t="n">
        <f aca="false">Summary!$B$5-B7848</f>
        <v>-7447.6357240856</v>
      </c>
      <c r="E7848" s="15" t="n">
        <f aca="false">B7848/Summary!$B$5-1</f>
        <v>0.074476357240856</v>
      </c>
    </row>
    <row r="7849" customFormat="false" ht="15" hidden="false" customHeight="false" outlineLevel="0" collapsed="false">
      <c r="A7849" s="0" t="n">
        <v>7848</v>
      </c>
      <c r="B7849" s="14" t="n">
        <v>117270.279265699</v>
      </c>
      <c r="C7849" s="15" t="n">
        <v>0.0785435407920839</v>
      </c>
      <c r="D7849" s="14" t="n">
        <f aca="false">Summary!$B$5-B7849</f>
        <v>-17270.2792656993</v>
      </c>
      <c r="E7849" s="15" t="n">
        <f aca="false">B7849/Summary!$B$5-1</f>
        <v>0.172702792656993</v>
      </c>
    </row>
    <row r="7850" customFormat="false" ht="15" hidden="false" customHeight="false" outlineLevel="0" collapsed="false">
      <c r="A7850" s="0" t="n">
        <v>7849</v>
      </c>
      <c r="B7850" s="14" t="n">
        <v>129886.503863812</v>
      </c>
      <c r="C7850" s="15" t="n">
        <v>0.0821455960805844</v>
      </c>
      <c r="D7850" s="14" t="n">
        <f aca="false">Summary!$B$5-B7850</f>
        <v>-29886.5038638116</v>
      </c>
      <c r="E7850" s="15" t="n">
        <f aca="false">B7850/Summary!$B$5-1</f>
        <v>0.298865038638116</v>
      </c>
    </row>
    <row r="7851" customFormat="false" ht="15" hidden="false" customHeight="false" outlineLevel="0" collapsed="false">
      <c r="A7851" s="0" t="n">
        <v>7850</v>
      </c>
      <c r="B7851" s="14" t="n">
        <v>104044.758349668</v>
      </c>
      <c r="C7851" s="15" t="n">
        <v>0.0874325513261884</v>
      </c>
      <c r="D7851" s="14" t="n">
        <f aca="false">Summary!$B$5-B7851</f>
        <v>-4044.7583496679</v>
      </c>
      <c r="E7851" s="15" t="n">
        <f aca="false">B7851/Summary!$B$5-1</f>
        <v>0.0404475834966791</v>
      </c>
    </row>
    <row r="7852" customFormat="false" ht="15" hidden="false" customHeight="false" outlineLevel="0" collapsed="false">
      <c r="A7852" s="0" t="n">
        <v>7851</v>
      </c>
      <c r="B7852" s="14" t="n">
        <v>97256.7971854973</v>
      </c>
      <c r="C7852" s="15" t="n">
        <v>0.136957033204583</v>
      </c>
      <c r="D7852" s="14" t="n">
        <f aca="false">Summary!$B$5-B7852</f>
        <v>2743.2028145027</v>
      </c>
      <c r="E7852" s="15" t="n">
        <f aca="false">B7852/Summary!$B$5-1</f>
        <v>-0.027432028145027</v>
      </c>
    </row>
    <row r="7853" customFormat="false" ht="15" hidden="false" customHeight="false" outlineLevel="0" collapsed="false">
      <c r="A7853" s="0" t="n">
        <v>7852</v>
      </c>
      <c r="B7853" s="14" t="n">
        <v>114879.979821337</v>
      </c>
      <c r="C7853" s="15" t="n">
        <v>0.0523292973022094</v>
      </c>
      <c r="D7853" s="14" t="n">
        <f aca="false">Summary!$B$5-B7853</f>
        <v>-14879.9798213374</v>
      </c>
      <c r="E7853" s="15" t="n">
        <f aca="false">B7853/Summary!$B$5-1</f>
        <v>0.148799798213374</v>
      </c>
    </row>
    <row r="7854" customFormat="false" ht="15" hidden="false" customHeight="false" outlineLevel="0" collapsed="false">
      <c r="A7854" s="0" t="n">
        <v>7853</v>
      </c>
      <c r="B7854" s="14" t="n">
        <v>120278.890065015</v>
      </c>
      <c r="C7854" s="15" t="n">
        <v>0.0939782712559807</v>
      </c>
      <c r="D7854" s="14" t="n">
        <f aca="false">Summary!$B$5-B7854</f>
        <v>-20278.8900650154</v>
      </c>
      <c r="E7854" s="15" t="n">
        <f aca="false">B7854/Summary!$B$5-1</f>
        <v>0.202788900650154</v>
      </c>
    </row>
    <row r="7855" customFormat="false" ht="15" hidden="false" customHeight="false" outlineLevel="0" collapsed="false">
      <c r="A7855" s="0" t="n">
        <v>7854</v>
      </c>
      <c r="B7855" s="14" t="n">
        <v>119863.833572276</v>
      </c>
      <c r="C7855" s="15" t="n">
        <v>0.0907453018470014</v>
      </c>
      <c r="D7855" s="14" t="n">
        <f aca="false">Summary!$B$5-B7855</f>
        <v>-19863.8335722761</v>
      </c>
      <c r="E7855" s="15" t="n">
        <f aca="false">B7855/Summary!$B$5-1</f>
        <v>0.198638335722761</v>
      </c>
    </row>
    <row r="7856" customFormat="false" ht="15" hidden="false" customHeight="false" outlineLevel="0" collapsed="false">
      <c r="A7856" s="0" t="n">
        <v>7855</v>
      </c>
      <c r="B7856" s="14" t="n">
        <v>113427.702462735</v>
      </c>
      <c r="C7856" s="15" t="n">
        <v>0.0505020551214367</v>
      </c>
      <c r="D7856" s="14" t="n">
        <f aca="false">Summary!$B$5-B7856</f>
        <v>-13427.7024627346</v>
      </c>
      <c r="E7856" s="15" t="n">
        <f aca="false">B7856/Summary!$B$5-1</f>
        <v>0.134277024627346</v>
      </c>
    </row>
    <row r="7857" customFormat="false" ht="15" hidden="false" customHeight="false" outlineLevel="0" collapsed="false">
      <c r="A7857" s="0" t="n">
        <v>7856</v>
      </c>
      <c r="B7857" s="14" t="n">
        <v>109705.431899881</v>
      </c>
      <c r="C7857" s="15" t="n">
        <v>0.104546893064083</v>
      </c>
      <c r="D7857" s="14" t="n">
        <f aca="false">Summary!$B$5-B7857</f>
        <v>-9705.4318998805</v>
      </c>
      <c r="E7857" s="15" t="n">
        <f aca="false">B7857/Summary!$B$5-1</f>
        <v>0.0970543189988049</v>
      </c>
    </row>
    <row r="7858" customFormat="false" ht="15" hidden="false" customHeight="false" outlineLevel="0" collapsed="false">
      <c r="A7858" s="0" t="n">
        <v>7857</v>
      </c>
      <c r="B7858" s="14" t="n">
        <v>103423.966031059</v>
      </c>
      <c r="C7858" s="15" t="n">
        <v>0.156499412039271</v>
      </c>
      <c r="D7858" s="14" t="n">
        <f aca="false">Summary!$B$5-B7858</f>
        <v>-3423.9660310585</v>
      </c>
      <c r="E7858" s="15" t="n">
        <f aca="false">B7858/Summary!$B$5-1</f>
        <v>0.034239660310585</v>
      </c>
    </row>
    <row r="7859" customFormat="false" ht="15" hidden="false" customHeight="false" outlineLevel="0" collapsed="false">
      <c r="A7859" s="0" t="n">
        <v>7858</v>
      </c>
      <c r="B7859" s="14" t="n">
        <v>105408.593920722</v>
      </c>
      <c r="C7859" s="15" t="n">
        <v>0.110776333835346</v>
      </c>
      <c r="D7859" s="14" t="n">
        <f aca="false">Summary!$B$5-B7859</f>
        <v>-5408.5939207224</v>
      </c>
      <c r="E7859" s="15" t="n">
        <f aca="false">B7859/Summary!$B$5-1</f>
        <v>0.0540859392072239</v>
      </c>
    </row>
    <row r="7860" customFormat="false" ht="15" hidden="false" customHeight="false" outlineLevel="0" collapsed="false">
      <c r="A7860" s="0" t="n">
        <v>7859</v>
      </c>
      <c r="B7860" s="14" t="n">
        <v>107351.831855922</v>
      </c>
      <c r="C7860" s="15" t="n">
        <v>0.115826280388816</v>
      </c>
      <c r="D7860" s="14" t="n">
        <f aca="false">Summary!$B$5-B7860</f>
        <v>-7351.8318559224</v>
      </c>
      <c r="E7860" s="15" t="n">
        <f aca="false">B7860/Summary!$B$5-1</f>
        <v>0.0735183185592241</v>
      </c>
    </row>
    <row r="7861" customFormat="false" ht="15" hidden="false" customHeight="false" outlineLevel="0" collapsed="false">
      <c r="A7861" s="0" t="n">
        <v>7860</v>
      </c>
      <c r="B7861" s="14" t="n">
        <v>117595.294969761</v>
      </c>
      <c r="C7861" s="15" t="n">
        <v>0.0757067669397392</v>
      </c>
      <c r="D7861" s="14" t="n">
        <f aca="false">Summary!$B$5-B7861</f>
        <v>-17595.2949697605</v>
      </c>
      <c r="E7861" s="15" t="n">
        <f aca="false">B7861/Summary!$B$5-1</f>
        <v>0.175952949697605</v>
      </c>
    </row>
    <row r="7862" customFormat="false" ht="15" hidden="false" customHeight="false" outlineLevel="0" collapsed="false">
      <c r="A7862" s="0" t="n">
        <v>7861</v>
      </c>
      <c r="B7862" s="14" t="n">
        <v>109736.131931001</v>
      </c>
      <c r="C7862" s="15" t="n">
        <v>0.0522501507467948</v>
      </c>
      <c r="D7862" s="14" t="n">
        <f aca="false">Summary!$B$5-B7862</f>
        <v>-9736.1319310007</v>
      </c>
      <c r="E7862" s="15" t="n">
        <f aca="false">B7862/Summary!$B$5-1</f>
        <v>0.0973613193100069</v>
      </c>
    </row>
    <row r="7863" customFormat="false" ht="15" hidden="false" customHeight="false" outlineLevel="0" collapsed="false">
      <c r="A7863" s="0" t="n">
        <v>7862</v>
      </c>
      <c r="B7863" s="14" t="n">
        <v>85094.1434501768</v>
      </c>
      <c r="C7863" s="15" t="n">
        <v>0.174306441468176</v>
      </c>
      <c r="D7863" s="14" t="n">
        <f aca="false">Summary!$B$5-B7863</f>
        <v>14905.8565498232</v>
      </c>
      <c r="E7863" s="15" t="n">
        <f aca="false">B7863/Summary!$B$5-1</f>
        <v>-0.149058565498232</v>
      </c>
    </row>
    <row r="7864" customFormat="false" ht="15" hidden="false" customHeight="false" outlineLevel="0" collapsed="false">
      <c r="A7864" s="0" t="n">
        <v>7863</v>
      </c>
      <c r="B7864" s="14" t="n">
        <v>101961.335097014</v>
      </c>
      <c r="C7864" s="15" t="n">
        <v>0.11284804963217</v>
      </c>
      <c r="D7864" s="14" t="n">
        <f aca="false">Summary!$B$5-B7864</f>
        <v>-1961.33509701359</v>
      </c>
      <c r="E7864" s="15" t="n">
        <f aca="false">B7864/Summary!$B$5-1</f>
        <v>0.0196133509701359</v>
      </c>
    </row>
    <row r="7865" customFormat="false" ht="15" hidden="false" customHeight="false" outlineLevel="0" collapsed="false">
      <c r="A7865" s="0" t="n">
        <v>7864</v>
      </c>
      <c r="B7865" s="14" t="n">
        <v>99660.4354075619</v>
      </c>
      <c r="C7865" s="15" t="n">
        <v>0.0994324630186163</v>
      </c>
      <c r="D7865" s="14" t="n">
        <f aca="false">Summary!$B$5-B7865</f>
        <v>339.564592438139</v>
      </c>
      <c r="E7865" s="15" t="n">
        <f aca="false">B7865/Summary!$B$5-1</f>
        <v>-0.00339564592438135</v>
      </c>
    </row>
    <row r="7866" customFormat="false" ht="15" hidden="false" customHeight="false" outlineLevel="0" collapsed="false">
      <c r="A7866" s="0" t="n">
        <v>7865</v>
      </c>
      <c r="B7866" s="14" t="n">
        <v>101375.329062487</v>
      </c>
      <c r="C7866" s="15" t="n">
        <v>0.10317145056118</v>
      </c>
      <c r="D7866" s="14" t="n">
        <f aca="false">Summary!$B$5-B7866</f>
        <v>-1375.3290624873</v>
      </c>
      <c r="E7866" s="15" t="n">
        <f aca="false">B7866/Summary!$B$5-1</f>
        <v>0.013753290624873</v>
      </c>
    </row>
    <row r="7867" customFormat="false" ht="15" hidden="false" customHeight="false" outlineLevel="0" collapsed="false">
      <c r="A7867" s="0" t="n">
        <v>7866</v>
      </c>
      <c r="B7867" s="14" t="n">
        <v>106335.649764636</v>
      </c>
      <c r="C7867" s="15" t="n">
        <v>0.0614043655139138</v>
      </c>
      <c r="D7867" s="14" t="n">
        <f aca="false">Summary!$B$5-B7867</f>
        <v>-6335.6497646363</v>
      </c>
      <c r="E7867" s="15" t="n">
        <f aca="false">B7867/Summary!$B$5-1</f>
        <v>0.063356497646363</v>
      </c>
    </row>
    <row r="7868" customFormat="false" ht="15" hidden="false" customHeight="false" outlineLevel="0" collapsed="false">
      <c r="A7868" s="0" t="n">
        <v>7867</v>
      </c>
      <c r="B7868" s="14" t="n">
        <v>116140.291382487</v>
      </c>
      <c r="C7868" s="15" t="n">
        <v>0.051751901815651</v>
      </c>
      <c r="D7868" s="14" t="n">
        <f aca="false">Summary!$B$5-B7868</f>
        <v>-16140.2913824866</v>
      </c>
      <c r="E7868" s="15" t="n">
        <f aca="false">B7868/Summary!$B$5-1</f>
        <v>0.161402913824866</v>
      </c>
    </row>
    <row r="7869" customFormat="false" ht="15" hidden="false" customHeight="false" outlineLevel="0" collapsed="false">
      <c r="A7869" s="0" t="n">
        <v>7868</v>
      </c>
      <c r="B7869" s="14" t="n">
        <v>128797.402685488</v>
      </c>
      <c r="C7869" s="15" t="n">
        <v>0.0696606814241663</v>
      </c>
      <c r="D7869" s="14" t="n">
        <f aca="false">Summary!$B$5-B7869</f>
        <v>-28797.4026854882</v>
      </c>
      <c r="E7869" s="15" t="n">
        <f aca="false">B7869/Summary!$B$5-1</f>
        <v>0.287974026854882</v>
      </c>
    </row>
    <row r="7870" customFormat="false" ht="15" hidden="false" customHeight="false" outlineLevel="0" collapsed="false">
      <c r="A7870" s="0" t="n">
        <v>7869</v>
      </c>
      <c r="B7870" s="14" t="n">
        <v>107604.621268663</v>
      </c>
      <c r="C7870" s="15" t="n">
        <v>0.0944836189191228</v>
      </c>
      <c r="D7870" s="14" t="n">
        <f aca="false">Summary!$B$5-B7870</f>
        <v>-7604.62126866321</v>
      </c>
      <c r="E7870" s="15" t="n">
        <f aca="false">B7870/Summary!$B$5-1</f>
        <v>0.0760462126866321</v>
      </c>
    </row>
    <row r="7871" customFormat="false" ht="15" hidden="false" customHeight="false" outlineLevel="0" collapsed="false">
      <c r="A7871" s="0" t="n">
        <v>7870</v>
      </c>
      <c r="B7871" s="14" t="n">
        <v>107089.350035615</v>
      </c>
      <c r="C7871" s="15" t="n">
        <v>0.135823655125027</v>
      </c>
      <c r="D7871" s="14" t="n">
        <f aca="false">Summary!$B$5-B7871</f>
        <v>-7089.3500356148</v>
      </c>
      <c r="E7871" s="15" t="n">
        <f aca="false">B7871/Summary!$B$5-1</f>
        <v>0.0708935003561479</v>
      </c>
    </row>
    <row r="7872" customFormat="false" ht="15" hidden="false" customHeight="false" outlineLevel="0" collapsed="false">
      <c r="A7872" s="0" t="n">
        <v>7871</v>
      </c>
      <c r="B7872" s="14" t="n">
        <v>95396.250237838</v>
      </c>
      <c r="C7872" s="15" t="n">
        <v>0.126278586805524</v>
      </c>
      <c r="D7872" s="14" t="n">
        <f aca="false">Summary!$B$5-B7872</f>
        <v>4603.74976216196</v>
      </c>
      <c r="E7872" s="15" t="n">
        <f aca="false">B7872/Summary!$B$5-1</f>
        <v>-0.0460374976216196</v>
      </c>
    </row>
    <row r="7873" customFormat="false" ht="15" hidden="false" customHeight="false" outlineLevel="0" collapsed="false">
      <c r="A7873" s="0" t="n">
        <v>7872</v>
      </c>
      <c r="B7873" s="14" t="n">
        <v>109251.624336316</v>
      </c>
      <c r="C7873" s="15" t="n">
        <v>0.0763190697217046</v>
      </c>
      <c r="D7873" s="14" t="n">
        <f aca="false">Summary!$B$5-B7873</f>
        <v>-9251.62433631629</v>
      </c>
      <c r="E7873" s="15" t="n">
        <f aca="false">B7873/Summary!$B$5-1</f>
        <v>0.092516243363163</v>
      </c>
    </row>
    <row r="7874" customFormat="false" ht="15" hidden="false" customHeight="false" outlineLevel="0" collapsed="false">
      <c r="A7874" s="0" t="n">
        <v>7873</v>
      </c>
      <c r="B7874" s="14" t="n">
        <v>86831.1839392325</v>
      </c>
      <c r="C7874" s="15" t="n">
        <v>0.146943935183018</v>
      </c>
      <c r="D7874" s="14" t="n">
        <f aca="false">Summary!$B$5-B7874</f>
        <v>13168.8160607675</v>
      </c>
      <c r="E7874" s="15" t="n">
        <f aca="false">B7874/Summary!$B$5-1</f>
        <v>-0.131688160607675</v>
      </c>
    </row>
    <row r="7875" customFormat="false" ht="15" hidden="false" customHeight="false" outlineLevel="0" collapsed="false">
      <c r="A7875" s="0" t="n">
        <v>7874</v>
      </c>
      <c r="B7875" s="14" t="n">
        <v>100036.03825668</v>
      </c>
      <c r="C7875" s="15" t="n">
        <v>0.0888922679364855</v>
      </c>
      <c r="D7875" s="14" t="n">
        <f aca="false">Summary!$B$5-B7875</f>
        <v>-36.0382566799963</v>
      </c>
      <c r="E7875" s="15" t="n">
        <f aca="false">B7875/Summary!$B$5-1</f>
        <v>0.000360382566799933</v>
      </c>
    </row>
    <row r="7876" customFormat="false" ht="15" hidden="false" customHeight="false" outlineLevel="0" collapsed="false">
      <c r="A7876" s="0" t="n">
        <v>7875</v>
      </c>
      <c r="B7876" s="14" t="n">
        <v>99554.9783891497</v>
      </c>
      <c r="C7876" s="15" t="n">
        <v>0.0831459814630692</v>
      </c>
      <c r="D7876" s="14" t="n">
        <f aca="false">Summary!$B$5-B7876</f>
        <v>445.021610850265</v>
      </c>
      <c r="E7876" s="15" t="n">
        <f aca="false">B7876/Summary!$B$5-1</f>
        <v>-0.0044502161085026</v>
      </c>
    </row>
    <row r="7877" customFormat="false" ht="15" hidden="false" customHeight="false" outlineLevel="0" collapsed="false">
      <c r="A7877" s="0" t="n">
        <v>7876</v>
      </c>
      <c r="B7877" s="14" t="n">
        <v>103926.646140069</v>
      </c>
      <c r="C7877" s="15" t="n">
        <v>0.111218228115895</v>
      </c>
      <c r="D7877" s="14" t="n">
        <f aca="false">Summary!$B$5-B7877</f>
        <v>-3926.646140069</v>
      </c>
      <c r="E7877" s="15" t="n">
        <f aca="false">B7877/Summary!$B$5-1</f>
        <v>0.0392664614006901</v>
      </c>
    </row>
    <row r="7878" customFormat="false" ht="15" hidden="false" customHeight="false" outlineLevel="0" collapsed="false">
      <c r="A7878" s="0" t="n">
        <v>7877</v>
      </c>
      <c r="B7878" s="14" t="n">
        <v>106338.529497412</v>
      </c>
      <c r="C7878" s="15" t="n">
        <v>0.0751616355983937</v>
      </c>
      <c r="D7878" s="14" t="n">
        <f aca="false">Summary!$B$5-B7878</f>
        <v>-6338.5294974116</v>
      </c>
      <c r="E7878" s="15" t="n">
        <f aca="false">B7878/Summary!$B$5-1</f>
        <v>0.0633852949741161</v>
      </c>
    </row>
    <row r="7879" customFormat="false" ht="15" hidden="false" customHeight="false" outlineLevel="0" collapsed="false">
      <c r="A7879" s="0" t="n">
        <v>7878</v>
      </c>
      <c r="B7879" s="14" t="n">
        <v>113735.222340243</v>
      </c>
      <c r="C7879" s="15" t="n">
        <v>0.113865048256699</v>
      </c>
      <c r="D7879" s="14" t="n">
        <f aca="false">Summary!$B$5-B7879</f>
        <v>-13735.2223402431</v>
      </c>
      <c r="E7879" s="15" t="n">
        <f aca="false">B7879/Summary!$B$5-1</f>
        <v>0.137352223402431</v>
      </c>
    </row>
    <row r="7880" customFormat="false" ht="15" hidden="false" customHeight="false" outlineLevel="0" collapsed="false">
      <c r="A7880" s="0" t="n">
        <v>7879</v>
      </c>
      <c r="B7880" s="14" t="n">
        <v>120922.856405773</v>
      </c>
      <c r="C7880" s="15" t="n">
        <v>0.0772924074107498</v>
      </c>
      <c r="D7880" s="14" t="n">
        <f aca="false">Summary!$B$5-B7880</f>
        <v>-20922.8564057733</v>
      </c>
      <c r="E7880" s="15" t="n">
        <f aca="false">B7880/Summary!$B$5-1</f>
        <v>0.209228564057733</v>
      </c>
    </row>
    <row r="7881" customFormat="false" ht="15" hidden="false" customHeight="false" outlineLevel="0" collapsed="false">
      <c r="A7881" s="0" t="n">
        <v>7880</v>
      </c>
      <c r="B7881" s="14" t="n">
        <v>112307.406466713</v>
      </c>
      <c r="C7881" s="15" t="n">
        <v>0.0951637615764842</v>
      </c>
      <c r="D7881" s="14" t="n">
        <f aca="false">Summary!$B$5-B7881</f>
        <v>-12307.4064667133</v>
      </c>
      <c r="E7881" s="15" t="n">
        <f aca="false">B7881/Summary!$B$5-1</f>
        <v>0.123074064667133</v>
      </c>
    </row>
    <row r="7882" customFormat="false" ht="15" hidden="false" customHeight="false" outlineLevel="0" collapsed="false">
      <c r="A7882" s="0" t="n">
        <v>7881</v>
      </c>
      <c r="B7882" s="14" t="n">
        <v>110342.286743124</v>
      </c>
      <c r="C7882" s="15" t="n">
        <v>0.0590661936439036</v>
      </c>
      <c r="D7882" s="14" t="n">
        <f aca="false">Summary!$B$5-B7882</f>
        <v>-10342.2867431241</v>
      </c>
      <c r="E7882" s="15" t="n">
        <f aca="false">B7882/Summary!$B$5-1</f>
        <v>0.103422867431241</v>
      </c>
    </row>
    <row r="7883" customFormat="false" ht="15" hidden="false" customHeight="false" outlineLevel="0" collapsed="false">
      <c r="A7883" s="0" t="n">
        <v>7882</v>
      </c>
      <c r="B7883" s="14" t="n">
        <v>107304.647485991</v>
      </c>
      <c r="C7883" s="15" t="n">
        <v>0.108977010323797</v>
      </c>
      <c r="D7883" s="14" t="n">
        <f aca="false">Summary!$B$5-B7883</f>
        <v>-7304.6474859912</v>
      </c>
      <c r="E7883" s="15" t="n">
        <f aca="false">B7883/Summary!$B$5-1</f>
        <v>0.073046474859912</v>
      </c>
    </row>
    <row r="7884" customFormat="false" ht="15" hidden="false" customHeight="false" outlineLevel="0" collapsed="false">
      <c r="A7884" s="0" t="n">
        <v>7883</v>
      </c>
      <c r="B7884" s="14" t="n">
        <v>110432.233445716</v>
      </c>
      <c r="C7884" s="15" t="n">
        <v>0.0685411432303399</v>
      </c>
      <c r="D7884" s="14" t="n">
        <f aca="false">Summary!$B$5-B7884</f>
        <v>-10432.2334457159</v>
      </c>
      <c r="E7884" s="15" t="n">
        <f aca="false">B7884/Summary!$B$5-1</f>
        <v>0.104322334457159</v>
      </c>
    </row>
    <row r="7885" customFormat="false" ht="15" hidden="false" customHeight="false" outlineLevel="0" collapsed="false">
      <c r="A7885" s="0" t="n">
        <v>7884</v>
      </c>
      <c r="B7885" s="14" t="n">
        <v>105513.71645414</v>
      </c>
      <c r="C7885" s="15" t="n">
        <v>0.0964017488059662</v>
      </c>
      <c r="D7885" s="14" t="n">
        <f aca="false">Summary!$B$5-B7885</f>
        <v>-5513.7164541403</v>
      </c>
      <c r="E7885" s="15" t="n">
        <f aca="false">B7885/Summary!$B$5-1</f>
        <v>0.0551371645414029</v>
      </c>
    </row>
    <row r="7886" customFormat="false" ht="15" hidden="false" customHeight="false" outlineLevel="0" collapsed="false">
      <c r="A7886" s="0" t="n">
        <v>7885</v>
      </c>
      <c r="B7886" s="14" t="n">
        <v>124787.80754243</v>
      </c>
      <c r="C7886" s="15" t="n">
        <v>0.05683469725016</v>
      </c>
      <c r="D7886" s="14" t="n">
        <f aca="false">Summary!$B$5-B7886</f>
        <v>-24787.8075424298</v>
      </c>
      <c r="E7886" s="15" t="n">
        <f aca="false">B7886/Summary!$B$5-1</f>
        <v>0.247878075424298</v>
      </c>
    </row>
    <row r="7887" customFormat="false" ht="15" hidden="false" customHeight="false" outlineLevel="0" collapsed="false">
      <c r="A7887" s="0" t="n">
        <v>7886</v>
      </c>
      <c r="B7887" s="14" t="n">
        <v>86800.9472733875</v>
      </c>
      <c r="C7887" s="15" t="n">
        <v>0.173215458147726</v>
      </c>
      <c r="D7887" s="14" t="n">
        <f aca="false">Summary!$B$5-B7887</f>
        <v>13199.0527266125</v>
      </c>
      <c r="E7887" s="15" t="n">
        <f aca="false">B7887/Summary!$B$5-1</f>
        <v>-0.131990527266125</v>
      </c>
    </row>
    <row r="7888" customFormat="false" ht="15" hidden="false" customHeight="false" outlineLevel="0" collapsed="false">
      <c r="A7888" s="0" t="n">
        <v>7887</v>
      </c>
      <c r="B7888" s="14" t="n">
        <v>97633.4548430445</v>
      </c>
      <c r="C7888" s="15" t="n">
        <v>0.133916242565941</v>
      </c>
      <c r="D7888" s="14" t="n">
        <f aca="false">Summary!$B$5-B7888</f>
        <v>2366.54515695546</v>
      </c>
      <c r="E7888" s="15" t="n">
        <f aca="false">B7888/Summary!$B$5-1</f>
        <v>-0.0236654515695546</v>
      </c>
    </row>
    <row r="7889" customFormat="false" ht="15" hidden="false" customHeight="false" outlineLevel="0" collapsed="false">
      <c r="A7889" s="0" t="n">
        <v>7888</v>
      </c>
      <c r="B7889" s="14" t="n">
        <v>91826.0189895694</v>
      </c>
      <c r="C7889" s="15" t="n">
        <v>0.163077060959682</v>
      </c>
      <c r="D7889" s="14" t="n">
        <f aca="false">Summary!$B$5-B7889</f>
        <v>8173.98101043058</v>
      </c>
      <c r="E7889" s="15" t="n">
        <f aca="false">B7889/Summary!$B$5-1</f>
        <v>-0.0817398101043058</v>
      </c>
    </row>
    <row r="7890" customFormat="false" ht="15" hidden="false" customHeight="false" outlineLevel="0" collapsed="false">
      <c r="A7890" s="0" t="n">
        <v>7889</v>
      </c>
      <c r="B7890" s="14" t="n">
        <v>98757.0833305857</v>
      </c>
      <c r="C7890" s="15" t="n">
        <v>0.102030844520583</v>
      </c>
      <c r="D7890" s="14" t="n">
        <f aca="false">Summary!$B$5-B7890</f>
        <v>1242.91666941426</v>
      </c>
      <c r="E7890" s="15" t="n">
        <f aca="false">B7890/Summary!$B$5-1</f>
        <v>-0.0124291666941426</v>
      </c>
    </row>
    <row r="7891" customFormat="false" ht="15" hidden="false" customHeight="false" outlineLevel="0" collapsed="false">
      <c r="A7891" s="0" t="n">
        <v>7890</v>
      </c>
      <c r="B7891" s="14" t="n">
        <v>101798.644813468</v>
      </c>
      <c r="C7891" s="15" t="n">
        <v>0.0797029038559557</v>
      </c>
      <c r="D7891" s="14" t="n">
        <f aca="false">Summary!$B$5-B7891</f>
        <v>-1798.6448134683</v>
      </c>
      <c r="E7891" s="15" t="n">
        <f aca="false">B7891/Summary!$B$5-1</f>
        <v>0.017986448134683</v>
      </c>
    </row>
    <row r="7892" customFormat="false" ht="15" hidden="false" customHeight="false" outlineLevel="0" collapsed="false">
      <c r="A7892" s="0" t="n">
        <v>7891</v>
      </c>
      <c r="B7892" s="14" t="n">
        <v>95070.4490663313</v>
      </c>
      <c r="C7892" s="15" t="n">
        <v>0.15285202744703</v>
      </c>
      <c r="D7892" s="14" t="n">
        <f aca="false">Summary!$B$5-B7892</f>
        <v>4929.55093366871</v>
      </c>
      <c r="E7892" s="15" t="n">
        <f aca="false">B7892/Summary!$B$5-1</f>
        <v>-0.0492955093366871</v>
      </c>
    </row>
    <row r="7893" customFormat="false" ht="15" hidden="false" customHeight="false" outlineLevel="0" collapsed="false">
      <c r="A7893" s="0" t="n">
        <v>7892</v>
      </c>
      <c r="B7893" s="14" t="n">
        <v>97705.697151973</v>
      </c>
      <c r="C7893" s="15" t="n">
        <v>0.0845542185577708</v>
      </c>
      <c r="D7893" s="14" t="n">
        <f aca="false">Summary!$B$5-B7893</f>
        <v>2294.30284802704</v>
      </c>
      <c r="E7893" s="15" t="n">
        <f aca="false">B7893/Summary!$B$5-1</f>
        <v>-0.0229430284802704</v>
      </c>
    </row>
    <row r="7894" customFormat="false" ht="15" hidden="false" customHeight="false" outlineLevel="0" collapsed="false">
      <c r="A7894" s="0" t="n">
        <v>7893</v>
      </c>
      <c r="B7894" s="14" t="n">
        <v>91042.7832313166</v>
      </c>
      <c r="C7894" s="15" t="n">
        <v>0.17740412196333</v>
      </c>
      <c r="D7894" s="14" t="n">
        <f aca="false">Summary!$B$5-B7894</f>
        <v>8957.21676868337</v>
      </c>
      <c r="E7894" s="15" t="n">
        <f aca="false">B7894/Summary!$B$5-1</f>
        <v>-0.0895721676868337</v>
      </c>
    </row>
    <row r="7895" customFormat="false" ht="15" hidden="false" customHeight="false" outlineLevel="0" collapsed="false">
      <c r="A7895" s="0" t="n">
        <v>7894</v>
      </c>
      <c r="B7895" s="14" t="n">
        <v>117768.181526762</v>
      </c>
      <c r="C7895" s="15" t="n">
        <v>0.081244954629612</v>
      </c>
      <c r="D7895" s="14" t="n">
        <f aca="false">Summary!$B$5-B7895</f>
        <v>-17768.1815267615</v>
      </c>
      <c r="E7895" s="15" t="n">
        <f aca="false">B7895/Summary!$B$5-1</f>
        <v>0.177681815267615</v>
      </c>
    </row>
    <row r="7896" customFormat="false" ht="15" hidden="false" customHeight="false" outlineLevel="0" collapsed="false">
      <c r="A7896" s="0" t="n">
        <v>7895</v>
      </c>
      <c r="B7896" s="14" t="n">
        <v>99269.1200833784</v>
      </c>
      <c r="C7896" s="15" t="n">
        <v>0.102623821007121</v>
      </c>
      <c r="D7896" s="14" t="n">
        <f aca="false">Summary!$B$5-B7896</f>
        <v>730.879916621576</v>
      </c>
      <c r="E7896" s="15" t="n">
        <f aca="false">B7896/Summary!$B$5-1</f>
        <v>-0.00730879916621574</v>
      </c>
    </row>
    <row r="7897" customFormat="false" ht="15" hidden="false" customHeight="false" outlineLevel="0" collapsed="false">
      <c r="A7897" s="0" t="n">
        <v>7896</v>
      </c>
      <c r="B7897" s="14" t="n">
        <v>99833.2786204072</v>
      </c>
      <c r="C7897" s="15" t="n">
        <v>0.142955876497329</v>
      </c>
      <c r="D7897" s="14" t="n">
        <f aca="false">Summary!$B$5-B7897</f>
        <v>166.721379592811</v>
      </c>
      <c r="E7897" s="15" t="n">
        <f aca="false">B7897/Summary!$B$5-1</f>
        <v>-0.00166721379592816</v>
      </c>
    </row>
    <row r="7898" customFormat="false" ht="15" hidden="false" customHeight="false" outlineLevel="0" collapsed="false">
      <c r="A7898" s="0" t="n">
        <v>7897</v>
      </c>
      <c r="B7898" s="14" t="n">
        <v>111810.304737791</v>
      </c>
      <c r="C7898" s="15" t="n">
        <v>0.0612480000054122</v>
      </c>
      <c r="D7898" s="14" t="n">
        <f aca="false">Summary!$B$5-B7898</f>
        <v>-11810.3047377905</v>
      </c>
      <c r="E7898" s="15" t="n">
        <f aca="false">B7898/Summary!$B$5-1</f>
        <v>0.118103047377905</v>
      </c>
    </row>
    <row r="7899" customFormat="false" ht="15" hidden="false" customHeight="false" outlineLevel="0" collapsed="false">
      <c r="A7899" s="0" t="n">
        <v>7898</v>
      </c>
      <c r="B7899" s="14" t="n">
        <v>95115.0236578814</v>
      </c>
      <c r="C7899" s="15" t="n">
        <v>0.121095351256508</v>
      </c>
      <c r="D7899" s="14" t="n">
        <f aca="false">Summary!$B$5-B7899</f>
        <v>4884.97634211858</v>
      </c>
      <c r="E7899" s="15" t="n">
        <f aca="false">B7899/Summary!$B$5-1</f>
        <v>-0.0488497634211857</v>
      </c>
    </row>
    <row r="7900" customFormat="false" ht="15" hidden="false" customHeight="false" outlineLevel="0" collapsed="false">
      <c r="A7900" s="0" t="n">
        <v>7899</v>
      </c>
      <c r="B7900" s="14" t="n">
        <v>129198.60051683</v>
      </c>
      <c r="C7900" s="15" t="n">
        <v>0.0749982920163347</v>
      </c>
      <c r="D7900" s="14" t="n">
        <f aca="false">Summary!$B$5-B7900</f>
        <v>-29198.6005168301</v>
      </c>
      <c r="E7900" s="15" t="n">
        <f aca="false">B7900/Summary!$B$5-1</f>
        <v>0.291986005168301</v>
      </c>
    </row>
    <row r="7901" customFormat="false" ht="15" hidden="false" customHeight="false" outlineLevel="0" collapsed="false">
      <c r="A7901" s="0" t="n">
        <v>7900</v>
      </c>
      <c r="B7901" s="14" t="n">
        <v>108164.299378798</v>
      </c>
      <c r="C7901" s="15" t="n">
        <v>0.0742348851484518</v>
      </c>
      <c r="D7901" s="14" t="n">
        <f aca="false">Summary!$B$5-B7901</f>
        <v>-8164.2993787984</v>
      </c>
      <c r="E7901" s="15" t="n">
        <f aca="false">B7901/Summary!$B$5-1</f>
        <v>0.0816429937879841</v>
      </c>
    </row>
    <row r="7902" customFormat="false" ht="15" hidden="false" customHeight="false" outlineLevel="0" collapsed="false">
      <c r="A7902" s="0" t="n">
        <v>7901</v>
      </c>
      <c r="B7902" s="14" t="n">
        <v>111506.419269714</v>
      </c>
      <c r="C7902" s="15" t="n">
        <v>0.101279479114557</v>
      </c>
      <c r="D7902" s="14" t="n">
        <f aca="false">Summary!$B$5-B7902</f>
        <v>-11506.4192697135</v>
      </c>
      <c r="E7902" s="15" t="n">
        <f aca="false">B7902/Summary!$B$5-1</f>
        <v>0.115064192697135</v>
      </c>
    </row>
    <row r="7903" customFormat="false" ht="15" hidden="false" customHeight="false" outlineLevel="0" collapsed="false">
      <c r="A7903" s="0" t="n">
        <v>7902</v>
      </c>
      <c r="B7903" s="14" t="n">
        <v>138319.78313064</v>
      </c>
      <c r="C7903" s="15" t="n">
        <v>0.0616189448974258</v>
      </c>
      <c r="D7903" s="14" t="n">
        <f aca="false">Summary!$B$5-B7903</f>
        <v>-38319.7831306402</v>
      </c>
      <c r="E7903" s="15" t="n">
        <f aca="false">B7903/Summary!$B$5-1</f>
        <v>0.383197831306402</v>
      </c>
    </row>
    <row r="7904" customFormat="false" ht="15" hidden="false" customHeight="false" outlineLevel="0" collapsed="false">
      <c r="A7904" s="0" t="n">
        <v>7903</v>
      </c>
      <c r="B7904" s="14" t="n">
        <v>121317.74775462</v>
      </c>
      <c r="C7904" s="15" t="n">
        <v>0.0476731408291817</v>
      </c>
      <c r="D7904" s="14" t="n">
        <f aca="false">Summary!$B$5-B7904</f>
        <v>-21317.74775462</v>
      </c>
      <c r="E7904" s="15" t="n">
        <f aca="false">B7904/Summary!$B$5-1</f>
        <v>0.2131774775462</v>
      </c>
    </row>
    <row r="7905" customFormat="false" ht="15" hidden="false" customHeight="false" outlineLevel="0" collapsed="false">
      <c r="A7905" s="0" t="n">
        <v>7904</v>
      </c>
      <c r="B7905" s="14" t="n">
        <v>84654.5460554863</v>
      </c>
      <c r="C7905" s="15" t="n">
        <v>0.180767261197278</v>
      </c>
      <c r="D7905" s="14" t="n">
        <f aca="false">Summary!$B$5-B7905</f>
        <v>15345.4539445137</v>
      </c>
      <c r="E7905" s="15" t="n">
        <f aca="false">B7905/Summary!$B$5-1</f>
        <v>-0.153454539445137</v>
      </c>
    </row>
    <row r="7906" customFormat="false" ht="15" hidden="false" customHeight="false" outlineLevel="0" collapsed="false">
      <c r="A7906" s="0" t="n">
        <v>7905</v>
      </c>
      <c r="B7906" s="14" t="n">
        <v>95056.9949779532</v>
      </c>
      <c r="C7906" s="15" t="n">
        <v>0.217324592983621</v>
      </c>
      <c r="D7906" s="14" t="n">
        <f aca="false">Summary!$B$5-B7906</f>
        <v>4943.0050220468</v>
      </c>
      <c r="E7906" s="15" t="n">
        <f aca="false">B7906/Summary!$B$5-1</f>
        <v>-0.049430050220468</v>
      </c>
    </row>
    <row r="7907" customFormat="false" ht="15" hidden="false" customHeight="false" outlineLevel="0" collapsed="false">
      <c r="A7907" s="0" t="n">
        <v>7906</v>
      </c>
      <c r="B7907" s="14" t="n">
        <v>119501.122797743</v>
      </c>
      <c r="C7907" s="15" t="n">
        <v>0.0815221994301697</v>
      </c>
      <c r="D7907" s="14" t="n">
        <f aca="false">Summary!$B$5-B7907</f>
        <v>-19501.122797743</v>
      </c>
      <c r="E7907" s="15" t="n">
        <f aca="false">B7907/Summary!$B$5-1</f>
        <v>0.19501122797743</v>
      </c>
    </row>
    <row r="7908" customFormat="false" ht="15" hidden="false" customHeight="false" outlineLevel="0" collapsed="false">
      <c r="A7908" s="0" t="n">
        <v>7907</v>
      </c>
      <c r="B7908" s="14" t="n">
        <v>120981.284452466</v>
      </c>
      <c r="C7908" s="15" t="n">
        <v>0.0660282491635174</v>
      </c>
      <c r="D7908" s="14" t="n">
        <f aca="false">Summary!$B$5-B7908</f>
        <v>-20981.2844524661</v>
      </c>
      <c r="E7908" s="15" t="n">
        <f aca="false">B7908/Summary!$B$5-1</f>
        <v>0.209812844524661</v>
      </c>
    </row>
    <row r="7909" customFormat="false" ht="15" hidden="false" customHeight="false" outlineLevel="0" collapsed="false">
      <c r="A7909" s="0" t="n">
        <v>7908</v>
      </c>
      <c r="B7909" s="14" t="n">
        <v>114239.472780907</v>
      </c>
      <c r="C7909" s="15" t="n">
        <v>0.0899932202601192</v>
      </c>
      <c r="D7909" s="14" t="n">
        <f aca="false">Summary!$B$5-B7909</f>
        <v>-14239.4727809067</v>
      </c>
      <c r="E7909" s="15" t="n">
        <f aca="false">B7909/Summary!$B$5-1</f>
        <v>0.142394727809067</v>
      </c>
    </row>
    <row r="7910" customFormat="false" ht="15" hidden="false" customHeight="false" outlineLevel="0" collapsed="false">
      <c r="A7910" s="0" t="n">
        <v>7909</v>
      </c>
      <c r="B7910" s="14" t="n">
        <v>104236.206556249</v>
      </c>
      <c r="C7910" s="15" t="n">
        <v>0.0777108314420021</v>
      </c>
      <c r="D7910" s="14" t="n">
        <f aca="false">Summary!$B$5-B7910</f>
        <v>-4236.20655624921</v>
      </c>
      <c r="E7910" s="15" t="n">
        <f aca="false">B7910/Summary!$B$5-1</f>
        <v>0.0423620655624921</v>
      </c>
    </row>
    <row r="7911" customFormat="false" ht="15" hidden="false" customHeight="false" outlineLevel="0" collapsed="false">
      <c r="A7911" s="0" t="n">
        <v>7910</v>
      </c>
      <c r="B7911" s="14" t="n">
        <v>119784.804404446</v>
      </c>
      <c r="C7911" s="15" t="n">
        <v>0.0928874639710209</v>
      </c>
      <c r="D7911" s="14" t="n">
        <f aca="false">Summary!$B$5-B7911</f>
        <v>-19784.804404446</v>
      </c>
      <c r="E7911" s="15" t="n">
        <f aca="false">B7911/Summary!$B$5-1</f>
        <v>0.19784804404446</v>
      </c>
    </row>
    <row r="7912" customFormat="false" ht="15" hidden="false" customHeight="false" outlineLevel="0" collapsed="false">
      <c r="A7912" s="0" t="n">
        <v>7911</v>
      </c>
      <c r="B7912" s="14" t="n">
        <v>120417.910338033</v>
      </c>
      <c r="C7912" s="15" t="n">
        <v>0.0618294137479224</v>
      </c>
      <c r="D7912" s="14" t="n">
        <f aca="false">Summary!$B$5-B7912</f>
        <v>-20417.9103380334</v>
      </c>
      <c r="E7912" s="15" t="n">
        <f aca="false">B7912/Summary!$B$5-1</f>
        <v>0.204179103380334</v>
      </c>
    </row>
    <row r="7913" customFormat="false" ht="15" hidden="false" customHeight="false" outlineLevel="0" collapsed="false">
      <c r="A7913" s="0" t="n">
        <v>7912</v>
      </c>
      <c r="B7913" s="14" t="n">
        <v>102718.119736883</v>
      </c>
      <c r="C7913" s="15" t="n">
        <v>0.0950886462170056</v>
      </c>
      <c r="D7913" s="14" t="n">
        <f aca="false">Summary!$B$5-B7913</f>
        <v>-2718.11973688311</v>
      </c>
      <c r="E7913" s="15" t="n">
        <f aca="false">B7913/Summary!$B$5-1</f>
        <v>0.027181197368831</v>
      </c>
    </row>
    <row r="7914" customFormat="false" ht="15" hidden="false" customHeight="false" outlineLevel="0" collapsed="false">
      <c r="A7914" s="0" t="n">
        <v>7913</v>
      </c>
      <c r="B7914" s="14" t="n">
        <v>118070.749342043</v>
      </c>
      <c r="C7914" s="15" t="n">
        <v>0.0584935006954788</v>
      </c>
      <c r="D7914" s="14" t="n">
        <f aca="false">Summary!$B$5-B7914</f>
        <v>-18070.7493420434</v>
      </c>
      <c r="E7914" s="15" t="n">
        <f aca="false">B7914/Summary!$B$5-1</f>
        <v>0.180707493420434</v>
      </c>
    </row>
    <row r="7915" customFormat="false" ht="15" hidden="false" customHeight="false" outlineLevel="0" collapsed="false">
      <c r="A7915" s="0" t="n">
        <v>7914</v>
      </c>
      <c r="B7915" s="14" t="n">
        <v>101275.466576594</v>
      </c>
      <c r="C7915" s="15" t="n">
        <v>0.199422585570273</v>
      </c>
      <c r="D7915" s="14" t="n">
        <f aca="false">Summary!$B$5-B7915</f>
        <v>-1275.46657659431</v>
      </c>
      <c r="E7915" s="15" t="n">
        <f aca="false">B7915/Summary!$B$5-1</f>
        <v>0.012754665765943</v>
      </c>
    </row>
    <row r="7916" customFormat="false" ht="15" hidden="false" customHeight="false" outlineLevel="0" collapsed="false">
      <c r="A7916" s="0" t="n">
        <v>7915</v>
      </c>
      <c r="B7916" s="14" t="n">
        <v>121414.783126505</v>
      </c>
      <c r="C7916" s="15" t="n">
        <v>0.096854735165776</v>
      </c>
      <c r="D7916" s="14" t="n">
        <f aca="false">Summary!$B$5-B7916</f>
        <v>-21414.7831265048</v>
      </c>
      <c r="E7916" s="15" t="n">
        <f aca="false">B7916/Summary!$B$5-1</f>
        <v>0.214147831265048</v>
      </c>
    </row>
    <row r="7917" customFormat="false" ht="15" hidden="false" customHeight="false" outlineLevel="0" collapsed="false">
      <c r="A7917" s="0" t="n">
        <v>7916</v>
      </c>
      <c r="B7917" s="14" t="n">
        <v>99803.9333860592</v>
      </c>
      <c r="C7917" s="15" t="n">
        <v>0.102329449713097</v>
      </c>
      <c r="D7917" s="14" t="n">
        <f aca="false">Summary!$B$5-B7917</f>
        <v>196.066613940842</v>
      </c>
      <c r="E7917" s="15" t="n">
        <f aca="false">B7917/Summary!$B$5-1</f>
        <v>-0.00196066613940837</v>
      </c>
    </row>
    <row r="7918" customFormat="false" ht="15" hidden="false" customHeight="false" outlineLevel="0" collapsed="false">
      <c r="A7918" s="0" t="n">
        <v>7917</v>
      </c>
      <c r="B7918" s="14" t="n">
        <v>108646.309351366</v>
      </c>
      <c r="C7918" s="15" t="n">
        <v>0.107940405400232</v>
      </c>
      <c r="D7918" s="14" t="n">
        <f aca="false">Summary!$B$5-B7918</f>
        <v>-8646.3093513663</v>
      </c>
      <c r="E7918" s="15" t="n">
        <f aca="false">B7918/Summary!$B$5-1</f>
        <v>0.086463093513663</v>
      </c>
    </row>
    <row r="7919" customFormat="false" ht="15" hidden="false" customHeight="false" outlineLevel="0" collapsed="false">
      <c r="A7919" s="0" t="n">
        <v>7918</v>
      </c>
      <c r="B7919" s="14" t="n">
        <v>117203.762490684</v>
      </c>
      <c r="C7919" s="15" t="n">
        <v>0.108822884584717</v>
      </c>
      <c r="D7919" s="14" t="n">
        <f aca="false">Summary!$B$5-B7919</f>
        <v>-17203.7624906843</v>
      </c>
      <c r="E7919" s="15" t="n">
        <f aca="false">B7919/Summary!$B$5-1</f>
        <v>0.172037624906843</v>
      </c>
    </row>
    <row r="7920" customFormat="false" ht="15" hidden="false" customHeight="false" outlineLevel="0" collapsed="false">
      <c r="A7920" s="0" t="n">
        <v>7919</v>
      </c>
      <c r="B7920" s="14" t="n">
        <v>148559.857721319</v>
      </c>
      <c r="C7920" s="15" t="n">
        <v>0.0389695854010146</v>
      </c>
      <c r="D7920" s="14" t="n">
        <f aca="false">Summary!$B$5-B7920</f>
        <v>-48559.8577213189</v>
      </c>
      <c r="E7920" s="15" t="n">
        <f aca="false">B7920/Summary!$B$5-1</f>
        <v>0.485598577213189</v>
      </c>
    </row>
    <row r="7921" customFormat="false" ht="15" hidden="false" customHeight="false" outlineLevel="0" collapsed="false">
      <c r="A7921" s="0" t="n">
        <v>7920</v>
      </c>
      <c r="B7921" s="14" t="n">
        <v>102462.723381788</v>
      </c>
      <c r="C7921" s="15" t="n">
        <v>0.0677671309171825</v>
      </c>
      <c r="D7921" s="14" t="n">
        <f aca="false">Summary!$B$5-B7921</f>
        <v>-2462.7233817884</v>
      </c>
      <c r="E7921" s="15" t="n">
        <f aca="false">B7921/Summary!$B$5-1</f>
        <v>0.0246272338178839</v>
      </c>
    </row>
    <row r="7922" customFormat="false" ht="15" hidden="false" customHeight="false" outlineLevel="0" collapsed="false">
      <c r="A7922" s="0" t="n">
        <v>7921</v>
      </c>
      <c r="B7922" s="14" t="n">
        <v>113572.30951039</v>
      </c>
      <c r="C7922" s="15" t="n">
        <v>0.0552907181881234</v>
      </c>
      <c r="D7922" s="14" t="n">
        <f aca="false">Summary!$B$5-B7922</f>
        <v>-13572.3095103896</v>
      </c>
      <c r="E7922" s="15" t="n">
        <f aca="false">B7922/Summary!$B$5-1</f>
        <v>0.135723095103896</v>
      </c>
    </row>
    <row r="7923" customFormat="false" ht="15" hidden="false" customHeight="false" outlineLevel="0" collapsed="false">
      <c r="A7923" s="0" t="n">
        <v>7922</v>
      </c>
      <c r="B7923" s="14" t="n">
        <v>112917.345665255</v>
      </c>
      <c r="C7923" s="15" t="n">
        <v>0.0680196819723955</v>
      </c>
      <c r="D7923" s="14" t="n">
        <f aca="false">Summary!$B$5-B7923</f>
        <v>-12917.3456652551</v>
      </c>
      <c r="E7923" s="15" t="n">
        <f aca="false">B7923/Summary!$B$5-1</f>
        <v>0.129173456652551</v>
      </c>
    </row>
    <row r="7924" customFormat="false" ht="15" hidden="false" customHeight="false" outlineLevel="0" collapsed="false">
      <c r="A7924" s="0" t="n">
        <v>7923</v>
      </c>
      <c r="B7924" s="14" t="n">
        <v>120907.743755981</v>
      </c>
      <c r="C7924" s="15" t="n">
        <v>0.0791893671505148</v>
      </c>
      <c r="D7924" s="14" t="n">
        <f aca="false">Summary!$B$5-B7924</f>
        <v>-20907.7437559811</v>
      </c>
      <c r="E7924" s="15" t="n">
        <f aca="false">B7924/Summary!$B$5-1</f>
        <v>0.209077437559811</v>
      </c>
    </row>
    <row r="7925" customFormat="false" ht="15" hidden="false" customHeight="false" outlineLevel="0" collapsed="false">
      <c r="A7925" s="0" t="n">
        <v>7924</v>
      </c>
      <c r="B7925" s="14" t="n">
        <v>96163.073949494</v>
      </c>
      <c r="C7925" s="15" t="n">
        <v>0.175434488301134</v>
      </c>
      <c r="D7925" s="14" t="n">
        <f aca="false">Summary!$B$5-B7925</f>
        <v>3836.92605050605</v>
      </c>
      <c r="E7925" s="15" t="n">
        <f aca="false">B7925/Summary!$B$5-1</f>
        <v>-0.0383692605050605</v>
      </c>
    </row>
    <row r="7926" customFormat="false" ht="15" hidden="false" customHeight="false" outlineLevel="0" collapsed="false">
      <c r="A7926" s="0" t="n">
        <v>7925</v>
      </c>
      <c r="B7926" s="14" t="n">
        <v>118338.720074917</v>
      </c>
      <c r="C7926" s="15" t="n">
        <v>0.0532324698683508</v>
      </c>
      <c r="D7926" s="14" t="n">
        <f aca="false">Summary!$B$5-B7926</f>
        <v>-18338.7200749172</v>
      </c>
      <c r="E7926" s="15" t="n">
        <f aca="false">B7926/Summary!$B$5-1</f>
        <v>0.183387200749172</v>
      </c>
    </row>
    <row r="7927" customFormat="false" ht="15" hidden="false" customHeight="false" outlineLevel="0" collapsed="false">
      <c r="A7927" s="0" t="n">
        <v>7926</v>
      </c>
      <c r="B7927" s="14" t="n">
        <v>109235.662862639</v>
      </c>
      <c r="C7927" s="15" t="n">
        <v>0.047158634768328</v>
      </c>
      <c r="D7927" s="14" t="n">
        <f aca="false">Summary!$B$5-B7927</f>
        <v>-9235.66286263851</v>
      </c>
      <c r="E7927" s="15" t="n">
        <f aca="false">B7927/Summary!$B$5-1</f>
        <v>0.0923566286263851</v>
      </c>
    </row>
    <row r="7928" customFormat="false" ht="15" hidden="false" customHeight="false" outlineLevel="0" collapsed="false">
      <c r="A7928" s="0" t="n">
        <v>7927</v>
      </c>
      <c r="B7928" s="14" t="n">
        <v>109152.182141188</v>
      </c>
      <c r="C7928" s="15" t="n">
        <v>0.0622582448309275</v>
      </c>
      <c r="D7928" s="14" t="n">
        <f aca="false">Summary!$B$5-B7928</f>
        <v>-9152.18214118791</v>
      </c>
      <c r="E7928" s="15" t="n">
        <f aca="false">B7928/Summary!$B$5-1</f>
        <v>0.0915218214118792</v>
      </c>
    </row>
    <row r="7929" customFormat="false" ht="15" hidden="false" customHeight="false" outlineLevel="0" collapsed="false">
      <c r="A7929" s="0" t="n">
        <v>7928</v>
      </c>
      <c r="B7929" s="14" t="n">
        <v>106812.427335125</v>
      </c>
      <c r="C7929" s="15" t="n">
        <v>0.165143728291689</v>
      </c>
      <c r="D7929" s="14" t="n">
        <f aca="false">Summary!$B$5-B7929</f>
        <v>-6812.4273351251</v>
      </c>
      <c r="E7929" s="15" t="n">
        <f aca="false">B7929/Summary!$B$5-1</f>
        <v>0.068124273351251</v>
      </c>
    </row>
    <row r="7930" customFormat="false" ht="15" hidden="false" customHeight="false" outlineLevel="0" collapsed="false">
      <c r="A7930" s="0" t="n">
        <v>7929</v>
      </c>
      <c r="B7930" s="14" t="n">
        <v>100245.754201114</v>
      </c>
      <c r="C7930" s="15" t="n">
        <v>0.108563682638611</v>
      </c>
      <c r="D7930" s="14" t="n">
        <f aca="false">Summary!$B$5-B7930</f>
        <v>-245.754201113596</v>
      </c>
      <c r="E7930" s="15" t="n">
        <f aca="false">B7930/Summary!$B$5-1</f>
        <v>0.0024575420111359</v>
      </c>
    </row>
    <row r="7931" customFormat="false" ht="15" hidden="false" customHeight="false" outlineLevel="0" collapsed="false">
      <c r="A7931" s="0" t="n">
        <v>7930</v>
      </c>
      <c r="B7931" s="14" t="n">
        <v>126717.412020214</v>
      </c>
      <c r="C7931" s="15" t="n">
        <v>0.0590075473649767</v>
      </c>
      <c r="D7931" s="14" t="n">
        <f aca="false">Summary!$B$5-B7931</f>
        <v>-26717.4120202139</v>
      </c>
      <c r="E7931" s="15" t="n">
        <f aca="false">B7931/Summary!$B$5-1</f>
        <v>0.267174120202139</v>
      </c>
    </row>
    <row r="7932" customFormat="false" ht="15" hidden="false" customHeight="false" outlineLevel="0" collapsed="false">
      <c r="A7932" s="0" t="n">
        <v>7931</v>
      </c>
      <c r="B7932" s="14" t="n">
        <v>104595.855171886</v>
      </c>
      <c r="C7932" s="15" t="n">
        <v>0.115460291742779</v>
      </c>
      <c r="D7932" s="14" t="n">
        <f aca="false">Summary!$B$5-B7932</f>
        <v>-4595.85517188589</v>
      </c>
      <c r="E7932" s="15" t="n">
        <f aca="false">B7932/Summary!$B$5-1</f>
        <v>0.045958551718859</v>
      </c>
    </row>
    <row r="7933" customFormat="false" ht="15" hidden="false" customHeight="false" outlineLevel="0" collapsed="false">
      <c r="A7933" s="0" t="n">
        <v>7932</v>
      </c>
      <c r="B7933" s="14" t="n">
        <v>142947.04089496</v>
      </c>
      <c r="C7933" s="15" t="n">
        <v>0.0606066404955142</v>
      </c>
      <c r="D7933" s="14" t="n">
        <f aca="false">Summary!$B$5-B7933</f>
        <v>-42947.04089496</v>
      </c>
      <c r="E7933" s="15" t="n">
        <f aca="false">B7933/Summary!$B$5-1</f>
        <v>0.4294704089496</v>
      </c>
    </row>
    <row r="7934" customFormat="false" ht="15" hidden="false" customHeight="false" outlineLevel="0" collapsed="false">
      <c r="A7934" s="0" t="n">
        <v>7933</v>
      </c>
      <c r="B7934" s="14" t="n">
        <v>110463.958149872</v>
      </c>
      <c r="C7934" s="15" t="n">
        <v>0.073659552199892</v>
      </c>
      <c r="D7934" s="14" t="n">
        <f aca="false">Summary!$B$5-B7934</f>
        <v>-10463.9581498718</v>
      </c>
      <c r="E7934" s="15" t="n">
        <f aca="false">B7934/Summary!$B$5-1</f>
        <v>0.104639581498718</v>
      </c>
    </row>
    <row r="7935" customFormat="false" ht="15" hidden="false" customHeight="false" outlineLevel="0" collapsed="false">
      <c r="A7935" s="0" t="n">
        <v>7934</v>
      </c>
      <c r="B7935" s="14" t="n">
        <v>107576.985484936</v>
      </c>
      <c r="C7935" s="15" t="n">
        <v>0.105362033589599</v>
      </c>
      <c r="D7935" s="14" t="n">
        <f aca="false">Summary!$B$5-B7935</f>
        <v>-7576.98548493571</v>
      </c>
      <c r="E7935" s="15" t="n">
        <f aca="false">B7935/Summary!$B$5-1</f>
        <v>0.0757698548493571</v>
      </c>
    </row>
    <row r="7936" customFormat="false" ht="15" hidden="false" customHeight="false" outlineLevel="0" collapsed="false">
      <c r="A7936" s="0" t="n">
        <v>7935</v>
      </c>
      <c r="B7936" s="14" t="n">
        <v>103766.131984535</v>
      </c>
      <c r="C7936" s="15" t="n">
        <v>0.0765770664939647</v>
      </c>
      <c r="D7936" s="14" t="n">
        <f aca="false">Summary!$B$5-B7936</f>
        <v>-3766.13198453491</v>
      </c>
      <c r="E7936" s="15" t="n">
        <f aca="false">B7936/Summary!$B$5-1</f>
        <v>0.037661319845349</v>
      </c>
    </row>
    <row r="7937" customFormat="false" ht="15" hidden="false" customHeight="false" outlineLevel="0" collapsed="false">
      <c r="A7937" s="0" t="n">
        <v>7936</v>
      </c>
      <c r="B7937" s="14" t="n">
        <v>115624.890465989</v>
      </c>
      <c r="C7937" s="15" t="n">
        <v>0.0656423991266438</v>
      </c>
      <c r="D7937" s="14" t="n">
        <f aca="false">Summary!$B$5-B7937</f>
        <v>-15624.8904659889</v>
      </c>
      <c r="E7937" s="15" t="n">
        <f aca="false">B7937/Summary!$B$5-1</f>
        <v>0.156248904659889</v>
      </c>
    </row>
    <row r="7938" customFormat="false" ht="15" hidden="false" customHeight="false" outlineLevel="0" collapsed="false">
      <c r="A7938" s="0" t="n">
        <v>7937</v>
      </c>
      <c r="B7938" s="14" t="n">
        <v>107839.193735936</v>
      </c>
      <c r="C7938" s="15" t="n">
        <v>0.0895872428869734</v>
      </c>
      <c r="D7938" s="14" t="n">
        <f aca="false">Summary!$B$5-B7938</f>
        <v>-7839.1937359358</v>
      </c>
      <c r="E7938" s="15" t="n">
        <f aca="false">B7938/Summary!$B$5-1</f>
        <v>0.078391937359358</v>
      </c>
    </row>
    <row r="7939" customFormat="false" ht="15" hidden="false" customHeight="false" outlineLevel="0" collapsed="false">
      <c r="A7939" s="0" t="n">
        <v>7938</v>
      </c>
      <c r="B7939" s="14" t="n">
        <v>120238.243505737</v>
      </c>
      <c r="C7939" s="15" t="n">
        <v>0.0770595519379228</v>
      </c>
      <c r="D7939" s="14" t="n">
        <f aca="false">Summary!$B$5-B7939</f>
        <v>-20238.2435057373</v>
      </c>
      <c r="E7939" s="15" t="n">
        <f aca="false">B7939/Summary!$B$5-1</f>
        <v>0.202382435057373</v>
      </c>
    </row>
    <row r="7940" customFormat="false" ht="15" hidden="false" customHeight="false" outlineLevel="0" collapsed="false">
      <c r="A7940" s="0" t="n">
        <v>7939</v>
      </c>
      <c r="B7940" s="14" t="n">
        <v>103657.106916445</v>
      </c>
      <c r="C7940" s="15" t="n">
        <v>0.11336229289844</v>
      </c>
      <c r="D7940" s="14" t="n">
        <f aca="false">Summary!$B$5-B7940</f>
        <v>-3657.10691644459</v>
      </c>
      <c r="E7940" s="15" t="n">
        <f aca="false">B7940/Summary!$B$5-1</f>
        <v>0.0365710691644459</v>
      </c>
    </row>
    <row r="7941" customFormat="false" ht="15" hidden="false" customHeight="false" outlineLevel="0" collapsed="false">
      <c r="A7941" s="0" t="n">
        <v>7940</v>
      </c>
      <c r="B7941" s="14" t="n">
        <v>118436.282254423</v>
      </c>
      <c r="C7941" s="15" t="n">
        <v>0.0530438974749596</v>
      </c>
      <c r="D7941" s="14" t="n">
        <f aca="false">Summary!$B$5-B7941</f>
        <v>-18436.2822544229</v>
      </c>
      <c r="E7941" s="15" t="n">
        <f aca="false">B7941/Summary!$B$5-1</f>
        <v>0.184362822544229</v>
      </c>
    </row>
    <row r="7942" customFormat="false" ht="15" hidden="false" customHeight="false" outlineLevel="0" collapsed="false">
      <c r="A7942" s="0" t="n">
        <v>7941</v>
      </c>
      <c r="B7942" s="14" t="n">
        <v>112245.706328291</v>
      </c>
      <c r="C7942" s="15" t="n">
        <v>0.102843270681236</v>
      </c>
      <c r="D7942" s="14" t="n">
        <f aca="false">Summary!$B$5-B7942</f>
        <v>-12245.7063282912</v>
      </c>
      <c r="E7942" s="15" t="n">
        <f aca="false">B7942/Summary!$B$5-1</f>
        <v>0.122457063282912</v>
      </c>
    </row>
    <row r="7943" customFormat="false" ht="15" hidden="false" customHeight="false" outlineLevel="0" collapsed="false">
      <c r="A7943" s="0" t="n">
        <v>7942</v>
      </c>
      <c r="B7943" s="14" t="n">
        <v>122073.98853708</v>
      </c>
      <c r="C7943" s="15" t="n">
        <v>0.0860830576249426</v>
      </c>
      <c r="D7943" s="14" t="n">
        <f aca="false">Summary!$B$5-B7943</f>
        <v>-22073.9885370796</v>
      </c>
      <c r="E7943" s="15" t="n">
        <f aca="false">B7943/Summary!$B$5-1</f>
        <v>0.220739885370796</v>
      </c>
    </row>
    <row r="7944" customFormat="false" ht="15" hidden="false" customHeight="false" outlineLevel="0" collapsed="false">
      <c r="A7944" s="0" t="n">
        <v>7943</v>
      </c>
      <c r="B7944" s="14" t="n">
        <v>93142.9759960071</v>
      </c>
      <c r="C7944" s="15" t="n">
        <v>0.208318091062263</v>
      </c>
      <c r="D7944" s="14" t="n">
        <f aca="false">Summary!$B$5-B7944</f>
        <v>6857.02400399286</v>
      </c>
      <c r="E7944" s="15" t="n">
        <f aca="false">B7944/Summary!$B$5-1</f>
        <v>-0.0685702400399286</v>
      </c>
    </row>
    <row r="7945" customFormat="false" ht="15" hidden="false" customHeight="false" outlineLevel="0" collapsed="false">
      <c r="A7945" s="0" t="n">
        <v>7944</v>
      </c>
      <c r="B7945" s="14" t="n">
        <v>112278.777095237</v>
      </c>
      <c r="C7945" s="15" t="n">
        <v>0.132071444675345</v>
      </c>
      <c r="D7945" s="14" t="n">
        <f aca="false">Summary!$B$5-B7945</f>
        <v>-12278.7770952371</v>
      </c>
      <c r="E7945" s="15" t="n">
        <f aca="false">B7945/Summary!$B$5-1</f>
        <v>0.122787770952371</v>
      </c>
    </row>
    <row r="7946" customFormat="false" ht="15" hidden="false" customHeight="false" outlineLevel="0" collapsed="false">
      <c r="A7946" s="0" t="n">
        <v>7945</v>
      </c>
      <c r="B7946" s="14" t="n">
        <v>134307.220172802</v>
      </c>
      <c r="C7946" s="15" t="n">
        <v>0.0572110741330923</v>
      </c>
      <c r="D7946" s="14" t="n">
        <f aca="false">Summary!$B$5-B7946</f>
        <v>-34307.2201728015</v>
      </c>
      <c r="E7946" s="15" t="n">
        <f aca="false">B7946/Summary!$B$5-1</f>
        <v>0.343072201728015</v>
      </c>
    </row>
    <row r="7947" customFormat="false" ht="15" hidden="false" customHeight="false" outlineLevel="0" collapsed="false">
      <c r="A7947" s="0" t="n">
        <v>7946</v>
      </c>
      <c r="B7947" s="14" t="n">
        <v>105219.596301718</v>
      </c>
      <c r="C7947" s="15" t="n">
        <v>0.0748728743602161</v>
      </c>
      <c r="D7947" s="14" t="n">
        <f aca="false">Summary!$B$5-B7947</f>
        <v>-5219.59630171749</v>
      </c>
      <c r="E7947" s="15" t="n">
        <f aca="false">B7947/Summary!$B$5-1</f>
        <v>0.0521959630171749</v>
      </c>
    </row>
    <row r="7948" customFormat="false" ht="15" hidden="false" customHeight="false" outlineLevel="0" collapsed="false">
      <c r="A7948" s="0" t="n">
        <v>7947</v>
      </c>
      <c r="B7948" s="14" t="n">
        <v>146897.729015628</v>
      </c>
      <c r="C7948" s="15" t="n">
        <v>0.0509930537849531</v>
      </c>
      <c r="D7948" s="14" t="n">
        <f aca="false">Summary!$B$5-B7948</f>
        <v>-46897.7290156278</v>
      </c>
      <c r="E7948" s="15" t="n">
        <f aca="false">B7948/Summary!$B$5-1</f>
        <v>0.468977290156278</v>
      </c>
    </row>
    <row r="7949" customFormat="false" ht="15" hidden="false" customHeight="false" outlineLevel="0" collapsed="false">
      <c r="A7949" s="0" t="n">
        <v>7948</v>
      </c>
      <c r="B7949" s="14" t="n">
        <v>93969.5559706846</v>
      </c>
      <c r="C7949" s="15" t="n">
        <v>0.103596249307596</v>
      </c>
      <c r="D7949" s="14" t="n">
        <f aca="false">Summary!$B$5-B7949</f>
        <v>6030.44402931543</v>
      </c>
      <c r="E7949" s="15" t="n">
        <f aca="false">B7949/Summary!$B$5-1</f>
        <v>-0.0603044402931543</v>
      </c>
    </row>
    <row r="7950" customFormat="false" ht="15" hidden="false" customHeight="false" outlineLevel="0" collapsed="false">
      <c r="A7950" s="0" t="n">
        <v>7949</v>
      </c>
      <c r="B7950" s="14" t="n">
        <v>149800.150224744</v>
      </c>
      <c r="C7950" s="15" t="n">
        <v>0.0582434896728853</v>
      </c>
      <c r="D7950" s="14" t="n">
        <f aca="false">Summary!$B$5-B7950</f>
        <v>-49800.1502247435</v>
      </c>
      <c r="E7950" s="15" t="n">
        <f aca="false">B7950/Summary!$B$5-1</f>
        <v>0.498001502247435</v>
      </c>
    </row>
    <row r="7951" customFormat="false" ht="15" hidden="false" customHeight="false" outlineLevel="0" collapsed="false">
      <c r="A7951" s="0" t="n">
        <v>7950</v>
      </c>
      <c r="B7951" s="14" t="n">
        <v>106849.944645525</v>
      </c>
      <c r="C7951" s="15" t="n">
        <v>0.113271398472759</v>
      </c>
      <c r="D7951" s="14" t="n">
        <f aca="false">Summary!$B$5-B7951</f>
        <v>-6849.94464552461</v>
      </c>
      <c r="E7951" s="15" t="n">
        <f aca="false">B7951/Summary!$B$5-1</f>
        <v>0.068499446455246</v>
      </c>
    </row>
    <row r="7952" customFormat="false" ht="15" hidden="false" customHeight="false" outlineLevel="0" collapsed="false">
      <c r="A7952" s="0" t="n">
        <v>7951</v>
      </c>
      <c r="B7952" s="14" t="n">
        <v>113761.710858452</v>
      </c>
      <c r="C7952" s="15" t="n">
        <v>0.105370350482</v>
      </c>
      <c r="D7952" s="14" t="n">
        <f aca="false">Summary!$B$5-B7952</f>
        <v>-13761.7108584524</v>
      </c>
      <c r="E7952" s="15" t="n">
        <f aca="false">B7952/Summary!$B$5-1</f>
        <v>0.137617108584524</v>
      </c>
    </row>
    <row r="7953" customFormat="false" ht="15" hidden="false" customHeight="false" outlineLevel="0" collapsed="false">
      <c r="A7953" s="0" t="n">
        <v>7952</v>
      </c>
      <c r="B7953" s="14" t="n">
        <v>105517.960134198</v>
      </c>
      <c r="C7953" s="15" t="n">
        <v>0.0863374996943658</v>
      </c>
      <c r="D7953" s="14" t="n">
        <f aca="false">Summary!$B$5-B7953</f>
        <v>-5517.96013419831</v>
      </c>
      <c r="E7953" s="15" t="n">
        <f aca="false">B7953/Summary!$B$5-1</f>
        <v>0.055179601341983</v>
      </c>
    </row>
    <row r="7954" customFormat="false" ht="15" hidden="false" customHeight="false" outlineLevel="0" collapsed="false">
      <c r="A7954" s="0" t="n">
        <v>7953</v>
      </c>
      <c r="B7954" s="14" t="n">
        <v>111167.394870316</v>
      </c>
      <c r="C7954" s="15" t="n">
        <v>0.0535522934060682</v>
      </c>
      <c r="D7954" s="14" t="n">
        <f aca="false">Summary!$B$5-B7954</f>
        <v>-11167.3948703162</v>
      </c>
      <c r="E7954" s="15" t="n">
        <f aca="false">B7954/Summary!$B$5-1</f>
        <v>0.111673948703162</v>
      </c>
    </row>
    <row r="7955" customFormat="false" ht="15" hidden="false" customHeight="false" outlineLevel="0" collapsed="false">
      <c r="A7955" s="0" t="n">
        <v>7954</v>
      </c>
      <c r="B7955" s="14" t="n">
        <v>128519.10016035</v>
      </c>
      <c r="C7955" s="15" t="n">
        <v>0.0458485844457326</v>
      </c>
      <c r="D7955" s="14" t="n">
        <f aca="false">Summary!$B$5-B7955</f>
        <v>-28519.1001603499</v>
      </c>
      <c r="E7955" s="15" t="n">
        <f aca="false">B7955/Summary!$B$5-1</f>
        <v>0.285191001603499</v>
      </c>
    </row>
    <row r="7956" customFormat="false" ht="15" hidden="false" customHeight="false" outlineLevel="0" collapsed="false">
      <c r="A7956" s="0" t="n">
        <v>7955</v>
      </c>
      <c r="B7956" s="14" t="n">
        <v>116790.615262928</v>
      </c>
      <c r="C7956" s="15" t="n">
        <v>0.0744081864606023</v>
      </c>
      <c r="D7956" s="14" t="n">
        <f aca="false">Summary!$B$5-B7956</f>
        <v>-16790.6152629276</v>
      </c>
      <c r="E7956" s="15" t="n">
        <f aca="false">B7956/Summary!$B$5-1</f>
        <v>0.167906152629276</v>
      </c>
    </row>
    <row r="7957" customFormat="false" ht="15" hidden="false" customHeight="false" outlineLevel="0" collapsed="false">
      <c r="A7957" s="0" t="n">
        <v>7956</v>
      </c>
      <c r="B7957" s="14" t="n">
        <v>107012.062714874</v>
      </c>
      <c r="C7957" s="15" t="n">
        <v>0.0623382131565488</v>
      </c>
      <c r="D7957" s="14" t="n">
        <f aca="false">Summary!$B$5-B7957</f>
        <v>-7012.06271487349</v>
      </c>
      <c r="E7957" s="15" t="n">
        <f aca="false">B7957/Summary!$B$5-1</f>
        <v>0.0701206271487349</v>
      </c>
    </row>
    <row r="7958" customFormat="false" ht="15" hidden="false" customHeight="false" outlineLevel="0" collapsed="false">
      <c r="A7958" s="0" t="n">
        <v>7957</v>
      </c>
      <c r="B7958" s="14" t="n">
        <v>126838.524551984</v>
      </c>
      <c r="C7958" s="15" t="n">
        <v>0.0579924981392813</v>
      </c>
      <c r="D7958" s="14" t="n">
        <f aca="false">Summary!$B$5-B7958</f>
        <v>-26838.5245519844</v>
      </c>
      <c r="E7958" s="15" t="n">
        <f aca="false">B7958/Summary!$B$5-1</f>
        <v>0.268385245519844</v>
      </c>
    </row>
    <row r="7959" customFormat="false" ht="15" hidden="false" customHeight="false" outlineLevel="0" collapsed="false">
      <c r="A7959" s="0" t="n">
        <v>7958</v>
      </c>
      <c r="B7959" s="14" t="n">
        <v>100679.074003767</v>
      </c>
      <c r="C7959" s="15" t="n">
        <v>0.0647118385543378</v>
      </c>
      <c r="D7959" s="14" t="n">
        <f aca="false">Summary!$B$5-B7959</f>
        <v>-679.074003766596</v>
      </c>
      <c r="E7959" s="15" t="n">
        <f aca="false">B7959/Summary!$B$5-1</f>
        <v>0.00679074003766589</v>
      </c>
    </row>
    <row r="7960" customFormat="false" ht="15" hidden="false" customHeight="false" outlineLevel="0" collapsed="false">
      <c r="A7960" s="0" t="n">
        <v>7959</v>
      </c>
      <c r="B7960" s="14" t="n">
        <v>100989.137068156</v>
      </c>
      <c r="C7960" s="15" t="n">
        <v>0.109961338187488</v>
      </c>
      <c r="D7960" s="14" t="n">
        <f aca="false">Summary!$B$5-B7960</f>
        <v>-989.137068155702</v>
      </c>
      <c r="E7960" s="15" t="n">
        <f aca="false">B7960/Summary!$B$5-1</f>
        <v>0.0098913706815571</v>
      </c>
    </row>
    <row r="7961" customFormat="false" ht="15" hidden="false" customHeight="false" outlineLevel="0" collapsed="false">
      <c r="A7961" s="0" t="n">
        <v>7960</v>
      </c>
      <c r="B7961" s="14" t="n">
        <v>107253.769556885</v>
      </c>
      <c r="C7961" s="15" t="n">
        <v>0.0768223011879856</v>
      </c>
      <c r="D7961" s="14" t="n">
        <f aca="false">Summary!$B$5-B7961</f>
        <v>-7253.76955688449</v>
      </c>
      <c r="E7961" s="15" t="n">
        <f aca="false">B7961/Summary!$B$5-1</f>
        <v>0.072537695568845</v>
      </c>
    </row>
    <row r="7962" customFormat="false" ht="15" hidden="false" customHeight="false" outlineLevel="0" collapsed="false">
      <c r="A7962" s="0" t="n">
        <v>7961</v>
      </c>
      <c r="B7962" s="14" t="n">
        <v>106529.401390657</v>
      </c>
      <c r="C7962" s="15" t="n">
        <v>0.0771004957882793</v>
      </c>
      <c r="D7962" s="14" t="n">
        <f aca="false">Summary!$B$5-B7962</f>
        <v>-6529.4013906566</v>
      </c>
      <c r="E7962" s="15" t="n">
        <f aca="false">B7962/Summary!$B$5-1</f>
        <v>0.0652940139065659</v>
      </c>
    </row>
    <row r="7963" customFormat="false" ht="15" hidden="false" customHeight="false" outlineLevel="0" collapsed="false">
      <c r="A7963" s="0" t="n">
        <v>7962</v>
      </c>
      <c r="B7963" s="14" t="n">
        <v>125591.933252434</v>
      </c>
      <c r="C7963" s="15" t="n">
        <v>0.0607562477934778</v>
      </c>
      <c r="D7963" s="14" t="n">
        <f aca="false">Summary!$B$5-B7963</f>
        <v>-25591.9332524338</v>
      </c>
      <c r="E7963" s="15" t="n">
        <f aca="false">B7963/Summary!$B$5-1</f>
        <v>0.255919332524338</v>
      </c>
    </row>
    <row r="7964" customFormat="false" ht="15" hidden="false" customHeight="false" outlineLevel="0" collapsed="false">
      <c r="A7964" s="0" t="n">
        <v>7963</v>
      </c>
      <c r="B7964" s="14" t="n">
        <v>106118.363516606</v>
      </c>
      <c r="C7964" s="15" t="n">
        <v>0.105533044340255</v>
      </c>
      <c r="D7964" s="14" t="n">
        <f aca="false">Summary!$B$5-B7964</f>
        <v>-6118.3635166059</v>
      </c>
      <c r="E7964" s="15" t="n">
        <f aca="false">B7964/Summary!$B$5-1</f>
        <v>0.0611836351660589</v>
      </c>
    </row>
    <row r="7965" customFormat="false" ht="15" hidden="false" customHeight="false" outlineLevel="0" collapsed="false">
      <c r="A7965" s="0" t="n">
        <v>7964</v>
      </c>
      <c r="B7965" s="14" t="n">
        <v>117120.553654281</v>
      </c>
      <c r="C7965" s="15" t="n">
        <v>0.0777576032764229</v>
      </c>
      <c r="D7965" s="14" t="n">
        <f aca="false">Summary!$B$5-B7965</f>
        <v>-17120.5536542808</v>
      </c>
      <c r="E7965" s="15" t="n">
        <f aca="false">B7965/Summary!$B$5-1</f>
        <v>0.171205536542808</v>
      </c>
    </row>
    <row r="7966" customFormat="false" ht="15" hidden="false" customHeight="false" outlineLevel="0" collapsed="false">
      <c r="A7966" s="0" t="n">
        <v>7965</v>
      </c>
      <c r="B7966" s="14" t="n">
        <v>86048.5195437904</v>
      </c>
      <c r="C7966" s="15" t="n">
        <v>0.192520610619667</v>
      </c>
      <c r="D7966" s="14" t="n">
        <f aca="false">Summary!$B$5-B7966</f>
        <v>13951.4804562097</v>
      </c>
      <c r="E7966" s="15" t="n">
        <f aca="false">B7966/Summary!$B$5-1</f>
        <v>-0.139514804562097</v>
      </c>
    </row>
    <row r="7967" customFormat="false" ht="15" hidden="false" customHeight="false" outlineLevel="0" collapsed="false">
      <c r="A7967" s="0" t="n">
        <v>7966</v>
      </c>
      <c r="B7967" s="14" t="n">
        <v>84076.0976051654</v>
      </c>
      <c r="C7967" s="15" t="n">
        <v>0.196840282610585</v>
      </c>
      <c r="D7967" s="14" t="n">
        <f aca="false">Summary!$B$5-B7967</f>
        <v>15923.9023948346</v>
      </c>
      <c r="E7967" s="15" t="n">
        <f aca="false">B7967/Summary!$B$5-1</f>
        <v>-0.159239023948346</v>
      </c>
    </row>
    <row r="7968" customFormat="false" ht="15" hidden="false" customHeight="false" outlineLevel="0" collapsed="false">
      <c r="A7968" s="0" t="n">
        <v>7967</v>
      </c>
      <c r="B7968" s="14" t="n">
        <v>115313.672484402</v>
      </c>
      <c r="C7968" s="15" t="n">
        <v>0.0798587670455085</v>
      </c>
      <c r="D7968" s="14" t="n">
        <f aca="false">Summary!$B$5-B7968</f>
        <v>-15313.6724844017</v>
      </c>
      <c r="E7968" s="15" t="n">
        <f aca="false">B7968/Summary!$B$5-1</f>
        <v>0.153136724844017</v>
      </c>
    </row>
    <row r="7969" customFormat="false" ht="15" hidden="false" customHeight="false" outlineLevel="0" collapsed="false">
      <c r="A7969" s="0" t="n">
        <v>7968</v>
      </c>
      <c r="B7969" s="14" t="n">
        <v>87364.4414862797</v>
      </c>
      <c r="C7969" s="15" t="n">
        <v>0.140311647662107</v>
      </c>
      <c r="D7969" s="14" t="n">
        <f aca="false">Summary!$B$5-B7969</f>
        <v>12635.5585137203</v>
      </c>
      <c r="E7969" s="15" t="n">
        <f aca="false">B7969/Summary!$B$5-1</f>
        <v>-0.126355585137203</v>
      </c>
    </row>
    <row r="7970" customFormat="false" ht="15" hidden="false" customHeight="false" outlineLevel="0" collapsed="false">
      <c r="A7970" s="0" t="n">
        <v>7969</v>
      </c>
      <c r="B7970" s="14" t="n">
        <v>113736.787527272</v>
      </c>
      <c r="C7970" s="15" t="n">
        <v>0.109731936246063</v>
      </c>
      <c r="D7970" s="14" t="n">
        <f aca="false">Summary!$B$5-B7970</f>
        <v>-13736.7875272722</v>
      </c>
      <c r="E7970" s="15" t="n">
        <f aca="false">B7970/Summary!$B$5-1</f>
        <v>0.137367875272722</v>
      </c>
    </row>
    <row r="7971" customFormat="false" ht="15" hidden="false" customHeight="false" outlineLevel="0" collapsed="false">
      <c r="A7971" s="0" t="n">
        <v>7970</v>
      </c>
      <c r="B7971" s="14" t="n">
        <v>108648.072152573</v>
      </c>
      <c r="C7971" s="15" t="n">
        <v>0.0671896928701106</v>
      </c>
      <c r="D7971" s="14" t="n">
        <f aca="false">Summary!$B$5-B7971</f>
        <v>-8648.0721525726</v>
      </c>
      <c r="E7971" s="15" t="n">
        <f aca="false">B7971/Summary!$B$5-1</f>
        <v>0.086480721525726</v>
      </c>
    </row>
    <row r="7972" customFormat="false" ht="15" hidden="false" customHeight="false" outlineLevel="0" collapsed="false">
      <c r="A7972" s="0" t="n">
        <v>7971</v>
      </c>
      <c r="B7972" s="14" t="n">
        <v>122963.88596176</v>
      </c>
      <c r="C7972" s="15" t="n">
        <v>0.0499368182415654</v>
      </c>
      <c r="D7972" s="14" t="n">
        <f aca="false">Summary!$B$5-B7972</f>
        <v>-22963.8859617597</v>
      </c>
      <c r="E7972" s="15" t="n">
        <f aca="false">B7972/Summary!$B$5-1</f>
        <v>0.229638859617597</v>
      </c>
    </row>
    <row r="7973" customFormat="false" ht="15" hidden="false" customHeight="false" outlineLevel="0" collapsed="false">
      <c r="A7973" s="0" t="n">
        <v>7972</v>
      </c>
      <c r="B7973" s="14" t="n">
        <v>101198.468873186</v>
      </c>
      <c r="C7973" s="15" t="n">
        <v>0.123913986579632</v>
      </c>
      <c r="D7973" s="14" t="n">
        <f aca="false">Summary!$B$5-B7973</f>
        <v>-1198.4688731861</v>
      </c>
      <c r="E7973" s="15" t="n">
        <f aca="false">B7973/Summary!$B$5-1</f>
        <v>0.0119846887318609</v>
      </c>
    </row>
    <row r="7974" customFormat="false" ht="15" hidden="false" customHeight="false" outlineLevel="0" collapsed="false">
      <c r="A7974" s="0" t="n">
        <v>7973</v>
      </c>
      <c r="B7974" s="14" t="n">
        <v>108571.852275954</v>
      </c>
      <c r="C7974" s="15" t="n">
        <v>0.0890724070296547</v>
      </c>
      <c r="D7974" s="14" t="n">
        <f aca="false">Summary!$B$5-B7974</f>
        <v>-8571.8522759544</v>
      </c>
      <c r="E7974" s="15" t="n">
        <f aca="false">B7974/Summary!$B$5-1</f>
        <v>0.0857185227595441</v>
      </c>
    </row>
    <row r="7975" customFormat="false" ht="15" hidden="false" customHeight="false" outlineLevel="0" collapsed="false">
      <c r="A7975" s="0" t="n">
        <v>7974</v>
      </c>
      <c r="B7975" s="14" t="n">
        <v>105077.858005296</v>
      </c>
      <c r="C7975" s="15" t="n">
        <v>0.0962314465679538</v>
      </c>
      <c r="D7975" s="14" t="n">
        <f aca="false">Summary!$B$5-B7975</f>
        <v>-5077.8580052956</v>
      </c>
      <c r="E7975" s="15" t="n">
        <f aca="false">B7975/Summary!$B$5-1</f>
        <v>0.0507785800529559</v>
      </c>
    </row>
    <row r="7976" customFormat="false" ht="15" hidden="false" customHeight="false" outlineLevel="0" collapsed="false">
      <c r="A7976" s="0" t="n">
        <v>7975</v>
      </c>
      <c r="B7976" s="14" t="n">
        <v>103600.851143945</v>
      </c>
      <c r="C7976" s="15" t="n">
        <v>0.0894709097028019</v>
      </c>
      <c r="D7976" s="14" t="n">
        <f aca="false">Summary!$B$5-B7976</f>
        <v>-3600.8511439452</v>
      </c>
      <c r="E7976" s="15" t="n">
        <f aca="false">B7976/Summary!$B$5-1</f>
        <v>0.0360085114394519</v>
      </c>
    </row>
    <row r="7977" customFormat="false" ht="15" hidden="false" customHeight="false" outlineLevel="0" collapsed="false">
      <c r="A7977" s="0" t="n">
        <v>7976</v>
      </c>
      <c r="B7977" s="14" t="n">
        <v>90182.2205239415</v>
      </c>
      <c r="C7977" s="15" t="n">
        <v>0.107099988809852</v>
      </c>
      <c r="D7977" s="14" t="n">
        <f aca="false">Summary!$B$5-B7977</f>
        <v>9817.77947605855</v>
      </c>
      <c r="E7977" s="15" t="n">
        <f aca="false">B7977/Summary!$B$5-1</f>
        <v>-0.0981777947605855</v>
      </c>
    </row>
    <row r="7978" customFormat="false" ht="15" hidden="false" customHeight="false" outlineLevel="0" collapsed="false">
      <c r="A7978" s="0" t="n">
        <v>7977</v>
      </c>
      <c r="B7978" s="14" t="n">
        <v>108283.592125859</v>
      </c>
      <c r="C7978" s="15" t="n">
        <v>0.0861888832939434</v>
      </c>
      <c r="D7978" s="14" t="n">
        <f aca="false">Summary!$B$5-B7978</f>
        <v>-8283.5921258585</v>
      </c>
      <c r="E7978" s="15" t="n">
        <f aca="false">B7978/Summary!$B$5-1</f>
        <v>0.082835921258585</v>
      </c>
    </row>
    <row r="7979" customFormat="false" ht="15" hidden="false" customHeight="false" outlineLevel="0" collapsed="false">
      <c r="A7979" s="0" t="n">
        <v>7978</v>
      </c>
      <c r="B7979" s="14" t="n">
        <v>104203.343364519</v>
      </c>
      <c r="C7979" s="15" t="n">
        <v>0.0902448939129442</v>
      </c>
      <c r="D7979" s="14" t="n">
        <f aca="false">Summary!$B$5-B7979</f>
        <v>-4203.3433645192</v>
      </c>
      <c r="E7979" s="15" t="n">
        <f aca="false">B7979/Summary!$B$5-1</f>
        <v>0.042033433645192</v>
      </c>
    </row>
    <row r="7980" customFormat="false" ht="15" hidden="false" customHeight="false" outlineLevel="0" collapsed="false">
      <c r="A7980" s="0" t="n">
        <v>7979</v>
      </c>
      <c r="B7980" s="14" t="n">
        <v>101691.290160225</v>
      </c>
      <c r="C7980" s="15" t="n">
        <v>0.150261526908661</v>
      </c>
      <c r="D7980" s="14" t="n">
        <f aca="false">Summary!$B$5-B7980</f>
        <v>-1691.2901602245</v>
      </c>
      <c r="E7980" s="15" t="n">
        <f aca="false">B7980/Summary!$B$5-1</f>
        <v>0.0169129016022449</v>
      </c>
    </row>
    <row r="7981" customFormat="false" ht="15" hidden="false" customHeight="false" outlineLevel="0" collapsed="false">
      <c r="A7981" s="0" t="n">
        <v>7980</v>
      </c>
      <c r="B7981" s="14" t="n">
        <v>137959.91442877</v>
      </c>
      <c r="C7981" s="15" t="n">
        <v>0.0675706955285862</v>
      </c>
      <c r="D7981" s="14" t="n">
        <f aca="false">Summary!$B$5-B7981</f>
        <v>-37959.9144287698</v>
      </c>
      <c r="E7981" s="15" t="n">
        <f aca="false">B7981/Summary!$B$5-1</f>
        <v>0.379599144287698</v>
      </c>
    </row>
    <row r="7982" customFormat="false" ht="15" hidden="false" customHeight="false" outlineLevel="0" collapsed="false">
      <c r="A7982" s="0" t="n">
        <v>7981</v>
      </c>
      <c r="B7982" s="14" t="n">
        <v>115333.946483835</v>
      </c>
      <c r="C7982" s="15" t="n">
        <v>0.0832759048224309</v>
      </c>
      <c r="D7982" s="14" t="n">
        <f aca="false">Summary!$B$5-B7982</f>
        <v>-15333.9464838347</v>
      </c>
      <c r="E7982" s="15" t="n">
        <f aca="false">B7982/Summary!$B$5-1</f>
        <v>0.153339464838347</v>
      </c>
    </row>
    <row r="7983" customFormat="false" ht="15" hidden="false" customHeight="false" outlineLevel="0" collapsed="false">
      <c r="A7983" s="0" t="n">
        <v>7982</v>
      </c>
      <c r="B7983" s="14" t="n">
        <v>111969.126028395</v>
      </c>
      <c r="C7983" s="15" t="n">
        <v>0.0628637472358834</v>
      </c>
      <c r="D7983" s="14" t="n">
        <f aca="false">Summary!$B$5-B7983</f>
        <v>-11969.1260283948</v>
      </c>
      <c r="E7983" s="15" t="n">
        <f aca="false">B7983/Summary!$B$5-1</f>
        <v>0.119691260283948</v>
      </c>
    </row>
    <row r="7984" customFormat="false" ht="15" hidden="false" customHeight="false" outlineLevel="0" collapsed="false">
      <c r="A7984" s="0" t="n">
        <v>7983</v>
      </c>
      <c r="B7984" s="14" t="n">
        <v>132606.118369313</v>
      </c>
      <c r="C7984" s="15" t="n">
        <v>0.0817635231783981</v>
      </c>
      <c r="D7984" s="14" t="n">
        <f aca="false">Summary!$B$5-B7984</f>
        <v>-32606.1183693127</v>
      </c>
      <c r="E7984" s="15" t="n">
        <f aca="false">B7984/Summary!$B$5-1</f>
        <v>0.326061183693127</v>
      </c>
    </row>
    <row r="7985" customFormat="false" ht="15" hidden="false" customHeight="false" outlineLevel="0" collapsed="false">
      <c r="A7985" s="0" t="n">
        <v>7984</v>
      </c>
      <c r="B7985" s="14" t="n">
        <v>117756.224928381</v>
      </c>
      <c r="C7985" s="15" t="n">
        <v>0.101160112569261</v>
      </c>
      <c r="D7985" s="14" t="n">
        <f aca="false">Summary!$B$5-B7985</f>
        <v>-17756.2249283814</v>
      </c>
      <c r="E7985" s="15" t="n">
        <f aca="false">B7985/Summary!$B$5-1</f>
        <v>0.177562249283814</v>
      </c>
    </row>
    <row r="7986" customFormat="false" ht="15" hidden="false" customHeight="false" outlineLevel="0" collapsed="false">
      <c r="A7986" s="0" t="n">
        <v>7985</v>
      </c>
      <c r="B7986" s="14" t="n">
        <v>103941.941108609</v>
      </c>
      <c r="C7986" s="15" t="n">
        <v>0.0753118881197973</v>
      </c>
      <c r="D7986" s="14" t="n">
        <f aca="false">Summary!$B$5-B7986</f>
        <v>-3941.941108609</v>
      </c>
      <c r="E7986" s="15" t="n">
        <f aca="false">B7986/Summary!$B$5-1</f>
        <v>0.0394194110860899</v>
      </c>
    </row>
    <row r="7987" customFormat="false" ht="15" hidden="false" customHeight="false" outlineLevel="0" collapsed="false">
      <c r="A7987" s="0" t="n">
        <v>7986</v>
      </c>
      <c r="B7987" s="14" t="n">
        <v>104792.670324249</v>
      </c>
      <c r="C7987" s="15" t="n">
        <v>0.0815591205829768</v>
      </c>
      <c r="D7987" s="14" t="n">
        <f aca="false">Summary!$B$5-B7987</f>
        <v>-4792.67032424911</v>
      </c>
      <c r="E7987" s="15" t="n">
        <f aca="false">B7987/Summary!$B$5-1</f>
        <v>0.047926703242491</v>
      </c>
    </row>
    <row r="7988" customFormat="false" ht="15" hidden="false" customHeight="false" outlineLevel="0" collapsed="false">
      <c r="A7988" s="0" t="n">
        <v>7987</v>
      </c>
      <c r="B7988" s="14" t="n">
        <v>97638.7338248699</v>
      </c>
      <c r="C7988" s="15" t="n">
        <v>0.118148580955676</v>
      </c>
      <c r="D7988" s="14" t="n">
        <f aca="false">Summary!$B$5-B7988</f>
        <v>2361.26617513012</v>
      </c>
      <c r="E7988" s="15" t="n">
        <f aca="false">B7988/Summary!$B$5-1</f>
        <v>-0.0236126617513012</v>
      </c>
    </row>
    <row r="7989" customFormat="false" ht="15" hidden="false" customHeight="false" outlineLevel="0" collapsed="false">
      <c r="A7989" s="0" t="n">
        <v>7988</v>
      </c>
      <c r="B7989" s="14" t="n">
        <v>104161.406617561</v>
      </c>
      <c r="C7989" s="15" t="n">
        <v>0.094471871937391</v>
      </c>
      <c r="D7989" s="14" t="n">
        <f aca="false">Summary!$B$5-B7989</f>
        <v>-4161.4066175609</v>
      </c>
      <c r="E7989" s="15" t="n">
        <f aca="false">B7989/Summary!$B$5-1</f>
        <v>0.041614066175609</v>
      </c>
    </row>
    <row r="7990" customFormat="false" ht="15" hidden="false" customHeight="false" outlineLevel="0" collapsed="false">
      <c r="A7990" s="0" t="n">
        <v>7989</v>
      </c>
      <c r="B7990" s="14" t="n">
        <v>100107.504976911</v>
      </c>
      <c r="C7990" s="15" t="n">
        <v>0.122719169191377</v>
      </c>
      <c r="D7990" s="14" t="n">
        <f aca="false">Summary!$B$5-B7990</f>
        <v>-107.504976911194</v>
      </c>
      <c r="E7990" s="15" t="n">
        <f aca="false">B7990/Summary!$B$5-1</f>
        <v>0.00107504976911188</v>
      </c>
    </row>
    <row r="7991" customFormat="false" ht="15" hidden="false" customHeight="false" outlineLevel="0" collapsed="false">
      <c r="A7991" s="0" t="n">
        <v>7990</v>
      </c>
      <c r="B7991" s="14" t="n">
        <v>131402.934349338</v>
      </c>
      <c r="C7991" s="15" t="n">
        <v>0.0606448806792048</v>
      </c>
      <c r="D7991" s="14" t="n">
        <f aca="false">Summary!$B$5-B7991</f>
        <v>-31402.9343493375</v>
      </c>
      <c r="E7991" s="15" t="n">
        <f aca="false">B7991/Summary!$B$5-1</f>
        <v>0.314029343493375</v>
      </c>
    </row>
    <row r="7992" customFormat="false" ht="15" hidden="false" customHeight="false" outlineLevel="0" collapsed="false">
      <c r="A7992" s="0" t="n">
        <v>7991</v>
      </c>
      <c r="B7992" s="14" t="n">
        <v>88780.8672622863</v>
      </c>
      <c r="C7992" s="15" t="n">
        <v>0.137942712051331</v>
      </c>
      <c r="D7992" s="14" t="n">
        <f aca="false">Summary!$B$5-B7992</f>
        <v>11219.1327377137</v>
      </c>
      <c r="E7992" s="15" t="n">
        <f aca="false">B7992/Summary!$B$5-1</f>
        <v>-0.112191327377137</v>
      </c>
    </row>
    <row r="7993" customFormat="false" ht="15" hidden="false" customHeight="false" outlineLevel="0" collapsed="false">
      <c r="A7993" s="0" t="n">
        <v>7992</v>
      </c>
      <c r="B7993" s="14" t="n">
        <v>97500.9660015994</v>
      </c>
      <c r="C7993" s="15" t="n">
        <v>0.126659156303608</v>
      </c>
      <c r="D7993" s="14" t="n">
        <f aca="false">Summary!$B$5-B7993</f>
        <v>2499.03399840057</v>
      </c>
      <c r="E7993" s="15" t="n">
        <f aca="false">B7993/Summary!$B$5-1</f>
        <v>-0.0249903399840057</v>
      </c>
    </row>
    <row r="7994" customFormat="false" ht="15" hidden="false" customHeight="false" outlineLevel="0" collapsed="false">
      <c r="A7994" s="0" t="n">
        <v>7993</v>
      </c>
      <c r="B7994" s="14" t="n">
        <v>111138.144169122</v>
      </c>
      <c r="C7994" s="15" t="n">
        <v>0.1152729854939</v>
      </c>
      <c r="D7994" s="14" t="n">
        <f aca="false">Summary!$B$5-B7994</f>
        <v>-11138.1441691217</v>
      </c>
      <c r="E7994" s="15" t="n">
        <f aca="false">B7994/Summary!$B$5-1</f>
        <v>0.111381441691217</v>
      </c>
    </row>
    <row r="7995" customFormat="false" ht="15" hidden="false" customHeight="false" outlineLevel="0" collapsed="false">
      <c r="A7995" s="0" t="n">
        <v>7994</v>
      </c>
      <c r="B7995" s="14" t="n">
        <v>107744.18787607</v>
      </c>
      <c r="C7995" s="15" t="n">
        <v>0.0907447641529102</v>
      </c>
      <c r="D7995" s="14" t="n">
        <f aca="false">Summary!$B$5-B7995</f>
        <v>-7744.18787607009</v>
      </c>
      <c r="E7995" s="15" t="n">
        <f aca="false">B7995/Summary!$B$5-1</f>
        <v>0.077441878760701</v>
      </c>
    </row>
    <row r="7996" customFormat="false" ht="15" hidden="false" customHeight="false" outlineLevel="0" collapsed="false">
      <c r="A7996" s="0" t="n">
        <v>7995</v>
      </c>
      <c r="B7996" s="14" t="n">
        <v>102976.121133496</v>
      </c>
      <c r="C7996" s="15" t="n">
        <v>0.120971906238871</v>
      </c>
      <c r="D7996" s="14" t="n">
        <f aca="false">Summary!$B$5-B7996</f>
        <v>-2976.1211334957</v>
      </c>
      <c r="E7996" s="15" t="n">
        <f aca="false">B7996/Summary!$B$5-1</f>
        <v>0.029761211334957</v>
      </c>
    </row>
    <row r="7997" customFormat="false" ht="15" hidden="false" customHeight="false" outlineLevel="0" collapsed="false">
      <c r="A7997" s="0" t="n">
        <v>7996</v>
      </c>
      <c r="B7997" s="14" t="n">
        <v>114136.16740035</v>
      </c>
      <c r="C7997" s="15" t="n">
        <v>0.0673245337787696</v>
      </c>
      <c r="D7997" s="14" t="n">
        <f aca="false">Summary!$B$5-B7997</f>
        <v>-14136.16740035</v>
      </c>
      <c r="E7997" s="15" t="n">
        <f aca="false">B7997/Summary!$B$5-1</f>
        <v>0.1413616740035</v>
      </c>
    </row>
    <row r="7998" customFormat="false" ht="15" hidden="false" customHeight="false" outlineLevel="0" collapsed="false">
      <c r="A7998" s="0" t="n">
        <v>7997</v>
      </c>
      <c r="B7998" s="14" t="n">
        <v>101308.379890685</v>
      </c>
      <c r="C7998" s="15" t="n">
        <v>0.0776851413904987</v>
      </c>
      <c r="D7998" s="14" t="n">
        <f aca="false">Summary!$B$5-B7998</f>
        <v>-1308.37989068541</v>
      </c>
      <c r="E7998" s="15" t="n">
        <f aca="false">B7998/Summary!$B$5-1</f>
        <v>0.013083798906854</v>
      </c>
    </row>
    <row r="7999" customFormat="false" ht="15" hidden="false" customHeight="false" outlineLevel="0" collapsed="false">
      <c r="A7999" s="0" t="n">
        <v>7998</v>
      </c>
      <c r="B7999" s="14" t="n">
        <v>108782.22573198</v>
      </c>
      <c r="C7999" s="15" t="n">
        <v>0.0994539315382244</v>
      </c>
      <c r="D7999" s="14" t="n">
        <f aca="false">Summary!$B$5-B7999</f>
        <v>-8782.2257319795</v>
      </c>
      <c r="E7999" s="15" t="n">
        <f aca="false">B7999/Summary!$B$5-1</f>
        <v>0.0878222573197951</v>
      </c>
    </row>
    <row r="8000" customFormat="false" ht="15" hidden="false" customHeight="false" outlineLevel="0" collapsed="false">
      <c r="A8000" s="0" t="n">
        <v>7999</v>
      </c>
      <c r="B8000" s="14" t="n">
        <v>121288.710854529</v>
      </c>
      <c r="C8000" s="15" t="n">
        <v>0.0836314798556102</v>
      </c>
      <c r="D8000" s="14" t="n">
        <f aca="false">Summary!$B$5-B8000</f>
        <v>-21288.7108545291</v>
      </c>
      <c r="E8000" s="15" t="n">
        <f aca="false">B8000/Summary!$B$5-1</f>
        <v>0.212887108545291</v>
      </c>
    </row>
    <row r="8001" customFormat="false" ht="15" hidden="false" customHeight="false" outlineLevel="0" collapsed="false">
      <c r="A8001" s="0" t="n">
        <v>8000</v>
      </c>
      <c r="B8001" s="14" t="n">
        <v>132925.560611797</v>
      </c>
      <c r="C8001" s="15" t="n">
        <v>0.101159189931497</v>
      </c>
      <c r="D8001" s="14" t="n">
        <f aca="false">Summary!$B$5-B8001</f>
        <v>-32925.5606117969</v>
      </c>
      <c r="E8001" s="15" t="n">
        <f aca="false">B8001/Summary!$B$5-1</f>
        <v>0.329255606117969</v>
      </c>
    </row>
    <row r="8002" customFormat="false" ht="15" hidden="false" customHeight="false" outlineLevel="0" collapsed="false">
      <c r="A8002" s="0" t="n">
        <v>8001</v>
      </c>
      <c r="B8002" s="14" t="n">
        <v>95496.2886371518</v>
      </c>
      <c r="C8002" s="15" t="n">
        <v>0.111360030749689</v>
      </c>
      <c r="D8002" s="14" t="n">
        <f aca="false">Summary!$B$5-B8002</f>
        <v>4503.7113628482</v>
      </c>
      <c r="E8002" s="15" t="n">
        <f aca="false">B8002/Summary!$B$5-1</f>
        <v>-0.0450371136284821</v>
      </c>
    </row>
    <row r="8003" customFormat="false" ht="15" hidden="false" customHeight="false" outlineLevel="0" collapsed="false">
      <c r="A8003" s="0" t="n">
        <v>8002</v>
      </c>
      <c r="B8003" s="14" t="n">
        <v>116778.729882081</v>
      </c>
      <c r="C8003" s="15" t="n">
        <v>0.0553860427717887</v>
      </c>
      <c r="D8003" s="14" t="n">
        <f aca="false">Summary!$B$5-B8003</f>
        <v>-16778.7298820806</v>
      </c>
      <c r="E8003" s="15" t="n">
        <f aca="false">B8003/Summary!$B$5-1</f>
        <v>0.167787298820806</v>
      </c>
    </row>
    <row r="8004" customFormat="false" ht="15" hidden="false" customHeight="false" outlineLevel="0" collapsed="false">
      <c r="A8004" s="0" t="n">
        <v>8003</v>
      </c>
      <c r="B8004" s="14" t="n">
        <v>136815.589614769</v>
      </c>
      <c r="C8004" s="15" t="n">
        <v>0.070178550246111</v>
      </c>
      <c r="D8004" s="14" t="n">
        <f aca="false">Summary!$B$5-B8004</f>
        <v>-36815.5896147694</v>
      </c>
      <c r="E8004" s="15" t="n">
        <f aca="false">B8004/Summary!$B$5-1</f>
        <v>0.368155896147694</v>
      </c>
    </row>
    <row r="8005" customFormat="false" ht="15" hidden="false" customHeight="false" outlineLevel="0" collapsed="false">
      <c r="A8005" s="0" t="n">
        <v>8004</v>
      </c>
      <c r="B8005" s="14" t="n">
        <v>97620.5691255503</v>
      </c>
      <c r="C8005" s="15" t="n">
        <v>0.142108064803455</v>
      </c>
      <c r="D8005" s="14" t="n">
        <f aca="false">Summary!$B$5-B8005</f>
        <v>2379.43087444975</v>
      </c>
      <c r="E8005" s="15" t="n">
        <f aca="false">B8005/Summary!$B$5-1</f>
        <v>-0.0237943087444975</v>
      </c>
    </row>
    <row r="8006" customFormat="false" ht="15" hidden="false" customHeight="false" outlineLevel="0" collapsed="false">
      <c r="A8006" s="0" t="n">
        <v>8005</v>
      </c>
      <c r="B8006" s="14" t="n">
        <v>100841.431904031</v>
      </c>
      <c r="C8006" s="15" t="n">
        <v>0.119246330393143</v>
      </c>
      <c r="D8006" s="14" t="n">
        <f aca="false">Summary!$B$5-B8006</f>
        <v>-841.431904031299</v>
      </c>
      <c r="E8006" s="15" t="n">
        <f aca="false">B8006/Summary!$B$5-1</f>
        <v>0.00841431904031298</v>
      </c>
    </row>
    <row r="8007" customFormat="false" ht="15" hidden="false" customHeight="false" outlineLevel="0" collapsed="false">
      <c r="A8007" s="0" t="n">
        <v>8006</v>
      </c>
      <c r="B8007" s="14" t="n">
        <v>112319.835148873</v>
      </c>
      <c r="C8007" s="15" t="n">
        <v>0.0527360241792332</v>
      </c>
      <c r="D8007" s="14" t="n">
        <f aca="false">Summary!$B$5-B8007</f>
        <v>-12319.8351488732</v>
      </c>
      <c r="E8007" s="15" t="n">
        <f aca="false">B8007/Summary!$B$5-1</f>
        <v>0.123198351488732</v>
      </c>
    </row>
    <row r="8008" customFormat="false" ht="15" hidden="false" customHeight="false" outlineLevel="0" collapsed="false">
      <c r="A8008" s="0" t="n">
        <v>8007</v>
      </c>
      <c r="B8008" s="14" t="n">
        <v>112164.265711791</v>
      </c>
      <c r="C8008" s="15" t="n">
        <v>0.0924845781572385</v>
      </c>
      <c r="D8008" s="14" t="n">
        <f aca="false">Summary!$B$5-B8008</f>
        <v>-12164.2657117911</v>
      </c>
      <c r="E8008" s="15" t="n">
        <f aca="false">B8008/Summary!$B$5-1</f>
        <v>0.121642657117911</v>
      </c>
    </row>
    <row r="8009" customFormat="false" ht="15" hidden="false" customHeight="false" outlineLevel="0" collapsed="false">
      <c r="A8009" s="0" t="n">
        <v>8008</v>
      </c>
      <c r="B8009" s="14" t="n">
        <v>92152.2366055781</v>
      </c>
      <c r="C8009" s="15" t="n">
        <v>0.149914200291221</v>
      </c>
      <c r="D8009" s="14" t="n">
        <f aca="false">Summary!$B$5-B8009</f>
        <v>7847.7633944219</v>
      </c>
      <c r="E8009" s="15" t="n">
        <f aca="false">B8009/Summary!$B$5-1</f>
        <v>-0.078477633944219</v>
      </c>
    </row>
    <row r="8010" customFormat="false" ht="15" hidden="false" customHeight="false" outlineLevel="0" collapsed="false">
      <c r="A8010" s="0" t="n">
        <v>8009</v>
      </c>
      <c r="B8010" s="14" t="n">
        <v>123915.414759352</v>
      </c>
      <c r="C8010" s="15" t="n">
        <v>0.0792325689135592</v>
      </c>
      <c r="D8010" s="14" t="n">
        <f aca="false">Summary!$B$5-B8010</f>
        <v>-23915.4147593521</v>
      </c>
      <c r="E8010" s="15" t="n">
        <f aca="false">B8010/Summary!$B$5-1</f>
        <v>0.239154147593521</v>
      </c>
    </row>
    <row r="8011" customFormat="false" ht="15" hidden="false" customHeight="false" outlineLevel="0" collapsed="false">
      <c r="A8011" s="0" t="n">
        <v>8010</v>
      </c>
      <c r="B8011" s="14" t="n">
        <v>107496.55127367</v>
      </c>
      <c r="C8011" s="15" t="n">
        <v>0.087396416518217</v>
      </c>
      <c r="D8011" s="14" t="n">
        <f aca="false">Summary!$B$5-B8011</f>
        <v>-7496.5512736698</v>
      </c>
      <c r="E8011" s="15" t="n">
        <f aca="false">B8011/Summary!$B$5-1</f>
        <v>0.0749655127366979</v>
      </c>
    </row>
    <row r="8012" customFormat="false" ht="15" hidden="false" customHeight="false" outlineLevel="0" collapsed="false">
      <c r="A8012" s="0" t="n">
        <v>8011</v>
      </c>
      <c r="B8012" s="14" t="n">
        <v>110525.395015236</v>
      </c>
      <c r="C8012" s="15" t="n">
        <v>0.126505855458671</v>
      </c>
      <c r="D8012" s="14" t="n">
        <f aca="false">Summary!$B$5-B8012</f>
        <v>-10525.395015236</v>
      </c>
      <c r="E8012" s="15" t="n">
        <f aca="false">B8012/Summary!$B$5-1</f>
        <v>0.10525395015236</v>
      </c>
    </row>
    <row r="8013" customFormat="false" ht="15" hidden="false" customHeight="false" outlineLevel="0" collapsed="false">
      <c r="A8013" s="0" t="n">
        <v>8012</v>
      </c>
      <c r="B8013" s="14" t="n">
        <v>110468.637656337</v>
      </c>
      <c r="C8013" s="15" t="n">
        <v>0.0985213388671236</v>
      </c>
      <c r="D8013" s="14" t="n">
        <f aca="false">Summary!$B$5-B8013</f>
        <v>-10468.6376563366</v>
      </c>
      <c r="E8013" s="15" t="n">
        <f aca="false">B8013/Summary!$B$5-1</f>
        <v>0.104686376563366</v>
      </c>
    </row>
    <row r="8014" customFormat="false" ht="15" hidden="false" customHeight="false" outlineLevel="0" collapsed="false">
      <c r="A8014" s="0" t="n">
        <v>8013</v>
      </c>
      <c r="B8014" s="14" t="n">
        <v>96190.7735709506</v>
      </c>
      <c r="C8014" s="15" t="n">
        <v>0.14655530657797</v>
      </c>
      <c r="D8014" s="14" t="n">
        <f aca="false">Summary!$B$5-B8014</f>
        <v>3809.22642904936</v>
      </c>
      <c r="E8014" s="15" t="n">
        <f aca="false">B8014/Summary!$B$5-1</f>
        <v>-0.0380922642904936</v>
      </c>
    </row>
    <row r="8015" customFormat="false" ht="15" hidden="false" customHeight="false" outlineLevel="0" collapsed="false">
      <c r="A8015" s="0" t="n">
        <v>8014</v>
      </c>
      <c r="B8015" s="14" t="n">
        <v>92326.5688043378</v>
      </c>
      <c r="C8015" s="15" t="n">
        <v>0.237224692391173</v>
      </c>
      <c r="D8015" s="14" t="n">
        <f aca="false">Summary!$B$5-B8015</f>
        <v>7673.43119566221</v>
      </c>
      <c r="E8015" s="15" t="n">
        <f aca="false">B8015/Summary!$B$5-1</f>
        <v>-0.0767343119566221</v>
      </c>
    </row>
    <row r="8016" customFormat="false" ht="15" hidden="false" customHeight="false" outlineLevel="0" collapsed="false">
      <c r="A8016" s="0" t="n">
        <v>8015</v>
      </c>
      <c r="B8016" s="14" t="n">
        <v>119360.321585577</v>
      </c>
      <c r="C8016" s="15" t="n">
        <v>0.0576697128672098</v>
      </c>
      <c r="D8016" s="14" t="n">
        <f aca="false">Summary!$B$5-B8016</f>
        <v>-19360.3215855767</v>
      </c>
      <c r="E8016" s="15" t="n">
        <f aca="false">B8016/Summary!$B$5-1</f>
        <v>0.193603215855767</v>
      </c>
    </row>
    <row r="8017" customFormat="false" ht="15" hidden="false" customHeight="false" outlineLevel="0" collapsed="false">
      <c r="A8017" s="0" t="n">
        <v>8016</v>
      </c>
      <c r="B8017" s="14" t="n">
        <v>101695.019187022</v>
      </c>
      <c r="C8017" s="15" t="n">
        <v>0.141912260393206</v>
      </c>
      <c r="D8017" s="14" t="n">
        <f aca="false">Summary!$B$5-B8017</f>
        <v>-1695.019187022</v>
      </c>
      <c r="E8017" s="15" t="n">
        <f aca="false">B8017/Summary!$B$5-1</f>
        <v>0.01695019187022</v>
      </c>
    </row>
    <row r="8018" customFormat="false" ht="15" hidden="false" customHeight="false" outlineLevel="0" collapsed="false">
      <c r="A8018" s="0" t="n">
        <v>8017</v>
      </c>
      <c r="B8018" s="14" t="n">
        <v>99264.4385623134</v>
      </c>
      <c r="C8018" s="15" t="n">
        <v>0.134713689160583</v>
      </c>
      <c r="D8018" s="14" t="n">
        <f aca="false">Summary!$B$5-B8018</f>
        <v>735.561437686585</v>
      </c>
      <c r="E8018" s="15" t="n">
        <f aca="false">B8018/Summary!$B$5-1</f>
        <v>-0.00735561437686583</v>
      </c>
    </row>
    <row r="8019" customFormat="false" ht="15" hidden="false" customHeight="false" outlineLevel="0" collapsed="false">
      <c r="A8019" s="0" t="n">
        <v>8018</v>
      </c>
      <c r="B8019" s="14" t="n">
        <v>104064.893630599</v>
      </c>
      <c r="C8019" s="15" t="n">
        <v>0.113280004014201</v>
      </c>
      <c r="D8019" s="14" t="n">
        <f aca="false">Summary!$B$5-B8019</f>
        <v>-4064.8936305988</v>
      </c>
      <c r="E8019" s="15" t="n">
        <f aca="false">B8019/Summary!$B$5-1</f>
        <v>0.0406489363059881</v>
      </c>
    </row>
    <row r="8020" customFormat="false" ht="15" hidden="false" customHeight="false" outlineLevel="0" collapsed="false">
      <c r="A8020" s="0" t="n">
        <v>8019</v>
      </c>
      <c r="B8020" s="14" t="n">
        <v>106923.508777576</v>
      </c>
      <c r="C8020" s="15" t="n">
        <v>0.0652770980150031</v>
      </c>
      <c r="D8020" s="14" t="n">
        <f aca="false">Summary!$B$5-B8020</f>
        <v>-6923.50877757611</v>
      </c>
      <c r="E8020" s="15" t="n">
        <f aca="false">B8020/Summary!$B$5-1</f>
        <v>0.069235087775761</v>
      </c>
    </row>
    <row r="8021" customFormat="false" ht="15" hidden="false" customHeight="false" outlineLevel="0" collapsed="false">
      <c r="A8021" s="0" t="n">
        <v>8020</v>
      </c>
      <c r="B8021" s="14" t="n">
        <v>105526.177834347</v>
      </c>
      <c r="C8021" s="15" t="n">
        <v>0.10180153362496</v>
      </c>
      <c r="D8021" s="14" t="n">
        <f aca="false">Summary!$B$5-B8021</f>
        <v>-5526.17783434691</v>
      </c>
      <c r="E8021" s="15" t="n">
        <f aca="false">B8021/Summary!$B$5-1</f>
        <v>0.055261778343469</v>
      </c>
    </row>
    <row r="8022" customFormat="false" ht="15" hidden="false" customHeight="false" outlineLevel="0" collapsed="false">
      <c r="A8022" s="0" t="n">
        <v>8021</v>
      </c>
      <c r="B8022" s="14" t="n">
        <v>116718.136672475</v>
      </c>
      <c r="C8022" s="15" t="n">
        <v>0.0666962998121947</v>
      </c>
      <c r="D8022" s="14" t="n">
        <f aca="false">Summary!$B$5-B8022</f>
        <v>-16718.1366724749</v>
      </c>
      <c r="E8022" s="15" t="n">
        <f aca="false">B8022/Summary!$B$5-1</f>
        <v>0.167181366724749</v>
      </c>
    </row>
    <row r="8023" customFormat="false" ht="15" hidden="false" customHeight="false" outlineLevel="0" collapsed="false">
      <c r="A8023" s="0" t="n">
        <v>8022</v>
      </c>
      <c r="B8023" s="14" t="n">
        <v>87254.4214544274</v>
      </c>
      <c r="C8023" s="15" t="n">
        <v>0.208022174046479</v>
      </c>
      <c r="D8023" s="14" t="n">
        <f aca="false">Summary!$B$5-B8023</f>
        <v>12745.5785455726</v>
      </c>
      <c r="E8023" s="15" t="n">
        <f aca="false">B8023/Summary!$B$5-1</f>
        <v>-0.127455785455726</v>
      </c>
    </row>
    <row r="8024" customFormat="false" ht="15" hidden="false" customHeight="false" outlineLevel="0" collapsed="false">
      <c r="A8024" s="0" t="n">
        <v>8023</v>
      </c>
      <c r="B8024" s="14" t="n">
        <v>94725.7785901062</v>
      </c>
      <c r="C8024" s="15" t="n">
        <v>0.122727883061888</v>
      </c>
      <c r="D8024" s="14" t="n">
        <f aca="false">Summary!$B$5-B8024</f>
        <v>5274.2214098938</v>
      </c>
      <c r="E8024" s="15" t="n">
        <f aca="false">B8024/Summary!$B$5-1</f>
        <v>-0.052742214098938</v>
      </c>
    </row>
    <row r="8025" customFormat="false" ht="15" hidden="false" customHeight="false" outlineLevel="0" collapsed="false">
      <c r="A8025" s="0" t="n">
        <v>8024</v>
      </c>
      <c r="B8025" s="14" t="n">
        <v>109075.109184636</v>
      </c>
      <c r="C8025" s="15" t="n">
        <v>0.10131515006269</v>
      </c>
      <c r="D8025" s="14" t="n">
        <f aca="false">Summary!$B$5-B8025</f>
        <v>-9075.10918463601</v>
      </c>
      <c r="E8025" s="15" t="n">
        <f aca="false">B8025/Summary!$B$5-1</f>
        <v>0.0907510918463601</v>
      </c>
    </row>
    <row r="8026" customFormat="false" ht="15" hidden="false" customHeight="false" outlineLevel="0" collapsed="false">
      <c r="A8026" s="0" t="n">
        <v>8025</v>
      </c>
      <c r="B8026" s="14" t="n">
        <v>114870.318912389</v>
      </c>
      <c r="C8026" s="15" t="n">
        <v>0.0935581603191882</v>
      </c>
      <c r="D8026" s="14" t="n">
        <f aca="false">Summary!$B$5-B8026</f>
        <v>-14870.3189123891</v>
      </c>
      <c r="E8026" s="15" t="n">
        <f aca="false">B8026/Summary!$B$5-1</f>
        <v>0.148703189123891</v>
      </c>
    </row>
    <row r="8027" customFormat="false" ht="15" hidden="false" customHeight="false" outlineLevel="0" collapsed="false">
      <c r="A8027" s="0" t="n">
        <v>8026</v>
      </c>
      <c r="B8027" s="14" t="n">
        <v>100731.222019134</v>
      </c>
      <c r="C8027" s="15" t="n">
        <v>0.104614124225243</v>
      </c>
      <c r="D8027" s="14" t="n">
        <f aca="false">Summary!$B$5-B8027</f>
        <v>-731.2220191339</v>
      </c>
      <c r="E8027" s="15" t="n">
        <f aca="false">B8027/Summary!$B$5-1</f>
        <v>0.00731222019133893</v>
      </c>
    </row>
    <row r="8028" customFormat="false" ht="15" hidden="false" customHeight="false" outlineLevel="0" collapsed="false">
      <c r="A8028" s="0" t="n">
        <v>8027</v>
      </c>
      <c r="B8028" s="14" t="n">
        <v>109544.320488577</v>
      </c>
      <c r="C8028" s="15" t="n">
        <v>0.111448359080067</v>
      </c>
      <c r="D8028" s="14" t="n">
        <f aca="false">Summary!$B$5-B8028</f>
        <v>-9544.3204885766</v>
      </c>
      <c r="E8028" s="15" t="n">
        <f aca="false">B8028/Summary!$B$5-1</f>
        <v>0.0954432048857661</v>
      </c>
    </row>
    <row r="8029" customFormat="false" ht="15" hidden="false" customHeight="false" outlineLevel="0" collapsed="false">
      <c r="A8029" s="0" t="n">
        <v>8028</v>
      </c>
      <c r="B8029" s="14" t="n">
        <v>113202.405555688</v>
      </c>
      <c r="C8029" s="15" t="n">
        <v>0.0766119851904425</v>
      </c>
      <c r="D8029" s="14" t="n">
        <f aca="false">Summary!$B$5-B8029</f>
        <v>-13202.4055556878</v>
      </c>
      <c r="E8029" s="15" t="n">
        <f aca="false">B8029/Summary!$B$5-1</f>
        <v>0.132024055556878</v>
      </c>
    </row>
    <row r="8030" customFormat="false" ht="15" hidden="false" customHeight="false" outlineLevel="0" collapsed="false">
      <c r="A8030" s="0" t="n">
        <v>8029</v>
      </c>
      <c r="B8030" s="14" t="n">
        <v>93812.3106958823</v>
      </c>
      <c r="C8030" s="15" t="n">
        <v>0.12265352154318</v>
      </c>
      <c r="D8030" s="14" t="n">
        <f aca="false">Summary!$B$5-B8030</f>
        <v>6187.6893041177</v>
      </c>
      <c r="E8030" s="15" t="n">
        <f aca="false">B8030/Summary!$B$5-1</f>
        <v>-0.0618768930411769</v>
      </c>
    </row>
    <row r="8031" customFormat="false" ht="15" hidden="false" customHeight="false" outlineLevel="0" collapsed="false">
      <c r="A8031" s="0" t="n">
        <v>8030</v>
      </c>
      <c r="B8031" s="14" t="n">
        <v>106090.21952725</v>
      </c>
      <c r="C8031" s="15" t="n">
        <v>0.061627561645602</v>
      </c>
      <c r="D8031" s="14" t="n">
        <f aca="false">Summary!$B$5-B8031</f>
        <v>-6090.21952724989</v>
      </c>
      <c r="E8031" s="15" t="n">
        <f aca="false">B8031/Summary!$B$5-1</f>
        <v>0.0609021952724989</v>
      </c>
    </row>
    <row r="8032" customFormat="false" ht="15" hidden="false" customHeight="false" outlineLevel="0" collapsed="false">
      <c r="A8032" s="0" t="n">
        <v>8031</v>
      </c>
      <c r="B8032" s="14" t="n">
        <v>103948.892187801</v>
      </c>
      <c r="C8032" s="15" t="n">
        <v>0.0779875204432075</v>
      </c>
      <c r="D8032" s="14" t="n">
        <f aca="false">Summary!$B$5-B8032</f>
        <v>-3948.8921878008</v>
      </c>
      <c r="E8032" s="15" t="n">
        <f aca="false">B8032/Summary!$B$5-1</f>
        <v>0.0394889218780079</v>
      </c>
    </row>
    <row r="8033" customFormat="false" ht="15" hidden="false" customHeight="false" outlineLevel="0" collapsed="false">
      <c r="A8033" s="0" t="n">
        <v>8032</v>
      </c>
      <c r="B8033" s="14" t="n">
        <v>105634.446808587</v>
      </c>
      <c r="C8033" s="15" t="n">
        <v>0.0539923740965463</v>
      </c>
      <c r="D8033" s="14" t="n">
        <f aca="false">Summary!$B$5-B8033</f>
        <v>-5634.4468085869</v>
      </c>
      <c r="E8033" s="15" t="n">
        <f aca="false">B8033/Summary!$B$5-1</f>
        <v>0.0563444680858689</v>
      </c>
    </row>
    <row r="8034" customFormat="false" ht="15" hidden="false" customHeight="false" outlineLevel="0" collapsed="false">
      <c r="A8034" s="0" t="n">
        <v>8033</v>
      </c>
      <c r="B8034" s="14" t="n">
        <v>116040.260449416</v>
      </c>
      <c r="C8034" s="15" t="n">
        <v>0.0773555929926003</v>
      </c>
      <c r="D8034" s="14" t="n">
        <f aca="false">Summary!$B$5-B8034</f>
        <v>-16040.2604494158</v>
      </c>
      <c r="E8034" s="15" t="n">
        <f aca="false">B8034/Summary!$B$5-1</f>
        <v>0.160402604494158</v>
      </c>
    </row>
    <row r="8035" customFormat="false" ht="15" hidden="false" customHeight="false" outlineLevel="0" collapsed="false">
      <c r="A8035" s="0" t="n">
        <v>8034</v>
      </c>
      <c r="B8035" s="14" t="n">
        <v>107210.476160428</v>
      </c>
      <c r="C8035" s="15" t="n">
        <v>0.0772852920127136</v>
      </c>
      <c r="D8035" s="14" t="n">
        <f aca="false">Summary!$B$5-B8035</f>
        <v>-7210.4761604277</v>
      </c>
      <c r="E8035" s="15" t="n">
        <f aca="false">B8035/Summary!$B$5-1</f>
        <v>0.0721047616042769</v>
      </c>
    </row>
    <row r="8036" customFormat="false" ht="15" hidden="false" customHeight="false" outlineLevel="0" collapsed="false">
      <c r="A8036" s="0" t="n">
        <v>8035</v>
      </c>
      <c r="B8036" s="14" t="n">
        <v>99567.4256772212</v>
      </c>
      <c r="C8036" s="15" t="n">
        <v>0.142438899250709</v>
      </c>
      <c r="D8036" s="14" t="n">
        <f aca="false">Summary!$B$5-B8036</f>
        <v>432.574322778775</v>
      </c>
      <c r="E8036" s="15" t="n">
        <f aca="false">B8036/Summary!$B$5-1</f>
        <v>-0.00432574322778778</v>
      </c>
    </row>
    <row r="8037" customFormat="false" ht="15" hidden="false" customHeight="false" outlineLevel="0" collapsed="false">
      <c r="A8037" s="0" t="n">
        <v>8036</v>
      </c>
      <c r="B8037" s="14" t="n">
        <v>99301.5598414756</v>
      </c>
      <c r="C8037" s="15" t="n">
        <v>0.10657316869084</v>
      </c>
      <c r="D8037" s="14" t="n">
        <f aca="false">Summary!$B$5-B8037</f>
        <v>698.440158524405</v>
      </c>
      <c r="E8037" s="15" t="n">
        <f aca="false">B8037/Summary!$B$5-1</f>
        <v>-0.00698440158524405</v>
      </c>
    </row>
    <row r="8038" customFormat="false" ht="15" hidden="false" customHeight="false" outlineLevel="0" collapsed="false">
      <c r="A8038" s="0" t="n">
        <v>8037</v>
      </c>
      <c r="B8038" s="14" t="n">
        <v>114399.655281101</v>
      </c>
      <c r="C8038" s="15" t="n">
        <v>0.104738375300781</v>
      </c>
      <c r="D8038" s="14" t="n">
        <f aca="false">Summary!$B$5-B8038</f>
        <v>-14399.6552811014</v>
      </c>
      <c r="E8038" s="15" t="n">
        <f aca="false">B8038/Summary!$B$5-1</f>
        <v>0.143996552811014</v>
      </c>
    </row>
    <row r="8039" customFormat="false" ht="15" hidden="false" customHeight="false" outlineLevel="0" collapsed="false">
      <c r="A8039" s="0" t="n">
        <v>8038</v>
      </c>
      <c r="B8039" s="14" t="n">
        <v>104721.028891913</v>
      </c>
      <c r="C8039" s="15" t="n">
        <v>0.161765476989157</v>
      </c>
      <c r="D8039" s="14" t="n">
        <f aca="false">Summary!$B$5-B8039</f>
        <v>-4721.02889191289</v>
      </c>
      <c r="E8039" s="15" t="n">
        <f aca="false">B8039/Summary!$B$5-1</f>
        <v>0.047210288919129</v>
      </c>
    </row>
    <row r="8040" customFormat="false" ht="15" hidden="false" customHeight="false" outlineLevel="0" collapsed="false">
      <c r="A8040" s="0" t="n">
        <v>8039</v>
      </c>
      <c r="B8040" s="14" t="n">
        <v>123789.14371435</v>
      </c>
      <c r="C8040" s="15" t="n">
        <v>0.0641171525075734</v>
      </c>
      <c r="D8040" s="14" t="n">
        <f aca="false">Summary!$B$5-B8040</f>
        <v>-23789.1437143502</v>
      </c>
      <c r="E8040" s="15" t="n">
        <f aca="false">B8040/Summary!$B$5-1</f>
        <v>0.237891437143502</v>
      </c>
    </row>
    <row r="8041" customFormat="false" ht="15" hidden="false" customHeight="false" outlineLevel="0" collapsed="false">
      <c r="A8041" s="0" t="n">
        <v>8040</v>
      </c>
      <c r="B8041" s="14" t="n">
        <v>122653.220793147</v>
      </c>
      <c r="C8041" s="15" t="n">
        <v>0.0532798122307646</v>
      </c>
      <c r="D8041" s="14" t="n">
        <f aca="false">Summary!$B$5-B8041</f>
        <v>-22653.2207931467</v>
      </c>
      <c r="E8041" s="15" t="n">
        <f aca="false">B8041/Summary!$B$5-1</f>
        <v>0.226532207931467</v>
      </c>
    </row>
    <row r="8042" customFormat="false" ht="15" hidden="false" customHeight="false" outlineLevel="0" collapsed="false">
      <c r="A8042" s="0" t="n">
        <v>8041</v>
      </c>
      <c r="B8042" s="14" t="n">
        <v>116510.002455722</v>
      </c>
      <c r="C8042" s="15" t="n">
        <v>0.079299667724606</v>
      </c>
      <c r="D8042" s="14" t="n">
        <f aca="false">Summary!$B$5-B8042</f>
        <v>-16510.0024557219</v>
      </c>
      <c r="E8042" s="15" t="n">
        <f aca="false">B8042/Summary!$B$5-1</f>
        <v>0.165100024557219</v>
      </c>
    </row>
    <row r="8043" customFormat="false" ht="15" hidden="false" customHeight="false" outlineLevel="0" collapsed="false">
      <c r="A8043" s="0" t="n">
        <v>8042</v>
      </c>
      <c r="B8043" s="14" t="n">
        <v>106630.18272393</v>
      </c>
      <c r="C8043" s="15" t="n">
        <v>0.0952692264698057</v>
      </c>
      <c r="D8043" s="14" t="n">
        <f aca="false">Summary!$B$5-B8043</f>
        <v>-6630.1827239299</v>
      </c>
      <c r="E8043" s="15" t="n">
        <f aca="false">B8043/Summary!$B$5-1</f>
        <v>0.066301827239299</v>
      </c>
    </row>
    <row r="8044" customFormat="false" ht="15" hidden="false" customHeight="false" outlineLevel="0" collapsed="false">
      <c r="A8044" s="0" t="n">
        <v>8043</v>
      </c>
      <c r="B8044" s="14" t="n">
        <v>111546.3755665</v>
      </c>
      <c r="C8044" s="15" t="n">
        <v>0.122773175660134</v>
      </c>
      <c r="D8044" s="14" t="n">
        <f aca="false">Summary!$B$5-B8044</f>
        <v>-11546.3755665</v>
      </c>
      <c r="E8044" s="15" t="n">
        <f aca="false">B8044/Summary!$B$5-1</f>
        <v>0.115463755665</v>
      </c>
    </row>
    <row r="8045" customFormat="false" ht="15" hidden="false" customHeight="false" outlineLevel="0" collapsed="false">
      <c r="A8045" s="0" t="n">
        <v>8044</v>
      </c>
      <c r="B8045" s="14" t="n">
        <v>104030.798981671</v>
      </c>
      <c r="C8045" s="15" t="n">
        <v>0.148659865172261</v>
      </c>
      <c r="D8045" s="14" t="n">
        <f aca="false">Summary!$B$5-B8045</f>
        <v>-4030.7989816709</v>
      </c>
      <c r="E8045" s="15" t="n">
        <f aca="false">B8045/Summary!$B$5-1</f>
        <v>0.0403079898167089</v>
      </c>
    </row>
    <row r="8046" customFormat="false" ht="15" hidden="false" customHeight="false" outlineLevel="0" collapsed="false">
      <c r="A8046" s="0" t="n">
        <v>8045</v>
      </c>
      <c r="B8046" s="14" t="n">
        <v>112122.636619848</v>
      </c>
      <c r="C8046" s="15" t="n">
        <v>0.0740187986491245</v>
      </c>
      <c r="D8046" s="14" t="n">
        <f aca="false">Summary!$B$5-B8046</f>
        <v>-12122.6366198482</v>
      </c>
      <c r="E8046" s="15" t="n">
        <f aca="false">B8046/Summary!$B$5-1</f>
        <v>0.121226366198482</v>
      </c>
    </row>
    <row r="8047" customFormat="false" ht="15" hidden="false" customHeight="false" outlineLevel="0" collapsed="false">
      <c r="A8047" s="0" t="n">
        <v>8046</v>
      </c>
      <c r="B8047" s="14" t="n">
        <v>111352.996393584</v>
      </c>
      <c r="C8047" s="15" t="n">
        <v>0.0603234495262862</v>
      </c>
      <c r="D8047" s="14" t="n">
        <f aca="false">Summary!$B$5-B8047</f>
        <v>-11352.9963935838</v>
      </c>
      <c r="E8047" s="15" t="n">
        <f aca="false">B8047/Summary!$B$5-1</f>
        <v>0.113529963935838</v>
      </c>
    </row>
    <row r="8048" customFormat="false" ht="15" hidden="false" customHeight="false" outlineLevel="0" collapsed="false">
      <c r="A8048" s="0" t="n">
        <v>8047</v>
      </c>
      <c r="B8048" s="14" t="n">
        <v>114459.848440963</v>
      </c>
      <c r="C8048" s="15" t="n">
        <v>0.122004699967757</v>
      </c>
      <c r="D8048" s="14" t="n">
        <f aca="false">Summary!$B$5-B8048</f>
        <v>-14459.8484409631</v>
      </c>
      <c r="E8048" s="15" t="n">
        <f aca="false">B8048/Summary!$B$5-1</f>
        <v>0.144598484409631</v>
      </c>
    </row>
    <row r="8049" customFormat="false" ht="15" hidden="false" customHeight="false" outlineLevel="0" collapsed="false">
      <c r="A8049" s="0" t="n">
        <v>8048</v>
      </c>
      <c r="B8049" s="14" t="n">
        <v>107230.838965978</v>
      </c>
      <c r="C8049" s="15" t="n">
        <v>0.11715571733491</v>
      </c>
      <c r="D8049" s="14" t="n">
        <f aca="false">Summary!$B$5-B8049</f>
        <v>-7230.8389659782</v>
      </c>
      <c r="E8049" s="15" t="n">
        <f aca="false">B8049/Summary!$B$5-1</f>
        <v>0.072308389659782</v>
      </c>
    </row>
    <row r="8050" customFormat="false" ht="15" hidden="false" customHeight="false" outlineLevel="0" collapsed="false">
      <c r="A8050" s="0" t="n">
        <v>8049</v>
      </c>
      <c r="B8050" s="14" t="n">
        <v>122893.200224523</v>
      </c>
      <c r="C8050" s="15" t="n">
        <v>0.074994319144585</v>
      </c>
      <c r="D8050" s="14" t="n">
        <f aca="false">Summary!$B$5-B8050</f>
        <v>-22893.2002245227</v>
      </c>
      <c r="E8050" s="15" t="n">
        <f aca="false">B8050/Summary!$B$5-1</f>
        <v>0.228932002245227</v>
      </c>
    </row>
    <row r="8051" customFormat="false" ht="15" hidden="false" customHeight="false" outlineLevel="0" collapsed="false">
      <c r="A8051" s="0" t="n">
        <v>8050</v>
      </c>
      <c r="B8051" s="14" t="n">
        <v>145398.099232185</v>
      </c>
      <c r="C8051" s="15" t="n">
        <v>0.0435732947623313</v>
      </c>
      <c r="D8051" s="14" t="n">
        <f aca="false">Summary!$B$5-B8051</f>
        <v>-45398.0992321849</v>
      </c>
      <c r="E8051" s="15" t="n">
        <f aca="false">B8051/Summary!$B$5-1</f>
        <v>0.453980992321849</v>
      </c>
    </row>
    <row r="8052" customFormat="false" ht="15" hidden="false" customHeight="false" outlineLevel="0" collapsed="false">
      <c r="A8052" s="0" t="n">
        <v>8051</v>
      </c>
      <c r="B8052" s="14" t="n">
        <v>115808.657844485</v>
      </c>
      <c r="C8052" s="15" t="n">
        <v>0.0769876495686407</v>
      </c>
      <c r="D8052" s="14" t="n">
        <f aca="false">Summary!$B$5-B8052</f>
        <v>-15808.6578444852</v>
      </c>
      <c r="E8052" s="15" t="n">
        <f aca="false">B8052/Summary!$B$5-1</f>
        <v>0.158086578444852</v>
      </c>
    </row>
    <row r="8053" customFormat="false" ht="15" hidden="false" customHeight="false" outlineLevel="0" collapsed="false">
      <c r="A8053" s="0" t="n">
        <v>8052</v>
      </c>
      <c r="B8053" s="14" t="n">
        <v>81756.66480481</v>
      </c>
      <c r="C8053" s="15" t="n">
        <v>0.209977608030672</v>
      </c>
      <c r="D8053" s="14" t="n">
        <f aca="false">Summary!$B$5-B8053</f>
        <v>18243.33519519</v>
      </c>
      <c r="E8053" s="15" t="n">
        <f aca="false">B8053/Summary!$B$5-1</f>
        <v>-0.1824333519519</v>
      </c>
    </row>
    <row r="8054" customFormat="false" ht="15" hidden="false" customHeight="false" outlineLevel="0" collapsed="false">
      <c r="A8054" s="0" t="n">
        <v>8053</v>
      </c>
      <c r="B8054" s="14" t="n">
        <v>116682.95912956</v>
      </c>
      <c r="C8054" s="15" t="n">
        <v>0.0717131838367955</v>
      </c>
      <c r="D8054" s="14" t="n">
        <f aca="false">Summary!$B$5-B8054</f>
        <v>-16682.9591295603</v>
      </c>
      <c r="E8054" s="15" t="n">
        <f aca="false">B8054/Summary!$B$5-1</f>
        <v>0.166829591295603</v>
      </c>
    </row>
    <row r="8055" customFormat="false" ht="15" hidden="false" customHeight="false" outlineLevel="0" collapsed="false">
      <c r="A8055" s="0" t="n">
        <v>8054</v>
      </c>
      <c r="B8055" s="14" t="n">
        <v>99477.5550953894</v>
      </c>
      <c r="C8055" s="15" t="n">
        <v>0.0964285855448025</v>
      </c>
      <c r="D8055" s="14" t="n">
        <f aca="false">Summary!$B$5-B8055</f>
        <v>522.444904610573</v>
      </c>
      <c r="E8055" s="15" t="n">
        <f aca="false">B8055/Summary!$B$5-1</f>
        <v>-0.00522444904610575</v>
      </c>
    </row>
    <row r="8056" customFormat="false" ht="15" hidden="false" customHeight="false" outlineLevel="0" collapsed="false">
      <c r="A8056" s="0" t="n">
        <v>8055</v>
      </c>
      <c r="B8056" s="14" t="n">
        <v>101163.024392273</v>
      </c>
      <c r="C8056" s="15" t="n">
        <v>0.0845269911160332</v>
      </c>
      <c r="D8056" s="14" t="n">
        <f aca="false">Summary!$B$5-B8056</f>
        <v>-1163.0243922731</v>
      </c>
      <c r="E8056" s="15" t="n">
        <f aca="false">B8056/Summary!$B$5-1</f>
        <v>0.0116302439227309</v>
      </c>
    </row>
    <row r="8057" customFormat="false" ht="15" hidden="false" customHeight="false" outlineLevel="0" collapsed="false">
      <c r="A8057" s="0" t="n">
        <v>8056</v>
      </c>
      <c r="B8057" s="14" t="n">
        <v>122740.009284427</v>
      </c>
      <c r="C8057" s="15" t="n">
        <v>0.0752197881053623</v>
      </c>
      <c r="D8057" s="14" t="n">
        <f aca="false">Summary!$B$5-B8057</f>
        <v>-22740.0092844273</v>
      </c>
      <c r="E8057" s="15" t="n">
        <f aca="false">B8057/Summary!$B$5-1</f>
        <v>0.227400092844273</v>
      </c>
    </row>
    <row r="8058" customFormat="false" ht="15" hidden="false" customHeight="false" outlineLevel="0" collapsed="false">
      <c r="A8058" s="0" t="n">
        <v>8057</v>
      </c>
      <c r="B8058" s="14" t="n">
        <v>104786.295744184</v>
      </c>
      <c r="C8058" s="15" t="n">
        <v>0.142690901920166</v>
      </c>
      <c r="D8058" s="14" t="n">
        <f aca="false">Summary!$B$5-B8058</f>
        <v>-4786.2957441842</v>
      </c>
      <c r="E8058" s="15" t="n">
        <f aca="false">B8058/Summary!$B$5-1</f>
        <v>0.0478629574418421</v>
      </c>
    </row>
    <row r="8059" customFormat="false" ht="15" hidden="false" customHeight="false" outlineLevel="0" collapsed="false">
      <c r="A8059" s="0" t="n">
        <v>8058</v>
      </c>
      <c r="B8059" s="14" t="n">
        <v>104014.06948165</v>
      </c>
      <c r="C8059" s="15" t="n">
        <v>0.0776481142967652</v>
      </c>
      <c r="D8059" s="14" t="n">
        <f aca="false">Summary!$B$5-B8059</f>
        <v>-4014.0694816496</v>
      </c>
      <c r="E8059" s="15" t="n">
        <f aca="false">B8059/Summary!$B$5-1</f>
        <v>0.040140694816496</v>
      </c>
    </row>
    <row r="8060" customFormat="false" ht="15" hidden="false" customHeight="false" outlineLevel="0" collapsed="false">
      <c r="A8060" s="0" t="n">
        <v>8059</v>
      </c>
      <c r="B8060" s="14" t="n">
        <v>100024.457673934</v>
      </c>
      <c r="C8060" s="15" t="n">
        <v>0.129608008175627</v>
      </c>
      <c r="D8060" s="14" t="n">
        <f aca="false">Summary!$B$5-B8060</f>
        <v>-24.4576739344047</v>
      </c>
      <c r="E8060" s="15" t="n">
        <f aca="false">B8060/Summary!$B$5-1</f>
        <v>0.000244576739343971</v>
      </c>
    </row>
    <row r="8061" customFormat="false" ht="15" hidden="false" customHeight="false" outlineLevel="0" collapsed="false">
      <c r="A8061" s="0" t="n">
        <v>8060</v>
      </c>
      <c r="B8061" s="14" t="n">
        <v>96547.5785034278</v>
      </c>
      <c r="C8061" s="15" t="n">
        <v>0.164920927293652</v>
      </c>
      <c r="D8061" s="14" t="n">
        <f aca="false">Summary!$B$5-B8061</f>
        <v>3452.42149657221</v>
      </c>
      <c r="E8061" s="15" t="n">
        <f aca="false">B8061/Summary!$B$5-1</f>
        <v>-0.0345242149657221</v>
      </c>
    </row>
    <row r="8062" customFormat="false" ht="15" hidden="false" customHeight="false" outlineLevel="0" collapsed="false">
      <c r="A8062" s="0" t="n">
        <v>8061</v>
      </c>
      <c r="B8062" s="14" t="n">
        <v>94515.7144431312</v>
      </c>
      <c r="C8062" s="15" t="n">
        <v>0.108998012704146</v>
      </c>
      <c r="D8062" s="14" t="n">
        <f aca="false">Summary!$B$5-B8062</f>
        <v>5484.2855568688</v>
      </c>
      <c r="E8062" s="15" t="n">
        <f aca="false">B8062/Summary!$B$5-1</f>
        <v>-0.054842855568688</v>
      </c>
    </row>
    <row r="8063" customFormat="false" ht="15" hidden="false" customHeight="false" outlineLevel="0" collapsed="false">
      <c r="A8063" s="0" t="n">
        <v>8062</v>
      </c>
      <c r="B8063" s="14" t="n">
        <v>112893.093488357</v>
      </c>
      <c r="C8063" s="15" t="n">
        <v>0.0925948149686648</v>
      </c>
      <c r="D8063" s="14" t="n">
        <f aca="false">Summary!$B$5-B8063</f>
        <v>-12893.0934883567</v>
      </c>
      <c r="E8063" s="15" t="n">
        <f aca="false">B8063/Summary!$B$5-1</f>
        <v>0.128930934883567</v>
      </c>
    </row>
    <row r="8064" customFormat="false" ht="15" hidden="false" customHeight="false" outlineLevel="0" collapsed="false">
      <c r="A8064" s="0" t="n">
        <v>8063</v>
      </c>
      <c r="B8064" s="14" t="n">
        <v>120206.910787559</v>
      </c>
      <c r="C8064" s="15" t="n">
        <v>0.0657695999174637</v>
      </c>
      <c r="D8064" s="14" t="n">
        <f aca="false">Summary!$B$5-B8064</f>
        <v>-20206.9107875593</v>
      </c>
      <c r="E8064" s="15" t="n">
        <f aca="false">B8064/Summary!$B$5-1</f>
        <v>0.202069107875593</v>
      </c>
    </row>
    <row r="8065" customFormat="false" ht="15" hidden="false" customHeight="false" outlineLevel="0" collapsed="false">
      <c r="A8065" s="0" t="n">
        <v>8064</v>
      </c>
      <c r="B8065" s="14" t="n">
        <v>128604.068761766</v>
      </c>
      <c r="C8065" s="15" t="n">
        <v>0.0440113432210072</v>
      </c>
      <c r="D8065" s="14" t="n">
        <f aca="false">Summary!$B$5-B8065</f>
        <v>-28604.0687617661</v>
      </c>
      <c r="E8065" s="15" t="n">
        <f aca="false">B8065/Summary!$B$5-1</f>
        <v>0.286040687617661</v>
      </c>
    </row>
    <row r="8066" customFormat="false" ht="15" hidden="false" customHeight="false" outlineLevel="0" collapsed="false">
      <c r="A8066" s="0" t="n">
        <v>8065</v>
      </c>
      <c r="B8066" s="14" t="n">
        <v>103679.438228334</v>
      </c>
      <c r="C8066" s="15" t="n">
        <v>0.0777467294637269</v>
      </c>
      <c r="D8066" s="14" t="n">
        <f aca="false">Summary!$B$5-B8066</f>
        <v>-3679.4382283342</v>
      </c>
      <c r="E8066" s="15" t="n">
        <f aca="false">B8066/Summary!$B$5-1</f>
        <v>0.0367943822833421</v>
      </c>
    </row>
    <row r="8067" customFormat="false" ht="15" hidden="false" customHeight="false" outlineLevel="0" collapsed="false">
      <c r="A8067" s="0" t="n">
        <v>8066</v>
      </c>
      <c r="B8067" s="14" t="n">
        <v>123571.249871248</v>
      </c>
      <c r="C8067" s="15" t="n">
        <v>0.0435636293178692</v>
      </c>
      <c r="D8067" s="14" t="n">
        <f aca="false">Summary!$B$5-B8067</f>
        <v>-23571.2498712482</v>
      </c>
      <c r="E8067" s="15" t="n">
        <f aca="false">B8067/Summary!$B$5-1</f>
        <v>0.235712498712482</v>
      </c>
    </row>
    <row r="8068" customFormat="false" ht="15" hidden="false" customHeight="false" outlineLevel="0" collapsed="false">
      <c r="A8068" s="0" t="n">
        <v>8067</v>
      </c>
      <c r="B8068" s="14" t="n">
        <v>94597.9238377591</v>
      </c>
      <c r="C8068" s="15" t="n">
        <v>0.139909334339938</v>
      </c>
      <c r="D8068" s="14" t="n">
        <f aca="false">Summary!$B$5-B8068</f>
        <v>5402.07616224086</v>
      </c>
      <c r="E8068" s="15" t="n">
        <f aca="false">B8068/Summary!$B$5-1</f>
        <v>-0.0540207616224087</v>
      </c>
    </row>
    <row r="8069" customFormat="false" ht="15" hidden="false" customHeight="false" outlineLevel="0" collapsed="false">
      <c r="A8069" s="0" t="n">
        <v>8068</v>
      </c>
      <c r="B8069" s="14" t="n">
        <v>90635.2353009968</v>
      </c>
      <c r="C8069" s="15" t="n">
        <v>0.120971895552981</v>
      </c>
      <c r="D8069" s="14" t="n">
        <f aca="false">Summary!$B$5-B8069</f>
        <v>9364.76469900322</v>
      </c>
      <c r="E8069" s="15" t="n">
        <f aca="false">B8069/Summary!$B$5-1</f>
        <v>-0.0936476469900323</v>
      </c>
    </row>
    <row r="8070" customFormat="false" ht="15" hidden="false" customHeight="false" outlineLevel="0" collapsed="false">
      <c r="A8070" s="0" t="n">
        <v>8069</v>
      </c>
      <c r="B8070" s="14" t="n">
        <v>100010.297251496</v>
      </c>
      <c r="C8070" s="15" t="n">
        <v>0.101647208937086</v>
      </c>
      <c r="D8070" s="14" t="n">
        <f aca="false">Summary!$B$5-B8070</f>
        <v>-10.2972514958965</v>
      </c>
      <c r="E8070" s="15" t="n">
        <f aca="false">B8070/Summary!$B$5-1</f>
        <v>0.000102972514959054</v>
      </c>
    </row>
    <row r="8071" customFormat="false" ht="15" hidden="false" customHeight="false" outlineLevel="0" collapsed="false">
      <c r="A8071" s="0" t="n">
        <v>8070</v>
      </c>
      <c r="B8071" s="14" t="n">
        <v>95843.3615488251</v>
      </c>
      <c r="C8071" s="15" t="n">
        <v>0.123507004837178</v>
      </c>
      <c r="D8071" s="14" t="n">
        <f aca="false">Summary!$B$5-B8071</f>
        <v>4156.63845117492</v>
      </c>
      <c r="E8071" s="15" t="n">
        <f aca="false">B8071/Summary!$B$5-1</f>
        <v>-0.0415663845117492</v>
      </c>
    </row>
    <row r="8072" customFormat="false" ht="15" hidden="false" customHeight="false" outlineLevel="0" collapsed="false">
      <c r="A8072" s="0" t="n">
        <v>8071</v>
      </c>
      <c r="B8072" s="14" t="n">
        <v>102934.592854208</v>
      </c>
      <c r="C8072" s="15" t="n">
        <v>0.0890097319644714</v>
      </c>
      <c r="D8072" s="14" t="n">
        <f aca="false">Summary!$B$5-B8072</f>
        <v>-2934.59285420799</v>
      </c>
      <c r="E8072" s="15" t="n">
        <f aca="false">B8072/Summary!$B$5-1</f>
        <v>0.0293459285420798</v>
      </c>
    </row>
    <row r="8073" customFormat="false" ht="15" hidden="false" customHeight="false" outlineLevel="0" collapsed="false">
      <c r="A8073" s="0" t="n">
        <v>8072</v>
      </c>
      <c r="B8073" s="14" t="n">
        <v>106726.819942194</v>
      </c>
      <c r="C8073" s="15" t="n">
        <v>0.0794776789506395</v>
      </c>
      <c r="D8073" s="14" t="n">
        <f aca="false">Summary!$B$5-B8073</f>
        <v>-6726.8199421943</v>
      </c>
      <c r="E8073" s="15" t="n">
        <f aca="false">B8073/Summary!$B$5-1</f>
        <v>0.0672681994219431</v>
      </c>
    </row>
    <row r="8074" customFormat="false" ht="15" hidden="false" customHeight="false" outlineLevel="0" collapsed="false">
      <c r="A8074" s="0" t="n">
        <v>8073</v>
      </c>
      <c r="B8074" s="14" t="n">
        <v>121099.594668488</v>
      </c>
      <c r="C8074" s="15" t="n">
        <v>0.102318209912901</v>
      </c>
      <c r="D8074" s="14" t="n">
        <f aca="false">Summary!$B$5-B8074</f>
        <v>-21099.5946684878</v>
      </c>
      <c r="E8074" s="15" t="n">
        <f aca="false">B8074/Summary!$B$5-1</f>
        <v>0.210995946684878</v>
      </c>
    </row>
    <row r="8075" customFormat="false" ht="15" hidden="false" customHeight="false" outlineLevel="0" collapsed="false">
      <c r="A8075" s="0" t="n">
        <v>8074</v>
      </c>
      <c r="B8075" s="14" t="n">
        <v>125263.960173241</v>
      </c>
      <c r="C8075" s="15" t="n">
        <v>0.0813281022935979</v>
      </c>
      <c r="D8075" s="14" t="n">
        <f aca="false">Summary!$B$5-B8075</f>
        <v>-25263.9601732411</v>
      </c>
      <c r="E8075" s="15" t="n">
        <f aca="false">B8075/Summary!$B$5-1</f>
        <v>0.252639601732411</v>
      </c>
    </row>
    <row r="8076" customFormat="false" ht="15" hidden="false" customHeight="false" outlineLevel="0" collapsed="false">
      <c r="A8076" s="0" t="n">
        <v>8075</v>
      </c>
      <c r="B8076" s="14" t="n">
        <v>104364.013187619</v>
      </c>
      <c r="C8076" s="15" t="n">
        <v>0.0921192323610204</v>
      </c>
      <c r="D8076" s="14" t="n">
        <f aca="false">Summary!$B$5-B8076</f>
        <v>-4364.0131876193</v>
      </c>
      <c r="E8076" s="15" t="n">
        <f aca="false">B8076/Summary!$B$5-1</f>
        <v>0.043640131876193</v>
      </c>
    </row>
    <row r="8077" customFormat="false" ht="15" hidden="false" customHeight="false" outlineLevel="0" collapsed="false">
      <c r="A8077" s="0" t="n">
        <v>8076</v>
      </c>
      <c r="B8077" s="14" t="n">
        <v>110987.741429514</v>
      </c>
      <c r="C8077" s="15" t="n">
        <v>0.0609743362426918</v>
      </c>
      <c r="D8077" s="14" t="n">
        <f aca="false">Summary!$B$5-B8077</f>
        <v>-10987.7414295139</v>
      </c>
      <c r="E8077" s="15" t="n">
        <f aca="false">B8077/Summary!$B$5-1</f>
        <v>0.109877414295139</v>
      </c>
    </row>
    <row r="8078" customFormat="false" ht="15" hidden="false" customHeight="false" outlineLevel="0" collapsed="false">
      <c r="A8078" s="0" t="n">
        <v>8077</v>
      </c>
      <c r="B8078" s="14" t="n">
        <v>133559.608320982</v>
      </c>
      <c r="C8078" s="15" t="n">
        <v>0.0727400989608338</v>
      </c>
      <c r="D8078" s="14" t="n">
        <f aca="false">Summary!$B$5-B8078</f>
        <v>-33559.6083209824</v>
      </c>
      <c r="E8078" s="15" t="n">
        <f aca="false">B8078/Summary!$B$5-1</f>
        <v>0.335596083209824</v>
      </c>
    </row>
    <row r="8079" customFormat="false" ht="15" hidden="false" customHeight="false" outlineLevel="0" collapsed="false">
      <c r="A8079" s="0" t="n">
        <v>8078</v>
      </c>
      <c r="B8079" s="14" t="n">
        <v>92162.7375817512</v>
      </c>
      <c r="C8079" s="15" t="n">
        <v>0.105054391305158</v>
      </c>
      <c r="D8079" s="14" t="n">
        <f aca="false">Summary!$B$5-B8079</f>
        <v>7837.26241824881</v>
      </c>
      <c r="E8079" s="15" t="n">
        <f aca="false">B8079/Summary!$B$5-1</f>
        <v>-0.078372624182488</v>
      </c>
    </row>
    <row r="8080" customFormat="false" ht="15" hidden="false" customHeight="false" outlineLevel="0" collapsed="false">
      <c r="A8080" s="0" t="n">
        <v>8079</v>
      </c>
      <c r="B8080" s="14" t="n">
        <v>93071.3953704717</v>
      </c>
      <c r="C8080" s="15" t="n">
        <v>0.107930461276344</v>
      </c>
      <c r="D8080" s="14" t="n">
        <f aca="false">Summary!$B$5-B8080</f>
        <v>6928.6046295283</v>
      </c>
      <c r="E8080" s="15" t="n">
        <f aca="false">B8080/Summary!$B$5-1</f>
        <v>-0.069286046295283</v>
      </c>
    </row>
    <row r="8081" customFormat="false" ht="15" hidden="false" customHeight="false" outlineLevel="0" collapsed="false">
      <c r="A8081" s="0" t="n">
        <v>8080</v>
      </c>
      <c r="B8081" s="14" t="n">
        <v>109744.960541563</v>
      </c>
      <c r="C8081" s="15" t="n">
        <v>0.108670539033915</v>
      </c>
      <c r="D8081" s="14" t="n">
        <f aca="false">Summary!$B$5-B8081</f>
        <v>-9744.9605415625</v>
      </c>
      <c r="E8081" s="15" t="n">
        <f aca="false">B8081/Summary!$B$5-1</f>
        <v>0.0974496054156251</v>
      </c>
    </row>
    <row r="8082" customFormat="false" ht="15" hidden="false" customHeight="false" outlineLevel="0" collapsed="false">
      <c r="A8082" s="0" t="n">
        <v>8081</v>
      </c>
      <c r="B8082" s="14" t="n">
        <v>130910.159702517</v>
      </c>
      <c r="C8082" s="15" t="n">
        <v>0.0574085315210184</v>
      </c>
      <c r="D8082" s="14" t="n">
        <f aca="false">Summary!$B$5-B8082</f>
        <v>-30910.1597025165</v>
      </c>
      <c r="E8082" s="15" t="n">
        <f aca="false">B8082/Summary!$B$5-1</f>
        <v>0.309101597025165</v>
      </c>
    </row>
    <row r="8083" customFormat="false" ht="15" hidden="false" customHeight="false" outlineLevel="0" collapsed="false">
      <c r="A8083" s="0" t="n">
        <v>8082</v>
      </c>
      <c r="B8083" s="14" t="n">
        <v>101969.90289347</v>
      </c>
      <c r="C8083" s="15" t="n">
        <v>0.099623676936824</v>
      </c>
      <c r="D8083" s="14" t="n">
        <f aca="false">Summary!$B$5-B8083</f>
        <v>-1969.90289347</v>
      </c>
      <c r="E8083" s="15" t="n">
        <f aca="false">B8083/Summary!$B$5-1</f>
        <v>0.0196990289347001</v>
      </c>
    </row>
    <row r="8084" customFormat="false" ht="15" hidden="false" customHeight="false" outlineLevel="0" collapsed="false">
      <c r="A8084" s="0" t="n">
        <v>8083</v>
      </c>
      <c r="B8084" s="14" t="n">
        <v>102387.156960196</v>
      </c>
      <c r="C8084" s="15" t="n">
        <v>0.0827929990435502</v>
      </c>
      <c r="D8084" s="14" t="n">
        <f aca="false">Summary!$B$5-B8084</f>
        <v>-2387.1569601956</v>
      </c>
      <c r="E8084" s="15" t="n">
        <f aca="false">B8084/Summary!$B$5-1</f>
        <v>0.023871569601956</v>
      </c>
    </row>
    <row r="8085" customFormat="false" ht="15" hidden="false" customHeight="false" outlineLevel="0" collapsed="false">
      <c r="A8085" s="0" t="n">
        <v>8084</v>
      </c>
      <c r="B8085" s="14" t="n">
        <v>114000.009618675</v>
      </c>
      <c r="C8085" s="15" t="n">
        <v>0.0779989886578094</v>
      </c>
      <c r="D8085" s="14" t="n">
        <f aca="false">Summary!$B$5-B8085</f>
        <v>-14000.0096186749</v>
      </c>
      <c r="E8085" s="15" t="n">
        <f aca="false">B8085/Summary!$B$5-1</f>
        <v>0.140000096186749</v>
      </c>
    </row>
    <row r="8086" customFormat="false" ht="15" hidden="false" customHeight="false" outlineLevel="0" collapsed="false">
      <c r="A8086" s="0" t="n">
        <v>8085</v>
      </c>
      <c r="B8086" s="14" t="n">
        <v>114257.133300042</v>
      </c>
      <c r="C8086" s="15" t="n">
        <v>0.0527600124802161</v>
      </c>
      <c r="D8086" s="14" t="n">
        <f aca="false">Summary!$B$5-B8086</f>
        <v>-14257.1333000418</v>
      </c>
      <c r="E8086" s="15" t="n">
        <f aca="false">B8086/Summary!$B$5-1</f>
        <v>0.142571333000418</v>
      </c>
    </row>
    <row r="8087" customFormat="false" ht="15" hidden="false" customHeight="false" outlineLevel="0" collapsed="false">
      <c r="A8087" s="0" t="n">
        <v>8086</v>
      </c>
      <c r="B8087" s="14" t="n">
        <v>94391.1663202678</v>
      </c>
      <c r="C8087" s="15" t="n">
        <v>0.16593439095239</v>
      </c>
      <c r="D8087" s="14" t="n">
        <f aca="false">Summary!$B$5-B8087</f>
        <v>5608.83367973223</v>
      </c>
      <c r="E8087" s="15" t="n">
        <f aca="false">B8087/Summary!$B$5-1</f>
        <v>-0.0560883367973223</v>
      </c>
    </row>
    <row r="8088" customFormat="false" ht="15" hidden="false" customHeight="false" outlineLevel="0" collapsed="false">
      <c r="A8088" s="0" t="n">
        <v>8087</v>
      </c>
      <c r="B8088" s="14" t="n">
        <v>117205.329724118</v>
      </c>
      <c r="C8088" s="15" t="n">
        <v>0.0734577814614</v>
      </c>
      <c r="D8088" s="14" t="n">
        <f aca="false">Summary!$B$5-B8088</f>
        <v>-17205.3297241176</v>
      </c>
      <c r="E8088" s="15" t="n">
        <f aca="false">B8088/Summary!$B$5-1</f>
        <v>0.172053297241176</v>
      </c>
    </row>
    <row r="8089" customFormat="false" ht="15" hidden="false" customHeight="false" outlineLevel="0" collapsed="false">
      <c r="A8089" s="0" t="n">
        <v>8088</v>
      </c>
      <c r="B8089" s="14" t="n">
        <v>113894.601025556</v>
      </c>
      <c r="C8089" s="15" t="n">
        <v>0.0803337140427771</v>
      </c>
      <c r="D8089" s="14" t="n">
        <f aca="false">Summary!$B$5-B8089</f>
        <v>-13894.6010255557</v>
      </c>
      <c r="E8089" s="15" t="n">
        <f aca="false">B8089/Summary!$B$5-1</f>
        <v>0.138946010255557</v>
      </c>
    </row>
    <row r="8090" customFormat="false" ht="15" hidden="false" customHeight="false" outlineLevel="0" collapsed="false">
      <c r="A8090" s="0" t="n">
        <v>8089</v>
      </c>
      <c r="B8090" s="14" t="n">
        <v>110119.53954056</v>
      </c>
      <c r="C8090" s="15" t="n">
        <v>0.111791963837834</v>
      </c>
      <c r="D8090" s="14" t="n">
        <f aca="false">Summary!$B$5-B8090</f>
        <v>-10119.5395405603</v>
      </c>
      <c r="E8090" s="15" t="n">
        <f aca="false">B8090/Summary!$B$5-1</f>
        <v>0.101195395405603</v>
      </c>
    </row>
    <row r="8091" customFormat="false" ht="15" hidden="false" customHeight="false" outlineLevel="0" collapsed="false">
      <c r="A8091" s="0" t="n">
        <v>8090</v>
      </c>
      <c r="B8091" s="14" t="n">
        <v>80999.0774953628</v>
      </c>
      <c r="C8091" s="15" t="n">
        <v>0.211689795789641</v>
      </c>
      <c r="D8091" s="14" t="n">
        <f aca="false">Summary!$B$5-B8091</f>
        <v>19000.9225046372</v>
      </c>
      <c r="E8091" s="15" t="n">
        <f aca="false">B8091/Summary!$B$5-1</f>
        <v>-0.190009225046372</v>
      </c>
    </row>
    <row r="8092" customFormat="false" ht="15" hidden="false" customHeight="false" outlineLevel="0" collapsed="false">
      <c r="A8092" s="0" t="n">
        <v>8091</v>
      </c>
      <c r="B8092" s="14" t="n">
        <v>113694.943398998</v>
      </c>
      <c r="C8092" s="15" t="n">
        <v>0.127937241597145</v>
      </c>
      <c r="D8092" s="14" t="n">
        <f aca="false">Summary!$B$5-B8092</f>
        <v>-13694.9433989975</v>
      </c>
      <c r="E8092" s="15" t="n">
        <f aca="false">B8092/Summary!$B$5-1</f>
        <v>0.136949433989975</v>
      </c>
    </row>
    <row r="8093" customFormat="false" ht="15" hidden="false" customHeight="false" outlineLevel="0" collapsed="false">
      <c r="A8093" s="0" t="n">
        <v>8092</v>
      </c>
      <c r="B8093" s="14" t="n">
        <v>88039.1590618458</v>
      </c>
      <c r="C8093" s="15" t="n">
        <v>0.120502218240305</v>
      </c>
      <c r="D8093" s="14" t="n">
        <f aca="false">Summary!$B$5-B8093</f>
        <v>11960.8409381542</v>
      </c>
      <c r="E8093" s="15" t="n">
        <f aca="false">B8093/Summary!$B$5-1</f>
        <v>-0.119608409381542</v>
      </c>
    </row>
    <row r="8094" customFormat="false" ht="15" hidden="false" customHeight="false" outlineLevel="0" collapsed="false">
      <c r="A8094" s="0" t="n">
        <v>8093</v>
      </c>
      <c r="B8094" s="14" t="n">
        <v>108649.21425886</v>
      </c>
      <c r="C8094" s="15" t="n">
        <v>0.0772487432059048</v>
      </c>
      <c r="D8094" s="14" t="n">
        <f aca="false">Summary!$B$5-B8094</f>
        <v>-8649.2142588603</v>
      </c>
      <c r="E8094" s="15" t="n">
        <f aca="false">B8094/Summary!$B$5-1</f>
        <v>0.0864921425886029</v>
      </c>
    </row>
    <row r="8095" customFormat="false" ht="15" hidden="false" customHeight="false" outlineLevel="0" collapsed="false">
      <c r="A8095" s="0" t="n">
        <v>8094</v>
      </c>
      <c r="B8095" s="14" t="n">
        <v>100307.756970471</v>
      </c>
      <c r="C8095" s="15" t="n">
        <v>0.0843465926267792</v>
      </c>
      <c r="D8095" s="14" t="n">
        <f aca="false">Summary!$B$5-B8095</f>
        <v>-307.756970471004</v>
      </c>
      <c r="E8095" s="15" t="n">
        <f aca="false">B8095/Summary!$B$5-1</f>
        <v>0.00307756970471007</v>
      </c>
    </row>
    <row r="8096" customFormat="false" ht="15" hidden="false" customHeight="false" outlineLevel="0" collapsed="false">
      <c r="A8096" s="0" t="n">
        <v>8095</v>
      </c>
      <c r="B8096" s="14" t="n">
        <v>144930.307937849</v>
      </c>
      <c r="C8096" s="15" t="n">
        <v>0.0517121437501144</v>
      </c>
      <c r="D8096" s="14" t="n">
        <f aca="false">Summary!$B$5-B8096</f>
        <v>-44930.3079378485</v>
      </c>
      <c r="E8096" s="15" t="n">
        <f aca="false">B8096/Summary!$B$5-1</f>
        <v>0.449303079378485</v>
      </c>
    </row>
    <row r="8097" customFormat="false" ht="15" hidden="false" customHeight="false" outlineLevel="0" collapsed="false">
      <c r="A8097" s="0" t="n">
        <v>8096</v>
      </c>
      <c r="B8097" s="14" t="n">
        <v>104004.806711731</v>
      </c>
      <c r="C8097" s="15" t="n">
        <v>0.102317301183461</v>
      </c>
      <c r="D8097" s="14" t="n">
        <f aca="false">Summary!$B$5-B8097</f>
        <v>-4004.8067117311</v>
      </c>
      <c r="E8097" s="15" t="n">
        <f aca="false">B8097/Summary!$B$5-1</f>
        <v>0.0400480671173109</v>
      </c>
    </row>
    <row r="8098" customFormat="false" ht="15" hidden="false" customHeight="false" outlineLevel="0" collapsed="false">
      <c r="A8098" s="0" t="n">
        <v>8097</v>
      </c>
      <c r="B8098" s="14" t="n">
        <v>137789.137985237</v>
      </c>
      <c r="C8098" s="15" t="n">
        <v>0.059051564203905</v>
      </c>
      <c r="D8098" s="14" t="n">
        <f aca="false">Summary!$B$5-B8098</f>
        <v>-37789.1379852369</v>
      </c>
      <c r="E8098" s="15" t="n">
        <f aca="false">B8098/Summary!$B$5-1</f>
        <v>0.377891379852369</v>
      </c>
    </row>
    <row r="8099" customFormat="false" ht="15" hidden="false" customHeight="false" outlineLevel="0" collapsed="false">
      <c r="A8099" s="0" t="n">
        <v>8098</v>
      </c>
      <c r="B8099" s="14" t="n">
        <v>102932.83919613</v>
      </c>
      <c r="C8099" s="15" t="n">
        <v>0.137325157363046</v>
      </c>
      <c r="D8099" s="14" t="n">
        <f aca="false">Summary!$B$5-B8099</f>
        <v>-2932.8391961303</v>
      </c>
      <c r="E8099" s="15" t="n">
        <f aca="false">B8099/Summary!$B$5-1</f>
        <v>0.029328391961303</v>
      </c>
    </row>
    <row r="8100" customFormat="false" ht="15" hidden="false" customHeight="false" outlineLevel="0" collapsed="false">
      <c r="A8100" s="0" t="n">
        <v>8099</v>
      </c>
      <c r="B8100" s="14" t="n">
        <v>115664.503210263</v>
      </c>
      <c r="C8100" s="15" t="n">
        <v>0.111640854942169</v>
      </c>
      <c r="D8100" s="14" t="n">
        <f aca="false">Summary!$B$5-B8100</f>
        <v>-15664.5032102634</v>
      </c>
      <c r="E8100" s="15" t="n">
        <f aca="false">B8100/Summary!$B$5-1</f>
        <v>0.156645032102634</v>
      </c>
    </row>
    <row r="8101" customFormat="false" ht="15" hidden="false" customHeight="false" outlineLevel="0" collapsed="false">
      <c r="A8101" s="0" t="n">
        <v>8100</v>
      </c>
      <c r="B8101" s="14" t="n">
        <v>124476.01790285</v>
      </c>
      <c r="C8101" s="15" t="n">
        <v>0.107908372842521</v>
      </c>
      <c r="D8101" s="14" t="n">
        <f aca="false">Summary!$B$5-B8101</f>
        <v>-24476.0179028503</v>
      </c>
      <c r="E8101" s="15" t="n">
        <f aca="false">B8101/Summary!$B$5-1</f>
        <v>0.244760179028503</v>
      </c>
    </row>
    <row r="8102" customFormat="false" ht="15" hidden="false" customHeight="false" outlineLevel="0" collapsed="false">
      <c r="A8102" s="0" t="n">
        <v>8101</v>
      </c>
      <c r="B8102" s="14" t="n">
        <v>110583.276410236</v>
      </c>
      <c r="C8102" s="15" t="n">
        <v>0.0737544182147649</v>
      </c>
      <c r="D8102" s="14" t="n">
        <f aca="false">Summary!$B$5-B8102</f>
        <v>-10583.2764102361</v>
      </c>
      <c r="E8102" s="15" t="n">
        <f aca="false">B8102/Summary!$B$5-1</f>
        <v>0.105832764102361</v>
      </c>
    </row>
    <row r="8103" customFormat="false" ht="15" hidden="false" customHeight="false" outlineLevel="0" collapsed="false">
      <c r="A8103" s="0" t="n">
        <v>8102</v>
      </c>
      <c r="B8103" s="14" t="n">
        <v>89227.6222630163</v>
      </c>
      <c r="C8103" s="15" t="n">
        <v>0.19621145794809</v>
      </c>
      <c r="D8103" s="14" t="n">
        <f aca="false">Summary!$B$5-B8103</f>
        <v>10772.3777369837</v>
      </c>
      <c r="E8103" s="15" t="n">
        <f aca="false">B8103/Summary!$B$5-1</f>
        <v>-0.107723777369837</v>
      </c>
    </row>
    <row r="8104" customFormat="false" ht="15" hidden="false" customHeight="false" outlineLevel="0" collapsed="false">
      <c r="A8104" s="0" t="n">
        <v>8103</v>
      </c>
      <c r="B8104" s="14" t="n">
        <v>105691.091988813</v>
      </c>
      <c r="C8104" s="15" t="n">
        <v>0.089255065929584</v>
      </c>
      <c r="D8104" s="14" t="n">
        <f aca="false">Summary!$B$5-B8104</f>
        <v>-5691.0919888131</v>
      </c>
      <c r="E8104" s="15" t="n">
        <f aca="false">B8104/Summary!$B$5-1</f>
        <v>0.056910919888131</v>
      </c>
    </row>
    <row r="8105" customFormat="false" ht="15" hidden="false" customHeight="false" outlineLevel="0" collapsed="false">
      <c r="A8105" s="0" t="n">
        <v>8104</v>
      </c>
      <c r="B8105" s="14" t="n">
        <v>105106.965392785</v>
      </c>
      <c r="C8105" s="15" t="n">
        <v>0.132949261914402</v>
      </c>
      <c r="D8105" s="14" t="n">
        <f aca="false">Summary!$B$5-B8105</f>
        <v>-5106.9653927849</v>
      </c>
      <c r="E8105" s="15" t="n">
        <f aca="false">B8105/Summary!$B$5-1</f>
        <v>0.051069653927849</v>
      </c>
    </row>
    <row r="8106" customFormat="false" ht="15" hidden="false" customHeight="false" outlineLevel="0" collapsed="false">
      <c r="A8106" s="0" t="n">
        <v>8105</v>
      </c>
      <c r="B8106" s="14" t="n">
        <v>94667.7560514691</v>
      </c>
      <c r="C8106" s="15" t="n">
        <v>0.099552521292947</v>
      </c>
      <c r="D8106" s="14" t="n">
        <f aca="false">Summary!$B$5-B8106</f>
        <v>5332.24394853092</v>
      </c>
      <c r="E8106" s="15" t="n">
        <f aca="false">B8106/Summary!$B$5-1</f>
        <v>-0.0533224394853091</v>
      </c>
    </row>
    <row r="8107" customFormat="false" ht="15" hidden="false" customHeight="false" outlineLevel="0" collapsed="false">
      <c r="A8107" s="0" t="n">
        <v>8106</v>
      </c>
      <c r="B8107" s="14" t="n">
        <v>116846.087486269</v>
      </c>
      <c r="C8107" s="15" t="n">
        <v>0.0499498724881502</v>
      </c>
      <c r="D8107" s="14" t="n">
        <f aca="false">Summary!$B$5-B8107</f>
        <v>-16846.0874862687</v>
      </c>
      <c r="E8107" s="15" t="n">
        <f aca="false">B8107/Summary!$B$5-1</f>
        <v>0.168460874862687</v>
      </c>
    </row>
    <row r="8108" customFormat="false" ht="15" hidden="false" customHeight="false" outlineLevel="0" collapsed="false">
      <c r="A8108" s="0" t="n">
        <v>8107</v>
      </c>
      <c r="B8108" s="14" t="n">
        <v>109330.389418078</v>
      </c>
      <c r="C8108" s="15" t="n">
        <v>0.078297603677982</v>
      </c>
      <c r="D8108" s="14" t="n">
        <f aca="false">Summary!$B$5-B8108</f>
        <v>-9330.3894180784</v>
      </c>
      <c r="E8108" s="15" t="n">
        <f aca="false">B8108/Summary!$B$5-1</f>
        <v>0.093303894180784</v>
      </c>
    </row>
    <row r="8109" customFormat="false" ht="15" hidden="false" customHeight="false" outlineLevel="0" collapsed="false">
      <c r="A8109" s="0" t="n">
        <v>8108</v>
      </c>
      <c r="B8109" s="14" t="n">
        <v>128688.239180862</v>
      </c>
      <c r="C8109" s="15" t="n">
        <v>0.05240747940637</v>
      </c>
      <c r="D8109" s="14" t="n">
        <f aca="false">Summary!$B$5-B8109</f>
        <v>-28688.2391808621</v>
      </c>
      <c r="E8109" s="15" t="n">
        <f aca="false">B8109/Summary!$B$5-1</f>
        <v>0.286882391808621</v>
      </c>
    </row>
    <row r="8110" customFormat="false" ht="15" hidden="false" customHeight="false" outlineLevel="0" collapsed="false">
      <c r="A8110" s="0" t="n">
        <v>8109</v>
      </c>
      <c r="B8110" s="14" t="n">
        <v>104374.569864477</v>
      </c>
      <c r="C8110" s="15" t="n">
        <v>0.119330404088855</v>
      </c>
      <c r="D8110" s="14" t="n">
        <f aca="false">Summary!$B$5-B8110</f>
        <v>-4374.5698644768</v>
      </c>
      <c r="E8110" s="15" t="n">
        <f aca="false">B8110/Summary!$B$5-1</f>
        <v>0.043745698644768</v>
      </c>
    </row>
    <row r="8111" customFormat="false" ht="15" hidden="false" customHeight="false" outlineLevel="0" collapsed="false">
      <c r="A8111" s="0" t="n">
        <v>8110</v>
      </c>
      <c r="B8111" s="14" t="n">
        <v>110297.071897817</v>
      </c>
      <c r="C8111" s="15" t="n">
        <v>0.0937374862086973</v>
      </c>
      <c r="D8111" s="14" t="n">
        <f aca="false">Summary!$B$5-B8111</f>
        <v>-10297.0718978168</v>
      </c>
      <c r="E8111" s="15" t="n">
        <f aca="false">B8111/Summary!$B$5-1</f>
        <v>0.102970718978168</v>
      </c>
    </row>
    <row r="8112" customFormat="false" ht="15" hidden="false" customHeight="false" outlineLevel="0" collapsed="false">
      <c r="A8112" s="0" t="n">
        <v>8111</v>
      </c>
      <c r="B8112" s="14" t="n">
        <v>95499.0360449144</v>
      </c>
      <c r="C8112" s="15" t="n">
        <v>0.0967294614470495</v>
      </c>
      <c r="D8112" s="14" t="n">
        <f aca="false">Summary!$B$5-B8112</f>
        <v>4500.96395508561</v>
      </c>
      <c r="E8112" s="15" t="n">
        <f aca="false">B8112/Summary!$B$5-1</f>
        <v>-0.0450096395508561</v>
      </c>
    </row>
    <row r="8113" customFormat="false" ht="15" hidden="false" customHeight="false" outlineLevel="0" collapsed="false">
      <c r="A8113" s="0" t="n">
        <v>8112</v>
      </c>
      <c r="B8113" s="14" t="n">
        <v>114094.540947501</v>
      </c>
      <c r="C8113" s="15" t="n">
        <v>0.118614461165717</v>
      </c>
      <c r="D8113" s="14" t="n">
        <f aca="false">Summary!$B$5-B8113</f>
        <v>-14094.5409475008</v>
      </c>
      <c r="E8113" s="15" t="n">
        <f aca="false">B8113/Summary!$B$5-1</f>
        <v>0.140945409475008</v>
      </c>
    </row>
    <row r="8114" customFormat="false" ht="15" hidden="false" customHeight="false" outlineLevel="0" collapsed="false">
      <c r="A8114" s="0" t="n">
        <v>8113</v>
      </c>
      <c r="B8114" s="14" t="n">
        <v>115596.352423522</v>
      </c>
      <c r="C8114" s="15" t="n">
        <v>0.0950410368688569</v>
      </c>
      <c r="D8114" s="14" t="n">
        <f aca="false">Summary!$B$5-B8114</f>
        <v>-15596.3524235221</v>
      </c>
      <c r="E8114" s="15" t="n">
        <f aca="false">B8114/Summary!$B$5-1</f>
        <v>0.155963524235221</v>
      </c>
    </row>
    <row r="8115" customFormat="false" ht="15" hidden="false" customHeight="false" outlineLevel="0" collapsed="false">
      <c r="A8115" s="0" t="n">
        <v>8114</v>
      </c>
      <c r="B8115" s="14" t="n">
        <v>107986.169200151</v>
      </c>
      <c r="C8115" s="15" t="n">
        <v>0.0851173025927166</v>
      </c>
      <c r="D8115" s="14" t="n">
        <f aca="false">Summary!$B$5-B8115</f>
        <v>-7986.16920015081</v>
      </c>
      <c r="E8115" s="15" t="n">
        <f aca="false">B8115/Summary!$B$5-1</f>
        <v>0.0798616920015081</v>
      </c>
    </row>
    <row r="8116" customFormat="false" ht="15" hidden="false" customHeight="false" outlineLevel="0" collapsed="false">
      <c r="A8116" s="0" t="n">
        <v>8115</v>
      </c>
      <c r="B8116" s="14" t="n">
        <v>103342.205975101</v>
      </c>
      <c r="C8116" s="15" t="n">
        <v>0.101498000592509</v>
      </c>
      <c r="D8116" s="14" t="n">
        <f aca="false">Summary!$B$5-B8116</f>
        <v>-3342.2059751014</v>
      </c>
      <c r="E8116" s="15" t="n">
        <f aca="false">B8116/Summary!$B$5-1</f>
        <v>0.033422059751014</v>
      </c>
    </row>
    <row r="8117" customFormat="false" ht="15" hidden="false" customHeight="false" outlineLevel="0" collapsed="false">
      <c r="A8117" s="0" t="n">
        <v>8116</v>
      </c>
      <c r="B8117" s="14" t="n">
        <v>120776.080859395</v>
      </c>
      <c r="C8117" s="15" t="n">
        <v>0.0570452119879572</v>
      </c>
      <c r="D8117" s="14" t="n">
        <f aca="false">Summary!$B$5-B8117</f>
        <v>-20776.080859395</v>
      </c>
      <c r="E8117" s="15" t="n">
        <f aca="false">B8117/Summary!$B$5-1</f>
        <v>0.20776080859395</v>
      </c>
    </row>
    <row r="8118" customFormat="false" ht="15" hidden="false" customHeight="false" outlineLevel="0" collapsed="false">
      <c r="A8118" s="0" t="n">
        <v>8117</v>
      </c>
      <c r="B8118" s="14" t="n">
        <v>92320.579473893</v>
      </c>
      <c r="C8118" s="15" t="n">
        <v>0.158580451805943</v>
      </c>
      <c r="D8118" s="14" t="n">
        <f aca="false">Summary!$B$5-B8118</f>
        <v>7679.420526107</v>
      </c>
      <c r="E8118" s="15" t="n">
        <f aca="false">B8118/Summary!$B$5-1</f>
        <v>-0.0767942052610701</v>
      </c>
    </row>
    <row r="8119" customFormat="false" ht="15" hidden="false" customHeight="false" outlineLevel="0" collapsed="false">
      <c r="A8119" s="0" t="n">
        <v>8118</v>
      </c>
      <c r="B8119" s="14" t="n">
        <v>147424.176575854</v>
      </c>
      <c r="C8119" s="15" t="n">
        <v>0.0619246556187748</v>
      </c>
      <c r="D8119" s="14" t="n">
        <f aca="false">Summary!$B$5-B8119</f>
        <v>-47424.1765758536</v>
      </c>
      <c r="E8119" s="15" t="n">
        <f aca="false">B8119/Summary!$B$5-1</f>
        <v>0.474241765758536</v>
      </c>
    </row>
    <row r="8120" customFormat="false" ht="15" hidden="false" customHeight="false" outlineLevel="0" collapsed="false">
      <c r="A8120" s="0" t="n">
        <v>8119</v>
      </c>
      <c r="B8120" s="14" t="n">
        <v>102433.323746743</v>
      </c>
      <c r="C8120" s="15" t="n">
        <v>0.099451658469304</v>
      </c>
      <c r="D8120" s="14" t="n">
        <f aca="false">Summary!$B$5-B8120</f>
        <v>-2433.32374674259</v>
      </c>
      <c r="E8120" s="15" t="n">
        <f aca="false">B8120/Summary!$B$5-1</f>
        <v>0.0243332374674259</v>
      </c>
    </row>
    <row r="8121" customFormat="false" ht="15" hidden="false" customHeight="false" outlineLevel="0" collapsed="false">
      <c r="A8121" s="0" t="n">
        <v>8120</v>
      </c>
      <c r="B8121" s="14" t="n">
        <v>112380.447916152</v>
      </c>
      <c r="C8121" s="15" t="n">
        <v>0.0632552257935984</v>
      </c>
      <c r="D8121" s="14" t="n">
        <f aca="false">Summary!$B$5-B8121</f>
        <v>-12380.4479161524</v>
      </c>
      <c r="E8121" s="15" t="n">
        <f aca="false">B8121/Summary!$B$5-1</f>
        <v>0.123804479161524</v>
      </c>
    </row>
    <row r="8122" customFormat="false" ht="15" hidden="false" customHeight="false" outlineLevel="0" collapsed="false">
      <c r="A8122" s="0" t="n">
        <v>8121</v>
      </c>
      <c r="B8122" s="14" t="n">
        <v>116535.699643214</v>
      </c>
      <c r="C8122" s="15" t="n">
        <v>0.0789719799196145</v>
      </c>
      <c r="D8122" s="14" t="n">
        <f aca="false">Summary!$B$5-B8122</f>
        <v>-16535.6996432143</v>
      </c>
      <c r="E8122" s="15" t="n">
        <f aca="false">B8122/Summary!$B$5-1</f>
        <v>0.165356996432143</v>
      </c>
    </row>
    <row r="8123" customFormat="false" ht="15" hidden="false" customHeight="false" outlineLevel="0" collapsed="false">
      <c r="A8123" s="0" t="n">
        <v>8122</v>
      </c>
      <c r="B8123" s="14" t="n">
        <v>126278.349625749</v>
      </c>
      <c r="C8123" s="15" t="n">
        <v>0.105554786612745</v>
      </c>
      <c r="D8123" s="14" t="n">
        <f aca="false">Summary!$B$5-B8123</f>
        <v>-26278.3496257493</v>
      </c>
      <c r="E8123" s="15" t="n">
        <f aca="false">B8123/Summary!$B$5-1</f>
        <v>0.262783496257493</v>
      </c>
    </row>
    <row r="8124" customFormat="false" ht="15" hidden="false" customHeight="false" outlineLevel="0" collapsed="false">
      <c r="A8124" s="0" t="n">
        <v>8123</v>
      </c>
      <c r="B8124" s="14" t="n">
        <v>86213.0605976937</v>
      </c>
      <c r="C8124" s="15" t="n">
        <v>0.167831234104367</v>
      </c>
      <c r="D8124" s="14" t="n">
        <f aca="false">Summary!$B$5-B8124</f>
        <v>13786.9394023063</v>
      </c>
      <c r="E8124" s="15" t="n">
        <f aca="false">B8124/Summary!$B$5-1</f>
        <v>-0.137869394023063</v>
      </c>
    </row>
    <row r="8125" customFormat="false" ht="15" hidden="false" customHeight="false" outlineLevel="0" collapsed="false">
      <c r="A8125" s="0" t="n">
        <v>8124</v>
      </c>
      <c r="B8125" s="14" t="n">
        <v>113546.549045295</v>
      </c>
      <c r="C8125" s="15" t="n">
        <v>0.0775986274362623</v>
      </c>
      <c r="D8125" s="14" t="n">
        <f aca="false">Summary!$B$5-B8125</f>
        <v>-13546.5490452954</v>
      </c>
      <c r="E8125" s="15" t="n">
        <f aca="false">B8125/Summary!$B$5-1</f>
        <v>0.135465490452954</v>
      </c>
    </row>
    <row r="8126" customFormat="false" ht="15" hidden="false" customHeight="false" outlineLevel="0" collapsed="false">
      <c r="A8126" s="0" t="n">
        <v>8125</v>
      </c>
      <c r="B8126" s="14" t="n">
        <v>120734.617452655</v>
      </c>
      <c r="C8126" s="15" t="n">
        <v>0.07012941909685</v>
      </c>
      <c r="D8126" s="14" t="n">
        <f aca="false">Summary!$B$5-B8126</f>
        <v>-20734.6174526547</v>
      </c>
      <c r="E8126" s="15" t="n">
        <f aca="false">B8126/Summary!$B$5-1</f>
        <v>0.207346174526547</v>
      </c>
    </row>
    <row r="8127" customFormat="false" ht="15" hidden="false" customHeight="false" outlineLevel="0" collapsed="false">
      <c r="A8127" s="0" t="n">
        <v>8126</v>
      </c>
      <c r="B8127" s="14" t="n">
        <v>86837.6995748688</v>
      </c>
      <c r="C8127" s="15" t="n">
        <v>0.159825321468889</v>
      </c>
      <c r="D8127" s="14" t="n">
        <f aca="false">Summary!$B$5-B8127</f>
        <v>13162.3004251312</v>
      </c>
      <c r="E8127" s="15" t="n">
        <f aca="false">B8127/Summary!$B$5-1</f>
        <v>-0.131623004251312</v>
      </c>
    </row>
    <row r="8128" customFormat="false" ht="15" hidden="false" customHeight="false" outlineLevel="0" collapsed="false">
      <c r="A8128" s="0" t="n">
        <v>8127</v>
      </c>
      <c r="B8128" s="14" t="n">
        <v>105619.499003316</v>
      </c>
      <c r="C8128" s="15" t="n">
        <v>0.0778001960348295</v>
      </c>
      <c r="D8128" s="14" t="n">
        <f aca="false">Summary!$B$5-B8128</f>
        <v>-5619.4990033159</v>
      </c>
      <c r="E8128" s="15" t="n">
        <f aca="false">B8128/Summary!$B$5-1</f>
        <v>0.0561949900331589</v>
      </c>
    </row>
    <row r="8129" customFormat="false" ht="15" hidden="false" customHeight="false" outlineLevel="0" collapsed="false">
      <c r="A8129" s="0" t="n">
        <v>8128</v>
      </c>
      <c r="B8129" s="14" t="n">
        <v>127228.623976036</v>
      </c>
      <c r="C8129" s="15" t="n">
        <v>0.0611713243734889</v>
      </c>
      <c r="D8129" s="14" t="n">
        <f aca="false">Summary!$B$5-B8129</f>
        <v>-27228.6239760358</v>
      </c>
      <c r="E8129" s="15" t="n">
        <f aca="false">B8129/Summary!$B$5-1</f>
        <v>0.272286239760358</v>
      </c>
    </row>
    <row r="8130" customFormat="false" ht="15" hidden="false" customHeight="false" outlineLevel="0" collapsed="false">
      <c r="A8130" s="0" t="n">
        <v>8129</v>
      </c>
      <c r="B8130" s="14" t="n">
        <v>143681.589676912</v>
      </c>
      <c r="C8130" s="15" t="n">
        <v>0.0634481825106178</v>
      </c>
      <c r="D8130" s="14" t="n">
        <f aca="false">Summary!$B$5-B8130</f>
        <v>-43681.5896769124</v>
      </c>
      <c r="E8130" s="15" t="n">
        <f aca="false">B8130/Summary!$B$5-1</f>
        <v>0.436815896769124</v>
      </c>
    </row>
    <row r="8131" customFormat="false" ht="15" hidden="false" customHeight="false" outlineLevel="0" collapsed="false">
      <c r="A8131" s="0" t="n">
        <v>8130</v>
      </c>
      <c r="B8131" s="14" t="n">
        <v>87647.9945191378</v>
      </c>
      <c r="C8131" s="15" t="n">
        <v>0.161563808319314</v>
      </c>
      <c r="D8131" s="14" t="n">
        <f aca="false">Summary!$B$5-B8131</f>
        <v>12352.0054808623</v>
      </c>
      <c r="E8131" s="15" t="n">
        <f aca="false">B8131/Summary!$B$5-1</f>
        <v>-0.123520054808622</v>
      </c>
    </row>
    <row r="8132" customFormat="false" ht="15" hidden="false" customHeight="false" outlineLevel="0" collapsed="false">
      <c r="A8132" s="0" t="n">
        <v>8131</v>
      </c>
      <c r="B8132" s="14" t="n">
        <v>110760.187853531</v>
      </c>
      <c r="C8132" s="15" t="n">
        <v>0.0948590467619991</v>
      </c>
      <c r="D8132" s="14" t="n">
        <f aca="false">Summary!$B$5-B8132</f>
        <v>-10760.1878535307</v>
      </c>
      <c r="E8132" s="15" t="n">
        <f aca="false">B8132/Summary!$B$5-1</f>
        <v>0.107601878535307</v>
      </c>
    </row>
    <row r="8133" customFormat="false" ht="15" hidden="false" customHeight="false" outlineLevel="0" collapsed="false">
      <c r="A8133" s="0" t="n">
        <v>8132</v>
      </c>
      <c r="B8133" s="14" t="n">
        <v>101080.986717149</v>
      </c>
      <c r="C8133" s="15" t="n">
        <v>0.126127750829011</v>
      </c>
      <c r="D8133" s="14" t="n">
        <f aca="false">Summary!$B$5-B8133</f>
        <v>-1080.98671714849</v>
      </c>
      <c r="E8133" s="15" t="n">
        <f aca="false">B8133/Summary!$B$5-1</f>
        <v>0.0108098671714849</v>
      </c>
    </row>
    <row r="8134" customFormat="false" ht="15" hidden="false" customHeight="false" outlineLevel="0" collapsed="false">
      <c r="A8134" s="0" t="n">
        <v>8133</v>
      </c>
      <c r="B8134" s="14" t="n">
        <v>107130.782110417</v>
      </c>
      <c r="C8134" s="15" t="n">
        <v>0.119609543496382</v>
      </c>
      <c r="D8134" s="14" t="n">
        <f aca="false">Summary!$B$5-B8134</f>
        <v>-7130.7821104169</v>
      </c>
      <c r="E8134" s="15" t="n">
        <f aca="false">B8134/Summary!$B$5-1</f>
        <v>0.0713078211041689</v>
      </c>
    </row>
    <row r="8135" customFormat="false" ht="15" hidden="false" customHeight="false" outlineLevel="0" collapsed="false">
      <c r="A8135" s="0" t="n">
        <v>8134</v>
      </c>
      <c r="B8135" s="14" t="n">
        <v>107280.021761432</v>
      </c>
      <c r="C8135" s="15" t="n">
        <v>0.108900453281229</v>
      </c>
      <c r="D8135" s="14" t="n">
        <f aca="false">Summary!$B$5-B8135</f>
        <v>-7280.02176143169</v>
      </c>
      <c r="E8135" s="15" t="n">
        <f aca="false">B8135/Summary!$B$5-1</f>
        <v>0.072800217614317</v>
      </c>
    </row>
    <row r="8136" customFormat="false" ht="15" hidden="false" customHeight="false" outlineLevel="0" collapsed="false">
      <c r="A8136" s="0" t="n">
        <v>8135</v>
      </c>
      <c r="B8136" s="14" t="n">
        <v>104525.566550398</v>
      </c>
      <c r="C8136" s="15" t="n">
        <v>0.137093982053776</v>
      </c>
      <c r="D8136" s="14" t="n">
        <f aca="false">Summary!$B$5-B8136</f>
        <v>-4525.56655039841</v>
      </c>
      <c r="E8136" s="15" t="n">
        <f aca="false">B8136/Summary!$B$5-1</f>
        <v>0.045255665503984</v>
      </c>
    </row>
    <row r="8137" customFormat="false" ht="15" hidden="false" customHeight="false" outlineLevel="0" collapsed="false">
      <c r="A8137" s="0" t="n">
        <v>8136</v>
      </c>
      <c r="B8137" s="14" t="n">
        <v>130791.295288035</v>
      </c>
      <c r="C8137" s="15" t="n">
        <v>0.0629607814808413</v>
      </c>
      <c r="D8137" s="14" t="n">
        <f aca="false">Summary!$B$5-B8137</f>
        <v>-30791.2952880345</v>
      </c>
      <c r="E8137" s="15" t="n">
        <f aca="false">B8137/Summary!$B$5-1</f>
        <v>0.307912952880345</v>
      </c>
    </row>
    <row r="8138" customFormat="false" ht="15" hidden="false" customHeight="false" outlineLevel="0" collapsed="false">
      <c r="A8138" s="0" t="n">
        <v>8137</v>
      </c>
      <c r="B8138" s="14" t="n">
        <v>107636.4089723</v>
      </c>
      <c r="C8138" s="15" t="n">
        <v>0.165260297195465</v>
      </c>
      <c r="D8138" s="14" t="n">
        <f aca="false">Summary!$B$5-B8138</f>
        <v>-7636.4089722995</v>
      </c>
      <c r="E8138" s="15" t="n">
        <f aca="false">B8138/Summary!$B$5-1</f>
        <v>0.0763640897229949</v>
      </c>
    </row>
    <row r="8139" customFormat="false" ht="15" hidden="false" customHeight="false" outlineLevel="0" collapsed="false">
      <c r="A8139" s="0" t="n">
        <v>8138</v>
      </c>
      <c r="B8139" s="14" t="n">
        <v>92664.9712481723</v>
      </c>
      <c r="C8139" s="15" t="n">
        <v>0.154581101758545</v>
      </c>
      <c r="D8139" s="14" t="n">
        <f aca="false">Summary!$B$5-B8139</f>
        <v>7335.02875182766</v>
      </c>
      <c r="E8139" s="15" t="n">
        <f aca="false">B8139/Summary!$B$5-1</f>
        <v>-0.0733502875182766</v>
      </c>
    </row>
    <row r="8140" customFormat="false" ht="15" hidden="false" customHeight="false" outlineLevel="0" collapsed="false">
      <c r="A8140" s="0" t="n">
        <v>8139</v>
      </c>
      <c r="B8140" s="14" t="n">
        <v>125054.232910425</v>
      </c>
      <c r="C8140" s="15" t="n">
        <v>0.0611732978445264</v>
      </c>
      <c r="D8140" s="14" t="n">
        <f aca="false">Summary!$B$5-B8140</f>
        <v>-25054.2329104246</v>
      </c>
      <c r="E8140" s="15" t="n">
        <f aca="false">B8140/Summary!$B$5-1</f>
        <v>0.250542329104246</v>
      </c>
    </row>
    <row r="8141" customFormat="false" ht="15" hidden="false" customHeight="false" outlineLevel="0" collapsed="false">
      <c r="A8141" s="0" t="n">
        <v>8140</v>
      </c>
      <c r="B8141" s="14" t="n">
        <v>102649.753019618</v>
      </c>
      <c r="C8141" s="15" t="n">
        <v>0.0824534174258956</v>
      </c>
      <c r="D8141" s="14" t="n">
        <f aca="false">Summary!$B$5-B8141</f>
        <v>-2649.7530196179</v>
      </c>
      <c r="E8141" s="15" t="n">
        <f aca="false">B8141/Summary!$B$5-1</f>
        <v>0.026497530196179</v>
      </c>
    </row>
    <row r="8142" customFormat="false" ht="15" hidden="false" customHeight="false" outlineLevel="0" collapsed="false">
      <c r="A8142" s="0" t="n">
        <v>8141</v>
      </c>
      <c r="B8142" s="14" t="n">
        <v>99999.517802455</v>
      </c>
      <c r="C8142" s="15" t="n">
        <v>0.0905118173141102</v>
      </c>
      <c r="D8142" s="14" t="n">
        <f aca="false">Summary!$B$5-B8142</f>
        <v>0.48219754503225</v>
      </c>
      <c r="E8142" s="15" t="n">
        <f aca="false">B8142/Summary!$B$5-1</f>
        <v>-4.82197545037533E-006</v>
      </c>
    </row>
    <row r="8143" customFormat="false" ht="15" hidden="false" customHeight="false" outlineLevel="0" collapsed="false">
      <c r="A8143" s="0" t="n">
        <v>8142</v>
      </c>
      <c r="B8143" s="14" t="n">
        <v>103360.712218097</v>
      </c>
      <c r="C8143" s="15" t="n">
        <v>0.112404770957432</v>
      </c>
      <c r="D8143" s="14" t="n">
        <f aca="false">Summary!$B$5-B8143</f>
        <v>-3360.7122180968</v>
      </c>
      <c r="E8143" s="15" t="n">
        <f aca="false">B8143/Summary!$B$5-1</f>
        <v>0.033607122180968</v>
      </c>
    </row>
    <row r="8144" customFormat="false" ht="15" hidden="false" customHeight="false" outlineLevel="0" collapsed="false">
      <c r="A8144" s="0" t="n">
        <v>8143</v>
      </c>
      <c r="B8144" s="14" t="n">
        <v>108612.231713623</v>
      </c>
      <c r="C8144" s="15" t="n">
        <v>0.13279392678762</v>
      </c>
      <c r="D8144" s="14" t="n">
        <f aca="false">Summary!$B$5-B8144</f>
        <v>-8612.23171362341</v>
      </c>
      <c r="E8144" s="15" t="n">
        <f aca="false">B8144/Summary!$B$5-1</f>
        <v>0.086122317136234</v>
      </c>
    </row>
    <row r="8145" customFormat="false" ht="15" hidden="false" customHeight="false" outlineLevel="0" collapsed="false">
      <c r="A8145" s="0" t="n">
        <v>8144</v>
      </c>
      <c r="B8145" s="14" t="n">
        <v>101110.321633999</v>
      </c>
      <c r="C8145" s="15" t="n">
        <v>0.0716448722979448</v>
      </c>
      <c r="D8145" s="14" t="n">
        <f aca="false">Summary!$B$5-B8145</f>
        <v>-1110.321633999</v>
      </c>
      <c r="E8145" s="15" t="n">
        <f aca="false">B8145/Summary!$B$5-1</f>
        <v>0.01110321633999</v>
      </c>
    </row>
    <row r="8146" customFormat="false" ht="15" hidden="false" customHeight="false" outlineLevel="0" collapsed="false">
      <c r="A8146" s="0" t="n">
        <v>8145</v>
      </c>
      <c r="B8146" s="14" t="n">
        <v>123707.868952814</v>
      </c>
      <c r="C8146" s="15" t="n">
        <v>0.0894553266454443</v>
      </c>
      <c r="D8146" s="14" t="n">
        <f aca="false">Summary!$B$5-B8146</f>
        <v>-23707.8689528138</v>
      </c>
      <c r="E8146" s="15" t="n">
        <f aca="false">B8146/Summary!$B$5-1</f>
        <v>0.237078689528138</v>
      </c>
    </row>
    <row r="8147" customFormat="false" ht="15" hidden="false" customHeight="false" outlineLevel="0" collapsed="false">
      <c r="A8147" s="0" t="n">
        <v>8146</v>
      </c>
      <c r="B8147" s="14" t="n">
        <v>95878.6394095304</v>
      </c>
      <c r="C8147" s="15" t="n">
        <v>0.141644536974215</v>
      </c>
      <c r="D8147" s="14" t="n">
        <f aca="false">Summary!$B$5-B8147</f>
        <v>4121.3605904696</v>
      </c>
      <c r="E8147" s="15" t="n">
        <f aca="false">B8147/Summary!$B$5-1</f>
        <v>-0.041213605904696</v>
      </c>
    </row>
    <row r="8148" customFormat="false" ht="15" hidden="false" customHeight="false" outlineLevel="0" collapsed="false">
      <c r="A8148" s="0" t="n">
        <v>8147</v>
      </c>
      <c r="B8148" s="14" t="n">
        <v>101628.352857689</v>
      </c>
      <c r="C8148" s="15" t="n">
        <v>0.111944479721461</v>
      </c>
      <c r="D8148" s="14" t="n">
        <f aca="false">Summary!$B$5-B8148</f>
        <v>-1628.3528576887</v>
      </c>
      <c r="E8148" s="15" t="n">
        <f aca="false">B8148/Summary!$B$5-1</f>
        <v>0.016283528576887</v>
      </c>
    </row>
    <row r="8149" customFormat="false" ht="15" hidden="false" customHeight="false" outlineLevel="0" collapsed="false">
      <c r="A8149" s="0" t="n">
        <v>8148</v>
      </c>
      <c r="B8149" s="14" t="n">
        <v>104143.772014737</v>
      </c>
      <c r="C8149" s="15" t="n">
        <v>0.0524869190581556</v>
      </c>
      <c r="D8149" s="14" t="n">
        <f aca="false">Summary!$B$5-B8149</f>
        <v>-4143.7720147369</v>
      </c>
      <c r="E8149" s="15" t="n">
        <f aca="false">B8149/Summary!$B$5-1</f>
        <v>0.041437720147369</v>
      </c>
    </row>
    <row r="8150" customFormat="false" ht="15" hidden="false" customHeight="false" outlineLevel="0" collapsed="false">
      <c r="A8150" s="0" t="n">
        <v>8149</v>
      </c>
      <c r="B8150" s="14" t="n">
        <v>113551.156973676</v>
      </c>
      <c r="C8150" s="15" t="n">
        <v>0.0635180586113643</v>
      </c>
      <c r="D8150" s="14" t="n">
        <f aca="false">Summary!$B$5-B8150</f>
        <v>-13551.156973676</v>
      </c>
      <c r="E8150" s="15" t="n">
        <f aca="false">B8150/Summary!$B$5-1</f>
        <v>0.13551156973676</v>
      </c>
    </row>
    <row r="8151" customFormat="false" ht="15" hidden="false" customHeight="false" outlineLevel="0" collapsed="false">
      <c r="A8151" s="0" t="n">
        <v>8150</v>
      </c>
      <c r="B8151" s="14" t="n">
        <v>97578.8762955682</v>
      </c>
      <c r="C8151" s="15" t="n">
        <v>0.084717961620281</v>
      </c>
      <c r="D8151" s="14" t="n">
        <f aca="false">Summary!$B$5-B8151</f>
        <v>2421.12370443178</v>
      </c>
      <c r="E8151" s="15" t="n">
        <f aca="false">B8151/Summary!$B$5-1</f>
        <v>-0.0242112370443178</v>
      </c>
    </row>
    <row r="8152" customFormat="false" ht="15" hidden="false" customHeight="false" outlineLevel="0" collapsed="false">
      <c r="A8152" s="0" t="n">
        <v>8151</v>
      </c>
      <c r="B8152" s="14" t="n">
        <v>122762.144960715</v>
      </c>
      <c r="C8152" s="15" t="n">
        <v>0.0661891597171582</v>
      </c>
      <c r="D8152" s="14" t="n">
        <f aca="false">Summary!$B$5-B8152</f>
        <v>-22762.1449607151</v>
      </c>
      <c r="E8152" s="15" t="n">
        <f aca="false">B8152/Summary!$B$5-1</f>
        <v>0.227621449607151</v>
      </c>
    </row>
    <row r="8153" customFormat="false" ht="15" hidden="false" customHeight="false" outlineLevel="0" collapsed="false">
      <c r="A8153" s="0" t="n">
        <v>8152</v>
      </c>
      <c r="B8153" s="14" t="n">
        <v>104047.574547595</v>
      </c>
      <c r="C8153" s="15" t="n">
        <v>0.0934986364128337</v>
      </c>
      <c r="D8153" s="14" t="n">
        <f aca="false">Summary!$B$5-B8153</f>
        <v>-4047.574547595</v>
      </c>
      <c r="E8153" s="15" t="n">
        <f aca="false">B8153/Summary!$B$5-1</f>
        <v>0.0404757454759499</v>
      </c>
    </row>
    <row r="8154" customFormat="false" ht="15" hidden="false" customHeight="false" outlineLevel="0" collapsed="false">
      <c r="A8154" s="0" t="n">
        <v>8153</v>
      </c>
      <c r="B8154" s="14" t="n">
        <v>103968.423190236</v>
      </c>
      <c r="C8154" s="15" t="n">
        <v>0.0876833833439474</v>
      </c>
      <c r="D8154" s="14" t="n">
        <f aca="false">Summary!$B$5-B8154</f>
        <v>-3968.42319023619</v>
      </c>
      <c r="E8154" s="15" t="n">
        <f aca="false">B8154/Summary!$B$5-1</f>
        <v>0.039684231902362</v>
      </c>
    </row>
    <row r="8155" customFormat="false" ht="15" hidden="false" customHeight="false" outlineLevel="0" collapsed="false">
      <c r="A8155" s="0" t="n">
        <v>8154</v>
      </c>
      <c r="B8155" s="14" t="n">
        <v>127988.232351707</v>
      </c>
      <c r="C8155" s="15" t="n">
        <v>0.0767596447709771</v>
      </c>
      <c r="D8155" s="14" t="n">
        <f aca="false">Summary!$B$5-B8155</f>
        <v>-27988.2323517066</v>
      </c>
      <c r="E8155" s="15" t="n">
        <f aca="false">B8155/Summary!$B$5-1</f>
        <v>0.279882323517066</v>
      </c>
    </row>
    <row r="8156" customFormat="false" ht="15" hidden="false" customHeight="false" outlineLevel="0" collapsed="false">
      <c r="A8156" s="0" t="n">
        <v>8155</v>
      </c>
      <c r="B8156" s="14" t="n">
        <v>106311.246421838</v>
      </c>
      <c r="C8156" s="15" t="n">
        <v>0.128505556671401</v>
      </c>
      <c r="D8156" s="14" t="n">
        <f aca="false">Summary!$B$5-B8156</f>
        <v>-6311.2464218375</v>
      </c>
      <c r="E8156" s="15" t="n">
        <f aca="false">B8156/Summary!$B$5-1</f>
        <v>0.0631124642183749</v>
      </c>
    </row>
    <row r="8157" customFormat="false" ht="15" hidden="false" customHeight="false" outlineLevel="0" collapsed="false">
      <c r="A8157" s="0" t="n">
        <v>8156</v>
      </c>
      <c r="B8157" s="14" t="n">
        <v>102462.14209985</v>
      </c>
      <c r="C8157" s="15" t="n">
        <v>0.10400824016258</v>
      </c>
      <c r="D8157" s="14" t="n">
        <f aca="false">Summary!$B$5-B8157</f>
        <v>-2462.1420998504</v>
      </c>
      <c r="E8157" s="15" t="n">
        <f aca="false">B8157/Summary!$B$5-1</f>
        <v>0.0246214209985041</v>
      </c>
    </row>
    <row r="8158" customFormat="false" ht="15" hidden="false" customHeight="false" outlineLevel="0" collapsed="false">
      <c r="A8158" s="0" t="n">
        <v>8157</v>
      </c>
      <c r="B8158" s="14" t="n">
        <v>122146.080045498</v>
      </c>
      <c r="C8158" s="15" t="n">
        <v>0.0716601125463358</v>
      </c>
      <c r="D8158" s="14" t="n">
        <f aca="false">Summary!$B$5-B8158</f>
        <v>-22146.080045498</v>
      </c>
      <c r="E8158" s="15" t="n">
        <f aca="false">B8158/Summary!$B$5-1</f>
        <v>0.22146080045498</v>
      </c>
    </row>
    <row r="8159" customFormat="false" ht="15" hidden="false" customHeight="false" outlineLevel="0" collapsed="false">
      <c r="A8159" s="0" t="n">
        <v>8158</v>
      </c>
      <c r="B8159" s="14" t="n">
        <v>105980.13654157</v>
      </c>
      <c r="C8159" s="15" t="n">
        <v>0.0858031599590692</v>
      </c>
      <c r="D8159" s="14" t="n">
        <f aca="false">Summary!$B$5-B8159</f>
        <v>-5980.13654157041</v>
      </c>
      <c r="E8159" s="15" t="n">
        <f aca="false">B8159/Summary!$B$5-1</f>
        <v>0.0598013654157041</v>
      </c>
    </row>
    <row r="8160" customFormat="false" ht="15" hidden="false" customHeight="false" outlineLevel="0" collapsed="false">
      <c r="A8160" s="0" t="n">
        <v>8159</v>
      </c>
      <c r="B8160" s="14" t="n">
        <v>152884.334856219</v>
      </c>
      <c r="C8160" s="15" t="n">
        <v>0.0624026747847668</v>
      </c>
      <c r="D8160" s="14" t="n">
        <f aca="false">Summary!$B$5-B8160</f>
        <v>-52884.334856219</v>
      </c>
      <c r="E8160" s="15" t="n">
        <f aca="false">B8160/Summary!$B$5-1</f>
        <v>0.52884334856219</v>
      </c>
    </row>
    <row r="8161" customFormat="false" ht="15" hidden="false" customHeight="false" outlineLevel="0" collapsed="false">
      <c r="A8161" s="0" t="n">
        <v>8160</v>
      </c>
      <c r="B8161" s="14" t="n">
        <v>108301.541592431</v>
      </c>
      <c r="C8161" s="15" t="n">
        <v>0.0859180265234193</v>
      </c>
      <c r="D8161" s="14" t="n">
        <f aca="false">Summary!$B$5-B8161</f>
        <v>-8301.5415924308</v>
      </c>
      <c r="E8161" s="15" t="n">
        <f aca="false">B8161/Summary!$B$5-1</f>
        <v>0.0830154159243079</v>
      </c>
    </row>
    <row r="8162" customFormat="false" ht="15" hidden="false" customHeight="false" outlineLevel="0" collapsed="false">
      <c r="A8162" s="0" t="n">
        <v>8161</v>
      </c>
      <c r="B8162" s="14" t="n">
        <v>106978.179331589</v>
      </c>
      <c r="C8162" s="15" t="n">
        <v>0.0946266556474992</v>
      </c>
      <c r="D8162" s="14" t="n">
        <f aca="false">Summary!$B$5-B8162</f>
        <v>-6978.1793315891</v>
      </c>
      <c r="E8162" s="15" t="n">
        <f aca="false">B8162/Summary!$B$5-1</f>
        <v>0.0697817933158911</v>
      </c>
    </row>
    <row r="8163" customFormat="false" ht="15" hidden="false" customHeight="false" outlineLevel="0" collapsed="false">
      <c r="A8163" s="0" t="n">
        <v>8162</v>
      </c>
      <c r="B8163" s="14" t="n">
        <v>100151.57622939</v>
      </c>
      <c r="C8163" s="15" t="n">
        <v>0.0722176216952793</v>
      </c>
      <c r="D8163" s="14" t="n">
        <f aca="false">Summary!$B$5-B8163</f>
        <v>-151.576229390004</v>
      </c>
      <c r="E8163" s="15" t="n">
        <f aca="false">B8163/Summary!$B$5-1</f>
        <v>0.00151576229389994</v>
      </c>
    </row>
    <row r="8164" customFormat="false" ht="15" hidden="false" customHeight="false" outlineLevel="0" collapsed="false">
      <c r="A8164" s="0" t="n">
        <v>8163</v>
      </c>
      <c r="B8164" s="14" t="n">
        <v>98478.2536928527</v>
      </c>
      <c r="C8164" s="15" t="n">
        <v>0.0669347240657864</v>
      </c>
      <c r="D8164" s="14" t="n">
        <f aca="false">Summary!$B$5-B8164</f>
        <v>1521.74630714732</v>
      </c>
      <c r="E8164" s="15" t="n">
        <f aca="false">B8164/Summary!$B$5-1</f>
        <v>-0.0152174630714732</v>
      </c>
    </row>
    <row r="8165" customFormat="false" ht="15" hidden="false" customHeight="false" outlineLevel="0" collapsed="false">
      <c r="A8165" s="0" t="n">
        <v>8164</v>
      </c>
      <c r="B8165" s="14" t="n">
        <v>119470.437859559</v>
      </c>
      <c r="C8165" s="15" t="n">
        <v>0.0854967529843526</v>
      </c>
      <c r="D8165" s="14" t="n">
        <f aca="false">Summary!$B$5-B8165</f>
        <v>-19470.4378595586</v>
      </c>
      <c r="E8165" s="15" t="n">
        <f aca="false">B8165/Summary!$B$5-1</f>
        <v>0.194704378595586</v>
      </c>
    </row>
    <row r="8166" customFormat="false" ht="15" hidden="false" customHeight="false" outlineLevel="0" collapsed="false">
      <c r="A8166" s="0" t="n">
        <v>8165</v>
      </c>
      <c r="B8166" s="14" t="n">
        <v>100782.096267293</v>
      </c>
      <c r="C8166" s="15" t="n">
        <v>0.086726796743422</v>
      </c>
      <c r="D8166" s="14" t="n">
        <f aca="false">Summary!$B$5-B8166</f>
        <v>-782.0962672928</v>
      </c>
      <c r="E8166" s="15" t="n">
        <f aca="false">B8166/Summary!$B$5-1</f>
        <v>0.00782096267292798</v>
      </c>
    </row>
    <row r="8167" customFormat="false" ht="15" hidden="false" customHeight="false" outlineLevel="0" collapsed="false">
      <c r="A8167" s="0" t="n">
        <v>8166</v>
      </c>
      <c r="B8167" s="14" t="n">
        <v>131776.367056407</v>
      </c>
      <c r="C8167" s="15" t="n">
        <v>0.0547554297286622</v>
      </c>
      <c r="D8167" s="14" t="n">
        <f aca="false">Summary!$B$5-B8167</f>
        <v>-31776.3670564068</v>
      </c>
      <c r="E8167" s="15" t="n">
        <f aca="false">B8167/Summary!$B$5-1</f>
        <v>0.317763670564068</v>
      </c>
    </row>
    <row r="8168" customFormat="false" ht="15" hidden="false" customHeight="false" outlineLevel="0" collapsed="false">
      <c r="A8168" s="0" t="n">
        <v>8167</v>
      </c>
      <c r="B8168" s="14" t="n">
        <v>154226.228721339</v>
      </c>
      <c r="C8168" s="15" t="n">
        <v>0.0594473295521952</v>
      </c>
      <c r="D8168" s="14" t="n">
        <f aca="false">Summary!$B$5-B8168</f>
        <v>-54226.2287213393</v>
      </c>
      <c r="E8168" s="15" t="n">
        <f aca="false">B8168/Summary!$B$5-1</f>
        <v>0.542262287213393</v>
      </c>
    </row>
    <row r="8169" customFormat="false" ht="15" hidden="false" customHeight="false" outlineLevel="0" collapsed="false">
      <c r="A8169" s="0" t="n">
        <v>8168</v>
      </c>
      <c r="B8169" s="14" t="n">
        <v>103526.867458762</v>
      </c>
      <c r="C8169" s="15" t="n">
        <v>0.0766801762577594</v>
      </c>
      <c r="D8169" s="14" t="n">
        <f aca="false">Summary!$B$5-B8169</f>
        <v>-3526.8674587616</v>
      </c>
      <c r="E8169" s="15" t="n">
        <f aca="false">B8169/Summary!$B$5-1</f>
        <v>0.0352686745876161</v>
      </c>
    </row>
    <row r="8170" customFormat="false" ht="15" hidden="false" customHeight="false" outlineLevel="0" collapsed="false">
      <c r="A8170" s="0" t="n">
        <v>8169</v>
      </c>
      <c r="B8170" s="14" t="n">
        <v>91061.6804736759</v>
      </c>
      <c r="C8170" s="15" t="n">
        <v>0.160749397227416</v>
      </c>
      <c r="D8170" s="14" t="n">
        <f aca="false">Summary!$B$5-B8170</f>
        <v>8938.31952632408</v>
      </c>
      <c r="E8170" s="15" t="n">
        <f aca="false">B8170/Summary!$B$5-1</f>
        <v>-0.0893831952632408</v>
      </c>
    </row>
    <row r="8171" customFormat="false" ht="15" hidden="false" customHeight="false" outlineLevel="0" collapsed="false">
      <c r="A8171" s="0" t="n">
        <v>8170</v>
      </c>
      <c r="B8171" s="14" t="n">
        <v>103422.781476755</v>
      </c>
      <c r="C8171" s="15" t="n">
        <v>0.145406603788435</v>
      </c>
      <c r="D8171" s="14" t="n">
        <f aca="false">Summary!$B$5-B8171</f>
        <v>-3422.78147675459</v>
      </c>
      <c r="E8171" s="15" t="n">
        <f aca="false">B8171/Summary!$B$5-1</f>
        <v>0.0342278147675459</v>
      </c>
    </row>
    <row r="8172" customFormat="false" ht="15" hidden="false" customHeight="false" outlineLevel="0" collapsed="false">
      <c r="A8172" s="0" t="n">
        <v>8171</v>
      </c>
      <c r="B8172" s="14" t="n">
        <v>126573.470739102</v>
      </c>
      <c r="C8172" s="15" t="n">
        <v>0.0538217112219058</v>
      </c>
      <c r="D8172" s="14" t="n">
        <f aca="false">Summary!$B$5-B8172</f>
        <v>-26573.4707391018</v>
      </c>
      <c r="E8172" s="15" t="n">
        <f aca="false">B8172/Summary!$B$5-1</f>
        <v>0.265734707391018</v>
      </c>
    </row>
    <row r="8173" customFormat="false" ht="15" hidden="false" customHeight="false" outlineLevel="0" collapsed="false">
      <c r="A8173" s="0" t="n">
        <v>8172</v>
      </c>
      <c r="B8173" s="14" t="n">
        <v>123386.010242057</v>
      </c>
      <c r="C8173" s="15" t="n">
        <v>0.0494328871506439</v>
      </c>
      <c r="D8173" s="14" t="n">
        <f aca="false">Summary!$B$5-B8173</f>
        <v>-23386.0102420573</v>
      </c>
      <c r="E8173" s="15" t="n">
        <f aca="false">B8173/Summary!$B$5-1</f>
        <v>0.233860102420573</v>
      </c>
    </row>
    <row r="8174" customFormat="false" ht="15" hidden="false" customHeight="false" outlineLevel="0" collapsed="false">
      <c r="A8174" s="0" t="n">
        <v>8173</v>
      </c>
      <c r="B8174" s="14" t="n">
        <v>84066.2051602455</v>
      </c>
      <c r="C8174" s="15" t="n">
        <v>0.174446643868791</v>
      </c>
      <c r="D8174" s="14" t="n">
        <f aca="false">Summary!$B$5-B8174</f>
        <v>15933.7948397545</v>
      </c>
      <c r="E8174" s="15" t="n">
        <f aca="false">B8174/Summary!$B$5-1</f>
        <v>-0.159337948397545</v>
      </c>
    </row>
    <row r="8175" customFormat="false" ht="15" hidden="false" customHeight="false" outlineLevel="0" collapsed="false">
      <c r="A8175" s="0" t="n">
        <v>8174</v>
      </c>
      <c r="B8175" s="14" t="n">
        <v>101216.922237352</v>
      </c>
      <c r="C8175" s="15" t="n">
        <v>0.0954185094544008</v>
      </c>
      <c r="D8175" s="14" t="n">
        <f aca="false">Summary!$B$5-B8175</f>
        <v>-1216.922237352</v>
      </c>
      <c r="E8175" s="15" t="n">
        <f aca="false">B8175/Summary!$B$5-1</f>
        <v>0.0121692223735199</v>
      </c>
    </row>
    <row r="8176" customFormat="false" ht="15" hidden="false" customHeight="false" outlineLevel="0" collapsed="false">
      <c r="A8176" s="0" t="n">
        <v>8175</v>
      </c>
      <c r="B8176" s="14" t="n">
        <v>101811.442028182</v>
      </c>
      <c r="C8176" s="15" t="n">
        <v>0.135200813592414</v>
      </c>
      <c r="D8176" s="14" t="n">
        <f aca="false">Summary!$B$5-B8176</f>
        <v>-1811.4420281822</v>
      </c>
      <c r="E8176" s="15" t="n">
        <f aca="false">B8176/Summary!$B$5-1</f>
        <v>0.018114420281822</v>
      </c>
    </row>
    <row r="8177" customFormat="false" ht="15" hidden="false" customHeight="false" outlineLevel="0" collapsed="false">
      <c r="A8177" s="0" t="n">
        <v>8176</v>
      </c>
      <c r="B8177" s="14" t="n">
        <v>86374.7597529439</v>
      </c>
      <c r="C8177" s="15" t="n">
        <v>0.169203341624167</v>
      </c>
      <c r="D8177" s="14" t="n">
        <f aca="false">Summary!$B$5-B8177</f>
        <v>13625.2402470561</v>
      </c>
      <c r="E8177" s="15" t="n">
        <f aca="false">B8177/Summary!$B$5-1</f>
        <v>-0.136252402470561</v>
      </c>
    </row>
    <row r="8178" customFormat="false" ht="15" hidden="false" customHeight="false" outlineLevel="0" collapsed="false">
      <c r="A8178" s="0" t="n">
        <v>8177</v>
      </c>
      <c r="B8178" s="14" t="n">
        <v>106544.631838929</v>
      </c>
      <c r="C8178" s="15" t="n">
        <v>0.0820098862689764</v>
      </c>
      <c r="D8178" s="14" t="n">
        <f aca="false">Summary!$B$5-B8178</f>
        <v>-6544.6318389287</v>
      </c>
      <c r="E8178" s="15" t="n">
        <f aca="false">B8178/Summary!$B$5-1</f>
        <v>0.0654463183892871</v>
      </c>
    </row>
    <row r="8179" customFormat="false" ht="15" hidden="false" customHeight="false" outlineLevel="0" collapsed="false">
      <c r="A8179" s="0" t="n">
        <v>8178</v>
      </c>
      <c r="B8179" s="14" t="n">
        <v>109598.337595806</v>
      </c>
      <c r="C8179" s="15" t="n">
        <v>0.107337805964585</v>
      </c>
      <c r="D8179" s="14" t="n">
        <f aca="false">Summary!$B$5-B8179</f>
        <v>-9598.3375958055</v>
      </c>
      <c r="E8179" s="15" t="n">
        <f aca="false">B8179/Summary!$B$5-1</f>
        <v>0.0959833759580551</v>
      </c>
    </row>
    <row r="8180" customFormat="false" ht="15" hidden="false" customHeight="false" outlineLevel="0" collapsed="false">
      <c r="A8180" s="0" t="n">
        <v>8179</v>
      </c>
      <c r="B8180" s="14" t="n">
        <v>121587.29595656</v>
      </c>
      <c r="C8180" s="15" t="n">
        <v>0.0608905108271347</v>
      </c>
      <c r="D8180" s="14" t="n">
        <f aca="false">Summary!$B$5-B8180</f>
        <v>-21587.2959565595</v>
      </c>
      <c r="E8180" s="15" t="n">
        <f aca="false">B8180/Summary!$B$5-1</f>
        <v>0.215872959565595</v>
      </c>
    </row>
    <row r="8181" customFormat="false" ht="15" hidden="false" customHeight="false" outlineLevel="0" collapsed="false">
      <c r="A8181" s="0" t="n">
        <v>8180</v>
      </c>
      <c r="B8181" s="14" t="n">
        <v>121329.572761942</v>
      </c>
      <c r="C8181" s="15" t="n">
        <v>0.0612085528085697</v>
      </c>
      <c r="D8181" s="14" t="n">
        <f aca="false">Summary!$B$5-B8181</f>
        <v>-21329.5727619416</v>
      </c>
      <c r="E8181" s="15" t="n">
        <f aca="false">B8181/Summary!$B$5-1</f>
        <v>0.213295727619416</v>
      </c>
    </row>
    <row r="8182" customFormat="false" ht="15" hidden="false" customHeight="false" outlineLevel="0" collapsed="false">
      <c r="A8182" s="0" t="n">
        <v>8181</v>
      </c>
      <c r="B8182" s="14" t="n">
        <v>103264.625245305</v>
      </c>
      <c r="C8182" s="15" t="n">
        <v>0.125594446022627</v>
      </c>
      <c r="D8182" s="14" t="n">
        <f aca="false">Summary!$B$5-B8182</f>
        <v>-3264.625245305</v>
      </c>
      <c r="E8182" s="15" t="n">
        <f aca="false">B8182/Summary!$B$5-1</f>
        <v>0.03264625245305</v>
      </c>
    </row>
    <row r="8183" customFormat="false" ht="15" hidden="false" customHeight="false" outlineLevel="0" collapsed="false">
      <c r="A8183" s="0" t="n">
        <v>8182</v>
      </c>
      <c r="B8183" s="14" t="n">
        <v>120312.921991717</v>
      </c>
      <c r="C8183" s="15" t="n">
        <v>0.0737611223900053</v>
      </c>
      <c r="D8183" s="14" t="n">
        <f aca="false">Summary!$B$5-B8183</f>
        <v>-20312.9219917172</v>
      </c>
      <c r="E8183" s="15" t="n">
        <f aca="false">B8183/Summary!$B$5-1</f>
        <v>0.203129219917172</v>
      </c>
    </row>
    <row r="8184" customFormat="false" ht="15" hidden="false" customHeight="false" outlineLevel="0" collapsed="false">
      <c r="A8184" s="0" t="n">
        <v>8183</v>
      </c>
      <c r="B8184" s="14" t="n">
        <v>101438.476400729</v>
      </c>
      <c r="C8184" s="15" t="n">
        <v>0.0786398014387768</v>
      </c>
      <c r="D8184" s="14" t="n">
        <f aca="false">Summary!$B$5-B8184</f>
        <v>-1438.4764007293</v>
      </c>
      <c r="E8184" s="15" t="n">
        <f aca="false">B8184/Summary!$B$5-1</f>
        <v>0.0143847640072929</v>
      </c>
    </row>
    <row r="8185" customFormat="false" ht="15" hidden="false" customHeight="false" outlineLevel="0" collapsed="false">
      <c r="A8185" s="0" t="n">
        <v>8184</v>
      </c>
      <c r="B8185" s="14" t="n">
        <v>96108.6196354582</v>
      </c>
      <c r="C8185" s="15" t="n">
        <v>0.139929732653872</v>
      </c>
      <c r="D8185" s="14" t="n">
        <f aca="false">Summary!$B$5-B8185</f>
        <v>3891.38036454181</v>
      </c>
      <c r="E8185" s="15" t="n">
        <f aca="false">B8185/Summary!$B$5-1</f>
        <v>-0.0389138036454181</v>
      </c>
    </row>
    <row r="8186" customFormat="false" ht="15" hidden="false" customHeight="false" outlineLevel="0" collapsed="false">
      <c r="A8186" s="0" t="n">
        <v>8185</v>
      </c>
      <c r="B8186" s="14" t="n">
        <v>124337.652846593</v>
      </c>
      <c r="C8186" s="15" t="n">
        <v>0.0979781824825224</v>
      </c>
      <c r="D8186" s="14" t="n">
        <f aca="false">Summary!$B$5-B8186</f>
        <v>-24337.6528465925</v>
      </c>
      <c r="E8186" s="15" t="n">
        <f aca="false">B8186/Summary!$B$5-1</f>
        <v>0.243376528465925</v>
      </c>
    </row>
    <row r="8187" customFormat="false" ht="15" hidden="false" customHeight="false" outlineLevel="0" collapsed="false">
      <c r="A8187" s="0" t="n">
        <v>8186</v>
      </c>
      <c r="B8187" s="14" t="n">
        <v>125193.689884901</v>
      </c>
      <c r="C8187" s="15" t="n">
        <v>0.0484096040023573</v>
      </c>
      <c r="D8187" s="14" t="n">
        <f aca="false">Summary!$B$5-B8187</f>
        <v>-25193.6898849008</v>
      </c>
      <c r="E8187" s="15" t="n">
        <f aca="false">B8187/Summary!$B$5-1</f>
        <v>0.251936898849008</v>
      </c>
    </row>
    <row r="8188" customFormat="false" ht="15" hidden="false" customHeight="false" outlineLevel="0" collapsed="false">
      <c r="A8188" s="0" t="n">
        <v>8187</v>
      </c>
      <c r="B8188" s="14" t="n">
        <v>115576.18248479</v>
      </c>
      <c r="C8188" s="15" t="n">
        <v>0.0890996781984699</v>
      </c>
      <c r="D8188" s="14" t="n">
        <f aca="false">Summary!$B$5-B8188</f>
        <v>-15576.18248479</v>
      </c>
      <c r="E8188" s="15" t="n">
        <f aca="false">B8188/Summary!$B$5-1</f>
        <v>0.1557618248479</v>
      </c>
    </row>
    <row r="8189" customFormat="false" ht="15" hidden="false" customHeight="false" outlineLevel="0" collapsed="false">
      <c r="A8189" s="0" t="n">
        <v>8188</v>
      </c>
      <c r="B8189" s="14" t="n">
        <v>106914.817317252</v>
      </c>
      <c r="C8189" s="15" t="n">
        <v>0.0991844789754252</v>
      </c>
      <c r="D8189" s="14" t="n">
        <f aca="false">Summary!$B$5-B8189</f>
        <v>-6914.8173172518</v>
      </c>
      <c r="E8189" s="15" t="n">
        <f aca="false">B8189/Summary!$B$5-1</f>
        <v>0.0691481731725181</v>
      </c>
    </row>
    <row r="8190" customFormat="false" ht="15" hidden="false" customHeight="false" outlineLevel="0" collapsed="false">
      <c r="A8190" s="0" t="n">
        <v>8189</v>
      </c>
      <c r="B8190" s="14" t="n">
        <v>104905.031333829</v>
      </c>
      <c r="C8190" s="15" t="n">
        <v>0.0970897567104543</v>
      </c>
      <c r="D8190" s="14" t="n">
        <f aca="false">Summary!$B$5-B8190</f>
        <v>-4905.03133382861</v>
      </c>
      <c r="E8190" s="15" t="n">
        <f aca="false">B8190/Summary!$B$5-1</f>
        <v>0.049050313338286</v>
      </c>
    </row>
    <row r="8191" customFormat="false" ht="15" hidden="false" customHeight="false" outlineLevel="0" collapsed="false">
      <c r="A8191" s="0" t="n">
        <v>8190</v>
      </c>
      <c r="B8191" s="14" t="n">
        <v>123585.525924592</v>
      </c>
      <c r="C8191" s="15" t="n">
        <v>0.0875293967395148</v>
      </c>
      <c r="D8191" s="14" t="n">
        <f aca="false">Summary!$B$5-B8191</f>
        <v>-23585.5259245916</v>
      </c>
      <c r="E8191" s="15" t="n">
        <f aca="false">B8191/Summary!$B$5-1</f>
        <v>0.235855259245916</v>
      </c>
    </row>
    <row r="8192" customFormat="false" ht="15" hidden="false" customHeight="false" outlineLevel="0" collapsed="false">
      <c r="A8192" s="0" t="n">
        <v>8191</v>
      </c>
      <c r="B8192" s="14" t="n">
        <v>107225.016272039</v>
      </c>
      <c r="C8192" s="15" t="n">
        <v>0.0730912959872067</v>
      </c>
      <c r="D8192" s="14" t="n">
        <f aca="false">Summary!$B$5-B8192</f>
        <v>-7225.01627203891</v>
      </c>
      <c r="E8192" s="15" t="n">
        <f aca="false">B8192/Summary!$B$5-1</f>
        <v>0.0722501627203891</v>
      </c>
    </row>
    <row r="8193" customFormat="false" ht="15" hidden="false" customHeight="false" outlineLevel="0" collapsed="false">
      <c r="A8193" s="0" t="n">
        <v>8192</v>
      </c>
      <c r="B8193" s="14" t="n">
        <v>129805.923563232</v>
      </c>
      <c r="C8193" s="15" t="n">
        <v>0.0575997309523771</v>
      </c>
      <c r="D8193" s="14" t="n">
        <f aca="false">Summary!$B$5-B8193</f>
        <v>-29805.9235632324</v>
      </c>
      <c r="E8193" s="15" t="n">
        <f aca="false">B8193/Summary!$B$5-1</f>
        <v>0.298059235632324</v>
      </c>
    </row>
    <row r="8194" customFormat="false" ht="15" hidden="false" customHeight="false" outlineLevel="0" collapsed="false">
      <c r="A8194" s="0" t="n">
        <v>8193</v>
      </c>
      <c r="B8194" s="14" t="n">
        <v>84385.3161762034</v>
      </c>
      <c r="C8194" s="15" t="n">
        <v>0.221312296675361</v>
      </c>
      <c r="D8194" s="14" t="n">
        <f aca="false">Summary!$B$5-B8194</f>
        <v>15614.6838237966</v>
      </c>
      <c r="E8194" s="15" t="n">
        <f aca="false">B8194/Summary!$B$5-1</f>
        <v>-0.156146838237966</v>
      </c>
    </row>
    <row r="8195" customFormat="false" ht="15" hidden="false" customHeight="false" outlineLevel="0" collapsed="false">
      <c r="A8195" s="0" t="n">
        <v>8194</v>
      </c>
      <c r="B8195" s="14" t="n">
        <v>114321.875202247</v>
      </c>
      <c r="C8195" s="15" t="n">
        <v>0.0874812105879524</v>
      </c>
      <c r="D8195" s="14" t="n">
        <f aca="false">Summary!$B$5-B8195</f>
        <v>-14321.8752022468</v>
      </c>
      <c r="E8195" s="15" t="n">
        <f aca="false">B8195/Summary!$B$5-1</f>
        <v>0.143218752022468</v>
      </c>
    </row>
    <row r="8196" customFormat="false" ht="15" hidden="false" customHeight="false" outlineLevel="0" collapsed="false">
      <c r="A8196" s="0" t="n">
        <v>8195</v>
      </c>
      <c r="B8196" s="14" t="n">
        <v>118660.587597319</v>
      </c>
      <c r="C8196" s="15" t="n">
        <v>0.0712784955970912</v>
      </c>
      <c r="D8196" s="14" t="n">
        <f aca="false">Summary!$B$5-B8196</f>
        <v>-18660.5875973185</v>
      </c>
      <c r="E8196" s="15" t="n">
        <f aca="false">B8196/Summary!$B$5-1</f>
        <v>0.186605875973185</v>
      </c>
    </row>
    <row r="8197" customFormat="false" ht="15" hidden="false" customHeight="false" outlineLevel="0" collapsed="false">
      <c r="A8197" s="0" t="n">
        <v>8196</v>
      </c>
      <c r="B8197" s="14" t="n">
        <v>114372.981133224</v>
      </c>
      <c r="C8197" s="15" t="n">
        <v>0.142426473441423</v>
      </c>
      <c r="D8197" s="14" t="n">
        <f aca="false">Summary!$B$5-B8197</f>
        <v>-14372.9811332236</v>
      </c>
      <c r="E8197" s="15" t="n">
        <f aca="false">B8197/Summary!$B$5-1</f>
        <v>0.143729811332236</v>
      </c>
    </row>
    <row r="8198" customFormat="false" ht="15" hidden="false" customHeight="false" outlineLevel="0" collapsed="false">
      <c r="A8198" s="0" t="n">
        <v>8197</v>
      </c>
      <c r="B8198" s="14" t="n">
        <v>100464.041173998</v>
      </c>
      <c r="C8198" s="15" t="n">
        <v>0.0738158051725717</v>
      </c>
      <c r="D8198" s="14" t="n">
        <f aca="false">Summary!$B$5-B8198</f>
        <v>-464.041173998005</v>
      </c>
      <c r="E8198" s="15" t="n">
        <f aca="false">B8198/Summary!$B$5-1</f>
        <v>0.00464041173998009</v>
      </c>
    </row>
    <row r="8199" customFormat="false" ht="15" hidden="false" customHeight="false" outlineLevel="0" collapsed="false">
      <c r="A8199" s="0" t="n">
        <v>8198</v>
      </c>
      <c r="B8199" s="14" t="n">
        <v>99968.2442643915</v>
      </c>
      <c r="C8199" s="15" t="n">
        <v>0.0793878485261029</v>
      </c>
      <c r="D8199" s="14" t="n">
        <f aca="false">Summary!$B$5-B8199</f>
        <v>31.7557356085163</v>
      </c>
      <c r="E8199" s="15" t="n">
        <f aca="false">B8199/Summary!$B$5-1</f>
        <v>-0.000317557356085185</v>
      </c>
    </row>
    <row r="8200" customFormat="false" ht="15" hidden="false" customHeight="false" outlineLevel="0" collapsed="false">
      <c r="A8200" s="0" t="n">
        <v>8199</v>
      </c>
      <c r="B8200" s="14" t="n">
        <v>86482.3616487673</v>
      </c>
      <c r="C8200" s="15" t="n">
        <v>0.1683660253682</v>
      </c>
      <c r="D8200" s="14" t="n">
        <f aca="false">Summary!$B$5-B8200</f>
        <v>13517.6383512327</v>
      </c>
      <c r="E8200" s="15" t="n">
        <f aca="false">B8200/Summary!$B$5-1</f>
        <v>-0.135176383512327</v>
      </c>
    </row>
    <row r="8201" customFormat="false" ht="15" hidden="false" customHeight="false" outlineLevel="0" collapsed="false">
      <c r="A8201" s="0" t="n">
        <v>8200</v>
      </c>
      <c r="B8201" s="14" t="n">
        <v>116155.427909848</v>
      </c>
      <c r="C8201" s="15" t="n">
        <v>0.101151408047116</v>
      </c>
      <c r="D8201" s="14" t="n">
        <f aca="false">Summary!$B$5-B8201</f>
        <v>-16155.4279098483</v>
      </c>
      <c r="E8201" s="15" t="n">
        <f aca="false">B8201/Summary!$B$5-1</f>
        <v>0.161554279098483</v>
      </c>
    </row>
    <row r="8202" customFormat="false" ht="15" hidden="false" customHeight="false" outlineLevel="0" collapsed="false">
      <c r="A8202" s="0" t="n">
        <v>8201</v>
      </c>
      <c r="B8202" s="14" t="n">
        <v>109453.053856138</v>
      </c>
      <c r="C8202" s="15" t="n">
        <v>0.0854854475876005</v>
      </c>
      <c r="D8202" s="14" t="n">
        <f aca="false">Summary!$B$5-B8202</f>
        <v>-9453.0538561382</v>
      </c>
      <c r="E8202" s="15" t="n">
        <f aca="false">B8202/Summary!$B$5-1</f>
        <v>0.0945305385613819</v>
      </c>
    </row>
    <row r="8203" customFormat="false" ht="15" hidden="false" customHeight="false" outlineLevel="0" collapsed="false">
      <c r="A8203" s="0" t="n">
        <v>8202</v>
      </c>
      <c r="B8203" s="14" t="n">
        <v>109464.044620819</v>
      </c>
      <c r="C8203" s="15" t="n">
        <v>0.104395613248302</v>
      </c>
      <c r="D8203" s="14" t="n">
        <f aca="false">Summary!$B$5-B8203</f>
        <v>-9464.0446208193</v>
      </c>
      <c r="E8203" s="15" t="n">
        <f aca="false">B8203/Summary!$B$5-1</f>
        <v>0.0946404462081931</v>
      </c>
    </row>
    <row r="8204" customFormat="false" ht="15" hidden="false" customHeight="false" outlineLevel="0" collapsed="false">
      <c r="A8204" s="0" t="n">
        <v>8203</v>
      </c>
      <c r="B8204" s="14" t="n">
        <v>103420.212479515</v>
      </c>
      <c r="C8204" s="15" t="n">
        <v>0.0908264131261244</v>
      </c>
      <c r="D8204" s="14" t="n">
        <f aca="false">Summary!$B$5-B8204</f>
        <v>-3420.2124795149</v>
      </c>
      <c r="E8204" s="15" t="n">
        <f aca="false">B8204/Summary!$B$5-1</f>
        <v>0.034202124795149</v>
      </c>
    </row>
    <row r="8205" customFormat="false" ht="15" hidden="false" customHeight="false" outlineLevel="0" collapsed="false">
      <c r="A8205" s="0" t="n">
        <v>8204</v>
      </c>
      <c r="B8205" s="14" t="n">
        <v>125514.332121101</v>
      </c>
      <c r="C8205" s="15" t="n">
        <v>0.0676431756263434</v>
      </c>
      <c r="D8205" s="14" t="n">
        <f aca="false">Summary!$B$5-B8205</f>
        <v>-25514.3321211007</v>
      </c>
      <c r="E8205" s="15" t="n">
        <f aca="false">B8205/Summary!$B$5-1</f>
        <v>0.255143321211007</v>
      </c>
    </row>
    <row r="8206" customFormat="false" ht="15" hidden="false" customHeight="false" outlineLevel="0" collapsed="false">
      <c r="A8206" s="0" t="n">
        <v>8205</v>
      </c>
      <c r="B8206" s="14" t="n">
        <v>114991.48764045</v>
      </c>
      <c r="C8206" s="15" t="n">
        <v>0.0762675854717997</v>
      </c>
      <c r="D8206" s="14" t="n">
        <f aca="false">Summary!$B$5-B8206</f>
        <v>-14991.4876404503</v>
      </c>
      <c r="E8206" s="15" t="n">
        <f aca="false">B8206/Summary!$B$5-1</f>
        <v>0.149914876404503</v>
      </c>
    </row>
    <row r="8207" customFormat="false" ht="15" hidden="false" customHeight="false" outlineLevel="0" collapsed="false">
      <c r="A8207" s="0" t="n">
        <v>8206</v>
      </c>
      <c r="B8207" s="14" t="n">
        <v>95380.8489938735</v>
      </c>
      <c r="C8207" s="15" t="n">
        <v>0.148651488060989</v>
      </c>
      <c r="D8207" s="14" t="n">
        <f aca="false">Summary!$B$5-B8207</f>
        <v>4619.15100612654</v>
      </c>
      <c r="E8207" s="15" t="n">
        <f aca="false">B8207/Summary!$B$5-1</f>
        <v>-0.0461915100612654</v>
      </c>
    </row>
    <row r="8208" customFormat="false" ht="15" hidden="false" customHeight="false" outlineLevel="0" collapsed="false">
      <c r="A8208" s="0" t="n">
        <v>8207</v>
      </c>
      <c r="B8208" s="14" t="n">
        <v>115468.597460098</v>
      </c>
      <c r="C8208" s="15" t="n">
        <v>0.0636188311501117</v>
      </c>
      <c r="D8208" s="14" t="n">
        <f aca="false">Summary!$B$5-B8208</f>
        <v>-15468.5974600982</v>
      </c>
      <c r="E8208" s="15" t="n">
        <f aca="false">B8208/Summary!$B$5-1</f>
        <v>0.154685974600982</v>
      </c>
    </row>
    <row r="8209" customFormat="false" ht="15" hidden="false" customHeight="false" outlineLevel="0" collapsed="false">
      <c r="A8209" s="0" t="n">
        <v>8208</v>
      </c>
      <c r="B8209" s="14" t="n">
        <v>81958.3947320084</v>
      </c>
      <c r="C8209" s="15" t="n">
        <v>0.192594795187224</v>
      </c>
      <c r="D8209" s="14" t="n">
        <f aca="false">Summary!$B$5-B8209</f>
        <v>18041.6052679916</v>
      </c>
      <c r="E8209" s="15" t="n">
        <f aca="false">B8209/Summary!$B$5-1</f>
        <v>-0.180416052679916</v>
      </c>
    </row>
    <row r="8210" customFormat="false" ht="15" hidden="false" customHeight="false" outlineLevel="0" collapsed="false">
      <c r="A8210" s="0" t="n">
        <v>8209</v>
      </c>
      <c r="B8210" s="14" t="n">
        <v>88334.185291524</v>
      </c>
      <c r="C8210" s="15" t="n">
        <v>0.143021606160405</v>
      </c>
      <c r="D8210" s="14" t="n">
        <f aca="false">Summary!$B$5-B8210</f>
        <v>11665.814708476</v>
      </c>
      <c r="E8210" s="15" t="n">
        <f aca="false">B8210/Summary!$B$5-1</f>
        <v>-0.11665814708476</v>
      </c>
    </row>
    <row r="8211" customFormat="false" ht="15" hidden="false" customHeight="false" outlineLevel="0" collapsed="false">
      <c r="A8211" s="0" t="n">
        <v>8210</v>
      </c>
      <c r="B8211" s="14" t="n">
        <v>138480.894096472</v>
      </c>
      <c r="C8211" s="15" t="n">
        <v>0.0687270586426939</v>
      </c>
      <c r="D8211" s="14" t="n">
        <f aca="false">Summary!$B$5-B8211</f>
        <v>-38480.894096472</v>
      </c>
      <c r="E8211" s="15" t="n">
        <f aca="false">B8211/Summary!$B$5-1</f>
        <v>0.38480894096472</v>
      </c>
    </row>
    <row r="8212" customFormat="false" ht="15" hidden="false" customHeight="false" outlineLevel="0" collapsed="false">
      <c r="A8212" s="0" t="n">
        <v>8211</v>
      </c>
      <c r="B8212" s="14" t="n">
        <v>102274.213196431</v>
      </c>
      <c r="C8212" s="15" t="n">
        <v>0.0745412824827199</v>
      </c>
      <c r="D8212" s="14" t="n">
        <f aca="false">Summary!$B$5-B8212</f>
        <v>-2274.2131964307</v>
      </c>
      <c r="E8212" s="15" t="n">
        <f aca="false">B8212/Summary!$B$5-1</f>
        <v>0.0227421319643071</v>
      </c>
    </row>
    <row r="8213" customFormat="false" ht="15" hidden="false" customHeight="false" outlineLevel="0" collapsed="false">
      <c r="A8213" s="0" t="n">
        <v>8212</v>
      </c>
      <c r="B8213" s="14" t="n">
        <v>96078.0248458773</v>
      </c>
      <c r="C8213" s="15" t="n">
        <v>0.126802518574686</v>
      </c>
      <c r="D8213" s="14" t="n">
        <f aca="false">Summary!$B$5-B8213</f>
        <v>3921.97515412275</v>
      </c>
      <c r="E8213" s="15" t="n">
        <f aca="false">B8213/Summary!$B$5-1</f>
        <v>-0.0392197515412275</v>
      </c>
    </row>
    <row r="8214" customFormat="false" ht="15" hidden="false" customHeight="false" outlineLevel="0" collapsed="false">
      <c r="A8214" s="0" t="n">
        <v>8213</v>
      </c>
      <c r="B8214" s="14" t="n">
        <v>109744.266830833</v>
      </c>
      <c r="C8214" s="15" t="n">
        <v>0.0818614826380232</v>
      </c>
      <c r="D8214" s="14" t="n">
        <f aca="false">Summary!$B$5-B8214</f>
        <v>-9744.2668308327</v>
      </c>
      <c r="E8214" s="15" t="n">
        <f aca="false">B8214/Summary!$B$5-1</f>
        <v>0.0974426683083269</v>
      </c>
    </row>
    <row r="8215" customFormat="false" ht="15" hidden="false" customHeight="false" outlineLevel="0" collapsed="false">
      <c r="A8215" s="0" t="n">
        <v>8214</v>
      </c>
      <c r="B8215" s="14" t="n">
        <v>114327.710456806</v>
      </c>
      <c r="C8215" s="15" t="n">
        <v>0.0579741673291645</v>
      </c>
      <c r="D8215" s="14" t="n">
        <f aca="false">Summary!$B$5-B8215</f>
        <v>-14327.7104568055</v>
      </c>
      <c r="E8215" s="15" t="n">
        <f aca="false">B8215/Summary!$B$5-1</f>
        <v>0.143277104568055</v>
      </c>
    </row>
    <row r="8216" customFormat="false" ht="15" hidden="false" customHeight="false" outlineLevel="0" collapsed="false">
      <c r="A8216" s="0" t="n">
        <v>8215</v>
      </c>
      <c r="B8216" s="14" t="n">
        <v>112698.277081942</v>
      </c>
      <c r="C8216" s="15" t="n">
        <v>0.0880140323280821</v>
      </c>
      <c r="D8216" s="14" t="n">
        <f aca="false">Summary!$B$5-B8216</f>
        <v>-12698.2770819417</v>
      </c>
      <c r="E8216" s="15" t="n">
        <f aca="false">B8216/Summary!$B$5-1</f>
        <v>0.126982770819417</v>
      </c>
    </row>
    <row r="8217" customFormat="false" ht="15" hidden="false" customHeight="false" outlineLevel="0" collapsed="false">
      <c r="A8217" s="0" t="n">
        <v>8216</v>
      </c>
      <c r="B8217" s="14" t="n">
        <v>110245.859965722</v>
      </c>
      <c r="C8217" s="15" t="n">
        <v>0.0960795473167477</v>
      </c>
      <c r="D8217" s="14" t="n">
        <f aca="false">Summary!$B$5-B8217</f>
        <v>-10245.8599657222</v>
      </c>
      <c r="E8217" s="15" t="n">
        <f aca="false">B8217/Summary!$B$5-1</f>
        <v>0.102458599657222</v>
      </c>
    </row>
    <row r="8218" customFormat="false" ht="15" hidden="false" customHeight="false" outlineLevel="0" collapsed="false">
      <c r="A8218" s="0" t="n">
        <v>8217</v>
      </c>
      <c r="B8218" s="14" t="n">
        <v>109458.335041265</v>
      </c>
      <c r="C8218" s="15" t="n">
        <v>0.110178658830738</v>
      </c>
      <c r="D8218" s="14" t="n">
        <f aca="false">Summary!$B$5-B8218</f>
        <v>-9458.33504126449</v>
      </c>
      <c r="E8218" s="15" t="n">
        <f aca="false">B8218/Summary!$B$5-1</f>
        <v>0.094583350412645</v>
      </c>
    </row>
    <row r="8219" customFormat="false" ht="15" hidden="false" customHeight="false" outlineLevel="0" collapsed="false">
      <c r="A8219" s="0" t="n">
        <v>8218</v>
      </c>
      <c r="B8219" s="14" t="n">
        <v>111838.184697868</v>
      </c>
      <c r="C8219" s="15" t="n">
        <v>0.0825821029410121</v>
      </c>
      <c r="D8219" s="14" t="n">
        <f aca="false">Summary!$B$5-B8219</f>
        <v>-11838.1846978684</v>
      </c>
      <c r="E8219" s="15" t="n">
        <f aca="false">B8219/Summary!$B$5-1</f>
        <v>0.118381846978684</v>
      </c>
    </row>
    <row r="8220" customFormat="false" ht="15" hidden="false" customHeight="false" outlineLevel="0" collapsed="false">
      <c r="A8220" s="0" t="n">
        <v>8219</v>
      </c>
      <c r="B8220" s="14" t="n">
        <v>105558.849517692</v>
      </c>
      <c r="C8220" s="15" t="n">
        <v>0.104497861184227</v>
      </c>
      <c r="D8220" s="14" t="n">
        <f aca="false">Summary!$B$5-B8220</f>
        <v>-5558.84951769179</v>
      </c>
      <c r="E8220" s="15" t="n">
        <f aca="false">B8220/Summary!$B$5-1</f>
        <v>0.0555884951769179</v>
      </c>
    </row>
    <row r="8221" customFormat="false" ht="15" hidden="false" customHeight="false" outlineLevel="0" collapsed="false">
      <c r="A8221" s="0" t="n">
        <v>8220</v>
      </c>
      <c r="B8221" s="14" t="n">
        <v>125523.22803285</v>
      </c>
      <c r="C8221" s="15" t="n">
        <v>0.0581346344525329</v>
      </c>
      <c r="D8221" s="14" t="n">
        <f aca="false">Summary!$B$5-B8221</f>
        <v>-25523.2280328501</v>
      </c>
      <c r="E8221" s="15" t="n">
        <f aca="false">B8221/Summary!$B$5-1</f>
        <v>0.255232280328501</v>
      </c>
    </row>
    <row r="8222" customFormat="false" ht="15" hidden="false" customHeight="false" outlineLevel="0" collapsed="false">
      <c r="A8222" s="0" t="n">
        <v>8221</v>
      </c>
      <c r="B8222" s="14" t="n">
        <v>121128.323676499</v>
      </c>
      <c r="C8222" s="15" t="n">
        <v>0.0645368174447843</v>
      </c>
      <c r="D8222" s="14" t="n">
        <f aca="false">Summary!$B$5-B8222</f>
        <v>-21128.3236764991</v>
      </c>
      <c r="E8222" s="15" t="n">
        <f aca="false">B8222/Summary!$B$5-1</f>
        <v>0.211283236764991</v>
      </c>
    </row>
    <row r="8223" customFormat="false" ht="15" hidden="false" customHeight="false" outlineLevel="0" collapsed="false">
      <c r="A8223" s="0" t="n">
        <v>8222</v>
      </c>
      <c r="B8223" s="14" t="n">
        <v>104960.876351815</v>
      </c>
      <c r="C8223" s="15" t="n">
        <v>0.0965300224048976</v>
      </c>
      <c r="D8223" s="14" t="n">
        <f aca="false">Summary!$B$5-B8223</f>
        <v>-4960.8763518152</v>
      </c>
      <c r="E8223" s="15" t="n">
        <f aca="false">B8223/Summary!$B$5-1</f>
        <v>0.0496087635181519</v>
      </c>
    </row>
    <row r="8224" customFormat="false" ht="15" hidden="false" customHeight="false" outlineLevel="0" collapsed="false">
      <c r="A8224" s="0" t="n">
        <v>8223</v>
      </c>
      <c r="B8224" s="14" t="n">
        <v>123142.08865493</v>
      </c>
      <c r="C8224" s="15" t="n">
        <v>0.0841786962958687</v>
      </c>
      <c r="D8224" s="14" t="n">
        <f aca="false">Summary!$B$5-B8224</f>
        <v>-23142.0886549304</v>
      </c>
      <c r="E8224" s="15" t="n">
        <f aca="false">B8224/Summary!$B$5-1</f>
        <v>0.231420886549304</v>
      </c>
    </row>
    <row r="8225" customFormat="false" ht="15" hidden="false" customHeight="false" outlineLevel="0" collapsed="false">
      <c r="A8225" s="0" t="n">
        <v>8224</v>
      </c>
      <c r="B8225" s="14" t="n">
        <v>114964.534158661</v>
      </c>
      <c r="C8225" s="15" t="n">
        <v>0.0961693969535744</v>
      </c>
      <c r="D8225" s="14" t="n">
        <f aca="false">Summary!$B$5-B8225</f>
        <v>-14964.5341586609</v>
      </c>
      <c r="E8225" s="15" t="n">
        <f aca="false">B8225/Summary!$B$5-1</f>
        <v>0.149645341586609</v>
      </c>
    </row>
    <row r="8226" customFormat="false" ht="15" hidden="false" customHeight="false" outlineLevel="0" collapsed="false">
      <c r="A8226" s="0" t="n">
        <v>8225</v>
      </c>
      <c r="B8226" s="14" t="n">
        <v>104873.691970981</v>
      </c>
      <c r="C8226" s="15" t="n">
        <v>0.179478218810938</v>
      </c>
      <c r="D8226" s="14" t="n">
        <f aca="false">Summary!$B$5-B8226</f>
        <v>-4873.69197098129</v>
      </c>
      <c r="E8226" s="15" t="n">
        <f aca="false">B8226/Summary!$B$5-1</f>
        <v>0.0487369197098129</v>
      </c>
    </row>
    <row r="8227" customFormat="false" ht="15" hidden="false" customHeight="false" outlineLevel="0" collapsed="false">
      <c r="A8227" s="0" t="n">
        <v>8226</v>
      </c>
      <c r="B8227" s="14" t="n">
        <v>99580.9065481169</v>
      </c>
      <c r="C8227" s="15" t="n">
        <v>0.142372892625812</v>
      </c>
      <c r="D8227" s="14" t="n">
        <f aca="false">Summary!$B$5-B8227</f>
        <v>419.09345188312</v>
      </c>
      <c r="E8227" s="15" t="n">
        <f aca="false">B8227/Summary!$B$5-1</f>
        <v>-0.00419093451883124</v>
      </c>
    </row>
    <row r="8228" customFormat="false" ht="15" hidden="false" customHeight="false" outlineLevel="0" collapsed="false">
      <c r="A8228" s="0" t="n">
        <v>8227</v>
      </c>
      <c r="B8228" s="14" t="n">
        <v>120549.768197923</v>
      </c>
      <c r="C8228" s="15" t="n">
        <v>0.0539742746513316</v>
      </c>
      <c r="D8228" s="14" t="n">
        <f aca="false">Summary!$B$5-B8228</f>
        <v>-20549.7681979234</v>
      </c>
      <c r="E8228" s="15" t="n">
        <f aca="false">B8228/Summary!$B$5-1</f>
        <v>0.205497681979234</v>
      </c>
    </row>
    <row r="8229" customFormat="false" ht="15" hidden="false" customHeight="false" outlineLevel="0" collapsed="false">
      <c r="A8229" s="0" t="n">
        <v>8228</v>
      </c>
      <c r="B8229" s="14" t="n">
        <v>107560.673891935</v>
      </c>
      <c r="C8229" s="15" t="n">
        <v>0.080903878258209</v>
      </c>
      <c r="D8229" s="14" t="n">
        <f aca="false">Summary!$B$5-B8229</f>
        <v>-7560.673891935</v>
      </c>
      <c r="E8229" s="15" t="n">
        <f aca="false">B8229/Summary!$B$5-1</f>
        <v>0.07560673891935</v>
      </c>
    </row>
    <row r="8230" customFormat="false" ht="15" hidden="false" customHeight="false" outlineLevel="0" collapsed="false">
      <c r="A8230" s="0" t="n">
        <v>8229</v>
      </c>
      <c r="B8230" s="14" t="n">
        <v>103254.068574887</v>
      </c>
      <c r="C8230" s="15" t="n">
        <v>0.0862424215208917</v>
      </c>
      <c r="D8230" s="14" t="n">
        <f aca="false">Summary!$B$5-B8230</f>
        <v>-3254.06857488651</v>
      </c>
      <c r="E8230" s="15" t="n">
        <f aca="false">B8230/Summary!$B$5-1</f>
        <v>0.032540685748865</v>
      </c>
    </row>
    <row r="8231" customFormat="false" ht="15" hidden="false" customHeight="false" outlineLevel="0" collapsed="false">
      <c r="A8231" s="0" t="n">
        <v>8230</v>
      </c>
      <c r="B8231" s="14" t="n">
        <v>101213.681290776</v>
      </c>
      <c r="C8231" s="15" t="n">
        <v>0.111932178985183</v>
      </c>
      <c r="D8231" s="14" t="n">
        <f aca="false">Summary!$B$5-B8231</f>
        <v>-1213.681290776</v>
      </c>
      <c r="E8231" s="15" t="n">
        <f aca="false">B8231/Summary!$B$5-1</f>
        <v>0.0121368129077601</v>
      </c>
    </row>
    <row r="8232" customFormat="false" ht="15" hidden="false" customHeight="false" outlineLevel="0" collapsed="false">
      <c r="A8232" s="0" t="n">
        <v>8231</v>
      </c>
      <c r="B8232" s="14" t="n">
        <v>100234.332399661</v>
      </c>
      <c r="C8232" s="15" t="n">
        <v>0.106652576461684</v>
      </c>
      <c r="D8232" s="14" t="n">
        <f aca="false">Summary!$B$5-B8232</f>
        <v>-234.332399660896</v>
      </c>
      <c r="E8232" s="15" t="n">
        <f aca="false">B8232/Summary!$B$5-1</f>
        <v>0.00234332399660886</v>
      </c>
    </row>
    <row r="8233" customFormat="false" ht="15" hidden="false" customHeight="false" outlineLevel="0" collapsed="false">
      <c r="A8233" s="0" t="n">
        <v>8232</v>
      </c>
      <c r="B8233" s="14" t="n">
        <v>93835.023044434</v>
      </c>
      <c r="C8233" s="15" t="n">
        <v>0.132913552642397</v>
      </c>
      <c r="D8233" s="14" t="n">
        <f aca="false">Summary!$B$5-B8233</f>
        <v>6164.97695556603</v>
      </c>
      <c r="E8233" s="15" t="n">
        <f aca="false">B8233/Summary!$B$5-1</f>
        <v>-0.0616497695556603</v>
      </c>
    </row>
    <row r="8234" customFormat="false" ht="15" hidden="false" customHeight="false" outlineLevel="0" collapsed="false">
      <c r="A8234" s="0" t="n">
        <v>8233</v>
      </c>
      <c r="B8234" s="14" t="n">
        <v>98638.6325557484</v>
      </c>
      <c r="C8234" s="15" t="n">
        <v>0.0981143603661957</v>
      </c>
      <c r="D8234" s="14" t="n">
        <f aca="false">Summary!$B$5-B8234</f>
        <v>1361.36744425163</v>
      </c>
      <c r="E8234" s="15" t="n">
        <f aca="false">B8234/Summary!$B$5-1</f>
        <v>-0.0136136744425164</v>
      </c>
    </row>
    <row r="8235" customFormat="false" ht="15" hidden="false" customHeight="false" outlineLevel="0" collapsed="false">
      <c r="A8235" s="0" t="n">
        <v>8234</v>
      </c>
      <c r="B8235" s="14" t="n">
        <v>105577.750941078</v>
      </c>
      <c r="C8235" s="15" t="n">
        <v>0.118942286187907</v>
      </c>
      <c r="D8235" s="14" t="n">
        <f aca="false">Summary!$B$5-B8235</f>
        <v>-5577.7509410784</v>
      </c>
      <c r="E8235" s="15" t="n">
        <f aca="false">B8235/Summary!$B$5-1</f>
        <v>0.055777509410784</v>
      </c>
    </row>
    <row r="8236" customFormat="false" ht="15" hidden="false" customHeight="false" outlineLevel="0" collapsed="false">
      <c r="A8236" s="0" t="n">
        <v>8235</v>
      </c>
      <c r="B8236" s="14" t="n">
        <v>106438.939047483</v>
      </c>
      <c r="C8236" s="15" t="n">
        <v>0.104784441025851</v>
      </c>
      <c r="D8236" s="14" t="n">
        <f aca="false">Summary!$B$5-B8236</f>
        <v>-6438.9390474831</v>
      </c>
      <c r="E8236" s="15" t="n">
        <f aca="false">B8236/Summary!$B$5-1</f>
        <v>0.0643893904748309</v>
      </c>
    </row>
    <row r="8237" customFormat="false" ht="15" hidden="false" customHeight="false" outlineLevel="0" collapsed="false">
      <c r="A8237" s="0" t="n">
        <v>8236</v>
      </c>
      <c r="B8237" s="14" t="n">
        <v>140372.840484301</v>
      </c>
      <c r="C8237" s="15" t="n">
        <v>0.0818725373782155</v>
      </c>
      <c r="D8237" s="14" t="n">
        <f aca="false">Summary!$B$5-B8237</f>
        <v>-40372.840484301</v>
      </c>
      <c r="E8237" s="15" t="n">
        <f aca="false">B8237/Summary!$B$5-1</f>
        <v>0.40372840484301</v>
      </c>
    </row>
    <row r="8238" customFormat="false" ht="15" hidden="false" customHeight="false" outlineLevel="0" collapsed="false">
      <c r="A8238" s="0" t="n">
        <v>8237</v>
      </c>
      <c r="B8238" s="14" t="n">
        <v>98571.7657892373</v>
      </c>
      <c r="C8238" s="15" t="n">
        <v>0.0985871886131253</v>
      </c>
      <c r="D8238" s="14" t="n">
        <f aca="false">Summary!$B$5-B8238</f>
        <v>1428.23421076275</v>
      </c>
      <c r="E8238" s="15" t="n">
        <f aca="false">B8238/Summary!$B$5-1</f>
        <v>-0.0142823421076275</v>
      </c>
    </row>
    <row r="8239" customFormat="false" ht="15" hidden="false" customHeight="false" outlineLevel="0" collapsed="false">
      <c r="A8239" s="0" t="n">
        <v>8238</v>
      </c>
      <c r="B8239" s="14" t="n">
        <v>113908.314423943</v>
      </c>
      <c r="C8239" s="15" t="n">
        <v>0.0605470014418127</v>
      </c>
      <c r="D8239" s="14" t="n">
        <f aca="false">Summary!$B$5-B8239</f>
        <v>-13908.3144239426</v>
      </c>
      <c r="E8239" s="15" t="n">
        <f aca="false">B8239/Summary!$B$5-1</f>
        <v>0.139083144239426</v>
      </c>
    </row>
    <row r="8240" customFormat="false" ht="15" hidden="false" customHeight="false" outlineLevel="0" collapsed="false">
      <c r="A8240" s="0" t="n">
        <v>8239</v>
      </c>
      <c r="B8240" s="14" t="n">
        <v>94815.1051452106</v>
      </c>
      <c r="C8240" s="15" t="n">
        <v>0.130601687545864</v>
      </c>
      <c r="D8240" s="14" t="n">
        <f aca="false">Summary!$B$5-B8240</f>
        <v>5184.89485478945</v>
      </c>
      <c r="E8240" s="15" t="n">
        <f aca="false">B8240/Summary!$B$5-1</f>
        <v>-0.0518489485478946</v>
      </c>
    </row>
    <row r="8241" customFormat="false" ht="15" hidden="false" customHeight="false" outlineLevel="0" collapsed="false">
      <c r="A8241" s="0" t="n">
        <v>8240</v>
      </c>
      <c r="B8241" s="14" t="n">
        <v>104557.108405168</v>
      </c>
      <c r="C8241" s="15" t="n">
        <v>0.161787663424036</v>
      </c>
      <c r="D8241" s="14" t="n">
        <f aca="false">Summary!$B$5-B8241</f>
        <v>-4557.1084051681</v>
      </c>
      <c r="E8241" s="15" t="n">
        <f aca="false">B8241/Summary!$B$5-1</f>
        <v>0.045571084051681</v>
      </c>
    </row>
    <row r="8242" customFormat="false" ht="15" hidden="false" customHeight="false" outlineLevel="0" collapsed="false">
      <c r="A8242" s="0" t="n">
        <v>8241</v>
      </c>
      <c r="B8242" s="14" t="n">
        <v>97278.1429766261</v>
      </c>
      <c r="C8242" s="15" t="n">
        <v>0.128440093328164</v>
      </c>
      <c r="D8242" s="14" t="n">
        <f aca="false">Summary!$B$5-B8242</f>
        <v>2721.85702337389</v>
      </c>
      <c r="E8242" s="15" t="n">
        <f aca="false">B8242/Summary!$B$5-1</f>
        <v>-0.0272185702337389</v>
      </c>
    </row>
    <row r="8243" customFormat="false" ht="15" hidden="false" customHeight="false" outlineLevel="0" collapsed="false">
      <c r="A8243" s="0" t="n">
        <v>8242</v>
      </c>
      <c r="B8243" s="14" t="n">
        <v>113213.655340415</v>
      </c>
      <c r="C8243" s="15" t="n">
        <v>0.0432091530037262</v>
      </c>
      <c r="D8243" s="14" t="n">
        <f aca="false">Summary!$B$5-B8243</f>
        <v>-13213.6553404154</v>
      </c>
      <c r="E8243" s="15" t="n">
        <f aca="false">B8243/Summary!$B$5-1</f>
        <v>0.132136553404154</v>
      </c>
    </row>
    <row r="8244" customFormat="false" ht="15" hidden="false" customHeight="false" outlineLevel="0" collapsed="false">
      <c r="A8244" s="0" t="n">
        <v>8243</v>
      </c>
      <c r="B8244" s="14" t="n">
        <v>119349.794367437</v>
      </c>
      <c r="C8244" s="15" t="n">
        <v>0.0635038009614347</v>
      </c>
      <c r="D8244" s="14" t="n">
        <f aca="false">Summary!$B$5-B8244</f>
        <v>-19349.7943674368</v>
      </c>
      <c r="E8244" s="15" t="n">
        <f aca="false">B8244/Summary!$B$5-1</f>
        <v>0.193497943674368</v>
      </c>
    </row>
    <row r="8245" customFormat="false" ht="15" hidden="false" customHeight="false" outlineLevel="0" collapsed="false">
      <c r="A8245" s="0" t="n">
        <v>8244</v>
      </c>
      <c r="B8245" s="14" t="n">
        <v>149356.036949672</v>
      </c>
      <c r="C8245" s="15" t="n">
        <v>0.0694125810009015</v>
      </c>
      <c r="D8245" s="14" t="n">
        <f aca="false">Summary!$B$5-B8245</f>
        <v>-49356.0369496716</v>
      </c>
      <c r="E8245" s="15" t="n">
        <f aca="false">B8245/Summary!$B$5-1</f>
        <v>0.493560369496716</v>
      </c>
    </row>
    <row r="8246" customFormat="false" ht="15" hidden="false" customHeight="false" outlineLevel="0" collapsed="false">
      <c r="A8246" s="0" t="n">
        <v>8245</v>
      </c>
      <c r="B8246" s="14" t="n">
        <v>107531.481490802</v>
      </c>
      <c r="C8246" s="15" t="n">
        <v>0.155397218284304</v>
      </c>
      <c r="D8246" s="14" t="n">
        <f aca="false">Summary!$B$5-B8246</f>
        <v>-7531.4814908015</v>
      </c>
      <c r="E8246" s="15" t="n">
        <f aca="false">B8246/Summary!$B$5-1</f>
        <v>0.075314814908015</v>
      </c>
    </row>
    <row r="8247" customFormat="false" ht="15" hidden="false" customHeight="false" outlineLevel="0" collapsed="false">
      <c r="A8247" s="0" t="n">
        <v>8246</v>
      </c>
      <c r="B8247" s="14" t="n">
        <v>92696.1743016946</v>
      </c>
      <c r="C8247" s="15" t="n">
        <v>0.109467351436256</v>
      </c>
      <c r="D8247" s="14" t="n">
        <f aca="false">Summary!$B$5-B8247</f>
        <v>7303.82569830539</v>
      </c>
      <c r="E8247" s="15" t="n">
        <f aca="false">B8247/Summary!$B$5-1</f>
        <v>-0.0730382569830539</v>
      </c>
    </row>
    <row r="8248" customFormat="false" ht="15" hidden="false" customHeight="false" outlineLevel="0" collapsed="false">
      <c r="A8248" s="0" t="n">
        <v>8247</v>
      </c>
      <c r="B8248" s="14" t="n">
        <v>83060.5163718106</v>
      </c>
      <c r="C8248" s="15" t="n">
        <v>0.178317837826704</v>
      </c>
      <c r="D8248" s="14" t="n">
        <f aca="false">Summary!$B$5-B8248</f>
        <v>16939.4836281894</v>
      </c>
      <c r="E8248" s="15" t="n">
        <f aca="false">B8248/Summary!$B$5-1</f>
        <v>-0.169394836281894</v>
      </c>
    </row>
    <row r="8249" customFormat="false" ht="15" hidden="false" customHeight="false" outlineLevel="0" collapsed="false">
      <c r="A8249" s="0" t="n">
        <v>8248</v>
      </c>
      <c r="B8249" s="14" t="n">
        <v>91151.7133773885</v>
      </c>
      <c r="C8249" s="15" t="n">
        <v>0.167495222766874</v>
      </c>
      <c r="D8249" s="14" t="n">
        <f aca="false">Summary!$B$5-B8249</f>
        <v>8848.28662261149</v>
      </c>
      <c r="E8249" s="15" t="n">
        <f aca="false">B8249/Summary!$B$5-1</f>
        <v>-0.0884828662261149</v>
      </c>
    </row>
    <row r="8250" customFormat="false" ht="15" hidden="false" customHeight="false" outlineLevel="0" collapsed="false">
      <c r="A8250" s="0" t="n">
        <v>8249</v>
      </c>
      <c r="B8250" s="14" t="n">
        <v>113394.173195624</v>
      </c>
      <c r="C8250" s="15" t="n">
        <v>0.0620662658218856</v>
      </c>
      <c r="D8250" s="14" t="n">
        <f aca="false">Summary!$B$5-B8250</f>
        <v>-13394.1731956238</v>
      </c>
      <c r="E8250" s="15" t="n">
        <f aca="false">B8250/Summary!$B$5-1</f>
        <v>0.133941731956238</v>
      </c>
    </row>
    <row r="8251" customFormat="false" ht="15" hidden="false" customHeight="false" outlineLevel="0" collapsed="false">
      <c r="A8251" s="0" t="n">
        <v>8250</v>
      </c>
      <c r="B8251" s="14" t="n">
        <v>113135.946426975</v>
      </c>
      <c r="C8251" s="15" t="n">
        <v>0.130390638327787</v>
      </c>
      <c r="D8251" s="14" t="n">
        <f aca="false">Summary!$B$5-B8251</f>
        <v>-13135.9464269748</v>
      </c>
      <c r="E8251" s="15" t="n">
        <f aca="false">B8251/Summary!$B$5-1</f>
        <v>0.131359464269748</v>
      </c>
    </row>
    <row r="8252" customFormat="false" ht="15" hidden="false" customHeight="false" outlineLevel="0" collapsed="false">
      <c r="A8252" s="0" t="n">
        <v>8251</v>
      </c>
      <c r="B8252" s="14" t="n">
        <v>89416.449183655</v>
      </c>
      <c r="C8252" s="15" t="n">
        <v>0.146484711577846</v>
      </c>
      <c r="D8252" s="14" t="n">
        <f aca="false">Summary!$B$5-B8252</f>
        <v>10583.550816345</v>
      </c>
      <c r="E8252" s="15" t="n">
        <f aca="false">B8252/Summary!$B$5-1</f>
        <v>-0.10583550816345</v>
      </c>
    </row>
    <row r="8253" customFormat="false" ht="15" hidden="false" customHeight="false" outlineLevel="0" collapsed="false">
      <c r="A8253" s="0" t="n">
        <v>8252</v>
      </c>
      <c r="B8253" s="14" t="n">
        <v>93722.6139787377</v>
      </c>
      <c r="C8253" s="15" t="n">
        <v>0.161387527186603</v>
      </c>
      <c r="D8253" s="14" t="n">
        <f aca="false">Summary!$B$5-B8253</f>
        <v>6277.38602126233</v>
      </c>
      <c r="E8253" s="15" t="n">
        <f aca="false">B8253/Summary!$B$5-1</f>
        <v>-0.0627738602126232</v>
      </c>
    </row>
    <row r="8254" customFormat="false" ht="15" hidden="false" customHeight="false" outlineLevel="0" collapsed="false">
      <c r="A8254" s="0" t="n">
        <v>8253</v>
      </c>
      <c r="B8254" s="14" t="n">
        <v>112154.038099796</v>
      </c>
      <c r="C8254" s="15" t="n">
        <v>0.155422374072956</v>
      </c>
      <c r="D8254" s="14" t="n">
        <f aca="false">Summary!$B$5-B8254</f>
        <v>-12154.0380997962</v>
      </c>
      <c r="E8254" s="15" t="n">
        <f aca="false">B8254/Summary!$B$5-1</f>
        <v>0.121540380997962</v>
      </c>
    </row>
    <row r="8255" customFormat="false" ht="15" hidden="false" customHeight="false" outlineLevel="0" collapsed="false">
      <c r="A8255" s="0" t="n">
        <v>8254</v>
      </c>
      <c r="B8255" s="14" t="n">
        <v>105337.469751464</v>
      </c>
      <c r="C8255" s="15" t="n">
        <v>0.0563931144697819</v>
      </c>
      <c r="D8255" s="14" t="n">
        <f aca="false">Summary!$B$5-B8255</f>
        <v>-5337.4697514638</v>
      </c>
      <c r="E8255" s="15" t="n">
        <f aca="false">B8255/Summary!$B$5-1</f>
        <v>0.0533746975146379</v>
      </c>
    </row>
    <row r="8256" customFormat="false" ht="15" hidden="false" customHeight="false" outlineLevel="0" collapsed="false">
      <c r="A8256" s="0" t="n">
        <v>8255</v>
      </c>
      <c r="B8256" s="14" t="n">
        <v>111199.081827542</v>
      </c>
      <c r="C8256" s="15" t="n">
        <v>0.0728148873822125</v>
      </c>
      <c r="D8256" s="14" t="n">
        <f aca="false">Summary!$B$5-B8256</f>
        <v>-11199.0818275422</v>
      </c>
      <c r="E8256" s="15" t="n">
        <f aca="false">B8256/Summary!$B$5-1</f>
        <v>0.111990818275422</v>
      </c>
    </row>
    <row r="8257" customFormat="false" ht="15" hidden="false" customHeight="false" outlineLevel="0" collapsed="false">
      <c r="A8257" s="0" t="n">
        <v>8256</v>
      </c>
      <c r="B8257" s="14" t="n">
        <v>96973.3509632746</v>
      </c>
      <c r="C8257" s="15" t="n">
        <v>0.0991281853632493</v>
      </c>
      <c r="D8257" s="14" t="n">
        <f aca="false">Summary!$B$5-B8257</f>
        <v>3026.6490367254</v>
      </c>
      <c r="E8257" s="15" t="n">
        <f aca="false">B8257/Summary!$B$5-1</f>
        <v>-0.030266490367254</v>
      </c>
    </row>
    <row r="8258" customFormat="false" ht="15" hidden="false" customHeight="false" outlineLevel="0" collapsed="false">
      <c r="A8258" s="0" t="n">
        <v>8257</v>
      </c>
      <c r="B8258" s="14" t="n">
        <v>108283.737333409</v>
      </c>
      <c r="C8258" s="15" t="n">
        <v>0.0827559965782609</v>
      </c>
      <c r="D8258" s="14" t="n">
        <f aca="false">Summary!$B$5-B8258</f>
        <v>-8283.7373334088</v>
      </c>
      <c r="E8258" s="15" t="n">
        <f aca="false">B8258/Summary!$B$5-1</f>
        <v>0.0828373733340881</v>
      </c>
    </row>
    <row r="8259" customFormat="false" ht="15" hidden="false" customHeight="false" outlineLevel="0" collapsed="false">
      <c r="A8259" s="0" t="n">
        <v>8258</v>
      </c>
      <c r="B8259" s="14" t="n">
        <v>117050.906336813</v>
      </c>
      <c r="C8259" s="15" t="n">
        <v>0.0607211665483024</v>
      </c>
      <c r="D8259" s="14" t="n">
        <f aca="false">Summary!$B$5-B8259</f>
        <v>-17050.9063368132</v>
      </c>
      <c r="E8259" s="15" t="n">
        <f aca="false">B8259/Summary!$B$5-1</f>
        <v>0.170509063368132</v>
      </c>
    </row>
    <row r="8260" customFormat="false" ht="15" hidden="false" customHeight="false" outlineLevel="0" collapsed="false">
      <c r="A8260" s="0" t="n">
        <v>8259</v>
      </c>
      <c r="B8260" s="14" t="n">
        <v>108872.292379726</v>
      </c>
      <c r="C8260" s="15" t="n">
        <v>0.0906958425816595</v>
      </c>
      <c r="D8260" s="14" t="n">
        <f aca="false">Summary!$B$5-B8260</f>
        <v>-8872.2923797261</v>
      </c>
      <c r="E8260" s="15" t="n">
        <f aca="false">B8260/Summary!$B$5-1</f>
        <v>0.0887229237972611</v>
      </c>
    </row>
    <row r="8261" customFormat="false" ht="15" hidden="false" customHeight="false" outlineLevel="0" collapsed="false">
      <c r="A8261" s="0" t="n">
        <v>8260</v>
      </c>
      <c r="B8261" s="14" t="n">
        <v>110945.771769189</v>
      </c>
      <c r="C8261" s="15" t="n">
        <v>0.075371727929244</v>
      </c>
      <c r="D8261" s="14" t="n">
        <f aca="false">Summary!$B$5-B8261</f>
        <v>-10945.7717691891</v>
      </c>
      <c r="E8261" s="15" t="n">
        <f aca="false">B8261/Summary!$B$5-1</f>
        <v>0.109457717691891</v>
      </c>
    </row>
    <row r="8262" customFormat="false" ht="15" hidden="false" customHeight="false" outlineLevel="0" collapsed="false">
      <c r="A8262" s="0" t="n">
        <v>8261</v>
      </c>
      <c r="B8262" s="14" t="n">
        <v>95915.1176683181</v>
      </c>
      <c r="C8262" s="15" t="n">
        <v>0.100385312054342</v>
      </c>
      <c r="D8262" s="14" t="n">
        <f aca="false">Summary!$B$5-B8262</f>
        <v>4084.88233168193</v>
      </c>
      <c r="E8262" s="15" t="n">
        <f aca="false">B8262/Summary!$B$5-1</f>
        <v>-0.0408488233168193</v>
      </c>
    </row>
    <row r="8263" customFormat="false" ht="15" hidden="false" customHeight="false" outlineLevel="0" collapsed="false">
      <c r="A8263" s="0" t="n">
        <v>8262</v>
      </c>
      <c r="B8263" s="14" t="n">
        <v>112371.730883259</v>
      </c>
      <c r="C8263" s="15" t="n">
        <v>0.0575030749180947</v>
      </c>
      <c r="D8263" s="14" t="n">
        <f aca="false">Summary!$B$5-B8263</f>
        <v>-12371.7308832592</v>
      </c>
      <c r="E8263" s="15" t="n">
        <f aca="false">B8263/Summary!$B$5-1</f>
        <v>0.123717308832592</v>
      </c>
    </row>
    <row r="8264" customFormat="false" ht="15" hidden="false" customHeight="false" outlineLevel="0" collapsed="false">
      <c r="A8264" s="0" t="n">
        <v>8263</v>
      </c>
      <c r="B8264" s="14" t="n">
        <v>120103.954424195</v>
      </c>
      <c r="C8264" s="15" t="n">
        <v>0.115645027593993</v>
      </c>
      <c r="D8264" s="14" t="n">
        <f aca="false">Summary!$B$5-B8264</f>
        <v>-20103.9544241953</v>
      </c>
      <c r="E8264" s="15" t="n">
        <f aca="false">B8264/Summary!$B$5-1</f>
        <v>0.201039544241953</v>
      </c>
    </row>
    <row r="8265" customFormat="false" ht="15" hidden="false" customHeight="false" outlineLevel="0" collapsed="false">
      <c r="A8265" s="0" t="n">
        <v>8264</v>
      </c>
      <c r="B8265" s="14" t="n">
        <v>103664.286170148</v>
      </c>
      <c r="C8265" s="15" t="n">
        <v>0.153413473575233</v>
      </c>
      <c r="D8265" s="14" t="n">
        <f aca="false">Summary!$B$5-B8265</f>
        <v>-3664.28617014761</v>
      </c>
      <c r="E8265" s="15" t="n">
        <f aca="false">B8265/Summary!$B$5-1</f>
        <v>0.036642861701476</v>
      </c>
    </row>
    <row r="8266" customFormat="false" ht="15" hidden="false" customHeight="false" outlineLevel="0" collapsed="false">
      <c r="A8266" s="0" t="n">
        <v>8265</v>
      </c>
      <c r="B8266" s="14" t="n">
        <v>88554.4121418818</v>
      </c>
      <c r="C8266" s="15" t="n">
        <v>0.139532347973644</v>
      </c>
      <c r="D8266" s="14" t="n">
        <f aca="false">Summary!$B$5-B8266</f>
        <v>11445.5878581182</v>
      </c>
      <c r="E8266" s="15" t="n">
        <f aca="false">B8266/Summary!$B$5-1</f>
        <v>-0.114455878581182</v>
      </c>
    </row>
    <row r="8267" customFormat="false" ht="15" hidden="false" customHeight="false" outlineLevel="0" collapsed="false">
      <c r="A8267" s="0" t="n">
        <v>8266</v>
      </c>
      <c r="B8267" s="14" t="n">
        <v>101645.342967714</v>
      </c>
      <c r="C8267" s="15" t="n">
        <v>0.0894085668648481</v>
      </c>
      <c r="D8267" s="14" t="n">
        <f aca="false">Summary!$B$5-B8267</f>
        <v>-1645.3429677141</v>
      </c>
      <c r="E8267" s="15" t="n">
        <f aca="false">B8267/Summary!$B$5-1</f>
        <v>0.016453429677141</v>
      </c>
    </row>
    <row r="8268" customFormat="false" ht="15" hidden="false" customHeight="false" outlineLevel="0" collapsed="false">
      <c r="A8268" s="0" t="n">
        <v>8267</v>
      </c>
      <c r="B8268" s="14" t="n">
        <v>109341.941188544</v>
      </c>
      <c r="C8268" s="15" t="n">
        <v>0.0994831060889682</v>
      </c>
      <c r="D8268" s="14" t="n">
        <f aca="false">Summary!$B$5-B8268</f>
        <v>-9341.9411885444</v>
      </c>
      <c r="E8268" s="15" t="n">
        <f aca="false">B8268/Summary!$B$5-1</f>
        <v>0.0934194118854439</v>
      </c>
    </row>
    <row r="8269" customFormat="false" ht="15" hidden="false" customHeight="false" outlineLevel="0" collapsed="false">
      <c r="A8269" s="0" t="n">
        <v>8268</v>
      </c>
      <c r="B8269" s="14" t="n">
        <v>113725.936945246</v>
      </c>
      <c r="C8269" s="15" t="n">
        <v>0.0859924637268748</v>
      </c>
      <c r="D8269" s="14" t="n">
        <f aca="false">Summary!$B$5-B8269</f>
        <v>-13725.9369452462</v>
      </c>
      <c r="E8269" s="15" t="n">
        <f aca="false">B8269/Summary!$B$5-1</f>
        <v>0.137259369452462</v>
      </c>
    </row>
    <row r="8270" customFormat="false" ht="15" hidden="false" customHeight="false" outlineLevel="0" collapsed="false">
      <c r="A8270" s="0" t="n">
        <v>8269</v>
      </c>
      <c r="B8270" s="14" t="n">
        <v>91513.256806379</v>
      </c>
      <c r="C8270" s="15" t="n">
        <v>0.14725629214251</v>
      </c>
      <c r="D8270" s="14" t="n">
        <f aca="false">Summary!$B$5-B8270</f>
        <v>8486.74319362105</v>
      </c>
      <c r="E8270" s="15" t="n">
        <f aca="false">B8270/Summary!$B$5-1</f>
        <v>-0.0848674319362105</v>
      </c>
    </row>
    <row r="8271" customFormat="false" ht="15" hidden="false" customHeight="false" outlineLevel="0" collapsed="false">
      <c r="A8271" s="0" t="n">
        <v>8270</v>
      </c>
      <c r="B8271" s="14" t="n">
        <v>125822.16786001</v>
      </c>
      <c r="C8271" s="15" t="n">
        <v>0.0595816291583632</v>
      </c>
      <c r="D8271" s="14" t="n">
        <f aca="false">Summary!$B$5-B8271</f>
        <v>-25822.1678600104</v>
      </c>
      <c r="E8271" s="15" t="n">
        <f aca="false">B8271/Summary!$B$5-1</f>
        <v>0.258221678600104</v>
      </c>
    </row>
    <row r="8272" customFormat="false" ht="15" hidden="false" customHeight="false" outlineLevel="0" collapsed="false">
      <c r="A8272" s="0" t="n">
        <v>8271</v>
      </c>
      <c r="B8272" s="14" t="n">
        <v>101408.386021652</v>
      </c>
      <c r="C8272" s="15" t="n">
        <v>0.100816383235273</v>
      </c>
      <c r="D8272" s="14" t="n">
        <f aca="false">Summary!$B$5-B8272</f>
        <v>-1408.3860216522</v>
      </c>
      <c r="E8272" s="15" t="n">
        <f aca="false">B8272/Summary!$B$5-1</f>
        <v>0.0140838602165221</v>
      </c>
    </row>
    <row r="8273" customFormat="false" ht="15" hidden="false" customHeight="false" outlineLevel="0" collapsed="false">
      <c r="A8273" s="0" t="n">
        <v>8272</v>
      </c>
      <c r="B8273" s="14" t="n">
        <v>111359.60799632</v>
      </c>
      <c r="C8273" s="15" t="n">
        <v>0.0666676851139908</v>
      </c>
      <c r="D8273" s="14" t="n">
        <f aca="false">Summary!$B$5-B8273</f>
        <v>-11359.6079963196</v>
      </c>
      <c r="E8273" s="15" t="n">
        <f aca="false">B8273/Summary!$B$5-1</f>
        <v>0.113596079963196</v>
      </c>
    </row>
    <row r="8274" customFormat="false" ht="15" hidden="false" customHeight="false" outlineLevel="0" collapsed="false">
      <c r="A8274" s="0" t="n">
        <v>8273</v>
      </c>
      <c r="B8274" s="14" t="n">
        <v>89776.0159688778</v>
      </c>
      <c r="C8274" s="15" t="n">
        <v>0.153733114462969</v>
      </c>
      <c r="D8274" s="14" t="n">
        <f aca="false">Summary!$B$5-B8274</f>
        <v>10223.9840311222</v>
      </c>
      <c r="E8274" s="15" t="n">
        <f aca="false">B8274/Summary!$B$5-1</f>
        <v>-0.102239840311222</v>
      </c>
    </row>
    <row r="8275" customFormat="false" ht="15" hidden="false" customHeight="false" outlineLevel="0" collapsed="false">
      <c r="A8275" s="0" t="n">
        <v>8274</v>
      </c>
      <c r="B8275" s="14" t="n">
        <v>113474.657060395</v>
      </c>
      <c r="C8275" s="15" t="n">
        <v>0.125425759101168</v>
      </c>
      <c r="D8275" s="14" t="n">
        <f aca="false">Summary!$B$5-B8275</f>
        <v>-13474.6570603953</v>
      </c>
      <c r="E8275" s="15" t="n">
        <f aca="false">B8275/Summary!$B$5-1</f>
        <v>0.134746570603953</v>
      </c>
    </row>
    <row r="8276" customFormat="false" ht="15" hidden="false" customHeight="false" outlineLevel="0" collapsed="false">
      <c r="A8276" s="0" t="n">
        <v>8275</v>
      </c>
      <c r="B8276" s="14" t="n">
        <v>115034.807860023</v>
      </c>
      <c r="C8276" s="15" t="n">
        <v>0.102448432523738</v>
      </c>
      <c r="D8276" s="14" t="n">
        <f aca="false">Summary!$B$5-B8276</f>
        <v>-15034.8078600232</v>
      </c>
      <c r="E8276" s="15" t="n">
        <f aca="false">B8276/Summary!$B$5-1</f>
        <v>0.150348078600232</v>
      </c>
    </row>
    <row r="8277" customFormat="false" ht="15" hidden="false" customHeight="false" outlineLevel="0" collapsed="false">
      <c r="A8277" s="0" t="n">
        <v>8276</v>
      </c>
      <c r="B8277" s="14" t="n">
        <v>111600.648309164</v>
      </c>
      <c r="C8277" s="15" t="n">
        <v>0.090326733393301</v>
      </c>
      <c r="D8277" s="14" t="n">
        <f aca="false">Summary!$B$5-B8277</f>
        <v>-11600.6483091644</v>
      </c>
      <c r="E8277" s="15" t="n">
        <f aca="false">B8277/Summary!$B$5-1</f>
        <v>0.116006483091644</v>
      </c>
    </row>
    <row r="8278" customFormat="false" ht="15" hidden="false" customHeight="false" outlineLevel="0" collapsed="false">
      <c r="A8278" s="0" t="n">
        <v>8277</v>
      </c>
      <c r="B8278" s="14" t="n">
        <v>111020.460319026</v>
      </c>
      <c r="C8278" s="15" t="n">
        <v>0.0807705911218547</v>
      </c>
      <c r="D8278" s="14" t="n">
        <f aca="false">Summary!$B$5-B8278</f>
        <v>-11020.4603190264</v>
      </c>
      <c r="E8278" s="15" t="n">
        <f aca="false">B8278/Summary!$B$5-1</f>
        <v>0.110204603190264</v>
      </c>
    </row>
    <row r="8279" customFormat="false" ht="15" hidden="false" customHeight="false" outlineLevel="0" collapsed="false">
      <c r="A8279" s="0" t="n">
        <v>8278</v>
      </c>
      <c r="B8279" s="14" t="n">
        <v>108662.408432457</v>
      </c>
      <c r="C8279" s="15" t="n">
        <v>0.0944527969068979</v>
      </c>
      <c r="D8279" s="14" t="n">
        <f aca="false">Summary!$B$5-B8279</f>
        <v>-8662.40843245669</v>
      </c>
      <c r="E8279" s="15" t="n">
        <f aca="false">B8279/Summary!$B$5-1</f>
        <v>0.0866240843245669</v>
      </c>
    </row>
    <row r="8280" customFormat="false" ht="15" hidden="false" customHeight="false" outlineLevel="0" collapsed="false">
      <c r="A8280" s="0" t="n">
        <v>8279</v>
      </c>
      <c r="B8280" s="14" t="n">
        <v>101800.132688875</v>
      </c>
      <c r="C8280" s="15" t="n">
        <v>0.132701755722511</v>
      </c>
      <c r="D8280" s="14" t="n">
        <f aca="false">Summary!$B$5-B8280</f>
        <v>-1800.1326888746</v>
      </c>
      <c r="E8280" s="15" t="n">
        <f aca="false">B8280/Summary!$B$5-1</f>
        <v>0.018001326888746</v>
      </c>
    </row>
    <row r="8281" customFormat="false" ht="15" hidden="false" customHeight="false" outlineLevel="0" collapsed="false">
      <c r="A8281" s="0" t="n">
        <v>8280</v>
      </c>
      <c r="B8281" s="14" t="n">
        <v>134574.810702893</v>
      </c>
      <c r="C8281" s="15" t="n">
        <v>0.0483669970105348</v>
      </c>
      <c r="D8281" s="14" t="n">
        <f aca="false">Summary!$B$5-B8281</f>
        <v>-34574.8107028931</v>
      </c>
      <c r="E8281" s="15" t="n">
        <f aca="false">B8281/Summary!$B$5-1</f>
        <v>0.345748107028931</v>
      </c>
    </row>
    <row r="8282" customFormat="false" ht="15" hidden="false" customHeight="false" outlineLevel="0" collapsed="false">
      <c r="A8282" s="0" t="n">
        <v>8281</v>
      </c>
      <c r="B8282" s="14" t="n">
        <v>124579.914700501</v>
      </c>
      <c r="C8282" s="15" t="n">
        <v>0.114963669118568</v>
      </c>
      <c r="D8282" s="14" t="n">
        <f aca="false">Summary!$B$5-B8282</f>
        <v>-24579.9147005009</v>
      </c>
      <c r="E8282" s="15" t="n">
        <f aca="false">B8282/Summary!$B$5-1</f>
        <v>0.245799147005009</v>
      </c>
    </row>
    <row r="8283" customFormat="false" ht="15" hidden="false" customHeight="false" outlineLevel="0" collapsed="false">
      <c r="A8283" s="0" t="n">
        <v>8282</v>
      </c>
      <c r="B8283" s="14" t="n">
        <v>156901.287202258</v>
      </c>
      <c r="C8283" s="15" t="n">
        <v>0.0310499196545833</v>
      </c>
      <c r="D8283" s="14" t="n">
        <f aca="false">Summary!$B$5-B8283</f>
        <v>-56901.2872022575</v>
      </c>
      <c r="E8283" s="15" t="n">
        <f aca="false">B8283/Summary!$B$5-1</f>
        <v>0.569012872022575</v>
      </c>
    </row>
    <row r="8284" customFormat="false" ht="15" hidden="false" customHeight="false" outlineLevel="0" collapsed="false">
      <c r="A8284" s="0" t="n">
        <v>8283</v>
      </c>
      <c r="B8284" s="14" t="n">
        <v>99085.3374040605</v>
      </c>
      <c r="C8284" s="15" t="n">
        <v>0.148031929343755</v>
      </c>
      <c r="D8284" s="14" t="n">
        <f aca="false">Summary!$B$5-B8284</f>
        <v>914.662595939502</v>
      </c>
      <c r="E8284" s="15" t="n">
        <f aca="false">B8284/Summary!$B$5-1</f>
        <v>-0.00914662595939497</v>
      </c>
    </row>
    <row r="8285" customFormat="false" ht="15" hidden="false" customHeight="false" outlineLevel="0" collapsed="false">
      <c r="A8285" s="0" t="n">
        <v>8284</v>
      </c>
      <c r="B8285" s="14" t="n">
        <v>128044.495862483</v>
      </c>
      <c r="C8285" s="15" t="n">
        <v>0.0656718786122167</v>
      </c>
      <c r="D8285" s="14" t="n">
        <f aca="false">Summary!$B$5-B8285</f>
        <v>-28044.4958624833</v>
      </c>
      <c r="E8285" s="15" t="n">
        <f aca="false">B8285/Summary!$B$5-1</f>
        <v>0.280444958624833</v>
      </c>
    </row>
    <row r="8286" customFormat="false" ht="15" hidden="false" customHeight="false" outlineLevel="0" collapsed="false">
      <c r="A8286" s="0" t="n">
        <v>8285</v>
      </c>
      <c r="B8286" s="14" t="n">
        <v>107281.038394079</v>
      </c>
      <c r="C8286" s="15" t="n">
        <v>0.0997566778226878</v>
      </c>
      <c r="D8286" s="14" t="n">
        <f aca="false">Summary!$B$5-B8286</f>
        <v>-7281.0383940793</v>
      </c>
      <c r="E8286" s="15" t="n">
        <f aca="false">B8286/Summary!$B$5-1</f>
        <v>0.072810383940793</v>
      </c>
    </row>
    <row r="8287" customFormat="false" ht="15" hidden="false" customHeight="false" outlineLevel="0" collapsed="false">
      <c r="A8287" s="0" t="n">
        <v>8286</v>
      </c>
      <c r="B8287" s="14" t="n">
        <v>102864.862243012</v>
      </c>
      <c r="C8287" s="15" t="n">
        <v>0.0840411726619176</v>
      </c>
      <c r="D8287" s="14" t="n">
        <f aca="false">Summary!$B$5-B8287</f>
        <v>-2864.8622430117</v>
      </c>
      <c r="E8287" s="15" t="n">
        <f aca="false">B8287/Summary!$B$5-1</f>
        <v>0.028648622430117</v>
      </c>
    </row>
    <row r="8288" customFormat="false" ht="15" hidden="false" customHeight="false" outlineLevel="0" collapsed="false">
      <c r="A8288" s="0" t="n">
        <v>8287</v>
      </c>
      <c r="B8288" s="14" t="n">
        <v>114082.464588021</v>
      </c>
      <c r="C8288" s="15" t="n">
        <v>0.104114560069708</v>
      </c>
      <c r="D8288" s="14" t="n">
        <f aca="false">Summary!$B$5-B8288</f>
        <v>-14082.4645880211</v>
      </c>
      <c r="E8288" s="15" t="n">
        <f aca="false">B8288/Summary!$B$5-1</f>
        <v>0.140824645880211</v>
      </c>
    </row>
    <row r="8289" customFormat="false" ht="15" hidden="false" customHeight="false" outlineLevel="0" collapsed="false">
      <c r="A8289" s="0" t="n">
        <v>8288</v>
      </c>
      <c r="B8289" s="14" t="n">
        <v>104306.645725089</v>
      </c>
      <c r="C8289" s="15" t="n">
        <v>0.072951794982231</v>
      </c>
      <c r="D8289" s="14" t="n">
        <f aca="false">Summary!$B$5-B8289</f>
        <v>-4306.6457250894</v>
      </c>
      <c r="E8289" s="15" t="n">
        <f aca="false">B8289/Summary!$B$5-1</f>
        <v>0.0430664572508941</v>
      </c>
    </row>
    <row r="8290" customFormat="false" ht="15" hidden="false" customHeight="false" outlineLevel="0" collapsed="false">
      <c r="A8290" s="0" t="n">
        <v>8289</v>
      </c>
      <c r="B8290" s="14" t="n">
        <v>111970.289564353</v>
      </c>
      <c r="C8290" s="15" t="n">
        <v>0.144602107097655</v>
      </c>
      <c r="D8290" s="14" t="n">
        <f aca="false">Summary!$B$5-B8290</f>
        <v>-11970.2895643531</v>
      </c>
      <c r="E8290" s="15" t="n">
        <f aca="false">B8290/Summary!$B$5-1</f>
        <v>0.119702895643531</v>
      </c>
    </row>
    <row r="8291" customFormat="false" ht="15" hidden="false" customHeight="false" outlineLevel="0" collapsed="false">
      <c r="A8291" s="0" t="n">
        <v>8290</v>
      </c>
      <c r="B8291" s="14" t="n">
        <v>101916.519409699</v>
      </c>
      <c r="C8291" s="15" t="n">
        <v>0.122465786747997</v>
      </c>
      <c r="D8291" s="14" t="n">
        <f aca="false">Summary!$B$5-B8291</f>
        <v>-1916.51940969921</v>
      </c>
      <c r="E8291" s="15" t="n">
        <f aca="false">B8291/Summary!$B$5-1</f>
        <v>0.0191651940969921</v>
      </c>
    </row>
    <row r="8292" customFormat="false" ht="15" hidden="false" customHeight="false" outlineLevel="0" collapsed="false">
      <c r="A8292" s="0" t="n">
        <v>8291</v>
      </c>
      <c r="B8292" s="14" t="n">
        <v>99047.0382321753</v>
      </c>
      <c r="C8292" s="15" t="n">
        <v>0.175709936574351</v>
      </c>
      <c r="D8292" s="14" t="n">
        <f aca="false">Summary!$B$5-B8292</f>
        <v>952.961767824658</v>
      </c>
      <c r="E8292" s="15" t="n">
        <f aca="false">B8292/Summary!$B$5-1</f>
        <v>-0.00952961767824656</v>
      </c>
    </row>
    <row r="8293" customFormat="false" ht="15" hidden="false" customHeight="false" outlineLevel="0" collapsed="false">
      <c r="A8293" s="0" t="n">
        <v>8292</v>
      </c>
      <c r="B8293" s="14" t="n">
        <v>115112.209996899</v>
      </c>
      <c r="C8293" s="15" t="n">
        <v>0.0598031227408156</v>
      </c>
      <c r="D8293" s="14" t="n">
        <f aca="false">Summary!$B$5-B8293</f>
        <v>-15112.2099968993</v>
      </c>
      <c r="E8293" s="15" t="n">
        <f aca="false">B8293/Summary!$B$5-1</f>
        <v>0.151122099968993</v>
      </c>
    </row>
    <row r="8294" customFormat="false" ht="15" hidden="false" customHeight="false" outlineLevel="0" collapsed="false">
      <c r="A8294" s="0" t="n">
        <v>8293</v>
      </c>
      <c r="B8294" s="14" t="n">
        <v>119365.083606019</v>
      </c>
      <c r="C8294" s="15" t="n">
        <v>0.0520871642053946</v>
      </c>
      <c r="D8294" s="14" t="n">
        <f aca="false">Summary!$B$5-B8294</f>
        <v>-19365.0836060185</v>
      </c>
      <c r="E8294" s="15" t="n">
        <f aca="false">B8294/Summary!$B$5-1</f>
        <v>0.193650836060185</v>
      </c>
    </row>
    <row r="8295" customFormat="false" ht="15" hidden="false" customHeight="false" outlineLevel="0" collapsed="false">
      <c r="A8295" s="0" t="n">
        <v>8294</v>
      </c>
      <c r="B8295" s="14" t="n">
        <v>104786.777888548</v>
      </c>
      <c r="C8295" s="15" t="n">
        <v>0.111251785417021</v>
      </c>
      <c r="D8295" s="14" t="n">
        <f aca="false">Summary!$B$5-B8295</f>
        <v>-4786.77788854791</v>
      </c>
      <c r="E8295" s="15" t="n">
        <f aca="false">B8295/Summary!$B$5-1</f>
        <v>0.0478677788854791</v>
      </c>
    </row>
    <row r="8296" customFormat="false" ht="15" hidden="false" customHeight="false" outlineLevel="0" collapsed="false">
      <c r="A8296" s="0" t="n">
        <v>8295</v>
      </c>
      <c r="B8296" s="14" t="n">
        <v>112246.05796662</v>
      </c>
      <c r="C8296" s="15" t="n">
        <v>0.0596546151295616</v>
      </c>
      <c r="D8296" s="14" t="n">
        <f aca="false">Summary!$B$5-B8296</f>
        <v>-12246.0579666197</v>
      </c>
      <c r="E8296" s="15" t="n">
        <f aca="false">B8296/Summary!$B$5-1</f>
        <v>0.122460579666197</v>
      </c>
    </row>
    <row r="8297" customFormat="false" ht="15" hidden="false" customHeight="false" outlineLevel="0" collapsed="false">
      <c r="A8297" s="0" t="n">
        <v>8296</v>
      </c>
      <c r="B8297" s="14" t="n">
        <v>107500.044939369</v>
      </c>
      <c r="C8297" s="15" t="n">
        <v>0.10815615382596</v>
      </c>
      <c r="D8297" s="14" t="n">
        <f aca="false">Summary!$B$5-B8297</f>
        <v>-7500.0449393694</v>
      </c>
      <c r="E8297" s="15" t="n">
        <f aca="false">B8297/Summary!$B$5-1</f>
        <v>0.075000449393694</v>
      </c>
    </row>
    <row r="8298" customFormat="false" ht="15" hidden="false" customHeight="false" outlineLevel="0" collapsed="false">
      <c r="A8298" s="0" t="n">
        <v>8297</v>
      </c>
      <c r="B8298" s="14" t="n">
        <v>108620.162802602</v>
      </c>
      <c r="C8298" s="15" t="n">
        <v>0.0795331837911072</v>
      </c>
      <c r="D8298" s="14" t="n">
        <f aca="false">Summary!$B$5-B8298</f>
        <v>-8620.1628026018</v>
      </c>
      <c r="E8298" s="15" t="n">
        <f aca="false">B8298/Summary!$B$5-1</f>
        <v>0.0862016280260181</v>
      </c>
    </row>
    <row r="8299" customFormat="false" ht="15" hidden="false" customHeight="false" outlineLevel="0" collapsed="false">
      <c r="A8299" s="0" t="n">
        <v>8298</v>
      </c>
      <c r="B8299" s="14" t="n">
        <v>110036.469845533</v>
      </c>
      <c r="C8299" s="15" t="n">
        <v>0.105639715666075</v>
      </c>
      <c r="D8299" s="14" t="n">
        <f aca="false">Summary!$B$5-B8299</f>
        <v>-10036.4698455328</v>
      </c>
      <c r="E8299" s="15" t="n">
        <f aca="false">B8299/Summary!$B$5-1</f>
        <v>0.100364698455328</v>
      </c>
    </row>
    <row r="8300" customFormat="false" ht="15" hidden="false" customHeight="false" outlineLevel="0" collapsed="false">
      <c r="A8300" s="0" t="n">
        <v>8299</v>
      </c>
      <c r="B8300" s="14" t="n">
        <v>106299.332742753</v>
      </c>
      <c r="C8300" s="15" t="n">
        <v>0.071777443840206</v>
      </c>
      <c r="D8300" s="14" t="n">
        <f aca="false">Summary!$B$5-B8300</f>
        <v>-6299.3327427534</v>
      </c>
      <c r="E8300" s="15" t="n">
        <f aca="false">B8300/Summary!$B$5-1</f>
        <v>0.0629933274275341</v>
      </c>
    </row>
    <row r="8301" customFormat="false" ht="15" hidden="false" customHeight="false" outlineLevel="0" collapsed="false">
      <c r="A8301" s="0" t="n">
        <v>8300</v>
      </c>
      <c r="B8301" s="14" t="n">
        <v>102248.761547696</v>
      </c>
      <c r="C8301" s="15" t="n">
        <v>0.127391031633898</v>
      </c>
      <c r="D8301" s="14" t="n">
        <f aca="false">Summary!$B$5-B8301</f>
        <v>-2248.7615476964</v>
      </c>
      <c r="E8301" s="15" t="n">
        <f aca="false">B8301/Summary!$B$5-1</f>
        <v>0.022487615476964</v>
      </c>
    </row>
    <row r="8302" customFormat="false" ht="15" hidden="false" customHeight="false" outlineLevel="0" collapsed="false">
      <c r="A8302" s="0" t="n">
        <v>8301</v>
      </c>
      <c r="B8302" s="14" t="n">
        <v>125267.665644318</v>
      </c>
      <c r="C8302" s="15" t="n">
        <v>0.052681392040452</v>
      </c>
      <c r="D8302" s="14" t="n">
        <f aca="false">Summary!$B$5-B8302</f>
        <v>-25267.6656443178</v>
      </c>
      <c r="E8302" s="15" t="n">
        <f aca="false">B8302/Summary!$B$5-1</f>
        <v>0.252676656443178</v>
      </c>
    </row>
    <row r="8303" customFormat="false" ht="15" hidden="false" customHeight="false" outlineLevel="0" collapsed="false">
      <c r="A8303" s="0" t="n">
        <v>8302</v>
      </c>
      <c r="B8303" s="14" t="n">
        <v>127805.823089236</v>
      </c>
      <c r="C8303" s="15" t="n">
        <v>0.068140176967848</v>
      </c>
      <c r="D8303" s="14" t="n">
        <f aca="false">Summary!$B$5-B8303</f>
        <v>-27805.8230892359</v>
      </c>
      <c r="E8303" s="15" t="n">
        <f aca="false">B8303/Summary!$B$5-1</f>
        <v>0.278058230892359</v>
      </c>
    </row>
    <row r="8304" customFormat="false" ht="15" hidden="false" customHeight="false" outlineLevel="0" collapsed="false">
      <c r="A8304" s="0" t="n">
        <v>8303</v>
      </c>
      <c r="B8304" s="14" t="n">
        <v>92229.1033181631</v>
      </c>
      <c r="C8304" s="15" t="n">
        <v>0.0981140501795101</v>
      </c>
      <c r="D8304" s="14" t="n">
        <f aca="false">Summary!$B$5-B8304</f>
        <v>7770.89668183692</v>
      </c>
      <c r="E8304" s="15" t="n">
        <f aca="false">B8304/Summary!$B$5-1</f>
        <v>-0.0777089668183693</v>
      </c>
    </row>
    <row r="8305" customFormat="false" ht="15" hidden="false" customHeight="false" outlineLevel="0" collapsed="false">
      <c r="A8305" s="0" t="n">
        <v>8304</v>
      </c>
      <c r="B8305" s="14" t="n">
        <v>104327.667725333</v>
      </c>
      <c r="C8305" s="15" t="n">
        <v>0.0902792429275419</v>
      </c>
      <c r="D8305" s="14" t="n">
        <f aca="false">Summary!$B$5-B8305</f>
        <v>-4327.6677253329</v>
      </c>
      <c r="E8305" s="15" t="n">
        <f aca="false">B8305/Summary!$B$5-1</f>
        <v>0.0432766772533291</v>
      </c>
    </row>
    <row r="8306" customFormat="false" ht="15" hidden="false" customHeight="false" outlineLevel="0" collapsed="false">
      <c r="A8306" s="0" t="n">
        <v>8305</v>
      </c>
      <c r="B8306" s="14" t="n">
        <v>103755.663240554</v>
      </c>
      <c r="C8306" s="15" t="n">
        <v>0.124482034840545</v>
      </c>
      <c r="D8306" s="14" t="n">
        <f aca="false">Summary!$B$5-B8306</f>
        <v>-3755.66324055359</v>
      </c>
      <c r="E8306" s="15" t="n">
        <f aca="false">B8306/Summary!$B$5-1</f>
        <v>0.0375566324055359</v>
      </c>
    </row>
    <row r="8307" customFormat="false" ht="15" hidden="false" customHeight="false" outlineLevel="0" collapsed="false">
      <c r="A8307" s="0" t="n">
        <v>8306</v>
      </c>
      <c r="B8307" s="14" t="n">
        <v>109186.504553069</v>
      </c>
      <c r="C8307" s="15" t="n">
        <v>0.160865533510334</v>
      </c>
      <c r="D8307" s="14" t="n">
        <f aca="false">Summary!$B$5-B8307</f>
        <v>-9186.504553069</v>
      </c>
      <c r="E8307" s="15" t="n">
        <f aca="false">B8307/Summary!$B$5-1</f>
        <v>0.09186504553069</v>
      </c>
    </row>
    <row r="8308" customFormat="false" ht="15" hidden="false" customHeight="false" outlineLevel="0" collapsed="false">
      <c r="A8308" s="0" t="n">
        <v>8307</v>
      </c>
      <c r="B8308" s="14" t="n">
        <v>95803.1716468431</v>
      </c>
      <c r="C8308" s="15" t="n">
        <v>0.140706654630359</v>
      </c>
      <c r="D8308" s="14" t="n">
        <f aca="false">Summary!$B$5-B8308</f>
        <v>4196.82835315689</v>
      </c>
      <c r="E8308" s="15" t="n">
        <f aca="false">B8308/Summary!$B$5-1</f>
        <v>-0.0419682835315689</v>
      </c>
    </row>
    <row r="8309" customFormat="false" ht="15" hidden="false" customHeight="false" outlineLevel="0" collapsed="false">
      <c r="A8309" s="0" t="n">
        <v>8308</v>
      </c>
      <c r="B8309" s="14" t="n">
        <v>122720.380975421</v>
      </c>
      <c r="C8309" s="15" t="n">
        <v>0.0640908014273849</v>
      </c>
      <c r="D8309" s="14" t="n">
        <f aca="false">Summary!$B$5-B8309</f>
        <v>-22720.3809754206</v>
      </c>
      <c r="E8309" s="15" t="n">
        <f aca="false">B8309/Summary!$B$5-1</f>
        <v>0.227203809754206</v>
      </c>
    </row>
    <row r="8310" customFormat="false" ht="15" hidden="false" customHeight="false" outlineLevel="0" collapsed="false">
      <c r="A8310" s="0" t="n">
        <v>8309</v>
      </c>
      <c r="B8310" s="14" t="n">
        <v>96657.9387195601</v>
      </c>
      <c r="C8310" s="15" t="n">
        <v>0.147392827280242</v>
      </c>
      <c r="D8310" s="14" t="n">
        <f aca="false">Summary!$B$5-B8310</f>
        <v>3342.06128043993</v>
      </c>
      <c r="E8310" s="15" t="n">
        <f aca="false">B8310/Summary!$B$5-1</f>
        <v>-0.0334206128043992</v>
      </c>
    </row>
    <row r="8311" customFormat="false" ht="15" hidden="false" customHeight="false" outlineLevel="0" collapsed="false">
      <c r="A8311" s="0" t="n">
        <v>8310</v>
      </c>
      <c r="B8311" s="14" t="n">
        <v>105814.028330993</v>
      </c>
      <c r="C8311" s="15" t="n">
        <v>0.0756294257854983</v>
      </c>
      <c r="D8311" s="14" t="n">
        <f aca="false">Summary!$B$5-B8311</f>
        <v>-5814.02833099281</v>
      </c>
      <c r="E8311" s="15" t="n">
        <f aca="false">B8311/Summary!$B$5-1</f>
        <v>0.058140283309928</v>
      </c>
    </row>
    <row r="8312" customFormat="false" ht="15" hidden="false" customHeight="false" outlineLevel="0" collapsed="false">
      <c r="A8312" s="0" t="n">
        <v>8311</v>
      </c>
      <c r="B8312" s="14" t="n">
        <v>134401.105005434</v>
      </c>
      <c r="C8312" s="15" t="n">
        <v>0.0613436645442752</v>
      </c>
      <c r="D8312" s="14" t="n">
        <f aca="false">Summary!$B$5-B8312</f>
        <v>-34401.1050054342</v>
      </c>
      <c r="E8312" s="15" t="n">
        <f aca="false">B8312/Summary!$B$5-1</f>
        <v>0.344011050054342</v>
      </c>
    </row>
    <row r="8313" customFormat="false" ht="15" hidden="false" customHeight="false" outlineLevel="0" collapsed="false">
      <c r="A8313" s="0" t="n">
        <v>8312</v>
      </c>
      <c r="B8313" s="14" t="n">
        <v>107240.329233478</v>
      </c>
      <c r="C8313" s="15" t="n">
        <v>0.07395910136816</v>
      </c>
      <c r="D8313" s="14" t="n">
        <f aca="false">Summary!$B$5-B8313</f>
        <v>-7240.32923347771</v>
      </c>
      <c r="E8313" s="15" t="n">
        <f aca="false">B8313/Summary!$B$5-1</f>
        <v>0.0724032923347771</v>
      </c>
    </row>
    <row r="8314" customFormat="false" ht="15" hidden="false" customHeight="false" outlineLevel="0" collapsed="false">
      <c r="A8314" s="0" t="n">
        <v>8313</v>
      </c>
      <c r="B8314" s="14" t="n">
        <v>89874.6954794094</v>
      </c>
      <c r="C8314" s="15" t="n">
        <v>0.142105353401294</v>
      </c>
      <c r="D8314" s="14" t="n">
        <f aca="false">Summary!$B$5-B8314</f>
        <v>10125.3045205906</v>
      </c>
      <c r="E8314" s="15" t="n">
        <f aca="false">B8314/Summary!$B$5-1</f>
        <v>-0.101253045205906</v>
      </c>
    </row>
    <row r="8315" customFormat="false" ht="15" hidden="false" customHeight="false" outlineLevel="0" collapsed="false">
      <c r="A8315" s="0" t="n">
        <v>8314</v>
      </c>
      <c r="B8315" s="14" t="n">
        <v>129877.777838909</v>
      </c>
      <c r="C8315" s="15" t="n">
        <v>0.0408761274213906</v>
      </c>
      <c r="D8315" s="14" t="n">
        <f aca="false">Summary!$B$5-B8315</f>
        <v>-29877.7778389088</v>
      </c>
      <c r="E8315" s="15" t="n">
        <f aca="false">B8315/Summary!$B$5-1</f>
        <v>0.298777778389088</v>
      </c>
    </row>
    <row r="8316" customFormat="false" ht="15" hidden="false" customHeight="false" outlineLevel="0" collapsed="false">
      <c r="A8316" s="0" t="n">
        <v>8315</v>
      </c>
      <c r="B8316" s="14" t="n">
        <v>100071.74379348</v>
      </c>
      <c r="C8316" s="15" t="n">
        <v>0.105358315443996</v>
      </c>
      <c r="D8316" s="14" t="n">
        <f aca="false">Summary!$B$5-B8316</f>
        <v>-71.7437934796035</v>
      </c>
      <c r="E8316" s="15" t="n">
        <f aca="false">B8316/Summary!$B$5-1</f>
        <v>0.000717437934796061</v>
      </c>
    </row>
    <row r="8317" customFormat="false" ht="15" hidden="false" customHeight="false" outlineLevel="0" collapsed="false">
      <c r="A8317" s="0" t="n">
        <v>8316</v>
      </c>
      <c r="B8317" s="14" t="n">
        <v>104864.840693574</v>
      </c>
      <c r="C8317" s="15" t="n">
        <v>0.0946294651081441</v>
      </c>
      <c r="D8317" s="14" t="n">
        <f aca="false">Summary!$B$5-B8317</f>
        <v>-4864.8406935737</v>
      </c>
      <c r="E8317" s="15" t="n">
        <f aca="false">B8317/Summary!$B$5-1</f>
        <v>0.0486484069357369</v>
      </c>
    </row>
    <row r="8318" customFormat="false" ht="15" hidden="false" customHeight="false" outlineLevel="0" collapsed="false">
      <c r="A8318" s="0" t="n">
        <v>8317</v>
      </c>
      <c r="B8318" s="14" t="n">
        <v>110031.038534259</v>
      </c>
      <c r="C8318" s="15" t="n">
        <v>0.0876307346166884</v>
      </c>
      <c r="D8318" s="14" t="n">
        <f aca="false">Summary!$B$5-B8318</f>
        <v>-10031.0385342585</v>
      </c>
      <c r="E8318" s="15" t="n">
        <f aca="false">B8318/Summary!$B$5-1</f>
        <v>0.100310385342585</v>
      </c>
    </row>
    <row r="8319" customFormat="false" ht="15" hidden="false" customHeight="false" outlineLevel="0" collapsed="false">
      <c r="A8319" s="0" t="n">
        <v>8318</v>
      </c>
      <c r="B8319" s="14" t="n">
        <v>113580.240660444</v>
      </c>
      <c r="C8319" s="15" t="n">
        <v>0.0813107168093503</v>
      </c>
      <c r="D8319" s="14" t="n">
        <f aca="false">Summary!$B$5-B8319</f>
        <v>-13580.2406604442</v>
      </c>
      <c r="E8319" s="15" t="n">
        <f aca="false">B8319/Summary!$B$5-1</f>
        <v>0.135802406604442</v>
      </c>
    </row>
    <row r="8320" customFormat="false" ht="15" hidden="false" customHeight="false" outlineLevel="0" collapsed="false">
      <c r="A8320" s="0" t="n">
        <v>8319</v>
      </c>
      <c r="B8320" s="14" t="n">
        <v>102852.643082073</v>
      </c>
      <c r="C8320" s="15" t="n">
        <v>0.0986315741136846</v>
      </c>
      <c r="D8320" s="14" t="n">
        <f aca="false">Summary!$B$5-B8320</f>
        <v>-2852.6430820729</v>
      </c>
      <c r="E8320" s="15" t="n">
        <f aca="false">B8320/Summary!$B$5-1</f>
        <v>0.0285264308207289</v>
      </c>
    </row>
    <row r="8321" customFormat="false" ht="15" hidden="false" customHeight="false" outlineLevel="0" collapsed="false">
      <c r="A8321" s="0" t="n">
        <v>8320</v>
      </c>
      <c r="B8321" s="14" t="n">
        <v>96440.6897096793</v>
      </c>
      <c r="C8321" s="15" t="n">
        <v>0.122971654335007</v>
      </c>
      <c r="D8321" s="14" t="n">
        <f aca="false">Summary!$B$5-B8321</f>
        <v>3559.31029032075</v>
      </c>
      <c r="E8321" s="15" t="n">
        <f aca="false">B8321/Summary!$B$5-1</f>
        <v>-0.0355931029032075</v>
      </c>
    </row>
    <row r="8322" customFormat="false" ht="15" hidden="false" customHeight="false" outlineLevel="0" collapsed="false">
      <c r="A8322" s="0" t="n">
        <v>8321</v>
      </c>
      <c r="B8322" s="14" t="n">
        <v>129620.09842178</v>
      </c>
      <c r="C8322" s="15" t="n">
        <v>0.0853060810372937</v>
      </c>
      <c r="D8322" s="14" t="n">
        <f aca="false">Summary!$B$5-B8322</f>
        <v>-29620.0984217797</v>
      </c>
      <c r="E8322" s="15" t="n">
        <f aca="false">B8322/Summary!$B$5-1</f>
        <v>0.296200984217797</v>
      </c>
    </row>
    <row r="8323" customFormat="false" ht="15" hidden="false" customHeight="false" outlineLevel="0" collapsed="false">
      <c r="A8323" s="0" t="n">
        <v>8322</v>
      </c>
      <c r="B8323" s="14" t="n">
        <v>102282.752826003</v>
      </c>
      <c r="C8323" s="15" t="n">
        <v>0.0690113595941683</v>
      </c>
      <c r="D8323" s="14" t="n">
        <f aca="false">Summary!$B$5-B8323</f>
        <v>-2282.7528260026</v>
      </c>
      <c r="E8323" s="15" t="n">
        <f aca="false">B8323/Summary!$B$5-1</f>
        <v>0.0228275282600261</v>
      </c>
    </row>
    <row r="8324" customFormat="false" ht="15" hidden="false" customHeight="false" outlineLevel="0" collapsed="false">
      <c r="A8324" s="0" t="n">
        <v>8323</v>
      </c>
      <c r="B8324" s="14" t="n">
        <v>119200.810730775</v>
      </c>
      <c r="C8324" s="15" t="n">
        <v>0.0874164804697682</v>
      </c>
      <c r="D8324" s="14" t="n">
        <f aca="false">Summary!$B$5-B8324</f>
        <v>-19200.8107307745</v>
      </c>
      <c r="E8324" s="15" t="n">
        <f aca="false">B8324/Summary!$B$5-1</f>
        <v>0.192008107307745</v>
      </c>
    </row>
    <row r="8325" customFormat="false" ht="15" hidden="false" customHeight="false" outlineLevel="0" collapsed="false">
      <c r="A8325" s="0" t="n">
        <v>8324</v>
      </c>
      <c r="B8325" s="14" t="n">
        <v>109746.790582478</v>
      </c>
      <c r="C8325" s="15" t="n">
        <v>0.19784367990531</v>
      </c>
      <c r="D8325" s="14" t="n">
        <f aca="false">Summary!$B$5-B8325</f>
        <v>-9746.7905824784</v>
      </c>
      <c r="E8325" s="15" t="n">
        <f aca="false">B8325/Summary!$B$5-1</f>
        <v>0.097467905824784</v>
      </c>
    </row>
    <row r="8326" customFormat="false" ht="15" hidden="false" customHeight="false" outlineLevel="0" collapsed="false">
      <c r="A8326" s="0" t="n">
        <v>8325</v>
      </c>
      <c r="B8326" s="14" t="n">
        <v>100470.276891233</v>
      </c>
      <c r="C8326" s="15" t="n">
        <v>0.103123791663432</v>
      </c>
      <c r="D8326" s="14" t="n">
        <f aca="false">Summary!$B$5-B8326</f>
        <v>-470.276891232701</v>
      </c>
      <c r="E8326" s="15" t="n">
        <f aca="false">B8326/Summary!$B$5-1</f>
        <v>0.0047027689123269</v>
      </c>
    </row>
    <row r="8327" customFormat="false" ht="15" hidden="false" customHeight="false" outlineLevel="0" collapsed="false">
      <c r="A8327" s="0" t="n">
        <v>8326</v>
      </c>
      <c r="B8327" s="14" t="n">
        <v>116765.513754943</v>
      </c>
      <c r="C8327" s="15" t="n">
        <v>0.115554355042701</v>
      </c>
      <c r="D8327" s="14" t="n">
        <f aca="false">Summary!$B$5-B8327</f>
        <v>-16765.513754943</v>
      </c>
      <c r="E8327" s="15" t="n">
        <f aca="false">B8327/Summary!$B$5-1</f>
        <v>0.16765513754943</v>
      </c>
    </row>
    <row r="8328" customFormat="false" ht="15" hidden="false" customHeight="false" outlineLevel="0" collapsed="false">
      <c r="A8328" s="0" t="n">
        <v>8327</v>
      </c>
      <c r="B8328" s="14" t="n">
        <v>102984.163978189</v>
      </c>
      <c r="C8328" s="15" t="n">
        <v>0.126790816371145</v>
      </c>
      <c r="D8328" s="14" t="n">
        <f aca="false">Summary!$B$5-B8328</f>
        <v>-2984.1639781891</v>
      </c>
      <c r="E8328" s="15" t="n">
        <f aca="false">B8328/Summary!$B$5-1</f>
        <v>0.029841639781891</v>
      </c>
    </row>
    <row r="8329" customFormat="false" ht="15" hidden="false" customHeight="false" outlineLevel="0" collapsed="false">
      <c r="A8329" s="0" t="n">
        <v>8328</v>
      </c>
      <c r="B8329" s="14" t="n">
        <v>128258.388293546</v>
      </c>
      <c r="C8329" s="15" t="n">
        <v>0.064446654798919</v>
      </c>
      <c r="D8329" s="14" t="n">
        <f aca="false">Summary!$B$5-B8329</f>
        <v>-28258.3882935455</v>
      </c>
      <c r="E8329" s="15" t="n">
        <f aca="false">B8329/Summary!$B$5-1</f>
        <v>0.282583882935455</v>
      </c>
    </row>
    <row r="8330" customFormat="false" ht="15" hidden="false" customHeight="false" outlineLevel="0" collapsed="false">
      <c r="A8330" s="0" t="n">
        <v>8329</v>
      </c>
      <c r="B8330" s="14" t="n">
        <v>113280.798186583</v>
      </c>
      <c r="C8330" s="15" t="n">
        <v>0.0576174638269057</v>
      </c>
      <c r="D8330" s="14" t="n">
        <f aca="false">Summary!$B$5-B8330</f>
        <v>-13280.7981865829</v>
      </c>
      <c r="E8330" s="15" t="n">
        <f aca="false">B8330/Summary!$B$5-1</f>
        <v>0.132807981865829</v>
      </c>
    </row>
    <row r="8331" customFormat="false" ht="15" hidden="false" customHeight="false" outlineLevel="0" collapsed="false">
      <c r="A8331" s="0" t="n">
        <v>8330</v>
      </c>
      <c r="B8331" s="14" t="n">
        <v>136686.272340586</v>
      </c>
      <c r="C8331" s="15" t="n">
        <v>0.0996379565480239</v>
      </c>
      <c r="D8331" s="14" t="n">
        <f aca="false">Summary!$B$5-B8331</f>
        <v>-36686.2723405856</v>
      </c>
      <c r="E8331" s="15" t="n">
        <f aca="false">B8331/Summary!$B$5-1</f>
        <v>0.366862723405856</v>
      </c>
    </row>
    <row r="8332" customFormat="false" ht="15" hidden="false" customHeight="false" outlineLevel="0" collapsed="false">
      <c r="A8332" s="0" t="n">
        <v>8331</v>
      </c>
      <c r="B8332" s="14" t="n">
        <v>122932.276579451</v>
      </c>
      <c r="C8332" s="15" t="n">
        <v>0.0747337128147948</v>
      </c>
      <c r="D8332" s="14" t="n">
        <f aca="false">Summary!$B$5-B8332</f>
        <v>-22932.2765794506</v>
      </c>
      <c r="E8332" s="15" t="n">
        <f aca="false">B8332/Summary!$B$5-1</f>
        <v>0.229322765794506</v>
      </c>
    </row>
    <row r="8333" customFormat="false" ht="15" hidden="false" customHeight="false" outlineLevel="0" collapsed="false">
      <c r="A8333" s="0" t="n">
        <v>8332</v>
      </c>
      <c r="B8333" s="14" t="n">
        <v>120306.235164279</v>
      </c>
      <c r="C8333" s="15" t="n">
        <v>0.0781502685419291</v>
      </c>
      <c r="D8333" s="14" t="n">
        <f aca="false">Summary!$B$5-B8333</f>
        <v>-20306.235164279</v>
      </c>
      <c r="E8333" s="15" t="n">
        <f aca="false">B8333/Summary!$B$5-1</f>
        <v>0.20306235164279</v>
      </c>
    </row>
    <row r="8334" customFormat="false" ht="15" hidden="false" customHeight="false" outlineLevel="0" collapsed="false">
      <c r="A8334" s="0" t="n">
        <v>8333</v>
      </c>
      <c r="B8334" s="14" t="n">
        <v>142966.757363801</v>
      </c>
      <c r="C8334" s="15" t="n">
        <v>0.0583277849176261</v>
      </c>
      <c r="D8334" s="14" t="n">
        <f aca="false">Summary!$B$5-B8334</f>
        <v>-42966.7573638008</v>
      </c>
      <c r="E8334" s="15" t="n">
        <f aca="false">B8334/Summary!$B$5-1</f>
        <v>0.429667573638008</v>
      </c>
    </row>
    <row r="8335" customFormat="false" ht="15" hidden="false" customHeight="false" outlineLevel="0" collapsed="false">
      <c r="A8335" s="0" t="n">
        <v>8334</v>
      </c>
      <c r="B8335" s="14" t="n">
        <v>110842.250688271</v>
      </c>
      <c r="C8335" s="15" t="n">
        <v>0.0538656961742866</v>
      </c>
      <c r="D8335" s="14" t="n">
        <f aca="false">Summary!$B$5-B8335</f>
        <v>-10842.250688271</v>
      </c>
      <c r="E8335" s="15" t="n">
        <f aca="false">B8335/Summary!$B$5-1</f>
        <v>0.10842250688271</v>
      </c>
    </row>
    <row r="8336" customFormat="false" ht="15" hidden="false" customHeight="false" outlineLevel="0" collapsed="false">
      <c r="A8336" s="0" t="n">
        <v>8335</v>
      </c>
      <c r="B8336" s="14" t="n">
        <v>135049.656316087</v>
      </c>
      <c r="C8336" s="15" t="n">
        <v>0.0407047869543035</v>
      </c>
      <c r="D8336" s="14" t="n">
        <f aca="false">Summary!$B$5-B8336</f>
        <v>-35049.6563160874</v>
      </c>
      <c r="E8336" s="15" t="n">
        <f aca="false">B8336/Summary!$B$5-1</f>
        <v>0.350496563160874</v>
      </c>
    </row>
    <row r="8337" customFormat="false" ht="15" hidden="false" customHeight="false" outlineLevel="0" collapsed="false">
      <c r="A8337" s="0" t="n">
        <v>8336</v>
      </c>
      <c r="B8337" s="14" t="n">
        <v>99781.3157367113</v>
      </c>
      <c r="C8337" s="15" t="n">
        <v>0.0817271905905393</v>
      </c>
      <c r="D8337" s="14" t="n">
        <f aca="false">Summary!$B$5-B8337</f>
        <v>218.684263288698</v>
      </c>
      <c r="E8337" s="15" t="n">
        <f aca="false">B8337/Summary!$B$5-1</f>
        <v>-0.00218684263288693</v>
      </c>
    </row>
    <row r="8338" customFormat="false" ht="15" hidden="false" customHeight="false" outlineLevel="0" collapsed="false">
      <c r="A8338" s="0" t="n">
        <v>8337</v>
      </c>
      <c r="B8338" s="14" t="n">
        <v>108166.037081768</v>
      </c>
      <c r="C8338" s="15" t="n">
        <v>0.12440404641493</v>
      </c>
      <c r="D8338" s="14" t="n">
        <f aca="false">Summary!$B$5-B8338</f>
        <v>-8166.03708176799</v>
      </c>
      <c r="E8338" s="15" t="n">
        <f aca="false">B8338/Summary!$B$5-1</f>
        <v>0.08166037081768</v>
      </c>
    </row>
    <row r="8339" customFormat="false" ht="15" hidden="false" customHeight="false" outlineLevel="0" collapsed="false">
      <c r="A8339" s="0" t="n">
        <v>8338</v>
      </c>
      <c r="B8339" s="14" t="n">
        <v>130016.256540888</v>
      </c>
      <c r="C8339" s="15" t="n">
        <v>0.0751729991707588</v>
      </c>
      <c r="D8339" s="14" t="n">
        <f aca="false">Summary!$B$5-B8339</f>
        <v>-30016.2565408881</v>
      </c>
      <c r="E8339" s="15" t="n">
        <f aca="false">B8339/Summary!$B$5-1</f>
        <v>0.300162565408881</v>
      </c>
    </row>
    <row r="8340" customFormat="false" ht="15" hidden="false" customHeight="false" outlineLevel="0" collapsed="false">
      <c r="A8340" s="0" t="n">
        <v>8339</v>
      </c>
      <c r="B8340" s="14" t="n">
        <v>133331.788323076</v>
      </c>
      <c r="C8340" s="15" t="n">
        <v>0.060485224634907</v>
      </c>
      <c r="D8340" s="14" t="n">
        <f aca="false">Summary!$B$5-B8340</f>
        <v>-33331.7883230758</v>
      </c>
      <c r="E8340" s="15" t="n">
        <f aca="false">B8340/Summary!$B$5-1</f>
        <v>0.333317883230758</v>
      </c>
    </row>
    <row r="8341" customFormat="false" ht="15" hidden="false" customHeight="false" outlineLevel="0" collapsed="false">
      <c r="A8341" s="0" t="n">
        <v>8340</v>
      </c>
      <c r="B8341" s="14" t="n">
        <v>113074.919974092</v>
      </c>
      <c r="C8341" s="15" t="n">
        <v>0.0499600848432646</v>
      </c>
      <c r="D8341" s="14" t="n">
        <f aca="false">Summary!$B$5-B8341</f>
        <v>-13074.9199740915</v>
      </c>
      <c r="E8341" s="15" t="n">
        <f aca="false">B8341/Summary!$B$5-1</f>
        <v>0.130749199740915</v>
      </c>
    </row>
    <row r="8342" customFormat="false" ht="15" hidden="false" customHeight="false" outlineLevel="0" collapsed="false">
      <c r="A8342" s="0" t="n">
        <v>8341</v>
      </c>
      <c r="B8342" s="14" t="n">
        <v>122277.42182416</v>
      </c>
      <c r="C8342" s="15" t="n">
        <v>0.0629572195598869</v>
      </c>
      <c r="D8342" s="14" t="n">
        <f aca="false">Summary!$B$5-B8342</f>
        <v>-22277.4218241599</v>
      </c>
      <c r="E8342" s="15" t="n">
        <f aca="false">B8342/Summary!$B$5-1</f>
        <v>0.222774218241599</v>
      </c>
    </row>
    <row r="8343" customFormat="false" ht="15" hidden="false" customHeight="false" outlineLevel="0" collapsed="false">
      <c r="A8343" s="0" t="n">
        <v>8342</v>
      </c>
      <c r="B8343" s="14" t="n">
        <v>112276.951563385</v>
      </c>
      <c r="C8343" s="15" t="n">
        <v>0.124329977175218</v>
      </c>
      <c r="D8343" s="14" t="n">
        <f aca="false">Summary!$B$5-B8343</f>
        <v>-12276.951563385</v>
      </c>
      <c r="E8343" s="15" t="n">
        <f aca="false">B8343/Summary!$B$5-1</f>
        <v>0.12276951563385</v>
      </c>
    </row>
    <row r="8344" customFormat="false" ht="15" hidden="false" customHeight="false" outlineLevel="0" collapsed="false">
      <c r="A8344" s="0" t="n">
        <v>8343</v>
      </c>
      <c r="B8344" s="14" t="n">
        <v>104011.515558801</v>
      </c>
      <c r="C8344" s="15" t="n">
        <v>0.0729479708706496</v>
      </c>
      <c r="D8344" s="14" t="n">
        <f aca="false">Summary!$B$5-B8344</f>
        <v>-4011.5155588014</v>
      </c>
      <c r="E8344" s="15" t="n">
        <f aca="false">B8344/Summary!$B$5-1</f>
        <v>0.0401151555880139</v>
      </c>
    </row>
    <row r="8345" customFormat="false" ht="15" hidden="false" customHeight="false" outlineLevel="0" collapsed="false">
      <c r="A8345" s="0" t="n">
        <v>8344</v>
      </c>
      <c r="B8345" s="14" t="n">
        <v>100751.797835983</v>
      </c>
      <c r="C8345" s="15" t="n">
        <v>0.094039420832381</v>
      </c>
      <c r="D8345" s="14" t="n">
        <f aca="false">Summary!$B$5-B8345</f>
        <v>-751.797835982798</v>
      </c>
      <c r="E8345" s="15" t="n">
        <f aca="false">B8345/Summary!$B$5-1</f>
        <v>0.00751797835982804</v>
      </c>
    </row>
    <row r="8346" customFormat="false" ht="15" hidden="false" customHeight="false" outlineLevel="0" collapsed="false">
      <c r="A8346" s="0" t="n">
        <v>8345</v>
      </c>
      <c r="B8346" s="14" t="n">
        <v>121939.121357527</v>
      </c>
      <c r="C8346" s="15" t="n">
        <v>0.064117047652843</v>
      </c>
      <c r="D8346" s="14" t="n">
        <f aca="false">Summary!$B$5-B8346</f>
        <v>-21939.1213575272</v>
      </c>
      <c r="E8346" s="15" t="n">
        <f aca="false">B8346/Summary!$B$5-1</f>
        <v>0.219391213575272</v>
      </c>
    </row>
    <row r="8347" customFormat="false" ht="15" hidden="false" customHeight="false" outlineLevel="0" collapsed="false">
      <c r="A8347" s="0" t="n">
        <v>8346</v>
      </c>
      <c r="B8347" s="14" t="n">
        <v>110624.284879083</v>
      </c>
      <c r="C8347" s="15" t="n">
        <v>0.0704123749157579</v>
      </c>
      <c r="D8347" s="14" t="n">
        <f aca="false">Summary!$B$5-B8347</f>
        <v>-10624.2848790832</v>
      </c>
      <c r="E8347" s="15" t="n">
        <f aca="false">B8347/Summary!$B$5-1</f>
        <v>0.106242848790832</v>
      </c>
    </row>
    <row r="8348" customFormat="false" ht="15" hidden="false" customHeight="false" outlineLevel="0" collapsed="false">
      <c r="A8348" s="0" t="n">
        <v>8347</v>
      </c>
      <c r="B8348" s="14" t="n">
        <v>110163.551427805</v>
      </c>
      <c r="C8348" s="15" t="n">
        <v>0.0731993952006292</v>
      </c>
      <c r="D8348" s="14" t="n">
        <f aca="false">Summary!$B$5-B8348</f>
        <v>-10163.551427805</v>
      </c>
      <c r="E8348" s="15" t="n">
        <f aca="false">B8348/Summary!$B$5-1</f>
        <v>0.10163551427805</v>
      </c>
    </row>
    <row r="8349" customFormat="false" ht="15" hidden="false" customHeight="false" outlineLevel="0" collapsed="false">
      <c r="A8349" s="0" t="n">
        <v>8348</v>
      </c>
      <c r="B8349" s="14" t="n">
        <v>92643.3286634315</v>
      </c>
      <c r="C8349" s="15" t="n">
        <v>0.114737774103414</v>
      </c>
      <c r="D8349" s="14" t="n">
        <f aca="false">Summary!$B$5-B8349</f>
        <v>7356.67133656847</v>
      </c>
      <c r="E8349" s="15" t="n">
        <f aca="false">B8349/Summary!$B$5-1</f>
        <v>-0.0735667133656847</v>
      </c>
    </row>
    <row r="8350" customFormat="false" ht="15" hidden="false" customHeight="false" outlineLevel="0" collapsed="false">
      <c r="A8350" s="0" t="n">
        <v>8349</v>
      </c>
      <c r="B8350" s="14" t="n">
        <v>124393.869720044</v>
      </c>
      <c r="C8350" s="15" t="n">
        <v>0.0847387316424351</v>
      </c>
      <c r="D8350" s="14" t="n">
        <f aca="false">Summary!$B$5-B8350</f>
        <v>-24393.8697200443</v>
      </c>
      <c r="E8350" s="15" t="n">
        <f aca="false">B8350/Summary!$B$5-1</f>
        <v>0.243938697200443</v>
      </c>
    </row>
    <row r="8351" customFormat="false" ht="15" hidden="false" customHeight="false" outlineLevel="0" collapsed="false">
      <c r="A8351" s="0" t="n">
        <v>8350</v>
      </c>
      <c r="B8351" s="14" t="n">
        <v>107961.393898804</v>
      </c>
      <c r="C8351" s="15" t="n">
        <v>0.109738423108173</v>
      </c>
      <c r="D8351" s="14" t="n">
        <f aca="false">Summary!$B$5-B8351</f>
        <v>-7961.3938988039</v>
      </c>
      <c r="E8351" s="15" t="n">
        <f aca="false">B8351/Summary!$B$5-1</f>
        <v>0.079613938988039</v>
      </c>
    </row>
    <row r="8352" customFormat="false" ht="15" hidden="false" customHeight="false" outlineLevel="0" collapsed="false">
      <c r="A8352" s="0" t="n">
        <v>8351</v>
      </c>
      <c r="B8352" s="14" t="n">
        <v>92963.0425920023</v>
      </c>
      <c r="C8352" s="15" t="n">
        <v>0.177612248057565</v>
      </c>
      <c r="D8352" s="14" t="n">
        <f aca="false">Summary!$B$5-B8352</f>
        <v>7036.95740799775</v>
      </c>
      <c r="E8352" s="15" t="n">
        <f aca="false">B8352/Summary!$B$5-1</f>
        <v>-0.0703695740799775</v>
      </c>
    </row>
    <row r="8353" customFormat="false" ht="15" hidden="false" customHeight="false" outlineLevel="0" collapsed="false">
      <c r="A8353" s="0" t="n">
        <v>8352</v>
      </c>
      <c r="B8353" s="14" t="n">
        <v>111611.340244606</v>
      </c>
      <c r="C8353" s="15" t="n">
        <v>0.0879034932808199</v>
      </c>
      <c r="D8353" s="14" t="n">
        <f aca="false">Summary!$B$5-B8353</f>
        <v>-11611.3402446056</v>
      </c>
      <c r="E8353" s="15" t="n">
        <f aca="false">B8353/Summary!$B$5-1</f>
        <v>0.116113402446056</v>
      </c>
    </row>
    <row r="8354" customFormat="false" ht="15" hidden="false" customHeight="false" outlineLevel="0" collapsed="false">
      <c r="A8354" s="0" t="n">
        <v>8353</v>
      </c>
      <c r="B8354" s="14" t="n">
        <v>93422.260371017</v>
      </c>
      <c r="C8354" s="15" t="n">
        <v>0.116669322524092</v>
      </c>
      <c r="D8354" s="14" t="n">
        <f aca="false">Summary!$B$5-B8354</f>
        <v>6577.73962898299</v>
      </c>
      <c r="E8354" s="15" t="n">
        <f aca="false">B8354/Summary!$B$5-1</f>
        <v>-0.0657773962898299</v>
      </c>
    </row>
    <row r="8355" customFormat="false" ht="15" hidden="false" customHeight="false" outlineLevel="0" collapsed="false">
      <c r="A8355" s="0" t="n">
        <v>8354</v>
      </c>
      <c r="B8355" s="14" t="n">
        <v>110636.769570652</v>
      </c>
      <c r="C8355" s="15" t="n">
        <v>0.0706739593303994</v>
      </c>
      <c r="D8355" s="14" t="n">
        <f aca="false">Summary!$B$5-B8355</f>
        <v>-10636.7695706521</v>
      </c>
      <c r="E8355" s="15" t="n">
        <f aca="false">B8355/Summary!$B$5-1</f>
        <v>0.106367695706521</v>
      </c>
    </row>
    <row r="8356" customFormat="false" ht="15" hidden="false" customHeight="false" outlineLevel="0" collapsed="false">
      <c r="A8356" s="0" t="n">
        <v>8355</v>
      </c>
      <c r="B8356" s="14" t="n">
        <v>108706.274752193</v>
      </c>
      <c r="C8356" s="15" t="n">
        <v>0.0864820513051938</v>
      </c>
      <c r="D8356" s="14" t="n">
        <f aca="false">Summary!$B$5-B8356</f>
        <v>-8706.2747521931</v>
      </c>
      <c r="E8356" s="15" t="n">
        <f aca="false">B8356/Summary!$B$5-1</f>
        <v>0.087062747521931</v>
      </c>
    </row>
    <row r="8357" customFormat="false" ht="15" hidden="false" customHeight="false" outlineLevel="0" collapsed="false">
      <c r="A8357" s="0" t="n">
        <v>8356</v>
      </c>
      <c r="B8357" s="14" t="n">
        <v>136782.141768716</v>
      </c>
      <c r="C8357" s="15" t="n">
        <v>0.0474298606296312</v>
      </c>
      <c r="D8357" s="14" t="n">
        <f aca="false">Summary!$B$5-B8357</f>
        <v>-36782.1417687155</v>
      </c>
      <c r="E8357" s="15" t="n">
        <f aca="false">B8357/Summary!$B$5-1</f>
        <v>0.367821417687155</v>
      </c>
    </row>
    <row r="8358" customFormat="false" ht="15" hidden="false" customHeight="false" outlineLevel="0" collapsed="false">
      <c r="A8358" s="0" t="n">
        <v>8357</v>
      </c>
      <c r="B8358" s="14" t="n">
        <v>108281.90850495</v>
      </c>
      <c r="C8358" s="15" t="n">
        <v>0.153892914375436</v>
      </c>
      <c r="D8358" s="14" t="n">
        <f aca="false">Summary!$B$5-B8358</f>
        <v>-8281.9085049498</v>
      </c>
      <c r="E8358" s="15" t="n">
        <f aca="false">B8358/Summary!$B$5-1</f>
        <v>0.0828190850494979</v>
      </c>
    </row>
    <row r="8359" customFormat="false" ht="15" hidden="false" customHeight="false" outlineLevel="0" collapsed="false">
      <c r="A8359" s="0" t="n">
        <v>8358</v>
      </c>
      <c r="B8359" s="14" t="n">
        <v>114330.015140783</v>
      </c>
      <c r="C8359" s="15" t="n">
        <v>0.0986041413201919</v>
      </c>
      <c r="D8359" s="14" t="n">
        <f aca="false">Summary!$B$5-B8359</f>
        <v>-14330.0151407834</v>
      </c>
      <c r="E8359" s="15" t="n">
        <f aca="false">B8359/Summary!$B$5-1</f>
        <v>0.143300151407834</v>
      </c>
    </row>
    <row r="8360" customFormat="false" ht="15" hidden="false" customHeight="false" outlineLevel="0" collapsed="false">
      <c r="A8360" s="0" t="n">
        <v>8359</v>
      </c>
      <c r="B8360" s="14" t="n">
        <v>110591.13293207</v>
      </c>
      <c r="C8360" s="15" t="n">
        <v>0.0887074160106807</v>
      </c>
      <c r="D8360" s="14" t="n">
        <f aca="false">Summary!$B$5-B8360</f>
        <v>-10591.1329320702</v>
      </c>
      <c r="E8360" s="15" t="n">
        <f aca="false">B8360/Summary!$B$5-1</f>
        <v>0.105911329320702</v>
      </c>
    </row>
    <row r="8361" customFormat="false" ht="15" hidden="false" customHeight="false" outlineLevel="0" collapsed="false">
      <c r="A8361" s="0" t="n">
        <v>8360</v>
      </c>
      <c r="B8361" s="14" t="n">
        <v>118739.592153143</v>
      </c>
      <c r="C8361" s="15" t="n">
        <v>0.0946840042918293</v>
      </c>
      <c r="D8361" s="14" t="n">
        <f aca="false">Summary!$B$5-B8361</f>
        <v>-18739.5921531432</v>
      </c>
      <c r="E8361" s="15" t="n">
        <f aca="false">B8361/Summary!$B$5-1</f>
        <v>0.187395921531432</v>
      </c>
    </row>
    <row r="8362" customFormat="false" ht="15" hidden="false" customHeight="false" outlineLevel="0" collapsed="false">
      <c r="A8362" s="0" t="n">
        <v>8361</v>
      </c>
      <c r="B8362" s="14" t="n">
        <v>144711.414640183</v>
      </c>
      <c r="C8362" s="15" t="n">
        <v>0.0551190352832035</v>
      </c>
      <c r="D8362" s="14" t="n">
        <f aca="false">Summary!$B$5-B8362</f>
        <v>-44711.4146401832</v>
      </c>
      <c r="E8362" s="15" t="n">
        <f aca="false">B8362/Summary!$B$5-1</f>
        <v>0.447114146401832</v>
      </c>
    </row>
    <row r="8363" customFormat="false" ht="15" hidden="false" customHeight="false" outlineLevel="0" collapsed="false">
      <c r="A8363" s="0" t="n">
        <v>8362</v>
      </c>
      <c r="B8363" s="14" t="n">
        <v>107990.826058114</v>
      </c>
      <c r="C8363" s="15" t="n">
        <v>0.0858083405051678</v>
      </c>
      <c r="D8363" s="14" t="n">
        <f aca="false">Summary!$B$5-B8363</f>
        <v>-7990.8260581139</v>
      </c>
      <c r="E8363" s="15" t="n">
        <f aca="false">B8363/Summary!$B$5-1</f>
        <v>0.079908260581139</v>
      </c>
    </row>
    <row r="8364" customFormat="false" ht="15" hidden="false" customHeight="false" outlineLevel="0" collapsed="false">
      <c r="A8364" s="0" t="n">
        <v>8363</v>
      </c>
      <c r="B8364" s="14" t="n">
        <v>100538.853777962</v>
      </c>
      <c r="C8364" s="15" t="n">
        <v>0.10813578713842</v>
      </c>
      <c r="D8364" s="14" t="n">
        <f aca="false">Summary!$B$5-B8364</f>
        <v>-538.853777962402</v>
      </c>
      <c r="E8364" s="15" t="n">
        <f aca="false">B8364/Summary!$B$5-1</f>
        <v>0.00538853777962411</v>
      </c>
    </row>
    <row r="8365" customFormat="false" ht="15" hidden="false" customHeight="false" outlineLevel="0" collapsed="false">
      <c r="A8365" s="0" t="n">
        <v>8364</v>
      </c>
      <c r="B8365" s="14" t="n">
        <v>108133.691238676</v>
      </c>
      <c r="C8365" s="15" t="n">
        <v>0.1390349799901</v>
      </c>
      <c r="D8365" s="14" t="n">
        <f aca="false">Summary!$B$5-B8365</f>
        <v>-8133.69123867591</v>
      </c>
      <c r="E8365" s="15" t="n">
        <f aca="false">B8365/Summary!$B$5-1</f>
        <v>0.0813369123867591</v>
      </c>
    </row>
    <row r="8366" customFormat="false" ht="15" hidden="false" customHeight="false" outlineLevel="0" collapsed="false">
      <c r="A8366" s="0" t="n">
        <v>8365</v>
      </c>
      <c r="B8366" s="14" t="n">
        <v>115677.820108683</v>
      </c>
      <c r="C8366" s="15" t="n">
        <v>0.101144201593811</v>
      </c>
      <c r="D8366" s="14" t="n">
        <f aca="false">Summary!$B$5-B8366</f>
        <v>-15677.8201086827</v>
      </c>
      <c r="E8366" s="15" t="n">
        <f aca="false">B8366/Summary!$B$5-1</f>
        <v>0.156778201086827</v>
      </c>
    </row>
    <row r="8367" customFormat="false" ht="15" hidden="false" customHeight="false" outlineLevel="0" collapsed="false">
      <c r="A8367" s="0" t="n">
        <v>8366</v>
      </c>
      <c r="B8367" s="14" t="n">
        <v>83696.0988565226</v>
      </c>
      <c r="C8367" s="15" t="n">
        <v>0.253849256030071</v>
      </c>
      <c r="D8367" s="14" t="n">
        <f aca="false">Summary!$B$5-B8367</f>
        <v>16303.9011434774</v>
      </c>
      <c r="E8367" s="15" t="n">
        <f aca="false">B8367/Summary!$B$5-1</f>
        <v>-0.163039011434774</v>
      </c>
    </row>
    <row r="8368" customFormat="false" ht="15" hidden="false" customHeight="false" outlineLevel="0" collapsed="false">
      <c r="A8368" s="0" t="n">
        <v>8367</v>
      </c>
      <c r="B8368" s="14" t="n">
        <v>104520.218420813</v>
      </c>
      <c r="C8368" s="15" t="n">
        <v>0.127954771661102</v>
      </c>
      <c r="D8368" s="14" t="n">
        <f aca="false">Summary!$B$5-B8368</f>
        <v>-4520.2184208125</v>
      </c>
      <c r="E8368" s="15" t="n">
        <f aca="false">B8368/Summary!$B$5-1</f>
        <v>0.0452021842081249</v>
      </c>
    </row>
    <row r="8369" customFormat="false" ht="15" hidden="false" customHeight="false" outlineLevel="0" collapsed="false">
      <c r="A8369" s="0" t="n">
        <v>8368</v>
      </c>
      <c r="B8369" s="14" t="n">
        <v>118429.717411163</v>
      </c>
      <c r="C8369" s="15" t="n">
        <v>0.0704695472816806</v>
      </c>
      <c r="D8369" s="14" t="n">
        <f aca="false">Summary!$B$5-B8369</f>
        <v>-18429.7174111634</v>
      </c>
      <c r="E8369" s="15" t="n">
        <f aca="false">B8369/Summary!$B$5-1</f>
        <v>0.184297174111634</v>
      </c>
    </row>
    <row r="8370" customFormat="false" ht="15" hidden="false" customHeight="false" outlineLevel="0" collapsed="false">
      <c r="A8370" s="0" t="n">
        <v>8369</v>
      </c>
      <c r="B8370" s="14" t="n">
        <v>99513.4935070393</v>
      </c>
      <c r="C8370" s="15" t="n">
        <v>0.107771011596375</v>
      </c>
      <c r="D8370" s="14" t="n">
        <f aca="false">Summary!$B$5-B8370</f>
        <v>486.506492960732</v>
      </c>
      <c r="E8370" s="15" t="n">
        <f aca="false">B8370/Summary!$B$5-1</f>
        <v>-0.00486506492960737</v>
      </c>
    </row>
    <row r="8371" customFormat="false" ht="15" hidden="false" customHeight="false" outlineLevel="0" collapsed="false">
      <c r="A8371" s="0" t="n">
        <v>8370</v>
      </c>
      <c r="B8371" s="14" t="n">
        <v>118302.746485077</v>
      </c>
      <c r="C8371" s="15" t="n">
        <v>0.0789078725687474</v>
      </c>
      <c r="D8371" s="14" t="n">
        <f aca="false">Summary!$B$5-B8371</f>
        <v>-18302.746485077</v>
      </c>
      <c r="E8371" s="15" t="n">
        <f aca="false">B8371/Summary!$B$5-1</f>
        <v>0.18302746485077</v>
      </c>
    </row>
    <row r="8372" customFormat="false" ht="15" hidden="false" customHeight="false" outlineLevel="0" collapsed="false">
      <c r="A8372" s="0" t="n">
        <v>8371</v>
      </c>
      <c r="B8372" s="14" t="n">
        <v>124741.708274293</v>
      </c>
      <c r="C8372" s="15" t="n">
        <v>0.0737292909873396</v>
      </c>
      <c r="D8372" s="14" t="n">
        <f aca="false">Summary!$B$5-B8372</f>
        <v>-24741.7082742929</v>
      </c>
      <c r="E8372" s="15" t="n">
        <f aca="false">B8372/Summary!$B$5-1</f>
        <v>0.247417082742929</v>
      </c>
    </row>
    <row r="8373" customFormat="false" ht="15" hidden="false" customHeight="false" outlineLevel="0" collapsed="false">
      <c r="A8373" s="0" t="n">
        <v>8372</v>
      </c>
      <c r="B8373" s="14" t="n">
        <v>120527.385718333</v>
      </c>
      <c r="C8373" s="15" t="n">
        <v>0.0639884153739349</v>
      </c>
      <c r="D8373" s="14" t="n">
        <f aca="false">Summary!$B$5-B8373</f>
        <v>-20527.3857183332</v>
      </c>
      <c r="E8373" s="15" t="n">
        <f aca="false">B8373/Summary!$B$5-1</f>
        <v>0.205273857183332</v>
      </c>
    </row>
    <row r="8374" customFormat="false" ht="15" hidden="false" customHeight="false" outlineLevel="0" collapsed="false">
      <c r="A8374" s="0" t="n">
        <v>8373</v>
      </c>
      <c r="B8374" s="14" t="n">
        <v>130569.728889043</v>
      </c>
      <c r="C8374" s="15" t="n">
        <v>0.0419047485709032</v>
      </c>
      <c r="D8374" s="14" t="n">
        <f aca="false">Summary!$B$5-B8374</f>
        <v>-30569.7288890425</v>
      </c>
      <c r="E8374" s="15" t="n">
        <f aca="false">B8374/Summary!$B$5-1</f>
        <v>0.305697288890425</v>
      </c>
    </row>
    <row r="8375" customFormat="false" ht="15" hidden="false" customHeight="false" outlineLevel="0" collapsed="false">
      <c r="A8375" s="0" t="n">
        <v>8374</v>
      </c>
      <c r="B8375" s="14" t="n">
        <v>104665.97943043</v>
      </c>
      <c r="C8375" s="15" t="n">
        <v>0.0936725970672376</v>
      </c>
      <c r="D8375" s="14" t="n">
        <f aca="false">Summary!$B$5-B8375</f>
        <v>-4665.9794304298</v>
      </c>
      <c r="E8375" s="15" t="n">
        <f aca="false">B8375/Summary!$B$5-1</f>
        <v>0.0466597943042979</v>
      </c>
    </row>
    <row r="8376" customFormat="false" ht="15" hidden="false" customHeight="false" outlineLevel="0" collapsed="false">
      <c r="A8376" s="0" t="n">
        <v>8375</v>
      </c>
      <c r="B8376" s="14" t="n">
        <v>121249.822398371</v>
      </c>
      <c r="C8376" s="15" t="n">
        <v>0.0606535742985341</v>
      </c>
      <c r="D8376" s="14" t="n">
        <f aca="false">Summary!$B$5-B8376</f>
        <v>-21249.8223983713</v>
      </c>
      <c r="E8376" s="15" t="n">
        <f aca="false">B8376/Summary!$B$5-1</f>
        <v>0.212498223983713</v>
      </c>
    </row>
    <row r="8377" customFormat="false" ht="15" hidden="false" customHeight="false" outlineLevel="0" collapsed="false">
      <c r="A8377" s="0" t="n">
        <v>8376</v>
      </c>
      <c r="B8377" s="14" t="n">
        <v>121746.069872515</v>
      </c>
      <c r="C8377" s="15" t="n">
        <v>0.0529217477360843</v>
      </c>
      <c r="D8377" s="14" t="n">
        <f aca="false">Summary!$B$5-B8377</f>
        <v>-21746.0698725152</v>
      </c>
      <c r="E8377" s="15" t="n">
        <f aca="false">B8377/Summary!$B$5-1</f>
        <v>0.217460698725152</v>
      </c>
    </row>
    <row r="8378" customFormat="false" ht="15" hidden="false" customHeight="false" outlineLevel="0" collapsed="false">
      <c r="A8378" s="0" t="n">
        <v>8377</v>
      </c>
      <c r="B8378" s="14" t="n">
        <v>120695.873581957</v>
      </c>
      <c r="C8378" s="15" t="n">
        <v>0.067356294600303</v>
      </c>
      <c r="D8378" s="14" t="n">
        <f aca="false">Summary!$B$5-B8378</f>
        <v>-20695.8735819565</v>
      </c>
      <c r="E8378" s="15" t="n">
        <f aca="false">B8378/Summary!$B$5-1</f>
        <v>0.206958735819565</v>
      </c>
    </row>
    <row r="8379" customFormat="false" ht="15" hidden="false" customHeight="false" outlineLevel="0" collapsed="false">
      <c r="A8379" s="0" t="n">
        <v>8378</v>
      </c>
      <c r="B8379" s="14" t="n">
        <v>115976.215200582</v>
      </c>
      <c r="C8379" s="15" t="n">
        <v>0.0697666121395612</v>
      </c>
      <c r="D8379" s="14" t="n">
        <f aca="false">Summary!$B$5-B8379</f>
        <v>-15976.2152005818</v>
      </c>
      <c r="E8379" s="15" t="n">
        <f aca="false">B8379/Summary!$B$5-1</f>
        <v>0.159762152005818</v>
      </c>
    </row>
    <row r="8380" customFormat="false" ht="15" hidden="false" customHeight="false" outlineLevel="0" collapsed="false">
      <c r="A8380" s="0" t="n">
        <v>8379</v>
      </c>
      <c r="B8380" s="14" t="n">
        <v>124228.129827116</v>
      </c>
      <c r="C8380" s="15" t="n">
        <v>0.0607752805373013</v>
      </c>
      <c r="D8380" s="14" t="n">
        <f aca="false">Summary!$B$5-B8380</f>
        <v>-24228.1298271163</v>
      </c>
      <c r="E8380" s="15" t="n">
        <f aca="false">B8380/Summary!$B$5-1</f>
        <v>0.242281298271163</v>
      </c>
    </row>
    <row r="8381" customFormat="false" ht="15" hidden="false" customHeight="false" outlineLevel="0" collapsed="false">
      <c r="A8381" s="0" t="n">
        <v>8380</v>
      </c>
      <c r="B8381" s="14" t="n">
        <v>125400.832124608</v>
      </c>
      <c r="C8381" s="15" t="n">
        <v>0.0536233464410366</v>
      </c>
      <c r="D8381" s="14" t="n">
        <f aca="false">Summary!$B$5-B8381</f>
        <v>-25400.8321246075</v>
      </c>
      <c r="E8381" s="15" t="n">
        <f aca="false">B8381/Summary!$B$5-1</f>
        <v>0.254008321246075</v>
      </c>
    </row>
    <row r="8382" customFormat="false" ht="15" hidden="false" customHeight="false" outlineLevel="0" collapsed="false">
      <c r="A8382" s="0" t="n">
        <v>8381</v>
      </c>
      <c r="B8382" s="14" t="n">
        <v>113154.092163158</v>
      </c>
      <c r="C8382" s="15" t="n">
        <v>0.0715027269556684</v>
      </c>
      <c r="D8382" s="14" t="n">
        <f aca="false">Summary!$B$5-B8382</f>
        <v>-13154.0921631583</v>
      </c>
      <c r="E8382" s="15" t="n">
        <f aca="false">B8382/Summary!$B$5-1</f>
        <v>0.131540921631583</v>
      </c>
    </row>
    <row r="8383" customFormat="false" ht="15" hidden="false" customHeight="false" outlineLevel="0" collapsed="false">
      <c r="A8383" s="0" t="n">
        <v>8382</v>
      </c>
      <c r="B8383" s="14" t="n">
        <v>121087.651215565</v>
      </c>
      <c r="C8383" s="15" t="n">
        <v>0.0721543965616451</v>
      </c>
      <c r="D8383" s="14" t="n">
        <f aca="false">Summary!$B$5-B8383</f>
        <v>-21087.6512155645</v>
      </c>
      <c r="E8383" s="15" t="n">
        <f aca="false">B8383/Summary!$B$5-1</f>
        <v>0.210876512155645</v>
      </c>
    </row>
    <row r="8384" customFormat="false" ht="15" hidden="false" customHeight="false" outlineLevel="0" collapsed="false">
      <c r="A8384" s="0" t="n">
        <v>8383</v>
      </c>
      <c r="B8384" s="14" t="n">
        <v>116579.371732297</v>
      </c>
      <c r="C8384" s="15" t="n">
        <v>0.136538942594953</v>
      </c>
      <c r="D8384" s="14" t="n">
        <f aca="false">Summary!$B$5-B8384</f>
        <v>-16579.3717322967</v>
      </c>
      <c r="E8384" s="15" t="n">
        <f aca="false">B8384/Summary!$B$5-1</f>
        <v>0.165793717322967</v>
      </c>
    </row>
    <row r="8385" customFormat="false" ht="15" hidden="false" customHeight="false" outlineLevel="0" collapsed="false">
      <c r="A8385" s="0" t="n">
        <v>8384</v>
      </c>
      <c r="B8385" s="14" t="n">
        <v>111410.914722873</v>
      </c>
      <c r="C8385" s="15" t="n">
        <v>0.114621956475369</v>
      </c>
      <c r="D8385" s="14" t="n">
        <f aca="false">Summary!$B$5-B8385</f>
        <v>-11410.9147228728</v>
      </c>
      <c r="E8385" s="15" t="n">
        <f aca="false">B8385/Summary!$B$5-1</f>
        <v>0.114109147228728</v>
      </c>
    </row>
    <row r="8386" customFormat="false" ht="15" hidden="false" customHeight="false" outlineLevel="0" collapsed="false">
      <c r="A8386" s="0" t="n">
        <v>8385</v>
      </c>
      <c r="B8386" s="14" t="n">
        <v>109922.354970418</v>
      </c>
      <c r="C8386" s="15" t="n">
        <v>0.107956374297589</v>
      </c>
      <c r="D8386" s="14" t="n">
        <f aca="false">Summary!$B$5-B8386</f>
        <v>-9922.3549704178</v>
      </c>
      <c r="E8386" s="15" t="n">
        <f aca="false">B8386/Summary!$B$5-1</f>
        <v>0.099223549704178</v>
      </c>
    </row>
    <row r="8387" customFormat="false" ht="15" hidden="false" customHeight="false" outlineLevel="0" collapsed="false">
      <c r="A8387" s="0" t="n">
        <v>8386</v>
      </c>
      <c r="B8387" s="14" t="n">
        <v>131815.515214952</v>
      </c>
      <c r="C8387" s="15" t="n">
        <v>0.0598474976523339</v>
      </c>
      <c r="D8387" s="14" t="n">
        <f aca="false">Summary!$B$5-B8387</f>
        <v>-31815.5152149521</v>
      </c>
      <c r="E8387" s="15" t="n">
        <f aca="false">B8387/Summary!$B$5-1</f>
        <v>0.318155152149521</v>
      </c>
    </row>
    <row r="8388" customFormat="false" ht="15" hidden="false" customHeight="false" outlineLevel="0" collapsed="false">
      <c r="A8388" s="0" t="n">
        <v>8387</v>
      </c>
      <c r="B8388" s="14" t="n">
        <v>100178.325279333</v>
      </c>
      <c r="C8388" s="15" t="n">
        <v>0.143064391502922</v>
      </c>
      <c r="D8388" s="14" t="n">
        <f aca="false">Summary!$B$5-B8388</f>
        <v>-178.325279333003</v>
      </c>
      <c r="E8388" s="15" t="n">
        <f aca="false">B8388/Summary!$B$5-1</f>
        <v>0.00178325279333014</v>
      </c>
    </row>
    <row r="8389" customFormat="false" ht="15" hidden="false" customHeight="false" outlineLevel="0" collapsed="false">
      <c r="A8389" s="0" t="n">
        <v>8388</v>
      </c>
      <c r="B8389" s="14" t="n">
        <v>88908.8676413832</v>
      </c>
      <c r="C8389" s="15" t="n">
        <v>0.188984234913587</v>
      </c>
      <c r="D8389" s="14" t="n">
        <f aca="false">Summary!$B$5-B8389</f>
        <v>11091.1323586168</v>
      </c>
      <c r="E8389" s="15" t="n">
        <f aca="false">B8389/Summary!$B$5-1</f>
        <v>-0.110911323586168</v>
      </c>
    </row>
    <row r="8390" customFormat="false" ht="15" hidden="false" customHeight="false" outlineLevel="0" collapsed="false">
      <c r="A8390" s="0" t="n">
        <v>8389</v>
      </c>
      <c r="B8390" s="14" t="n">
        <v>101152.766465786</v>
      </c>
      <c r="C8390" s="15" t="n">
        <v>0.103617141286229</v>
      </c>
      <c r="D8390" s="14" t="n">
        <f aca="false">Summary!$B$5-B8390</f>
        <v>-1152.76646578631</v>
      </c>
      <c r="E8390" s="15" t="n">
        <f aca="false">B8390/Summary!$B$5-1</f>
        <v>0.011527664657863</v>
      </c>
    </row>
    <row r="8391" customFormat="false" ht="15" hidden="false" customHeight="false" outlineLevel="0" collapsed="false">
      <c r="A8391" s="0" t="n">
        <v>8390</v>
      </c>
      <c r="B8391" s="14" t="n">
        <v>125269.58379633</v>
      </c>
      <c r="C8391" s="15" t="n">
        <v>0.118600356325034</v>
      </c>
      <c r="D8391" s="14" t="n">
        <f aca="false">Summary!$B$5-B8391</f>
        <v>-25269.5837963301</v>
      </c>
      <c r="E8391" s="15" t="n">
        <f aca="false">B8391/Summary!$B$5-1</f>
        <v>0.252695837963301</v>
      </c>
    </row>
    <row r="8392" customFormat="false" ht="15" hidden="false" customHeight="false" outlineLevel="0" collapsed="false">
      <c r="A8392" s="0" t="n">
        <v>8391</v>
      </c>
      <c r="B8392" s="14" t="n">
        <v>132405.821223555</v>
      </c>
      <c r="C8392" s="15" t="n">
        <v>0.0590256928115799</v>
      </c>
      <c r="D8392" s="14" t="n">
        <f aca="false">Summary!$B$5-B8392</f>
        <v>-32405.821223555</v>
      </c>
      <c r="E8392" s="15" t="n">
        <f aca="false">B8392/Summary!$B$5-1</f>
        <v>0.32405821223555</v>
      </c>
    </row>
    <row r="8393" customFormat="false" ht="15" hidden="false" customHeight="false" outlineLevel="0" collapsed="false">
      <c r="A8393" s="0" t="n">
        <v>8392</v>
      </c>
      <c r="B8393" s="14" t="n">
        <v>106345.141183137</v>
      </c>
      <c r="C8393" s="15" t="n">
        <v>0.119220178731184</v>
      </c>
      <c r="D8393" s="14" t="n">
        <f aca="false">Summary!$B$5-B8393</f>
        <v>-6345.1411831365</v>
      </c>
      <c r="E8393" s="15" t="n">
        <f aca="false">B8393/Summary!$B$5-1</f>
        <v>0.0634514118313649</v>
      </c>
    </row>
    <row r="8394" customFormat="false" ht="15" hidden="false" customHeight="false" outlineLevel="0" collapsed="false">
      <c r="A8394" s="0" t="n">
        <v>8393</v>
      </c>
      <c r="B8394" s="14" t="n">
        <v>118584.138433386</v>
      </c>
      <c r="C8394" s="15" t="n">
        <v>0.0854728253030938</v>
      </c>
      <c r="D8394" s="14" t="n">
        <f aca="false">Summary!$B$5-B8394</f>
        <v>-18584.1384333856</v>
      </c>
      <c r="E8394" s="15" t="n">
        <f aca="false">B8394/Summary!$B$5-1</f>
        <v>0.185841384333856</v>
      </c>
    </row>
    <row r="8395" customFormat="false" ht="15" hidden="false" customHeight="false" outlineLevel="0" collapsed="false">
      <c r="A8395" s="0" t="n">
        <v>8394</v>
      </c>
      <c r="B8395" s="14" t="n">
        <v>110149.612552031</v>
      </c>
      <c r="C8395" s="15" t="n">
        <v>0.0990431101983462</v>
      </c>
      <c r="D8395" s="14" t="n">
        <f aca="false">Summary!$B$5-B8395</f>
        <v>-10149.6125520309</v>
      </c>
      <c r="E8395" s="15" t="n">
        <f aca="false">B8395/Summary!$B$5-1</f>
        <v>0.101496125520309</v>
      </c>
    </row>
    <row r="8396" customFormat="false" ht="15" hidden="false" customHeight="false" outlineLevel="0" collapsed="false">
      <c r="A8396" s="0" t="n">
        <v>8395</v>
      </c>
      <c r="B8396" s="14" t="n">
        <v>126738.802878259</v>
      </c>
      <c r="C8396" s="15" t="n">
        <v>0.04610959218065</v>
      </c>
      <c r="D8396" s="14" t="n">
        <f aca="false">Summary!$B$5-B8396</f>
        <v>-26738.8028782593</v>
      </c>
      <c r="E8396" s="15" t="n">
        <f aca="false">B8396/Summary!$B$5-1</f>
        <v>0.267388028782593</v>
      </c>
    </row>
    <row r="8397" customFormat="false" ht="15" hidden="false" customHeight="false" outlineLevel="0" collapsed="false">
      <c r="A8397" s="0" t="n">
        <v>8396</v>
      </c>
      <c r="B8397" s="14" t="n">
        <v>127679.443279209</v>
      </c>
      <c r="C8397" s="15" t="n">
        <v>0.0582596050685764</v>
      </c>
      <c r="D8397" s="14" t="n">
        <f aca="false">Summary!$B$5-B8397</f>
        <v>-27679.4432792092</v>
      </c>
      <c r="E8397" s="15" t="n">
        <f aca="false">B8397/Summary!$B$5-1</f>
        <v>0.276794432792092</v>
      </c>
    </row>
    <row r="8398" customFormat="false" ht="15" hidden="false" customHeight="false" outlineLevel="0" collapsed="false">
      <c r="A8398" s="0" t="n">
        <v>8397</v>
      </c>
      <c r="B8398" s="14" t="n">
        <v>105758.978308861</v>
      </c>
      <c r="C8398" s="15" t="n">
        <v>0.0766377103933037</v>
      </c>
      <c r="D8398" s="14" t="n">
        <f aca="false">Summary!$B$5-B8398</f>
        <v>-5758.9783088609</v>
      </c>
      <c r="E8398" s="15" t="n">
        <f aca="false">B8398/Summary!$B$5-1</f>
        <v>0.057589783088609</v>
      </c>
    </row>
    <row r="8399" customFormat="false" ht="15" hidden="false" customHeight="false" outlineLevel="0" collapsed="false">
      <c r="A8399" s="0" t="n">
        <v>8398</v>
      </c>
      <c r="B8399" s="14" t="n">
        <v>141562.432506258</v>
      </c>
      <c r="C8399" s="15" t="n">
        <v>0.0595680476873485</v>
      </c>
      <c r="D8399" s="14" t="n">
        <f aca="false">Summary!$B$5-B8399</f>
        <v>-41562.432506258</v>
      </c>
      <c r="E8399" s="15" t="n">
        <f aca="false">B8399/Summary!$B$5-1</f>
        <v>0.41562432506258</v>
      </c>
    </row>
    <row r="8400" customFormat="false" ht="15" hidden="false" customHeight="false" outlineLevel="0" collapsed="false">
      <c r="A8400" s="0" t="n">
        <v>8399</v>
      </c>
      <c r="B8400" s="14" t="n">
        <v>88998.5274280427</v>
      </c>
      <c r="C8400" s="15" t="n">
        <v>0.166394370145238</v>
      </c>
      <c r="D8400" s="14" t="n">
        <f aca="false">Summary!$B$5-B8400</f>
        <v>11001.4725719573</v>
      </c>
      <c r="E8400" s="15" t="n">
        <f aca="false">B8400/Summary!$B$5-1</f>
        <v>-0.110014725719573</v>
      </c>
    </row>
    <row r="8401" customFormat="false" ht="15" hidden="false" customHeight="false" outlineLevel="0" collapsed="false">
      <c r="A8401" s="0" t="n">
        <v>8400</v>
      </c>
      <c r="B8401" s="14" t="n">
        <v>116631.230486625</v>
      </c>
      <c r="C8401" s="15" t="n">
        <v>0.0834553225190091</v>
      </c>
      <c r="D8401" s="14" t="n">
        <f aca="false">Summary!$B$5-B8401</f>
        <v>-16631.2304866253</v>
      </c>
      <c r="E8401" s="15" t="n">
        <f aca="false">B8401/Summary!$B$5-1</f>
        <v>0.166312304866253</v>
      </c>
    </row>
    <row r="8402" customFormat="false" ht="15" hidden="false" customHeight="false" outlineLevel="0" collapsed="false">
      <c r="A8402" s="0" t="n">
        <v>8401</v>
      </c>
      <c r="B8402" s="14" t="n">
        <v>117843.798915739</v>
      </c>
      <c r="C8402" s="15" t="n">
        <v>0.119511635484828</v>
      </c>
      <c r="D8402" s="14" t="n">
        <f aca="false">Summary!$B$5-B8402</f>
        <v>-17843.7989157387</v>
      </c>
      <c r="E8402" s="15" t="n">
        <f aca="false">B8402/Summary!$B$5-1</f>
        <v>0.178437989157387</v>
      </c>
    </row>
    <row r="8403" customFormat="false" ht="15" hidden="false" customHeight="false" outlineLevel="0" collapsed="false">
      <c r="A8403" s="0" t="n">
        <v>8402</v>
      </c>
      <c r="B8403" s="14" t="n">
        <v>112950.135272505</v>
      </c>
      <c r="C8403" s="15" t="n">
        <v>0.124015463824562</v>
      </c>
      <c r="D8403" s="14" t="n">
        <f aca="false">Summary!$B$5-B8403</f>
        <v>-12950.1352725053</v>
      </c>
      <c r="E8403" s="15" t="n">
        <f aca="false">B8403/Summary!$B$5-1</f>
        <v>0.129501352725053</v>
      </c>
    </row>
    <row r="8404" customFormat="false" ht="15" hidden="false" customHeight="false" outlineLevel="0" collapsed="false">
      <c r="A8404" s="0" t="n">
        <v>8403</v>
      </c>
      <c r="B8404" s="14" t="n">
        <v>117718.366739785</v>
      </c>
      <c r="C8404" s="15" t="n">
        <v>0.115151803332609</v>
      </c>
      <c r="D8404" s="14" t="n">
        <f aca="false">Summary!$B$5-B8404</f>
        <v>-17718.3667397853</v>
      </c>
      <c r="E8404" s="15" t="n">
        <f aca="false">B8404/Summary!$B$5-1</f>
        <v>0.177183667397853</v>
      </c>
    </row>
    <row r="8405" customFormat="false" ht="15" hidden="false" customHeight="false" outlineLevel="0" collapsed="false">
      <c r="A8405" s="0" t="n">
        <v>8404</v>
      </c>
      <c r="B8405" s="14" t="n">
        <v>117665.046312335</v>
      </c>
      <c r="C8405" s="15" t="n">
        <v>0.0775151217983765</v>
      </c>
      <c r="D8405" s="14" t="n">
        <f aca="false">Summary!$B$5-B8405</f>
        <v>-17665.0463123352</v>
      </c>
      <c r="E8405" s="15" t="n">
        <f aca="false">B8405/Summary!$B$5-1</f>
        <v>0.176650463123352</v>
      </c>
    </row>
    <row r="8406" customFormat="false" ht="15" hidden="false" customHeight="false" outlineLevel="0" collapsed="false">
      <c r="A8406" s="0" t="n">
        <v>8405</v>
      </c>
      <c r="B8406" s="14" t="n">
        <v>106240.877455739</v>
      </c>
      <c r="C8406" s="15" t="n">
        <v>0.0708133177515702</v>
      </c>
      <c r="D8406" s="14" t="n">
        <f aca="false">Summary!$B$5-B8406</f>
        <v>-6240.87745573861</v>
      </c>
      <c r="E8406" s="15" t="n">
        <f aca="false">B8406/Summary!$B$5-1</f>
        <v>0.062408774557386</v>
      </c>
    </row>
    <row r="8407" customFormat="false" ht="15" hidden="false" customHeight="false" outlineLevel="0" collapsed="false">
      <c r="A8407" s="0" t="n">
        <v>8406</v>
      </c>
      <c r="B8407" s="14" t="n">
        <v>124607.737912832</v>
      </c>
      <c r="C8407" s="15" t="n">
        <v>0.0739798649854399</v>
      </c>
      <c r="D8407" s="14" t="n">
        <f aca="false">Summary!$B$5-B8407</f>
        <v>-24607.737912832</v>
      </c>
      <c r="E8407" s="15" t="n">
        <f aca="false">B8407/Summary!$B$5-1</f>
        <v>0.24607737912832</v>
      </c>
    </row>
    <row r="8408" customFormat="false" ht="15" hidden="false" customHeight="false" outlineLevel="0" collapsed="false">
      <c r="A8408" s="0" t="n">
        <v>8407</v>
      </c>
      <c r="B8408" s="14" t="n">
        <v>104729.100261863</v>
      </c>
      <c r="C8408" s="15" t="n">
        <v>0.0856805621919962</v>
      </c>
      <c r="D8408" s="14" t="n">
        <f aca="false">Summary!$B$5-B8408</f>
        <v>-4729.1002618627</v>
      </c>
      <c r="E8408" s="15" t="n">
        <f aca="false">B8408/Summary!$B$5-1</f>
        <v>0.0472910026186268</v>
      </c>
    </row>
    <row r="8409" customFormat="false" ht="15" hidden="false" customHeight="false" outlineLevel="0" collapsed="false">
      <c r="A8409" s="0" t="n">
        <v>8408</v>
      </c>
      <c r="B8409" s="14" t="n">
        <v>113493.308378222</v>
      </c>
      <c r="C8409" s="15" t="n">
        <v>0.0751963613841923</v>
      </c>
      <c r="D8409" s="14" t="n">
        <f aca="false">Summary!$B$5-B8409</f>
        <v>-13493.3083782223</v>
      </c>
      <c r="E8409" s="15" t="n">
        <f aca="false">B8409/Summary!$B$5-1</f>
        <v>0.134933083782223</v>
      </c>
    </row>
    <row r="8410" customFormat="false" ht="15" hidden="false" customHeight="false" outlineLevel="0" collapsed="false">
      <c r="A8410" s="0" t="n">
        <v>8409</v>
      </c>
      <c r="B8410" s="14" t="n">
        <v>99699.6584278142</v>
      </c>
      <c r="C8410" s="15" t="n">
        <v>0.120864238818128</v>
      </c>
      <c r="D8410" s="14" t="n">
        <f aca="false">Summary!$B$5-B8410</f>
        <v>300.341572185789</v>
      </c>
      <c r="E8410" s="15" t="n">
        <f aca="false">B8410/Summary!$B$5-1</f>
        <v>-0.00300341572185792</v>
      </c>
    </row>
    <row r="8411" customFormat="false" ht="15" hidden="false" customHeight="false" outlineLevel="0" collapsed="false">
      <c r="A8411" s="0" t="n">
        <v>8410</v>
      </c>
      <c r="B8411" s="14" t="n">
        <v>117296.621765857</v>
      </c>
      <c r="C8411" s="15" t="n">
        <v>0.108827503877475</v>
      </c>
      <c r="D8411" s="14" t="n">
        <f aca="false">Summary!$B$5-B8411</f>
        <v>-17296.6217658574</v>
      </c>
      <c r="E8411" s="15" t="n">
        <f aca="false">B8411/Summary!$B$5-1</f>
        <v>0.172966217658574</v>
      </c>
    </row>
    <row r="8412" customFormat="false" ht="15" hidden="false" customHeight="false" outlineLevel="0" collapsed="false">
      <c r="A8412" s="0" t="n">
        <v>8411</v>
      </c>
      <c r="B8412" s="14" t="n">
        <v>113520.682126722</v>
      </c>
      <c r="C8412" s="15" t="n">
        <v>0.0814308154695166</v>
      </c>
      <c r="D8412" s="14" t="n">
        <f aca="false">Summary!$B$5-B8412</f>
        <v>-13520.6821267222</v>
      </c>
      <c r="E8412" s="15" t="n">
        <f aca="false">B8412/Summary!$B$5-1</f>
        <v>0.135206821267222</v>
      </c>
    </row>
    <row r="8413" customFormat="false" ht="15" hidden="false" customHeight="false" outlineLevel="0" collapsed="false">
      <c r="A8413" s="0" t="n">
        <v>8412</v>
      </c>
      <c r="B8413" s="14" t="n">
        <v>110263.65606996</v>
      </c>
      <c r="C8413" s="15" t="n">
        <v>0.0945175840048119</v>
      </c>
      <c r="D8413" s="14" t="n">
        <f aca="false">Summary!$B$5-B8413</f>
        <v>-10263.6560699602</v>
      </c>
      <c r="E8413" s="15" t="n">
        <f aca="false">B8413/Summary!$B$5-1</f>
        <v>0.102636560699602</v>
      </c>
    </row>
    <row r="8414" customFormat="false" ht="15" hidden="false" customHeight="false" outlineLevel="0" collapsed="false">
      <c r="A8414" s="0" t="n">
        <v>8413</v>
      </c>
      <c r="B8414" s="14" t="n">
        <v>103645.824161227</v>
      </c>
      <c r="C8414" s="15" t="n">
        <v>0.0804658237286764</v>
      </c>
      <c r="D8414" s="14" t="n">
        <f aca="false">Summary!$B$5-B8414</f>
        <v>-3645.8241612265</v>
      </c>
      <c r="E8414" s="15" t="n">
        <f aca="false">B8414/Summary!$B$5-1</f>
        <v>0.036458241612265</v>
      </c>
    </row>
    <row r="8415" customFormat="false" ht="15" hidden="false" customHeight="false" outlineLevel="0" collapsed="false">
      <c r="A8415" s="0" t="n">
        <v>8414</v>
      </c>
      <c r="B8415" s="14" t="n">
        <v>106863.667947361</v>
      </c>
      <c r="C8415" s="15" t="n">
        <v>0.086050459682243</v>
      </c>
      <c r="D8415" s="14" t="n">
        <f aca="false">Summary!$B$5-B8415</f>
        <v>-6863.667947361</v>
      </c>
      <c r="E8415" s="15" t="n">
        <f aca="false">B8415/Summary!$B$5-1</f>
        <v>0.06863667947361</v>
      </c>
    </row>
    <row r="8416" customFormat="false" ht="15" hidden="false" customHeight="false" outlineLevel="0" collapsed="false">
      <c r="A8416" s="0" t="n">
        <v>8415</v>
      </c>
      <c r="B8416" s="14" t="n">
        <v>113331.578722029</v>
      </c>
      <c r="C8416" s="15" t="n">
        <v>0.0811035618590016</v>
      </c>
      <c r="D8416" s="14" t="n">
        <f aca="false">Summary!$B$5-B8416</f>
        <v>-13331.5787220289</v>
      </c>
      <c r="E8416" s="15" t="n">
        <f aca="false">B8416/Summary!$B$5-1</f>
        <v>0.133315787220289</v>
      </c>
    </row>
    <row r="8417" customFormat="false" ht="15" hidden="false" customHeight="false" outlineLevel="0" collapsed="false">
      <c r="A8417" s="0" t="n">
        <v>8416</v>
      </c>
      <c r="B8417" s="14" t="n">
        <v>110395.198497111</v>
      </c>
      <c r="C8417" s="15" t="n">
        <v>0.0676875736270768</v>
      </c>
      <c r="D8417" s="14" t="n">
        <f aca="false">Summary!$B$5-B8417</f>
        <v>-10395.198497111</v>
      </c>
      <c r="E8417" s="15" t="n">
        <f aca="false">B8417/Summary!$B$5-1</f>
        <v>0.10395198497111</v>
      </c>
    </row>
    <row r="8418" customFormat="false" ht="15" hidden="false" customHeight="false" outlineLevel="0" collapsed="false">
      <c r="A8418" s="0" t="n">
        <v>8417</v>
      </c>
      <c r="B8418" s="14" t="n">
        <v>120646.961223507</v>
      </c>
      <c r="C8418" s="15" t="n">
        <v>0.055215095510943</v>
      </c>
      <c r="D8418" s="14" t="n">
        <f aca="false">Summary!$B$5-B8418</f>
        <v>-20646.9612235068</v>
      </c>
      <c r="E8418" s="15" t="n">
        <f aca="false">B8418/Summary!$B$5-1</f>
        <v>0.206469612235068</v>
      </c>
    </row>
    <row r="8419" customFormat="false" ht="15" hidden="false" customHeight="false" outlineLevel="0" collapsed="false">
      <c r="A8419" s="0" t="n">
        <v>8418</v>
      </c>
      <c r="B8419" s="14" t="n">
        <v>100823.96995935</v>
      </c>
      <c r="C8419" s="15" t="n">
        <v>0.145699490816402</v>
      </c>
      <c r="D8419" s="14" t="n">
        <f aca="false">Summary!$B$5-B8419</f>
        <v>-823.969959350099</v>
      </c>
      <c r="E8419" s="15" t="n">
        <f aca="false">B8419/Summary!$B$5-1</f>
        <v>0.00823969959350102</v>
      </c>
    </row>
    <row r="8420" customFormat="false" ht="15" hidden="false" customHeight="false" outlineLevel="0" collapsed="false">
      <c r="A8420" s="0" t="n">
        <v>8419</v>
      </c>
      <c r="B8420" s="14" t="n">
        <v>103142.305256533</v>
      </c>
      <c r="C8420" s="15" t="n">
        <v>0.087857901836747</v>
      </c>
      <c r="D8420" s="14" t="n">
        <f aca="false">Summary!$B$5-B8420</f>
        <v>-3142.3052565328</v>
      </c>
      <c r="E8420" s="15" t="n">
        <f aca="false">B8420/Summary!$B$5-1</f>
        <v>0.0314230525653281</v>
      </c>
    </row>
    <row r="8421" customFormat="false" ht="15" hidden="false" customHeight="false" outlineLevel="0" collapsed="false">
      <c r="A8421" s="0" t="n">
        <v>8420</v>
      </c>
      <c r="B8421" s="14" t="n">
        <v>101269.249418218</v>
      </c>
      <c r="C8421" s="15" t="n">
        <v>0.11126637802421</v>
      </c>
      <c r="D8421" s="14" t="n">
        <f aca="false">Summary!$B$5-B8421</f>
        <v>-1269.2494182184</v>
      </c>
      <c r="E8421" s="15" t="n">
        <f aca="false">B8421/Summary!$B$5-1</f>
        <v>0.012692494182184</v>
      </c>
    </row>
    <row r="8422" customFormat="false" ht="15" hidden="false" customHeight="false" outlineLevel="0" collapsed="false">
      <c r="A8422" s="0" t="n">
        <v>8421</v>
      </c>
      <c r="B8422" s="14" t="n">
        <v>110227.026685321</v>
      </c>
      <c r="C8422" s="15" t="n">
        <v>0.0737661746791608</v>
      </c>
      <c r="D8422" s="14" t="n">
        <f aca="false">Summary!$B$5-B8422</f>
        <v>-10227.0266853206</v>
      </c>
      <c r="E8422" s="15" t="n">
        <f aca="false">B8422/Summary!$B$5-1</f>
        <v>0.102270266853206</v>
      </c>
    </row>
    <row r="8423" customFormat="false" ht="15" hidden="false" customHeight="false" outlineLevel="0" collapsed="false">
      <c r="A8423" s="0" t="n">
        <v>8422</v>
      </c>
      <c r="B8423" s="14" t="n">
        <v>94790.7273405819</v>
      </c>
      <c r="C8423" s="15" t="n">
        <v>0.128979616558789</v>
      </c>
      <c r="D8423" s="14" t="n">
        <f aca="false">Summary!$B$5-B8423</f>
        <v>5209.27265941812</v>
      </c>
      <c r="E8423" s="15" t="n">
        <f aca="false">B8423/Summary!$B$5-1</f>
        <v>-0.0520927265941812</v>
      </c>
    </row>
    <row r="8424" customFormat="false" ht="15" hidden="false" customHeight="false" outlineLevel="0" collapsed="false">
      <c r="A8424" s="0" t="n">
        <v>8423</v>
      </c>
      <c r="B8424" s="14" t="n">
        <v>118683.984527586</v>
      </c>
      <c r="C8424" s="15" t="n">
        <v>0.0694138848988074</v>
      </c>
      <c r="D8424" s="14" t="n">
        <f aca="false">Summary!$B$5-B8424</f>
        <v>-18683.9845275859</v>
      </c>
      <c r="E8424" s="15" t="n">
        <f aca="false">B8424/Summary!$B$5-1</f>
        <v>0.186839845275859</v>
      </c>
    </row>
    <row r="8425" customFormat="false" ht="15" hidden="false" customHeight="false" outlineLevel="0" collapsed="false">
      <c r="A8425" s="0" t="n">
        <v>8424</v>
      </c>
      <c r="B8425" s="14" t="n">
        <v>111990.418346854</v>
      </c>
      <c r="C8425" s="15" t="n">
        <v>0.0632272376046058</v>
      </c>
      <c r="D8425" s="14" t="n">
        <f aca="false">Summary!$B$5-B8425</f>
        <v>-11990.4183468541</v>
      </c>
      <c r="E8425" s="15" t="n">
        <f aca="false">B8425/Summary!$B$5-1</f>
        <v>0.119904183468541</v>
      </c>
    </row>
    <row r="8426" customFormat="false" ht="15" hidden="false" customHeight="false" outlineLevel="0" collapsed="false">
      <c r="A8426" s="0" t="n">
        <v>8425</v>
      </c>
      <c r="B8426" s="14" t="n">
        <v>89073.2479720301</v>
      </c>
      <c r="C8426" s="15" t="n">
        <v>0.12366315490278</v>
      </c>
      <c r="D8426" s="14" t="n">
        <f aca="false">Summary!$B$5-B8426</f>
        <v>10926.7520279699</v>
      </c>
      <c r="E8426" s="15" t="n">
        <f aca="false">B8426/Summary!$B$5-1</f>
        <v>-0.109267520279699</v>
      </c>
    </row>
    <row r="8427" customFormat="false" ht="15" hidden="false" customHeight="false" outlineLevel="0" collapsed="false">
      <c r="A8427" s="0" t="n">
        <v>8426</v>
      </c>
      <c r="B8427" s="14" t="n">
        <v>107241.140165694</v>
      </c>
      <c r="C8427" s="15" t="n">
        <v>0.13255322459786</v>
      </c>
      <c r="D8427" s="14" t="n">
        <f aca="false">Summary!$B$5-B8427</f>
        <v>-7241.14016569431</v>
      </c>
      <c r="E8427" s="15" t="n">
        <f aca="false">B8427/Summary!$B$5-1</f>
        <v>0.072411401656943</v>
      </c>
    </row>
    <row r="8428" customFormat="false" ht="15" hidden="false" customHeight="false" outlineLevel="0" collapsed="false">
      <c r="A8428" s="0" t="n">
        <v>8427</v>
      </c>
      <c r="B8428" s="14" t="n">
        <v>131952.527674005</v>
      </c>
      <c r="C8428" s="15" t="n">
        <v>0.0542060999459522</v>
      </c>
      <c r="D8428" s="14" t="n">
        <f aca="false">Summary!$B$5-B8428</f>
        <v>-31952.5276740047</v>
      </c>
      <c r="E8428" s="15" t="n">
        <f aca="false">B8428/Summary!$B$5-1</f>
        <v>0.319525276740047</v>
      </c>
    </row>
    <row r="8429" customFormat="false" ht="15" hidden="false" customHeight="false" outlineLevel="0" collapsed="false">
      <c r="A8429" s="0" t="n">
        <v>8428</v>
      </c>
      <c r="B8429" s="14" t="n">
        <v>99664.2542711937</v>
      </c>
      <c r="C8429" s="15" t="n">
        <v>0.144708769211444</v>
      </c>
      <c r="D8429" s="14" t="n">
        <f aca="false">Summary!$B$5-B8429</f>
        <v>335.745728806331</v>
      </c>
      <c r="E8429" s="15" t="n">
        <f aca="false">B8429/Summary!$B$5-1</f>
        <v>-0.00335745728806336</v>
      </c>
    </row>
    <row r="8430" customFormat="false" ht="15" hidden="false" customHeight="false" outlineLevel="0" collapsed="false">
      <c r="A8430" s="0" t="n">
        <v>8429</v>
      </c>
      <c r="B8430" s="14" t="n">
        <v>98609.1848755882</v>
      </c>
      <c r="C8430" s="15" t="n">
        <v>0.137625959673419</v>
      </c>
      <c r="D8430" s="14" t="n">
        <f aca="false">Summary!$B$5-B8430</f>
        <v>1390.81512441176</v>
      </c>
      <c r="E8430" s="15" t="n">
        <f aca="false">B8430/Summary!$B$5-1</f>
        <v>-0.0139081512441176</v>
      </c>
    </row>
    <row r="8431" customFormat="false" ht="15" hidden="false" customHeight="false" outlineLevel="0" collapsed="false">
      <c r="A8431" s="0" t="n">
        <v>8430</v>
      </c>
      <c r="B8431" s="14" t="n">
        <v>119936.237050043</v>
      </c>
      <c r="C8431" s="15" t="n">
        <v>0.0891121368203142</v>
      </c>
      <c r="D8431" s="14" t="n">
        <f aca="false">Summary!$B$5-B8431</f>
        <v>-19936.2370500427</v>
      </c>
      <c r="E8431" s="15" t="n">
        <f aca="false">B8431/Summary!$B$5-1</f>
        <v>0.199362370500427</v>
      </c>
    </row>
    <row r="8432" customFormat="false" ht="15" hidden="false" customHeight="false" outlineLevel="0" collapsed="false">
      <c r="A8432" s="0" t="n">
        <v>8431</v>
      </c>
      <c r="B8432" s="14" t="n">
        <v>95800.3934903225</v>
      </c>
      <c r="C8432" s="15" t="n">
        <v>0.135443646073074</v>
      </c>
      <c r="D8432" s="14" t="n">
        <f aca="false">Summary!$B$5-B8432</f>
        <v>4199.60650967751</v>
      </c>
      <c r="E8432" s="15" t="n">
        <f aca="false">B8432/Summary!$B$5-1</f>
        <v>-0.0419960650967751</v>
      </c>
    </row>
    <row r="8433" customFormat="false" ht="15" hidden="false" customHeight="false" outlineLevel="0" collapsed="false">
      <c r="A8433" s="0" t="n">
        <v>8432</v>
      </c>
      <c r="B8433" s="14" t="n">
        <v>112256.811293255</v>
      </c>
      <c r="C8433" s="15" t="n">
        <v>0.131750761758549</v>
      </c>
      <c r="D8433" s="14" t="n">
        <f aca="false">Summary!$B$5-B8433</f>
        <v>-12256.8112932551</v>
      </c>
      <c r="E8433" s="15" t="n">
        <f aca="false">B8433/Summary!$B$5-1</f>
        <v>0.122568112932551</v>
      </c>
    </row>
    <row r="8434" customFormat="false" ht="15" hidden="false" customHeight="false" outlineLevel="0" collapsed="false">
      <c r="A8434" s="0" t="n">
        <v>8433</v>
      </c>
      <c r="B8434" s="14" t="n">
        <v>130466.395889628</v>
      </c>
      <c r="C8434" s="15" t="n">
        <v>0.0643539474760165</v>
      </c>
      <c r="D8434" s="14" t="n">
        <f aca="false">Summary!$B$5-B8434</f>
        <v>-30466.3958896282</v>
      </c>
      <c r="E8434" s="15" t="n">
        <f aca="false">B8434/Summary!$B$5-1</f>
        <v>0.304663958896282</v>
      </c>
    </row>
    <row r="8435" customFormat="false" ht="15" hidden="false" customHeight="false" outlineLevel="0" collapsed="false">
      <c r="A8435" s="0" t="n">
        <v>8434</v>
      </c>
      <c r="B8435" s="14" t="n">
        <v>109294.31708544</v>
      </c>
      <c r="C8435" s="15" t="n">
        <v>0.0642698428428354</v>
      </c>
      <c r="D8435" s="14" t="n">
        <f aca="false">Summary!$B$5-B8435</f>
        <v>-9294.3170854403</v>
      </c>
      <c r="E8435" s="15" t="n">
        <f aca="false">B8435/Summary!$B$5-1</f>
        <v>0.0929431708544031</v>
      </c>
    </row>
    <row r="8436" customFormat="false" ht="15" hidden="false" customHeight="false" outlineLevel="0" collapsed="false">
      <c r="A8436" s="0" t="n">
        <v>8435</v>
      </c>
      <c r="B8436" s="14" t="n">
        <v>111399.135781446</v>
      </c>
      <c r="C8436" s="15" t="n">
        <v>0.0698394111897082</v>
      </c>
      <c r="D8436" s="14" t="n">
        <f aca="false">Summary!$B$5-B8436</f>
        <v>-11399.1357814457</v>
      </c>
      <c r="E8436" s="15" t="n">
        <f aca="false">B8436/Summary!$B$5-1</f>
        <v>0.113991357814457</v>
      </c>
    </row>
    <row r="8437" customFormat="false" ht="15" hidden="false" customHeight="false" outlineLevel="0" collapsed="false">
      <c r="A8437" s="0" t="n">
        <v>8436</v>
      </c>
      <c r="B8437" s="14" t="n">
        <v>100359.100497888</v>
      </c>
      <c r="C8437" s="15" t="n">
        <v>0.139099631027878</v>
      </c>
      <c r="D8437" s="14" t="n">
        <f aca="false">Summary!$B$5-B8437</f>
        <v>-359.100497888096</v>
      </c>
      <c r="E8437" s="15" t="n">
        <f aca="false">B8437/Summary!$B$5-1</f>
        <v>0.00359100497888099</v>
      </c>
    </row>
    <row r="8438" customFormat="false" ht="15" hidden="false" customHeight="false" outlineLevel="0" collapsed="false">
      <c r="A8438" s="0" t="n">
        <v>8437</v>
      </c>
      <c r="B8438" s="14" t="n">
        <v>112979.140483657</v>
      </c>
      <c r="C8438" s="15" t="n">
        <v>0.0697097712240143</v>
      </c>
      <c r="D8438" s="14" t="n">
        <f aca="false">Summary!$B$5-B8438</f>
        <v>-12979.1404836566</v>
      </c>
      <c r="E8438" s="15" t="n">
        <f aca="false">B8438/Summary!$B$5-1</f>
        <v>0.129791404836566</v>
      </c>
    </row>
    <row r="8439" customFormat="false" ht="15" hidden="false" customHeight="false" outlineLevel="0" collapsed="false">
      <c r="A8439" s="0" t="n">
        <v>8438</v>
      </c>
      <c r="B8439" s="14" t="n">
        <v>140095.299426213</v>
      </c>
      <c r="C8439" s="15" t="n">
        <v>0.173476025950463</v>
      </c>
      <c r="D8439" s="14" t="n">
        <f aca="false">Summary!$B$5-B8439</f>
        <v>-40095.2994262132</v>
      </c>
      <c r="E8439" s="15" t="n">
        <f aca="false">B8439/Summary!$B$5-1</f>
        <v>0.400952994262132</v>
      </c>
    </row>
    <row r="8440" customFormat="false" ht="15" hidden="false" customHeight="false" outlineLevel="0" collapsed="false">
      <c r="A8440" s="0" t="n">
        <v>8439</v>
      </c>
      <c r="B8440" s="14" t="n">
        <v>112932.006372129</v>
      </c>
      <c r="C8440" s="15" t="n">
        <v>0.125957588044325</v>
      </c>
      <c r="D8440" s="14" t="n">
        <f aca="false">Summary!$B$5-B8440</f>
        <v>-12932.0063721291</v>
      </c>
      <c r="E8440" s="15" t="n">
        <f aca="false">B8440/Summary!$B$5-1</f>
        <v>0.129320063721291</v>
      </c>
    </row>
    <row r="8441" customFormat="false" ht="15" hidden="false" customHeight="false" outlineLevel="0" collapsed="false">
      <c r="A8441" s="0" t="n">
        <v>8440</v>
      </c>
      <c r="B8441" s="14" t="n">
        <v>93133.3210013852</v>
      </c>
      <c r="C8441" s="15" t="n">
        <v>0.115283272532248</v>
      </c>
      <c r="D8441" s="14" t="n">
        <f aca="false">Summary!$B$5-B8441</f>
        <v>6866.67899861481</v>
      </c>
      <c r="E8441" s="15" t="n">
        <f aca="false">B8441/Summary!$B$5-1</f>
        <v>-0.0686667899861481</v>
      </c>
    </row>
    <row r="8442" customFormat="false" ht="15" hidden="false" customHeight="false" outlineLevel="0" collapsed="false">
      <c r="A8442" s="0" t="n">
        <v>8441</v>
      </c>
      <c r="B8442" s="14" t="n">
        <v>98099.3383137931</v>
      </c>
      <c r="C8442" s="15" t="n">
        <v>0.206408309260854</v>
      </c>
      <c r="D8442" s="14" t="n">
        <f aca="false">Summary!$B$5-B8442</f>
        <v>1900.66168620692</v>
      </c>
      <c r="E8442" s="15" t="n">
        <f aca="false">B8442/Summary!$B$5-1</f>
        <v>-0.0190066168620692</v>
      </c>
    </row>
    <row r="8443" customFormat="false" ht="15" hidden="false" customHeight="false" outlineLevel="0" collapsed="false">
      <c r="A8443" s="0" t="n">
        <v>8442</v>
      </c>
      <c r="B8443" s="14" t="n">
        <v>88245.8559087383</v>
      </c>
      <c r="C8443" s="15" t="n">
        <v>0.123072038999705</v>
      </c>
      <c r="D8443" s="14" t="n">
        <f aca="false">Summary!$B$5-B8443</f>
        <v>11754.1440912617</v>
      </c>
      <c r="E8443" s="15" t="n">
        <f aca="false">B8443/Summary!$B$5-1</f>
        <v>-0.117541440912617</v>
      </c>
    </row>
    <row r="8444" customFormat="false" ht="15" hidden="false" customHeight="false" outlineLevel="0" collapsed="false">
      <c r="A8444" s="0" t="n">
        <v>8443</v>
      </c>
      <c r="B8444" s="14" t="n">
        <v>110424.638249175</v>
      </c>
      <c r="C8444" s="15" t="n">
        <v>0.097215841165877</v>
      </c>
      <c r="D8444" s="14" t="n">
        <f aca="false">Summary!$B$5-B8444</f>
        <v>-10424.6382491748</v>
      </c>
      <c r="E8444" s="15" t="n">
        <f aca="false">B8444/Summary!$B$5-1</f>
        <v>0.104246382491748</v>
      </c>
    </row>
    <row r="8445" customFormat="false" ht="15" hidden="false" customHeight="false" outlineLevel="0" collapsed="false">
      <c r="A8445" s="0" t="n">
        <v>8444</v>
      </c>
      <c r="B8445" s="14" t="n">
        <v>119327.386219366</v>
      </c>
      <c r="C8445" s="15" t="n">
        <v>0.0599667265443294</v>
      </c>
      <c r="D8445" s="14" t="n">
        <f aca="false">Summary!$B$5-B8445</f>
        <v>-19327.3862193664</v>
      </c>
      <c r="E8445" s="15" t="n">
        <f aca="false">B8445/Summary!$B$5-1</f>
        <v>0.193273862193664</v>
      </c>
    </row>
    <row r="8446" customFormat="false" ht="15" hidden="false" customHeight="false" outlineLevel="0" collapsed="false">
      <c r="A8446" s="0" t="n">
        <v>8445</v>
      </c>
      <c r="B8446" s="14" t="n">
        <v>110169.051566616</v>
      </c>
      <c r="C8446" s="15" t="n">
        <v>0.0581275601472685</v>
      </c>
      <c r="D8446" s="14" t="n">
        <f aca="false">Summary!$B$5-B8446</f>
        <v>-10169.0515666158</v>
      </c>
      <c r="E8446" s="15" t="n">
        <f aca="false">B8446/Summary!$B$5-1</f>
        <v>0.101690515666158</v>
      </c>
    </row>
    <row r="8447" customFormat="false" ht="15" hidden="false" customHeight="false" outlineLevel="0" collapsed="false">
      <c r="A8447" s="0" t="n">
        <v>8446</v>
      </c>
      <c r="B8447" s="14" t="n">
        <v>108813.560916488</v>
      </c>
      <c r="C8447" s="15" t="n">
        <v>0.104343738135951</v>
      </c>
      <c r="D8447" s="14" t="n">
        <f aca="false">Summary!$B$5-B8447</f>
        <v>-8813.56091648839</v>
      </c>
      <c r="E8447" s="15" t="n">
        <f aca="false">B8447/Summary!$B$5-1</f>
        <v>0.0881356091648839</v>
      </c>
    </row>
    <row r="8448" customFormat="false" ht="15" hidden="false" customHeight="false" outlineLevel="0" collapsed="false">
      <c r="A8448" s="0" t="n">
        <v>8447</v>
      </c>
      <c r="B8448" s="14" t="n">
        <v>116064.625721719</v>
      </c>
      <c r="C8448" s="15" t="n">
        <v>0.079398893090569</v>
      </c>
      <c r="D8448" s="14" t="n">
        <f aca="false">Summary!$B$5-B8448</f>
        <v>-16064.6257217194</v>
      </c>
      <c r="E8448" s="15" t="n">
        <f aca="false">B8448/Summary!$B$5-1</f>
        <v>0.160646257217194</v>
      </c>
    </row>
    <row r="8449" customFormat="false" ht="15" hidden="false" customHeight="false" outlineLevel="0" collapsed="false">
      <c r="A8449" s="0" t="n">
        <v>8448</v>
      </c>
      <c r="B8449" s="14" t="n">
        <v>112160.977410089</v>
      </c>
      <c r="C8449" s="15" t="n">
        <v>0.066638979055004</v>
      </c>
      <c r="D8449" s="14" t="n">
        <f aca="false">Summary!$B$5-B8449</f>
        <v>-12160.9774100888</v>
      </c>
      <c r="E8449" s="15" t="n">
        <f aca="false">B8449/Summary!$B$5-1</f>
        <v>0.121609774100888</v>
      </c>
    </row>
    <row r="8450" customFormat="false" ht="15" hidden="false" customHeight="false" outlineLevel="0" collapsed="false">
      <c r="A8450" s="0" t="n">
        <v>8449</v>
      </c>
      <c r="B8450" s="14" t="n">
        <v>113937.404930748</v>
      </c>
      <c r="C8450" s="15" t="n">
        <v>0.0480097140724139</v>
      </c>
      <c r="D8450" s="14" t="n">
        <f aca="false">Summary!$B$5-B8450</f>
        <v>-13937.4049307478</v>
      </c>
      <c r="E8450" s="15" t="n">
        <f aca="false">B8450/Summary!$B$5-1</f>
        <v>0.139374049307478</v>
      </c>
    </row>
    <row r="8451" customFormat="false" ht="15" hidden="false" customHeight="false" outlineLevel="0" collapsed="false">
      <c r="A8451" s="0" t="n">
        <v>8450</v>
      </c>
      <c r="B8451" s="14" t="n">
        <v>136628.432030467</v>
      </c>
      <c r="C8451" s="15" t="n">
        <v>0.0356911748215627</v>
      </c>
      <c r="D8451" s="14" t="n">
        <f aca="false">Summary!$B$5-B8451</f>
        <v>-36628.4320304671</v>
      </c>
      <c r="E8451" s="15" t="n">
        <f aca="false">B8451/Summary!$B$5-1</f>
        <v>0.366284320304671</v>
      </c>
    </row>
    <row r="8452" customFormat="false" ht="15" hidden="false" customHeight="false" outlineLevel="0" collapsed="false">
      <c r="A8452" s="0" t="n">
        <v>8451</v>
      </c>
      <c r="B8452" s="14" t="n">
        <v>91107.5167459978</v>
      </c>
      <c r="C8452" s="15" t="n">
        <v>0.177598874284833</v>
      </c>
      <c r="D8452" s="14" t="n">
        <f aca="false">Summary!$B$5-B8452</f>
        <v>8892.4832540022</v>
      </c>
      <c r="E8452" s="15" t="n">
        <f aca="false">B8452/Summary!$B$5-1</f>
        <v>-0.088924832540022</v>
      </c>
    </row>
    <row r="8453" customFormat="false" ht="15" hidden="false" customHeight="false" outlineLevel="0" collapsed="false">
      <c r="A8453" s="0" t="n">
        <v>8452</v>
      </c>
      <c r="B8453" s="14" t="n">
        <v>139375.149260914</v>
      </c>
      <c r="C8453" s="15" t="n">
        <v>0.105974813707396</v>
      </c>
      <c r="D8453" s="14" t="n">
        <f aca="false">Summary!$B$5-B8453</f>
        <v>-39375.149260914</v>
      </c>
      <c r="E8453" s="15" t="n">
        <f aca="false">B8453/Summary!$B$5-1</f>
        <v>0.39375149260914</v>
      </c>
    </row>
    <row r="8454" customFormat="false" ht="15" hidden="false" customHeight="false" outlineLevel="0" collapsed="false">
      <c r="A8454" s="0" t="n">
        <v>8453</v>
      </c>
      <c r="B8454" s="14" t="n">
        <v>114724.040334518</v>
      </c>
      <c r="C8454" s="15" t="n">
        <v>0.0996451558351209</v>
      </c>
      <c r="D8454" s="14" t="n">
        <f aca="false">Summary!$B$5-B8454</f>
        <v>-14724.0403345184</v>
      </c>
      <c r="E8454" s="15" t="n">
        <f aca="false">B8454/Summary!$B$5-1</f>
        <v>0.147240403345184</v>
      </c>
    </row>
    <row r="8455" customFormat="false" ht="15" hidden="false" customHeight="false" outlineLevel="0" collapsed="false">
      <c r="A8455" s="0" t="n">
        <v>8454</v>
      </c>
      <c r="B8455" s="14" t="n">
        <v>113652.954234991</v>
      </c>
      <c r="C8455" s="15" t="n">
        <v>0.0810754348996537</v>
      </c>
      <c r="D8455" s="14" t="n">
        <f aca="false">Summary!$B$5-B8455</f>
        <v>-13652.9542349911</v>
      </c>
      <c r="E8455" s="15" t="n">
        <f aca="false">B8455/Summary!$B$5-1</f>
        <v>0.136529542349911</v>
      </c>
    </row>
    <row r="8456" customFormat="false" ht="15" hidden="false" customHeight="false" outlineLevel="0" collapsed="false">
      <c r="A8456" s="0" t="n">
        <v>8455</v>
      </c>
      <c r="B8456" s="14" t="n">
        <v>121963.680300572</v>
      </c>
      <c r="C8456" s="15" t="n">
        <v>0.0856435391747434</v>
      </c>
      <c r="D8456" s="14" t="n">
        <f aca="false">Summary!$B$5-B8456</f>
        <v>-21963.6803005723</v>
      </c>
      <c r="E8456" s="15" t="n">
        <f aca="false">B8456/Summary!$B$5-1</f>
        <v>0.219636803005723</v>
      </c>
    </row>
    <row r="8457" customFormat="false" ht="15" hidden="false" customHeight="false" outlineLevel="0" collapsed="false">
      <c r="A8457" s="0" t="n">
        <v>8456</v>
      </c>
      <c r="B8457" s="14" t="n">
        <v>101473.252548818</v>
      </c>
      <c r="C8457" s="15" t="n">
        <v>0.0733920405641378</v>
      </c>
      <c r="D8457" s="14" t="n">
        <f aca="false">Summary!$B$5-B8457</f>
        <v>-1473.252548818</v>
      </c>
      <c r="E8457" s="15" t="n">
        <f aca="false">B8457/Summary!$B$5-1</f>
        <v>0.01473252548818</v>
      </c>
    </row>
    <row r="8458" customFormat="false" ht="15" hidden="false" customHeight="false" outlineLevel="0" collapsed="false">
      <c r="A8458" s="0" t="n">
        <v>8457</v>
      </c>
      <c r="B8458" s="14" t="n">
        <v>118125.468806028</v>
      </c>
      <c r="C8458" s="15" t="n">
        <v>0.0745393547752163</v>
      </c>
      <c r="D8458" s="14" t="n">
        <f aca="false">Summary!$B$5-B8458</f>
        <v>-18125.4688060276</v>
      </c>
      <c r="E8458" s="15" t="n">
        <f aca="false">B8458/Summary!$B$5-1</f>
        <v>0.181254688060276</v>
      </c>
    </row>
    <row r="8459" customFormat="false" ht="15" hidden="false" customHeight="false" outlineLevel="0" collapsed="false">
      <c r="A8459" s="0" t="n">
        <v>8458</v>
      </c>
      <c r="B8459" s="14" t="n">
        <v>108785.244967514</v>
      </c>
      <c r="C8459" s="15" t="n">
        <v>0.0563058107501016</v>
      </c>
      <c r="D8459" s="14" t="n">
        <f aca="false">Summary!$B$5-B8459</f>
        <v>-8785.2449675136</v>
      </c>
      <c r="E8459" s="15" t="n">
        <f aca="false">B8459/Summary!$B$5-1</f>
        <v>0.0878524496751361</v>
      </c>
    </row>
    <row r="8460" customFormat="false" ht="15" hidden="false" customHeight="false" outlineLevel="0" collapsed="false">
      <c r="A8460" s="0" t="n">
        <v>8459</v>
      </c>
      <c r="B8460" s="14" t="n">
        <v>100263.986582315</v>
      </c>
      <c r="C8460" s="15" t="n">
        <v>0.053431525305818</v>
      </c>
      <c r="D8460" s="14" t="n">
        <f aca="false">Summary!$B$5-B8460</f>
        <v>-263.986582315294</v>
      </c>
      <c r="E8460" s="15" t="n">
        <f aca="false">B8460/Summary!$B$5-1</f>
        <v>0.00263986582315301</v>
      </c>
    </row>
    <row r="8461" customFormat="false" ht="15" hidden="false" customHeight="false" outlineLevel="0" collapsed="false">
      <c r="A8461" s="0" t="n">
        <v>8460</v>
      </c>
      <c r="B8461" s="14" t="n">
        <v>97603.5627046387</v>
      </c>
      <c r="C8461" s="15" t="n">
        <v>0.132938080809634</v>
      </c>
      <c r="D8461" s="14" t="n">
        <f aca="false">Summary!$B$5-B8461</f>
        <v>2396.43729536133</v>
      </c>
      <c r="E8461" s="15" t="n">
        <f aca="false">B8461/Summary!$B$5-1</f>
        <v>-0.0239643729536133</v>
      </c>
    </row>
    <row r="8462" customFormat="false" ht="15" hidden="false" customHeight="false" outlineLevel="0" collapsed="false">
      <c r="A8462" s="0" t="n">
        <v>8461</v>
      </c>
      <c r="B8462" s="14" t="n">
        <v>98365.6042279708</v>
      </c>
      <c r="C8462" s="15" t="n">
        <v>0.131030464999325</v>
      </c>
      <c r="D8462" s="14" t="n">
        <f aca="false">Summary!$B$5-B8462</f>
        <v>1634.39577202924</v>
      </c>
      <c r="E8462" s="15" t="n">
        <f aca="false">B8462/Summary!$B$5-1</f>
        <v>-0.0163439577202924</v>
      </c>
    </row>
    <row r="8463" customFormat="false" ht="15" hidden="false" customHeight="false" outlineLevel="0" collapsed="false">
      <c r="A8463" s="0" t="n">
        <v>8462</v>
      </c>
      <c r="B8463" s="14" t="n">
        <v>120792.502048317</v>
      </c>
      <c r="C8463" s="15" t="n">
        <v>0.118956821808175</v>
      </c>
      <c r="D8463" s="14" t="n">
        <f aca="false">Summary!$B$5-B8463</f>
        <v>-20792.5020483166</v>
      </c>
      <c r="E8463" s="15" t="n">
        <f aca="false">B8463/Summary!$B$5-1</f>
        <v>0.207925020483166</v>
      </c>
    </row>
    <row r="8464" customFormat="false" ht="15" hidden="false" customHeight="false" outlineLevel="0" collapsed="false">
      <c r="A8464" s="0" t="n">
        <v>8463</v>
      </c>
      <c r="B8464" s="14" t="n">
        <v>129931.171438669</v>
      </c>
      <c r="C8464" s="15" t="n">
        <v>0.040803523472903</v>
      </c>
      <c r="D8464" s="14" t="n">
        <f aca="false">Summary!$B$5-B8464</f>
        <v>-29931.1714386688</v>
      </c>
      <c r="E8464" s="15" t="n">
        <f aca="false">B8464/Summary!$B$5-1</f>
        <v>0.299311714386688</v>
      </c>
    </row>
    <row r="8465" customFormat="false" ht="15" hidden="false" customHeight="false" outlineLevel="0" collapsed="false">
      <c r="A8465" s="0" t="n">
        <v>8464</v>
      </c>
      <c r="B8465" s="14" t="n">
        <v>99663.6918470497</v>
      </c>
      <c r="C8465" s="15" t="n">
        <v>0.0731273310985883</v>
      </c>
      <c r="D8465" s="14" t="n">
        <f aca="false">Summary!$B$5-B8465</f>
        <v>336.308152950354</v>
      </c>
      <c r="E8465" s="15" t="n">
        <f aca="false">B8465/Summary!$B$5-1</f>
        <v>-0.0033630815295036</v>
      </c>
    </row>
    <row r="8466" customFormat="false" ht="15" hidden="false" customHeight="false" outlineLevel="0" collapsed="false">
      <c r="A8466" s="0" t="n">
        <v>8465</v>
      </c>
      <c r="B8466" s="14" t="n">
        <v>108841.436110483</v>
      </c>
      <c r="C8466" s="15" t="n">
        <v>0.0688030954881282</v>
      </c>
      <c r="D8466" s="14" t="n">
        <f aca="false">Summary!$B$5-B8466</f>
        <v>-8841.43611048249</v>
      </c>
      <c r="E8466" s="15" t="n">
        <f aca="false">B8466/Summary!$B$5-1</f>
        <v>0.0884143611048249</v>
      </c>
    </row>
    <row r="8467" customFormat="false" ht="15" hidden="false" customHeight="false" outlineLevel="0" collapsed="false">
      <c r="A8467" s="0" t="n">
        <v>8466</v>
      </c>
      <c r="B8467" s="14" t="n">
        <v>95397.0822126592</v>
      </c>
      <c r="C8467" s="15" t="n">
        <v>0.122966145237343</v>
      </c>
      <c r="D8467" s="14" t="n">
        <f aca="false">Summary!$B$5-B8467</f>
        <v>4602.91778734079</v>
      </c>
      <c r="E8467" s="15" t="n">
        <f aca="false">B8467/Summary!$B$5-1</f>
        <v>-0.0460291778734079</v>
      </c>
    </row>
    <row r="8468" customFormat="false" ht="15" hidden="false" customHeight="false" outlineLevel="0" collapsed="false">
      <c r="A8468" s="0" t="n">
        <v>8467</v>
      </c>
      <c r="B8468" s="14" t="n">
        <v>117439.607030146</v>
      </c>
      <c r="C8468" s="15" t="n">
        <v>0.0663869721312599</v>
      </c>
      <c r="D8468" s="14" t="n">
        <f aca="false">Summary!$B$5-B8468</f>
        <v>-17439.6070301459</v>
      </c>
      <c r="E8468" s="15" t="n">
        <f aca="false">B8468/Summary!$B$5-1</f>
        <v>0.174396070301459</v>
      </c>
    </row>
    <row r="8469" customFormat="false" ht="15" hidden="false" customHeight="false" outlineLevel="0" collapsed="false">
      <c r="A8469" s="0" t="n">
        <v>8468</v>
      </c>
      <c r="B8469" s="14" t="n">
        <v>90808.6241047368</v>
      </c>
      <c r="C8469" s="15" t="n">
        <v>0.166643405521163</v>
      </c>
      <c r="D8469" s="14" t="n">
        <f aca="false">Summary!$B$5-B8469</f>
        <v>9191.37589526321</v>
      </c>
      <c r="E8469" s="15" t="n">
        <f aca="false">B8469/Summary!$B$5-1</f>
        <v>-0.0919137589526321</v>
      </c>
    </row>
    <row r="8470" customFormat="false" ht="15" hidden="false" customHeight="false" outlineLevel="0" collapsed="false">
      <c r="A8470" s="0" t="n">
        <v>8469</v>
      </c>
      <c r="B8470" s="14" t="n">
        <v>104939.290830918</v>
      </c>
      <c r="C8470" s="15" t="n">
        <v>0.107703815665497</v>
      </c>
      <c r="D8470" s="14" t="n">
        <f aca="false">Summary!$B$5-B8470</f>
        <v>-4939.2908309176</v>
      </c>
      <c r="E8470" s="15" t="n">
        <f aca="false">B8470/Summary!$B$5-1</f>
        <v>0.049392908309176</v>
      </c>
    </row>
    <row r="8471" customFormat="false" ht="15" hidden="false" customHeight="false" outlineLevel="0" collapsed="false">
      <c r="A8471" s="0" t="n">
        <v>8470</v>
      </c>
      <c r="B8471" s="14" t="n">
        <v>118687.2691904</v>
      </c>
      <c r="C8471" s="15" t="n">
        <v>0.0759679650547165</v>
      </c>
      <c r="D8471" s="14" t="n">
        <f aca="false">Summary!$B$5-B8471</f>
        <v>-18687.2691903999</v>
      </c>
      <c r="E8471" s="15" t="n">
        <f aca="false">B8471/Summary!$B$5-1</f>
        <v>0.186872691903999</v>
      </c>
    </row>
    <row r="8472" customFormat="false" ht="15" hidden="false" customHeight="false" outlineLevel="0" collapsed="false">
      <c r="A8472" s="0" t="n">
        <v>8471</v>
      </c>
      <c r="B8472" s="14" t="n">
        <v>93982.2598410465</v>
      </c>
      <c r="C8472" s="15" t="n">
        <v>0.1192070653144</v>
      </c>
      <c r="D8472" s="14" t="n">
        <f aca="false">Summary!$B$5-B8472</f>
        <v>6017.74015895347</v>
      </c>
      <c r="E8472" s="15" t="n">
        <f aca="false">B8472/Summary!$B$5-1</f>
        <v>-0.0601774015895347</v>
      </c>
    </row>
    <row r="8473" customFormat="false" ht="15" hidden="false" customHeight="false" outlineLevel="0" collapsed="false">
      <c r="A8473" s="0" t="n">
        <v>8472</v>
      </c>
      <c r="B8473" s="14" t="n">
        <v>115879.981977788</v>
      </c>
      <c r="C8473" s="15" t="n">
        <v>0.0663642045091315</v>
      </c>
      <c r="D8473" s="14" t="n">
        <f aca="false">Summary!$B$5-B8473</f>
        <v>-15879.9819777881</v>
      </c>
      <c r="E8473" s="15" t="n">
        <f aca="false">B8473/Summary!$B$5-1</f>
        <v>0.158799819777881</v>
      </c>
    </row>
    <row r="8474" customFormat="false" ht="15" hidden="false" customHeight="false" outlineLevel="0" collapsed="false">
      <c r="A8474" s="0" t="n">
        <v>8473</v>
      </c>
      <c r="B8474" s="14" t="n">
        <v>109731.888236725</v>
      </c>
      <c r="C8474" s="15" t="n">
        <v>0.160394254163521</v>
      </c>
      <c r="D8474" s="14" t="n">
        <f aca="false">Summary!$B$5-B8474</f>
        <v>-9731.8882367254</v>
      </c>
      <c r="E8474" s="15" t="n">
        <f aca="false">B8474/Summary!$B$5-1</f>
        <v>0.0973188823672539</v>
      </c>
    </row>
    <row r="8475" customFormat="false" ht="15" hidden="false" customHeight="false" outlineLevel="0" collapsed="false">
      <c r="A8475" s="0" t="n">
        <v>8474</v>
      </c>
      <c r="B8475" s="14" t="n">
        <v>108498.332417319</v>
      </c>
      <c r="C8475" s="15" t="n">
        <v>0.103491727031091</v>
      </c>
      <c r="D8475" s="14" t="n">
        <f aca="false">Summary!$B$5-B8475</f>
        <v>-8498.33241731919</v>
      </c>
      <c r="E8475" s="15" t="n">
        <f aca="false">B8475/Summary!$B$5-1</f>
        <v>0.0849833241731919</v>
      </c>
    </row>
    <row r="8476" customFormat="false" ht="15" hidden="false" customHeight="false" outlineLevel="0" collapsed="false">
      <c r="A8476" s="0" t="n">
        <v>8475</v>
      </c>
      <c r="B8476" s="14" t="n">
        <v>109368.67153455</v>
      </c>
      <c r="C8476" s="15" t="n">
        <v>0.083397905860794</v>
      </c>
      <c r="D8476" s="14" t="n">
        <f aca="false">Summary!$B$5-B8476</f>
        <v>-9368.6715345499</v>
      </c>
      <c r="E8476" s="15" t="n">
        <f aca="false">B8476/Summary!$B$5-1</f>
        <v>0.093686715345499</v>
      </c>
    </row>
    <row r="8477" customFormat="false" ht="15" hidden="false" customHeight="false" outlineLevel="0" collapsed="false">
      <c r="A8477" s="0" t="n">
        <v>8476</v>
      </c>
      <c r="B8477" s="14" t="n">
        <v>118884.632799416</v>
      </c>
      <c r="C8477" s="15" t="n">
        <v>0.0778031811521764</v>
      </c>
      <c r="D8477" s="14" t="n">
        <f aca="false">Summary!$B$5-B8477</f>
        <v>-18884.6327994163</v>
      </c>
      <c r="E8477" s="15" t="n">
        <f aca="false">B8477/Summary!$B$5-1</f>
        <v>0.188846327994163</v>
      </c>
    </row>
    <row r="8478" customFormat="false" ht="15" hidden="false" customHeight="false" outlineLevel="0" collapsed="false">
      <c r="A8478" s="0" t="n">
        <v>8477</v>
      </c>
      <c r="B8478" s="14" t="n">
        <v>116626.074972672</v>
      </c>
      <c r="C8478" s="15" t="n">
        <v>0.0644222777808347</v>
      </c>
      <c r="D8478" s="14" t="n">
        <f aca="false">Summary!$B$5-B8478</f>
        <v>-16626.074972672</v>
      </c>
      <c r="E8478" s="15" t="n">
        <f aca="false">B8478/Summary!$B$5-1</f>
        <v>0.16626074972672</v>
      </c>
    </row>
    <row r="8479" customFormat="false" ht="15" hidden="false" customHeight="false" outlineLevel="0" collapsed="false">
      <c r="A8479" s="0" t="n">
        <v>8478</v>
      </c>
      <c r="B8479" s="14" t="n">
        <v>101082.836875471</v>
      </c>
      <c r="C8479" s="15" t="n">
        <v>0.125738287065116</v>
      </c>
      <c r="D8479" s="14" t="n">
        <f aca="false">Summary!$B$5-B8479</f>
        <v>-1082.83687547089</v>
      </c>
      <c r="E8479" s="15" t="n">
        <f aca="false">B8479/Summary!$B$5-1</f>
        <v>0.0108283687547088</v>
      </c>
    </row>
    <row r="8480" customFormat="false" ht="15" hidden="false" customHeight="false" outlineLevel="0" collapsed="false">
      <c r="A8480" s="0" t="n">
        <v>8479</v>
      </c>
      <c r="B8480" s="14" t="n">
        <v>107198.84082918</v>
      </c>
      <c r="C8480" s="15" t="n">
        <v>0.0687507050694043</v>
      </c>
      <c r="D8480" s="14" t="n">
        <f aca="false">Summary!$B$5-B8480</f>
        <v>-7198.84082918031</v>
      </c>
      <c r="E8480" s="15" t="n">
        <f aca="false">B8480/Summary!$B$5-1</f>
        <v>0.071988408291803</v>
      </c>
    </row>
    <row r="8481" customFormat="false" ht="15" hidden="false" customHeight="false" outlineLevel="0" collapsed="false">
      <c r="A8481" s="0" t="n">
        <v>8480</v>
      </c>
      <c r="B8481" s="14" t="n">
        <v>121352.455341105</v>
      </c>
      <c r="C8481" s="15" t="n">
        <v>0.078475582324907</v>
      </c>
      <c r="D8481" s="14" t="n">
        <f aca="false">Summary!$B$5-B8481</f>
        <v>-21352.4553411047</v>
      </c>
      <c r="E8481" s="15" t="n">
        <f aca="false">B8481/Summary!$B$5-1</f>
        <v>0.213524553411047</v>
      </c>
    </row>
    <row r="8482" customFormat="false" ht="15" hidden="false" customHeight="false" outlineLevel="0" collapsed="false">
      <c r="A8482" s="0" t="n">
        <v>8481</v>
      </c>
      <c r="B8482" s="14" t="n">
        <v>105900.313304406</v>
      </c>
      <c r="C8482" s="15" t="n">
        <v>0.0702296527413615</v>
      </c>
      <c r="D8482" s="14" t="n">
        <f aca="false">Summary!$B$5-B8482</f>
        <v>-5900.3133044062</v>
      </c>
      <c r="E8482" s="15" t="n">
        <f aca="false">B8482/Summary!$B$5-1</f>
        <v>0.0590031330440619</v>
      </c>
    </row>
    <row r="8483" customFormat="false" ht="15" hidden="false" customHeight="false" outlineLevel="0" collapsed="false">
      <c r="A8483" s="0" t="n">
        <v>8482</v>
      </c>
      <c r="B8483" s="14" t="n">
        <v>102227.935061255</v>
      </c>
      <c r="C8483" s="15" t="n">
        <v>0.100327108479575</v>
      </c>
      <c r="D8483" s="14" t="n">
        <f aca="false">Summary!$B$5-B8483</f>
        <v>-2227.9350612547</v>
      </c>
      <c r="E8483" s="15" t="n">
        <f aca="false">B8483/Summary!$B$5-1</f>
        <v>0.0222793506125469</v>
      </c>
    </row>
    <row r="8484" customFormat="false" ht="15" hidden="false" customHeight="false" outlineLevel="0" collapsed="false">
      <c r="A8484" s="0" t="n">
        <v>8483</v>
      </c>
      <c r="B8484" s="14" t="n">
        <v>134281.398687661</v>
      </c>
      <c r="C8484" s="15" t="n">
        <v>0.0704463594915152</v>
      </c>
      <c r="D8484" s="14" t="n">
        <f aca="false">Summary!$B$5-B8484</f>
        <v>-34281.3986876611</v>
      </c>
      <c r="E8484" s="15" t="n">
        <f aca="false">B8484/Summary!$B$5-1</f>
        <v>0.342813986876611</v>
      </c>
    </row>
    <row r="8485" customFormat="false" ht="15" hidden="false" customHeight="false" outlineLevel="0" collapsed="false">
      <c r="A8485" s="0" t="n">
        <v>8484</v>
      </c>
      <c r="B8485" s="14" t="n">
        <v>102480.049942485</v>
      </c>
      <c r="C8485" s="15" t="n">
        <v>0.0776790006992879</v>
      </c>
      <c r="D8485" s="14" t="n">
        <f aca="false">Summary!$B$5-B8485</f>
        <v>-2480.0499424848</v>
      </c>
      <c r="E8485" s="15" t="n">
        <f aca="false">B8485/Summary!$B$5-1</f>
        <v>0.0248004994248479</v>
      </c>
    </row>
    <row r="8486" customFormat="false" ht="15" hidden="false" customHeight="false" outlineLevel="0" collapsed="false">
      <c r="A8486" s="0" t="n">
        <v>8485</v>
      </c>
      <c r="B8486" s="14" t="n">
        <v>115422.531679194</v>
      </c>
      <c r="C8486" s="15" t="n">
        <v>0.0911051990347432</v>
      </c>
      <c r="D8486" s="14" t="n">
        <f aca="false">Summary!$B$5-B8486</f>
        <v>-15422.5316791944</v>
      </c>
      <c r="E8486" s="15" t="n">
        <f aca="false">B8486/Summary!$B$5-1</f>
        <v>0.154225316791944</v>
      </c>
    </row>
    <row r="8487" customFormat="false" ht="15" hidden="false" customHeight="false" outlineLevel="0" collapsed="false">
      <c r="A8487" s="0" t="n">
        <v>8486</v>
      </c>
      <c r="B8487" s="14" t="n">
        <v>119072.436169558</v>
      </c>
      <c r="C8487" s="15" t="n">
        <v>0.0576083811557639</v>
      </c>
      <c r="D8487" s="14" t="n">
        <f aca="false">Summary!$B$5-B8487</f>
        <v>-19072.4361695584</v>
      </c>
      <c r="E8487" s="15" t="n">
        <f aca="false">B8487/Summary!$B$5-1</f>
        <v>0.190724361695584</v>
      </c>
    </row>
    <row r="8488" customFormat="false" ht="15" hidden="false" customHeight="false" outlineLevel="0" collapsed="false">
      <c r="A8488" s="0" t="n">
        <v>8487</v>
      </c>
      <c r="B8488" s="14" t="n">
        <v>118405.394277645</v>
      </c>
      <c r="C8488" s="15" t="n">
        <v>0.0533988734370043</v>
      </c>
      <c r="D8488" s="14" t="n">
        <f aca="false">Summary!$B$5-B8488</f>
        <v>-18405.3942776449</v>
      </c>
      <c r="E8488" s="15" t="n">
        <f aca="false">B8488/Summary!$B$5-1</f>
        <v>0.184053942776449</v>
      </c>
    </row>
    <row r="8489" customFormat="false" ht="15" hidden="false" customHeight="false" outlineLevel="0" collapsed="false">
      <c r="A8489" s="0" t="n">
        <v>8488</v>
      </c>
      <c r="B8489" s="14" t="n">
        <v>124394.318842153</v>
      </c>
      <c r="C8489" s="15" t="n">
        <v>0.0740869994711731</v>
      </c>
      <c r="D8489" s="14" t="n">
        <f aca="false">Summary!$B$5-B8489</f>
        <v>-24394.3188421533</v>
      </c>
      <c r="E8489" s="15" t="n">
        <f aca="false">B8489/Summary!$B$5-1</f>
        <v>0.243943188421533</v>
      </c>
    </row>
    <row r="8490" customFormat="false" ht="15" hidden="false" customHeight="false" outlineLevel="0" collapsed="false">
      <c r="A8490" s="0" t="n">
        <v>8489</v>
      </c>
      <c r="B8490" s="14" t="n">
        <v>112390.867849956</v>
      </c>
      <c r="C8490" s="15" t="n">
        <v>0.0812637510392923</v>
      </c>
      <c r="D8490" s="14" t="n">
        <f aca="false">Summary!$B$5-B8490</f>
        <v>-12390.8678499558</v>
      </c>
      <c r="E8490" s="15" t="n">
        <f aca="false">B8490/Summary!$B$5-1</f>
        <v>0.123908678499558</v>
      </c>
    </row>
    <row r="8491" customFormat="false" ht="15" hidden="false" customHeight="false" outlineLevel="0" collapsed="false">
      <c r="A8491" s="0" t="n">
        <v>8490</v>
      </c>
      <c r="B8491" s="14" t="n">
        <v>135168.11674339</v>
      </c>
      <c r="C8491" s="15" t="n">
        <v>0.0560001223138614</v>
      </c>
      <c r="D8491" s="14" t="n">
        <f aca="false">Summary!$B$5-B8491</f>
        <v>-35168.1167433904</v>
      </c>
      <c r="E8491" s="15" t="n">
        <f aca="false">B8491/Summary!$B$5-1</f>
        <v>0.351681167433904</v>
      </c>
    </row>
    <row r="8492" customFormat="false" ht="15" hidden="false" customHeight="false" outlineLevel="0" collapsed="false">
      <c r="A8492" s="0" t="n">
        <v>8491</v>
      </c>
      <c r="B8492" s="14" t="n">
        <v>127872.422039111</v>
      </c>
      <c r="C8492" s="15" t="n">
        <v>0.0763214526031761</v>
      </c>
      <c r="D8492" s="14" t="n">
        <f aca="false">Summary!$B$5-B8492</f>
        <v>-27872.4220391114</v>
      </c>
      <c r="E8492" s="15" t="n">
        <f aca="false">B8492/Summary!$B$5-1</f>
        <v>0.278724220391114</v>
      </c>
    </row>
    <row r="8493" customFormat="false" ht="15" hidden="false" customHeight="false" outlineLevel="0" collapsed="false">
      <c r="A8493" s="0" t="n">
        <v>8492</v>
      </c>
      <c r="B8493" s="14" t="n">
        <v>129936.570400946</v>
      </c>
      <c r="C8493" s="15" t="n">
        <v>0.0418980006186918</v>
      </c>
      <c r="D8493" s="14" t="n">
        <f aca="false">Summary!$B$5-B8493</f>
        <v>-29936.5704009463</v>
      </c>
      <c r="E8493" s="15" t="n">
        <f aca="false">B8493/Summary!$B$5-1</f>
        <v>0.299365704009463</v>
      </c>
    </row>
    <row r="8494" customFormat="false" ht="15" hidden="false" customHeight="false" outlineLevel="0" collapsed="false">
      <c r="A8494" s="0" t="n">
        <v>8493</v>
      </c>
      <c r="B8494" s="14" t="n">
        <v>124213.82186742</v>
      </c>
      <c r="C8494" s="15" t="n">
        <v>0.0494196561485877</v>
      </c>
      <c r="D8494" s="14" t="n">
        <f aca="false">Summary!$B$5-B8494</f>
        <v>-24213.8218674195</v>
      </c>
      <c r="E8494" s="15" t="n">
        <f aca="false">B8494/Summary!$B$5-1</f>
        <v>0.242138218674195</v>
      </c>
    </row>
    <row r="8495" customFormat="false" ht="15" hidden="false" customHeight="false" outlineLevel="0" collapsed="false">
      <c r="A8495" s="0" t="n">
        <v>8494</v>
      </c>
      <c r="B8495" s="14" t="n">
        <v>108151.569314098</v>
      </c>
      <c r="C8495" s="15" t="n">
        <v>0.0752180929586312</v>
      </c>
      <c r="D8495" s="14" t="n">
        <f aca="false">Summary!$B$5-B8495</f>
        <v>-8151.56931409831</v>
      </c>
      <c r="E8495" s="15" t="n">
        <f aca="false">B8495/Summary!$B$5-1</f>
        <v>0.0815156931409831</v>
      </c>
    </row>
    <row r="8496" customFormat="false" ht="15" hidden="false" customHeight="false" outlineLevel="0" collapsed="false">
      <c r="A8496" s="0" t="n">
        <v>8495</v>
      </c>
      <c r="B8496" s="14" t="n">
        <v>104494.358664275</v>
      </c>
      <c r="C8496" s="15" t="n">
        <v>0.0749536099170792</v>
      </c>
      <c r="D8496" s="14" t="n">
        <f aca="false">Summary!$B$5-B8496</f>
        <v>-4494.35866427521</v>
      </c>
      <c r="E8496" s="15" t="n">
        <f aca="false">B8496/Summary!$B$5-1</f>
        <v>0.0449435866427521</v>
      </c>
    </row>
    <row r="8497" customFormat="false" ht="15" hidden="false" customHeight="false" outlineLevel="0" collapsed="false">
      <c r="A8497" s="0" t="n">
        <v>8496</v>
      </c>
      <c r="B8497" s="14" t="n">
        <v>103234.606399876</v>
      </c>
      <c r="C8497" s="15" t="n">
        <v>0.108804405573679</v>
      </c>
      <c r="D8497" s="14" t="n">
        <f aca="false">Summary!$B$5-B8497</f>
        <v>-3234.6063998755</v>
      </c>
      <c r="E8497" s="15" t="n">
        <f aca="false">B8497/Summary!$B$5-1</f>
        <v>0.032346063998755</v>
      </c>
    </row>
    <row r="8498" customFormat="false" ht="15" hidden="false" customHeight="false" outlineLevel="0" collapsed="false">
      <c r="A8498" s="0" t="n">
        <v>8497</v>
      </c>
      <c r="B8498" s="14" t="n">
        <v>118697.477180541</v>
      </c>
      <c r="C8498" s="15" t="n">
        <v>0.0731741644890662</v>
      </c>
      <c r="D8498" s="14" t="n">
        <f aca="false">Summary!$B$5-B8498</f>
        <v>-18697.4771805408</v>
      </c>
      <c r="E8498" s="15" t="n">
        <f aca="false">B8498/Summary!$B$5-1</f>
        <v>0.186974771805408</v>
      </c>
    </row>
    <row r="8499" customFormat="false" ht="15" hidden="false" customHeight="false" outlineLevel="0" collapsed="false">
      <c r="A8499" s="0" t="n">
        <v>8498</v>
      </c>
      <c r="B8499" s="14" t="n">
        <v>97171.2942220666</v>
      </c>
      <c r="C8499" s="15" t="n">
        <v>0.151126279029102</v>
      </c>
      <c r="D8499" s="14" t="n">
        <f aca="false">Summary!$B$5-B8499</f>
        <v>2828.70577793338</v>
      </c>
      <c r="E8499" s="15" t="n">
        <f aca="false">B8499/Summary!$B$5-1</f>
        <v>-0.0282870577793338</v>
      </c>
    </row>
    <row r="8500" customFormat="false" ht="15" hidden="false" customHeight="false" outlineLevel="0" collapsed="false">
      <c r="A8500" s="0" t="n">
        <v>8499</v>
      </c>
      <c r="B8500" s="14" t="n">
        <v>101387.69513376</v>
      </c>
      <c r="C8500" s="15" t="n">
        <v>0.16290744805444</v>
      </c>
      <c r="D8500" s="14" t="n">
        <f aca="false">Summary!$B$5-B8500</f>
        <v>-1387.6951337603</v>
      </c>
      <c r="E8500" s="15" t="n">
        <f aca="false">B8500/Summary!$B$5-1</f>
        <v>0.0138769513376029</v>
      </c>
    </row>
    <row r="8501" customFormat="false" ht="15" hidden="false" customHeight="false" outlineLevel="0" collapsed="false">
      <c r="A8501" s="0" t="n">
        <v>8500</v>
      </c>
      <c r="B8501" s="14" t="n">
        <v>94699.4129825322</v>
      </c>
      <c r="C8501" s="15" t="n">
        <v>0.10227672513445</v>
      </c>
      <c r="D8501" s="14" t="n">
        <f aca="false">Summary!$B$5-B8501</f>
        <v>5300.5870174678</v>
      </c>
      <c r="E8501" s="15" t="n">
        <f aca="false">B8501/Summary!$B$5-1</f>
        <v>-0.053005870174678</v>
      </c>
    </row>
    <row r="8502" customFormat="false" ht="15" hidden="false" customHeight="false" outlineLevel="0" collapsed="false">
      <c r="A8502" s="0" t="n">
        <v>8501</v>
      </c>
      <c r="B8502" s="14" t="n">
        <v>100632.75269753</v>
      </c>
      <c r="C8502" s="15" t="n">
        <v>0.1255962296991</v>
      </c>
      <c r="D8502" s="14" t="n">
        <f aca="false">Summary!$B$5-B8502</f>
        <v>-632.752697529606</v>
      </c>
      <c r="E8502" s="15" t="n">
        <f aca="false">B8502/Summary!$B$5-1</f>
        <v>0.00632752697529604</v>
      </c>
    </row>
    <row r="8503" customFormat="false" ht="15" hidden="false" customHeight="false" outlineLevel="0" collapsed="false">
      <c r="A8503" s="0" t="n">
        <v>8502</v>
      </c>
      <c r="B8503" s="14" t="n">
        <v>101354.580388565</v>
      </c>
      <c r="C8503" s="15" t="n">
        <v>0.0767119493340238</v>
      </c>
      <c r="D8503" s="14" t="n">
        <f aca="false">Summary!$B$5-B8503</f>
        <v>-1354.5803885646</v>
      </c>
      <c r="E8503" s="15" t="n">
        <f aca="false">B8503/Summary!$B$5-1</f>
        <v>0.013545803885646</v>
      </c>
    </row>
    <row r="8504" customFormat="false" ht="15" hidden="false" customHeight="false" outlineLevel="0" collapsed="false">
      <c r="A8504" s="0" t="n">
        <v>8503</v>
      </c>
      <c r="B8504" s="14" t="n">
        <v>105309.759301835</v>
      </c>
      <c r="C8504" s="15" t="n">
        <v>0.119320858784437</v>
      </c>
      <c r="D8504" s="14" t="n">
        <f aca="false">Summary!$B$5-B8504</f>
        <v>-5309.75930183521</v>
      </c>
      <c r="E8504" s="15" t="n">
        <f aca="false">B8504/Summary!$B$5-1</f>
        <v>0.0530975930183522</v>
      </c>
    </row>
    <row r="8505" customFormat="false" ht="15" hidden="false" customHeight="false" outlineLevel="0" collapsed="false">
      <c r="A8505" s="0" t="n">
        <v>8504</v>
      </c>
      <c r="B8505" s="14" t="n">
        <v>114850.093606191</v>
      </c>
      <c r="C8505" s="15" t="n">
        <v>0.0837104564830405</v>
      </c>
      <c r="D8505" s="14" t="n">
        <f aca="false">Summary!$B$5-B8505</f>
        <v>-14850.0936061914</v>
      </c>
      <c r="E8505" s="15" t="n">
        <f aca="false">B8505/Summary!$B$5-1</f>
        <v>0.148500936061914</v>
      </c>
    </row>
    <row r="8506" customFormat="false" ht="15" hidden="false" customHeight="false" outlineLevel="0" collapsed="false">
      <c r="A8506" s="0" t="n">
        <v>8505</v>
      </c>
      <c r="B8506" s="14" t="n">
        <v>112187.508520056</v>
      </c>
      <c r="C8506" s="15" t="n">
        <v>0.0892323225701637</v>
      </c>
      <c r="D8506" s="14" t="n">
        <f aca="false">Summary!$B$5-B8506</f>
        <v>-12187.5085200556</v>
      </c>
      <c r="E8506" s="15" t="n">
        <f aca="false">B8506/Summary!$B$5-1</f>
        <v>0.121875085200556</v>
      </c>
    </row>
    <row r="8507" customFormat="false" ht="15" hidden="false" customHeight="false" outlineLevel="0" collapsed="false">
      <c r="A8507" s="0" t="n">
        <v>8506</v>
      </c>
      <c r="B8507" s="14" t="n">
        <v>103095.535328155</v>
      </c>
      <c r="C8507" s="15" t="n">
        <v>0.102347847931287</v>
      </c>
      <c r="D8507" s="14" t="n">
        <f aca="false">Summary!$B$5-B8507</f>
        <v>-3095.5353281545</v>
      </c>
      <c r="E8507" s="15" t="n">
        <f aca="false">B8507/Summary!$B$5-1</f>
        <v>0.030955353281545</v>
      </c>
    </row>
    <row r="8508" customFormat="false" ht="15" hidden="false" customHeight="false" outlineLevel="0" collapsed="false">
      <c r="A8508" s="0" t="n">
        <v>8507</v>
      </c>
      <c r="B8508" s="14" t="n">
        <v>91619.4200784375</v>
      </c>
      <c r="C8508" s="15" t="n">
        <v>0.172485144490139</v>
      </c>
      <c r="D8508" s="14" t="n">
        <f aca="false">Summary!$B$5-B8508</f>
        <v>8380.57992156255</v>
      </c>
      <c r="E8508" s="15" t="n">
        <f aca="false">B8508/Summary!$B$5-1</f>
        <v>-0.0838057992156255</v>
      </c>
    </row>
    <row r="8509" customFormat="false" ht="15" hidden="false" customHeight="false" outlineLevel="0" collapsed="false">
      <c r="A8509" s="0" t="n">
        <v>8508</v>
      </c>
      <c r="B8509" s="14" t="n">
        <v>89471.5537675657</v>
      </c>
      <c r="C8509" s="15" t="n">
        <v>0.201116411531516</v>
      </c>
      <c r="D8509" s="14" t="n">
        <f aca="false">Summary!$B$5-B8509</f>
        <v>10528.4462324343</v>
      </c>
      <c r="E8509" s="15" t="n">
        <f aca="false">B8509/Summary!$B$5-1</f>
        <v>-0.105284462324343</v>
      </c>
    </row>
    <row r="8510" customFormat="false" ht="15" hidden="false" customHeight="false" outlineLevel="0" collapsed="false">
      <c r="A8510" s="0" t="n">
        <v>8509</v>
      </c>
      <c r="B8510" s="14" t="n">
        <v>97894.0180539372</v>
      </c>
      <c r="C8510" s="15" t="n">
        <v>0.158664417198965</v>
      </c>
      <c r="D8510" s="14" t="n">
        <f aca="false">Summary!$B$5-B8510</f>
        <v>2105.98194606276</v>
      </c>
      <c r="E8510" s="15" t="n">
        <f aca="false">B8510/Summary!$B$5-1</f>
        <v>-0.0210598194606276</v>
      </c>
    </row>
    <row r="8511" customFormat="false" ht="15" hidden="false" customHeight="false" outlineLevel="0" collapsed="false">
      <c r="A8511" s="0" t="n">
        <v>8510</v>
      </c>
      <c r="B8511" s="14" t="n">
        <v>110310.971487585</v>
      </c>
      <c r="C8511" s="15" t="n">
        <v>0.0555825258685109</v>
      </c>
      <c r="D8511" s="14" t="n">
        <f aca="false">Summary!$B$5-B8511</f>
        <v>-10310.9714875846</v>
      </c>
      <c r="E8511" s="15" t="n">
        <f aca="false">B8511/Summary!$B$5-1</f>
        <v>0.103109714875846</v>
      </c>
    </row>
    <row r="8512" customFormat="false" ht="15" hidden="false" customHeight="false" outlineLevel="0" collapsed="false">
      <c r="A8512" s="0" t="n">
        <v>8511</v>
      </c>
      <c r="B8512" s="14" t="n">
        <v>107488.065980143</v>
      </c>
      <c r="C8512" s="15" t="n">
        <v>0.0785745148139273</v>
      </c>
      <c r="D8512" s="14" t="n">
        <f aca="false">Summary!$B$5-B8512</f>
        <v>-7488.0659801427</v>
      </c>
      <c r="E8512" s="15" t="n">
        <f aca="false">B8512/Summary!$B$5-1</f>
        <v>0.0748806598014269</v>
      </c>
    </row>
    <row r="8513" customFormat="false" ht="15" hidden="false" customHeight="false" outlineLevel="0" collapsed="false">
      <c r="A8513" s="0" t="n">
        <v>8512</v>
      </c>
      <c r="B8513" s="14" t="n">
        <v>88099.9188434914</v>
      </c>
      <c r="C8513" s="15" t="n">
        <v>0.12898621708894</v>
      </c>
      <c r="D8513" s="14" t="n">
        <f aca="false">Summary!$B$5-B8513</f>
        <v>11900.0811565086</v>
      </c>
      <c r="E8513" s="15" t="n">
        <f aca="false">B8513/Summary!$B$5-1</f>
        <v>-0.119000811565086</v>
      </c>
    </row>
    <row r="8514" customFormat="false" ht="15" hidden="false" customHeight="false" outlineLevel="0" collapsed="false">
      <c r="A8514" s="0" t="n">
        <v>8513</v>
      </c>
      <c r="B8514" s="14" t="n">
        <v>117766.427957863</v>
      </c>
      <c r="C8514" s="15" t="n">
        <v>0.0976185698778488</v>
      </c>
      <c r="D8514" s="14" t="n">
        <f aca="false">Summary!$B$5-B8514</f>
        <v>-17766.4279578628</v>
      </c>
      <c r="E8514" s="15" t="n">
        <f aca="false">B8514/Summary!$B$5-1</f>
        <v>0.177664279578628</v>
      </c>
    </row>
    <row r="8515" customFormat="false" ht="15" hidden="false" customHeight="false" outlineLevel="0" collapsed="false">
      <c r="A8515" s="0" t="n">
        <v>8514</v>
      </c>
      <c r="B8515" s="14" t="n">
        <v>124080.566465207</v>
      </c>
      <c r="C8515" s="15" t="n">
        <v>0.0918039086991641</v>
      </c>
      <c r="D8515" s="14" t="n">
        <f aca="false">Summary!$B$5-B8515</f>
        <v>-24080.5664652074</v>
      </c>
      <c r="E8515" s="15" t="n">
        <f aca="false">B8515/Summary!$B$5-1</f>
        <v>0.240805664652074</v>
      </c>
    </row>
    <row r="8516" customFormat="false" ht="15" hidden="false" customHeight="false" outlineLevel="0" collapsed="false">
      <c r="A8516" s="0" t="n">
        <v>8515</v>
      </c>
      <c r="B8516" s="14" t="n">
        <v>85113.2212488177</v>
      </c>
      <c r="C8516" s="15" t="n">
        <v>0.182312222004842</v>
      </c>
      <c r="D8516" s="14" t="n">
        <f aca="false">Summary!$B$5-B8516</f>
        <v>14886.7787511823</v>
      </c>
      <c r="E8516" s="15" t="n">
        <f aca="false">B8516/Summary!$B$5-1</f>
        <v>-0.148867787511823</v>
      </c>
    </row>
    <row r="8517" customFormat="false" ht="15" hidden="false" customHeight="false" outlineLevel="0" collapsed="false">
      <c r="A8517" s="0" t="n">
        <v>8516</v>
      </c>
      <c r="B8517" s="14" t="n">
        <v>102363.070581102</v>
      </c>
      <c r="C8517" s="15" t="n">
        <v>0.0715422023625788</v>
      </c>
      <c r="D8517" s="14" t="n">
        <f aca="false">Summary!$B$5-B8517</f>
        <v>-2363.07058110239</v>
      </c>
      <c r="E8517" s="15" t="n">
        <f aca="false">B8517/Summary!$B$5-1</f>
        <v>0.0236307058110239</v>
      </c>
    </row>
    <row r="8518" customFormat="false" ht="15" hidden="false" customHeight="false" outlineLevel="0" collapsed="false">
      <c r="A8518" s="0" t="n">
        <v>8517</v>
      </c>
      <c r="B8518" s="14" t="n">
        <v>127645.866759433</v>
      </c>
      <c r="C8518" s="15" t="n">
        <v>0.0450134203094279</v>
      </c>
      <c r="D8518" s="14" t="n">
        <f aca="false">Summary!$B$5-B8518</f>
        <v>-27645.8667594331</v>
      </c>
      <c r="E8518" s="15" t="n">
        <f aca="false">B8518/Summary!$B$5-1</f>
        <v>0.276458667594331</v>
      </c>
    </row>
    <row r="8519" customFormat="false" ht="15" hidden="false" customHeight="false" outlineLevel="0" collapsed="false">
      <c r="A8519" s="0" t="n">
        <v>8518</v>
      </c>
      <c r="B8519" s="14" t="n">
        <v>112461.716551876</v>
      </c>
      <c r="C8519" s="15" t="n">
        <v>0.146543173719132</v>
      </c>
      <c r="D8519" s="14" t="n">
        <f aca="false">Summary!$B$5-B8519</f>
        <v>-12461.7165518756</v>
      </c>
      <c r="E8519" s="15" t="n">
        <f aca="false">B8519/Summary!$B$5-1</f>
        <v>0.124617165518756</v>
      </c>
    </row>
    <row r="8520" customFormat="false" ht="15" hidden="false" customHeight="false" outlineLevel="0" collapsed="false">
      <c r="A8520" s="0" t="n">
        <v>8519</v>
      </c>
      <c r="B8520" s="14" t="n">
        <v>123172.694062401</v>
      </c>
      <c r="C8520" s="15" t="n">
        <v>0.059510840154108</v>
      </c>
      <c r="D8520" s="14" t="n">
        <f aca="false">Summary!$B$5-B8520</f>
        <v>-23172.6940624014</v>
      </c>
      <c r="E8520" s="15" t="n">
        <f aca="false">B8520/Summary!$B$5-1</f>
        <v>0.231726940624014</v>
      </c>
    </row>
    <row r="8521" customFormat="false" ht="15" hidden="false" customHeight="false" outlineLevel="0" collapsed="false">
      <c r="A8521" s="0" t="n">
        <v>8520</v>
      </c>
      <c r="B8521" s="14" t="n">
        <v>112771.00591741</v>
      </c>
      <c r="C8521" s="15" t="n">
        <v>0.07591107152209</v>
      </c>
      <c r="D8521" s="14" t="n">
        <f aca="false">Summary!$B$5-B8521</f>
        <v>-12771.0059174096</v>
      </c>
      <c r="E8521" s="15" t="n">
        <f aca="false">B8521/Summary!$B$5-1</f>
        <v>0.127710059174096</v>
      </c>
    </row>
    <row r="8522" customFormat="false" ht="15" hidden="false" customHeight="false" outlineLevel="0" collapsed="false">
      <c r="A8522" s="0" t="n">
        <v>8521</v>
      </c>
      <c r="B8522" s="14" t="n">
        <v>105290.558082478</v>
      </c>
      <c r="C8522" s="15" t="n">
        <v>0.0674861958909216</v>
      </c>
      <c r="D8522" s="14" t="n">
        <f aca="false">Summary!$B$5-B8522</f>
        <v>-5290.5580824779</v>
      </c>
      <c r="E8522" s="15" t="n">
        <f aca="false">B8522/Summary!$B$5-1</f>
        <v>0.0529055808247789</v>
      </c>
    </row>
    <row r="8523" customFormat="false" ht="15" hidden="false" customHeight="false" outlineLevel="0" collapsed="false">
      <c r="A8523" s="0" t="n">
        <v>8522</v>
      </c>
      <c r="B8523" s="14" t="n">
        <v>110267.106575541</v>
      </c>
      <c r="C8523" s="15" t="n">
        <v>0.0691634998430193</v>
      </c>
      <c r="D8523" s="14" t="n">
        <f aca="false">Summary!$B$5-B8523</f>
        <v>-10267.1065755409</v>
      </c>
      <c r="E8523" s="15" t="n">
        <f aca="false">B8523/Summary!$B$5-1</f>
        <v>0.102671065755409</v>
      </c>
    </row>
    <row r="8524" customFormat="false" ht="15" hidden="false" customHeight="false" outlineLevel="0" collapsed="false">
      <c r="A8524" s="0" t="n">
        <v>8523</v>
      </c>
      <c r="B8524" s="14" t="n">
        <v>127240.248554214</v>
      </c>
      <c r="C8524" s="15" t="n">
        <v>0.0573373493682434</v>
      </c>
      <c r="D8524" s="14" t="n">
        <f aca="false">Summary!$B$5-B8524</f>
        <v>-27240.2485542135</v>
      </c>
      <c r="E8524" s="15" t="n">
        <f aca="false">B8524/Summary!$B$5-1</f>
        <v>0.272402485542135</v>
      </c>
    </row>
    <row r="8525" customFormat="false" ht="15" hidden="false" customHeight="false" outlineLevel="0" collapsed="false">
      <c r="A8525" s="0" t="n">
        <v>8524</v>
      </c>
      <c r="B8525" s="14" t="n">
        <v>106269.139398605</v>
      </c>
      <c r="C8525" s="15" t="n">
        <v>0.0876948086237603</v>
      </c>
      <c r="D8525" s="14" t="n">
        <f aca="false">Summary!$B$5-B8525</f>
        <v>-6269.1393986054</v>
      </c>
      <c r="E8525" s="15" t="n">
        <f aca="false">B8525/Summary!$B$5-1</f>
        <v>0.0626913939860541</v>
      </c>
    </row>
    <row r="8526" customFormat="false" ht="15" hidden="false" customHeight="false" outlineLevel="0" collapsed="false">
      <c r="A8526" s="0" t="n">
        <v>8525</v>
      </c>
      <c r="B8526" s="14" t="n">
        <v>110104.989777762</v>
      </c>
      <c r="C8526" s="15" t="n">
        <v>0.0612949346084499</v>
      </c>
      <c r="D8526" s="14" t="n">
        <f aca="false">Summary!$B$5-B8526</f>
        <v>-10104.9897777617</v>
      </c>
      <c r="E8526" s="15" t="n">
        <f aca="false">B8526/Summary!$B$5-1</f>
        <v>0.101049897777617</v>
      </c>
    </row>
    <row r="8527" customFormat="false" ht="15" hidden="false" customHeight="false" outlineLevel="0" collapsed="false">
      <c r="A8527" s="0" t="n">
        <v>8526</v>
      </c>
      <c r="B8527" s="14" t="n">
        <v>130795.079521485</v>
      </c>
      <c r="C8527" s="15" t="n">
        <v>0.0607174699767712</v>
      </c>
      <c r="D8527" s="14" t="n">
        <f aca="false">Summary!$B$5-B8527</f>
        <v>-30795.0795214854</v>
      </c>
      <c r="E8527" s="15" t="n">
        <f aca="false">B8527/Summary!$B$5-1</f>
        <v>0.307950795214854</v>
      </c>
    </row>
    <row r="8528" customFormat="false" ht="15" hidden="false" customHeight="false" outlineLevel="0" collapsed="false">
      <c r="A8528" s="0" t="n">
        <v>8527</v>
      </c>
      <c r="B8528" s="14" t="n">
        <v>101753.099193518</v>
      </c>
      <c r="C8528" s="15" t="n">
        <v>0.158422355753091</v>
      </c>
      <c r="D8528" s="14" t="n">
        <f aca="false">Summary!$B$5-B8528</f>
        <v>-1753.09919351809</v>
      </c>
      <c r="E8528" s="15" t="n">
        <f aca="false">B8528/Summary!$B$5-1</f>
        <v>0.0175309919351809</v>
      </c>
    </row>
    <row r="8529" customFormat="false" ht="15" hidden="false" customHeight="false" outlineLevel="0" collapsed="false">
      <c r="A8529" s="0" t="n">
        <v>8528</v>
      </c>
      <c r="B8529" s="14" t="n">
        <v>114381.340444647</v>
      </c>
      <c r="C8529" s="15" t="n">
        <v>0.087647069124593</v>
      </c>
      <c r="D8529" s="14" t="n">
        <f aca="false">Summary!$B$5-B8529</f>
        <v>-14381.3404446465</v>
      </c>
      <c r="E8529" s="15" t="n">
        <f aca="false">B8529/Summary!$B$5-1</f>
        <v>0.143813404446465</v>
      </c>
    </row>
    <row r="8530" customFormat="false" ht="15" hidden="false" customHeight="false" outlineLevel="0" collapsed="false">
      <c r="A8530" s="0" t="n">
        <v>8529</v>
      </c>
      <c r="B8530" s="14" t="n">
        <v>87407.7947030262</v>
      </c>
      <c r="C8530" s="15" t="n">
        <v>0.153456430294645</v>
      </c>
      <c r="D8530" s="14" t="n">
        <f aca="false">Summary!$B$5-B8530</f>
        <v>12592.2052969738</v>
      </c>
      <c r="E8530" s="15" t="n">
        <f aca="false">B8530/Summary!$B$5-1</f>
        <v>-0.125922052969738</v>
      </c>
    </row>
    <row r="8531" customFormat="false" ht="15" hidden="false" customHeight="false" outlineLevel="0" collapsed="false">
      <c r="A8531" s="0" t="n">
        <v>8530</v>
      </c>
      <c r="B8531" s="14" t="n">
        <v>124574.002667152</v>
      </c>
      <c r="C8531" s="15" t="n">
        <v>0.0675931126651882</v>
      </c>
      <c r="D8531" s="14" t="n">
        <f aca="false">Summary!$B$5-B8531</f>
        <v>-24574.0026671521</v>
      </c>
      <c r="E8531" s="15" t="n">
        <f aca="false">B8531/Summary!$B$5-1</f>
        <v>0.245740026671521</v>
      </c>
    </row>
    <row r="8532" customFormat="false" ht="15" hidden="false" customHeight="false" outlineLevel="0" collapsed="false">
      <c r="A8532" s="0" t="n">
        <v>8531</v>
      </c>
      <c r="B8532" s="14" t="n">
        <v>123327.500054947</v>
      </c>
      <c r="C8532" s="15" t="n">
        <v>0.0611389799875794</v>
      </c>
      <c r="D8532" s="14" t="n">
        <f aca="false">Summary!$B$5-B8532</f>
        <v>-23327.500054947</v>
      </c>
      <c r="E8532" s="15" t="n">
        <f aca="false">B8532/Summary!$B$5-1</f>
        <v>0.23327500054947</v>
      </c>
    </row>
    <row r="8533" customFormat="false" ht="15" hidden="false" customHeight="false" outlineLevel="0" collapsed="false">
      <c r="A8533" s="0" t="n">
        <v>8532</v>
      </c>
      <c r="B8533" s="14" t="n">
        <v>114951.659059845</v>
      </c>
      <c r="C8533" s="15" t="n">
        <v>0.0730835671597533</v>
      </c>
      <c r="D8533" s="14" t="n">
        <f aca="false">Summary!$B$5-B8533</f>
        <v>-14951.6590598448</v>
      </c>
      <c r="E8533" s="15" t="n">
        <f aca="false">B8533/Summary!$B$5-1</f>
        <v>0.149516590598448</v>
      </c>
    </row>
    <row r="8534" customFormat="false" ht="15" hidden="false" customHeight="false" outlineLevel="0" collapsed="false">
      <c r="A8534" s="0" t="n">
        <v>8533</v>
      </c>
      <c r="B8534" s="14" t="n">
        <v>113554.567827097</v>
      </c>
      <c r="C8534" s="15" t="n">
        <v>0.0637979216674304</v>
      </c>
      <c r="D8534" s="14" t="n">
        <f aca="false">Summary!$B$5-B8534</f>
        <v>-13554.5678270974</v>
      </c>
      <c r="E8534" s="15" t="n">
        <f aca="false">B8534/Summary!$B$5-1</f>
        <v>0.135545678270974</v>
      </c>
    </row>
    <row r="8535" customFormat="false" ht="15" hidden="false" customHeight="false" outlineLevel="0" collapsed="false">
      <c r="A8535" s="0" t="n">
        <v>8534</v>
      </c>
      <c r="B8535" s="14" t="n">
        <v>86541.0044758176</v>
      </c>
      <c r="C8535" s="15" t="n">
        <v>0.19244494635488</v>
      </c>
      <c r="D8535" s="14" t="n">
        <f aca="false">Summary!$B$5-B8535</f>
        <v>13458.9955241824</v>
      </c>
      <c r="E8535" s="15" t="n">
        <f aca="false">B8535/Summary!$B$5-1</f>
        <v>-0.134589955241824</v>
      </c>
    </row>
    <row r="8536" customFormat="false" ht="15" hidden="false" customHeight="false" outlineLevel="0" collapsed="false">
      <c r="A8536" s="0" t="n">
        <v>8535</v>
      </c>
      <c r="B8536" s="14" t="n">
        <v>124882.555694565</v>
      </c>
      <c r="C8536" s="15" t="n">
        <v>0.0581264388953429</v>
      </c>
      <c r="D8536" s="14" t="n">
        <f aca="false">Summary!$B$5-B8536</f>
        <v>-24882.555694565</v>
      </c>
      <c r="E8536" s="15" t="n">
        <f aca="false">B8536/Summary!$B$5-1</f>
        <v>0.24882555694565</v>
      </c>
    </row>
    <row r="8537" customFormat="false" ht="15" hidden="false" customHeight="false" outlineLevel="0" collapsed="false">
      <c r="A8537" s="0" t="n">
        <v>8536</v>
      </c>
      <c r="B8537" s="14" t="n">
        <v>92314.3909174386</v>
      </c>
      <c r="C8537" s="15" t="n">
        <v>0.106254803100847</v>
      </c>
      <c r="D8537" s="14" t="n">
        <f aca="false">Summary!$B$5-B8537</f>
        <v>7685.60908256139</v>
      </c>
      <c r="E8537" s="15" t="n">
        <f aca="false">B8537/Summary!$B$5-1</f>
        <v>-0.076856090825614</v>
      </c>
    </row>
    <row r="8538" customFormat="false" ht="15" hidden="false" customHeight="false" outlineLevel="0" collapsed="false">
      <c r="A8538" s="0" t="n">
        <v>8537</v>
      </c>
      <c r="B8538" s="14" t="n">
        <v>144280.85822489</v>
      </c>
      <c r="C8538" s="15" t="n">
        <v>0.0500378563653231</v>
      </c>
      <c r="D8538" s="14" t="n">
        <f aca="false">Summary!$B$5-B8538</f>
        <v>-44280.8582248898</v>
      </c>
      <c r="E8538" s="15" t="n">
        <f aca="false">B8538/Summary!$B$5-1</f>
        <v>0.442808582248898</v>
      </c>
    </row>
    <row r="8539" customFormat="false" ht="15" hidden="false" customHeight="false" outlineLevel="0" collapsed="false">
      <c r="A8539" s="0" t="n">
        <v>8538</v>
      </c>
      <c r="B8539" s="14" t="n">
        <v>99760.9832474056</v>
      </c>
      <c r="C8539" s="15" t="n">
        <v>0.14614211223782</v>
      </c>
      <c r="D8539" s="14" t="n">
        <f aca="false">Summary!$B$5-B8539</f>
        <v>239.016752594442</v>
      </c>
      <c r="E8539" s="15" t="n">
        <f aca="false">B8539/Summary!$B$5-1</f>
        <v>-0.00239016752594445</v>
      </c>
    </row>
    <row r="8540" customFormat="false" ht="15" hidden="false" customHeight="false" outlineLevel="0" collapsed="false">
      <c r="A8540" s="0" t="n">
        <v>8539</v>
      </c>
      <c r="B8540" s="14" t="n">
        <v>119894.090625145</v>
      </c>
      <c r="C8540" s="15" t="n">
        <v>0.0867138166484469</v>
      </c>
      <c r="D8540" s="14" t="n">
        <f aca="false">Summary!$B$5-B8540</f>
        <v>-19894.0906251446</v>
      </c>
      <c r="E8540" s="15" t="n">
        <f aca="false">B8540/Summary!$B$5-1</f>
        <v>0.198940906251446</v>
      </c>
    </row>
    <row r="8541" customFormat="false" ht="15" hidden="false" customHeight="false" outlineLevel="0" collapsed="false">
      <c r="A8541" s="0" t="n">
        <v>8540</v>
      </c>
      <c r="B8541" s="14" t="n">
        <v>79646.2544168765</v>
      </c>
      <c r="C8541" s="15" t="n">
        <v>0.252187164297337</v>
      </c>
      <c r="D8541" s="14" t="n">
        <f aca="false">Summary!$B$5-B8541</f>
        <v>20353.7455831235</v>
      </c>
      <c r="E8541" s="15" t="n">
        <f aca="false">B8541/Summary!$B$5-1</f>
        <v>-0.203537455831235</v>
      </c>
    </row>
    <row r="8542" customFormat="false" ht="15" hidden="false" customHeight="false" outlineLevel="0" collapsed="false">
      <c r="A8542" s="0" t="n">
        <v>8541</v>
      </c>
      <c r="B8542" s="14" t="n">
        <v>108278.175879208</v>
      </c>
      <c r="C8542" s="15" t="n">
        <v>0.120768930104429</v>
      </c>
      <c r="D8542" s="14" t="n">
        <f aca="false">Summary!$B$5-B8542</f>
        <v>-8278.1758792076</v>
      </c>
      <c r="E8542" s="15" t="n">
        <f aca="false">B8542/Summary!$B$5-1</f>
        <v>0.0827817587920761</v>
      </c>
    </row>
    <row r="8543" customFormat="false" ht="15" hidden="false" customHeight="false" outlineLevel="0" collapsed="false">
      <c r="A8543" s="0" t="n">
        <v>8542</v>
      </c>
      <c r="B8543" s="14" t="n">
        <v>104734.528416111</v>
      </c>
      <c r="C8543" s="15" t="n">
        <v>0.0640465726814942</v>
      </c>
      <c r="D8543" s="14" t="n">
        <f aca="false">Summary!$B$5-B8543</f>
        <v>-4734.52841611111</v>
      </c>
      <c r="E8543" s="15" t="n">
        <f aca="false">B8543/Summary!$B$5-1</f>
        <v>0.0473452841611111</v>
      </c>
    </row>
    <row r="8544" customFormat="false" ht="15" hidden="false" customHeight="false" outlineLevel="0" collapsed="false">
      <c r="A8544" s="0" t="n">
        <v>8543</v>
      </c>
      <c r="B8544" s="14" t="n">
        <v>107942.152585792</v>
      </c>
      <c r="C8544" s="15" t="n">
        <v>0.100300041295864</v>
      </c>
      <c r="D8544" s="14" t="n">
        <f aca="false">Summary!$B$5-B8544</f>
        <v>-7942.15258579201</v>
      </c>
      <c r="E8544" s="15" t="n">
        <f aca="false">B8544/Summary!$B$5-1</f>
        <v>0.0794215258579201</v>
      </c>
    </row>
    <row r="8545" customFormat="false" ht="15" hidden="false" customHeight="false" outlineLevel="0" collapsed="false">
      <c r="A8545" s="0" t="n">
        <v>8544</v>
      </c>
      <c r="B8545" s="14" t="n">
        <v>128674.294299391</v>
      </c>
      <c r="C8545" s="15" t="n">
        <v>0.0508554863919616</v>
      </c>
      <c r="D8545" s="14" t="n">
        <f aca="false">Summary!$B$5-B8545</f>
        <v>-28674.2942993905</v>
      </c>
      <c r="E8545" s="15" t="n">
        <f aca="false">B8545/Summary!$B$5-1</f>
        <v>0.286742942993905</v>
      </c>
    </row>
    <row r="8546" customFormat="false" ht="15" hidden="false" customHeight="false" outlineLevel="0" collapsed="false">
      <c r="A8546" s="0" t="n">
        <v>8545</v>
      </c>
      <c r="B8546" s="14" t="n">
        <v>129801.108789588</v>
      </c>
      <c r="C8546" s="15" t="n">
        <v>0.0648313627774058</v>
      </c>
      <c r="D8546" s="14" t="n">
        <f aca="false">Summary!$B$5-B8546</f>
        <v>-29801.1087895881</v>
      </c>
      <c r="E8546" s="15" t="n">
        <f aca="false">B8546/Summary!$B$5-1</f>
        <v>0.298011087895881</v>
      </c>
    </row>
    <row r="8547" customFormat="false" ht="15" hidden="false" customHeight="false" outlineLevel="0" collapsed="false">
      <c r="A8547" s="0" t="n">
        <v>8546</v>
      </c>
      <c r="B8547" s="14" t="n">
        <v>106344.013439466</v>
      </c>
      <c r="C8547" s="15" t="n">
        <v>0.0552463898667703</v>
      </c>
      <c r="D8547" s="14" t="n">
        <f aca="false">Summary!$B$5-B8547</f>
        <v>-6344.01343946571</v>
      </c>
      <c r="E8547" s="15" t="n">
        <f aca="false">B8547/Summary!$B$5-1</f>
        <v>0.0634401343946571</v>
      </c>
    </row>
    <row r="8548" customFormat="false" ht="15" hidden="false" customHeight="false" outlineLevel="0" collapsed="false">
      <c r="A8548" s="0" t="n">
        <v>8547</v>
      </c>
      <c r="B8548" s="14" t="n">
        <v>126303.520396783</v>
      </c>
      <c r="C8548" s="15" t="n">
        <v>0.0492106713381438</v>
      </c>
      <c r="D8548" s="14" t="n">
        <f aca="false">Summary!$B$5-B8548</f>
        <v>-26303.5203967833</v>
      </c>
      <c r="E8548" s="15" t="n">
        <f aca="false">B8548/Summary!$B$5-1</f>
        <v>0.263035203967833</v>
      </c>
    </row>
    <row r="8549" customFormat="false" ht="15" hidden="false" customHeight="false" outlineLevel="0" collapsed="false">
      <c r="A8549" s="0" t="n">
        <v>8548</v>
      </c>
      <c r="B8549" s="14" t="n">
        <v>104427.438719887</v>
      </c>
      <c r="C8549" s="15" t="n">
        <v>0.091107171812868</v>
      </c>
      <c r="D8549" s="14" t="n">
        <f aca="false">Summary!$B$5-B8549</f>
        <v>-4427.43871988681</v>
      </c>
      <c r="E8549" s="15" t="n">
        <f aca="false">B8549/Summary!$B$5-1</f>
        <v>0.044274387198868</v>
      </c>
    </row>
    <row r="8550" customFormat="false" ht="15" hidden="false" customHeight="false" outlineLevel="0" collapsed="false">
      <c r="A8550" s="0" t="n">
        <v>8549</v>
      </c>
      <c r="B8550" s="14" t="n">
        <v>95424.8650178514</v>
      </c>
      <c r="C8550" s="15" t="n">
        <v>0.112583710143288</v>
      </c>
      <c r="D8550" s="14" t="n">
        <f aca="false">Summary!$B$5-B8550</f>
        <v>4575.13498214865</v>
      </c>
      <c r="E8550" s="15" t="n">
        <f aca="false">B8550/Summary!$B$5-1</f>
        <v>-0.0457513498214865</v>
      </c>
    </row>
    <row r="8551" customFormat="false" ht="15" hidden="false" customHeight="false" outlineLevel="0" collapsed="false">
      <c r="A8551" s="0" t="n">
        <v>8550</v>
      </c>
      <c r="B8551" s="14" t="n">
        <v>88097.1228948061</v>
      </c>
      <c r="C8551" s="15" t="n">
        <v>0.192397328435293</v>
      </c>
      <c r="D8551" s="14" t="n">
        <f aca="false">Summary!$B$5-B8551</f>
        <v>11902.8771051939</v>
      </c>
      <c r="E8551" s="15" t="n">
        <f aca="false">B8551/Summary!$B$5-1</f>
        <v>-0.119028771051939</v>
      </c>
    </row>
    <row r="8552" customFormat="false" ht="15" hidden="false" customHeight="false" outlineLevel="0" collapsed="false">
      <c r="A8552" s="0" t="n">
        <v>8551</v>
      </c>
      <c r="B8552" s="14" t="n">
        <v>73863.6422299967</v>
      </c>
      <c r="C8552" s="15" t="n">
        <v>0.277503762023809</v>
      </c>
      <c r="D8552" s="14" t="n">
        <f aca="false">Summary!$B$5-B8552</f>
        <v>26136.3577700033</v>
      </c>
      <c r="E8552" s="15" t="n">
        <f aca="false">B8552/Summary!$B$5-1</f>
        <v>-0.261363577700033</v>
      </c>
    </row>
    <row r="8553" customFormat="false" ht="15" hidden="false" customHeight="false" outlineLevel="0" collapsed="false">
      <c r="A8553" s="0" t="n">
        <v>8552</v>
      </c>
      <c r="B8553" s="14" t="n">
        <v>95952.1918049284</v>
      </c>
      <c r="C8553" s="15" t="n">
        <v>0.113034388943155</v>
      </c>
      <c r="D8553" s="14" t="n">
        <f aca="false">Summary!$B$5-B8553</f>
        <v>4047.80819507163</v>
      </c>
      <c r="E8553" s="15" t="n">
        <f aca="false">B8553/Summary!$B$5-1</f>
        <v>-0.0404780819507163</v>
      </c>
    </row>
    <row r="8554" customFormat="false" ht="15" hidden="false" customHeight="false" outlineLevel="0" collapsed="false">
      <c r="A8554" s="0" t="n">
        <v>8553</v>
      </c>
      <c r="B8554" s="14" t="n">
        <v>111091.414444343</v>
      </c>
      <c r="C8554" s="15" t="n">
        <v>0.067575768142029</v>
      </c>
      <c r="D8554" s="14" t="n">
        <f aca="false">Summary!$B$5-B8554</f>
        <v>-11091.4144443434</v>
      </c>
      <c r="E8554" s="15" t="n">
        <f aca="false">B8554/Summary!$B$5-1</f>
        <v>0.110914144443434</v>
      </c>
    </row>
    <row r="8555" customFormat="false" ht="15" hidden="false" customHeight="false" outlineLevel="0" collapsed="false">
      <c r="A8555" s="0" t="n">
        <v>8554</v>
      </c>
      <c r="B8555" s="14" t="n">
        <v>128702.547878602</v>
      </c>
      <c r="C8555" s="15" t="n">
        <v>0.0620840809636328</v>
      </c>
      <c r="D8555" s="14" t="n">
        <f aca="false">Summary!$B$5-B8555</f>
        <v>-28702.5478786022</v>
      </c>
      <c r="E8555" s="15" t="n">
        <f aca="false">B8555/Summary!$B$5-1</f>
        <v>0.287025478786022</v>
      </c>
    </row>
    <row r="8556" customFormat="false" ht="15" hidden="false" customHeight="false" outlineLevel="0" collapsed="false">
      <c r="A8556" s="0" t="n">
        <v>8555</v>
      </c>
      <c r="B8556" s="14" t="n">
        <v>116869.535275724</v>
      </c>
      <c r="C8556" s="15" t="n">
        <v>0.0871521447573899</v>
      </c>
      <c r="D8556" s="14" t="n">
        <f aca="false">Summary!$B$5-B8556</f>
        <v>-16869.5352757244</v>
      </c>
      <c r="E8556" s="15" t="n">
        <f aca="false">B8556/Summary!$B$5-1</f>
        <v>0.168695352757244</v>
      </c>
    </row>
    <row r="8557" customFormat="false" ht="15" hidden="false" customHeight="false" outlineLevel="0" collapsed="false">
      <c r="A8557" s="0" t="n">
        <v>8556</v>
      </c>
      <c r="B8557" s="14" t="n">
        <v>116423.095424675</v>
      </c>
      <c r="C8557" s="15" t="n">
        <v>0.067095213386683</v>
      </c>
      <c r="D8557" s="14" t="n">
        <f aca="false">Summary!$B$5-B8557</f>
        <v>-16423.0954246748</v>
      </c>
      <c r="E8557" s="15" t="n">
        <f aca="false">B8557/Summary!$B$5-1</f>
        <v>0.164230954246748</v>
      </c>
    </row>
    <row r="8558" customFormat="false" ht="15" hidden="false" customHeight="false" outlineLevel="0" collapsed="false">
      <c r="A8558" s="0" t="n">
        <v>8557</v>
      </c>
      <c r="B8558" s="14" t="n">
        <v>99044.7120465421</v>
      </c>
      <c r="C8558" s="15" t="n">
        <v>0.121884241245721</v>
      </c>
      <c r="D8558" s="14" t="n">
        <f aca="false">Summary!$B$5-B8558</f>
        <v>955.287953457868</v>
      </c>
      <c r="E8558" s="15" t="n">
        <f aca="false">B8558/Summary!$B$5-1</f>
        <v>-0.00955287953457873</v>
      </c>
    </row>
    <row r="8559" customFormat="false" ht="15" hidden="false" customHeight="false" outlineLevel="0" collapsed="false">
      <c r="A8559" s="0" t="n">
        <v>8558</v>
      </c>
      <c r="B8559" s="14" t="n">
        <v>91882.1494174901</v>
      </c>
      <c r="C8559" s="15" t="n">
        <v>0.107372304566773</v>
      </c>
      <c r="D8559" s="14" t="n">
        <f aca="false">Summary!$B$5-B8559</f>
        <v>8117.85058250991</v>
      </c>
      <c r="E8559" s="15" t="n">
        <f aca="false">B8559/Summary!$B$5-1</f>
        <v>-0.0811785058250991</v>
      </c>
    </row>
    <row r="8560" customFormat="false" ht="15" hidden="false" customHeight="false" outlineLevel="0" collapsed="false">
      <c r="A8560" s="0" t="n">
        <v>8559</v>
      </c>
      <c r="B8560" s="14" t="n">
        <v>113487.794856334</v>
      </c>
      <c r="C8560" s="15" t="n">
        <v>0.0672669560590388</v>
      </c>
      <c r="D8560" s="14" t="n">
        <f aca="false">Summary!$B$5-B8560</f>
        <v>-13487.7948563341</v>
      </c>
      <c r="E8560" s="15" t="n">
        <f aca="false">B8560/Summary!$B$5-1</f>
        <v>0.134877948563341</v>
      </c>
    </row>
    <row r="8561" customFormat="false" ht="15" hidden="false" customHeight="false" outlineLevel="0" collapsed="false">
      <c r="A8561" s="0" t="n">
        <v>8560</v>
      </c>
      <c r="B8561" s="14" t="n">
        <v>108918.223902551</v>
      </c>
      <c r="C8561" s="15" t="n">
        <v>0.109439862566299</v>
      </c>
      <c r="D8561" s="14" t="n">
        <f aca="false">Summary!$B$5-B8561</f>
        <v>-8918.2239025508</v>
      </c>
      <c r="E8561" s="15" t="n">
        <f aca="false">B8561/Summary!$B$5-1</f>
        <v>0.0891822390255079</v>
      </c>
    </row>
    <row r="8562" customFormat="false" ht="15" hidden="false" customHeight="false" outlineLevel="0" collapsed="false">
      <c r="A8562" s="0" t="n">
        <v>8561</v>
      </c>
      <c r="B8562" s="14" t="n">
        <v>105286.429931112</v>
      </c>
      <c r="C8562" s="15" t="n">
        <v>0.087680864763815</v>
      </c>
      <c r="D8562" s="14" t="n">
        <f aca="false">Summary!$B$5-B8562</f>
        <v>-5286.42993111171</v>
      </c>
      <c r="E8562" s="15" t="n">
        <f aca="false">B8562/Summary!$B$5-1</f>
        <v>0.052864299311117</v>
      </c>
    </row>
    <row r="8563" customFormat="false" ht="15" hidden="false" customHeight="false" outlineLevel="0" collapsed="false">
      <c r="A8563" s="0" t="n">
        <v>8562</v>
      </c>
      <c r="B8563" s="14" t="n">
        <v>131811.033991318</v>
      </c>
      <c r="C8563" s="15" t="n">
        <v>0.0452322601238697</v>
      </c>
      <c r="D8563" s="14" t="n">
        <f aca="false">Summary!$B$5-B8563</f>
        <v>-31811.0339913181</v>
      </c>
      <c r="E8563" s="15" t="n">
        <f aca="false">B8563/Summary!$B$5-1</f>
        <v>0.318110339913181</v>
      </c>
    </row>
    <row r="8564" customFormat="false" ht="15" hidden="false" customHeight="false" outlineLevel="0" collapsed="false">
      <c r="A8564" s="0" t="n">
        <v>8563</v>
      </c>
      <c r="B8564" s="14" t="n">
        <v>113763.062663954</v>
      </c>
      <c r="C8564" s="15" t="n">
        <v>0.114148286134552</v>
      </c>
      <c r="D8564" s="14" t="n">
        <f aca="false">Summary!$B$5-B8564</f>
        <v>-13763.0626639543</v>
      </c>
      <c r="E8564" s="15" t="n">
        <f aca="false">B8564/Summary!$B$5-1</f>
        <v>0.137630626639543</v>
      </c>
    </row>
    <row r="8565" customFormat="false" ht="15" hidden="false" customHeight="false" outlineLevel="0" collapsed="false">
      <c r="A8565" s="0" t="n">
        <v>8564</v>
      </c>
      <c r="B8565" s="14" t="n">
        <v>110601.64164559</v>
      </c>
      <c r="C8565" s="15" t="n">
        <v>0.0967499276658511</v>
      </c>
      <c r="D8565" s="14" t="n">
        <f aca="false">Summary!$B$5-B8565</f>
        <v>-10601.6416455898</v>
      </c>
      <c r="E8565" s="15" t="n">
        <f aca="false">B8565/Summary!$B$5-1</f>
        <v>0.106016416455898</v>
      </c>
    </row>
    <row r="8566" customFormat="false" ht="15" hidden="false" customHeight="false" outlineLevel="0" collapsed="false">
      <c r="A8566" s="0" t="n">
        <v>8565</v>
      </c>
      <c r="B8566" s="14" t="n">
        <v>93848.6348018769</v>
      </c>
      <c r="C8566" s="15" t="n">
        <v>0.160750845705365</v>
      </c>
      <c r="D8566" s="14" t="n">
        <f aca="false">Summary!$B$5-B8566</f>
        <v>6151.36519812312</v>
      </c>
      <c r="E8566" s="15" t="n">
        <f aca="false">B8566/Summary!$B$5-1</f>
        <v>-0.0615136519812313</v>
      </c>
    </row>
    <row r="8567" customFormat="false" ht="15" hidden="false" customHeight="false" outlineLevel="0" collapsed="false">
      <c r="A8567" s="0" t="n">
        <v>8566</v>
      </c>
      <c r="B8567" s="14" t="n">
        <v>123784.830484298</v>
      </c>
      <c r="C8567" s="15" t="n">
        <v>0.0826162922743294</v>
      </c>
      <c r="D8567" s="14" t="n">
        <f aca="false">Summary!$B$5-B8567</f>
        <v>-23784.8304842979</v>
      </c>
      <c r="E8567" s="15" t="n">
        <f aca="false">B8567/Summary!$B$5-1</f>
        <v>0.237848304842979</v>
      </c>
    </row>
    <row r="8568" customFormat="false" ht="15" hidden="false" customHeight="false" outlineLevel="0" collapsed="false">
      <c r="A8568" s="0" t="n">
        <v>8567</v>
      </c>
      <c r="B8568" s="14" t="n">
        <v>105999.138665856</v>
      </c>
      <c r="C8568" s="15" t="n">
        <v>0.0749091930726816</v>
      </c>
      <c r="D8568" s="14" t="n">
        <f aca="false">Summary!$B$5-B8568</f>
        <v>-5999.13866585591</v>
      </c>
      <c r="E8568" s="15" t="n">
        <f aca="false">B8568/Summary!$B$5-1</f>
        <v>0.0599913866585591</v>
      </c>
    </row>
    <row r="8569" customFormat="false" ht="15" hidden="false" customHeight="false" outlineLevel="0" collapsed="false">
      <c r="A8569" s="0" t="n">
        <v>8568</v>
      </c>
      <c r="B8569" s="14" t="n">
        <v>101009.497960479</v>
      </c>
      <c r="C8569" s="15" t="n">
        <v>0.0929846572991593</v>
      </c>
      <c r="D8569" s="14" t="n">
        <f aca="false">Summary!$B$5-B8569</f>
        <v>-1009.49796047941</v>
      </c>
      <c r="E8569" s="15" t="n">
        <f aca="false">B8569/Summary!$B$5-1</f>
        <v>0.010094979604794</v>
      </c>
    </row>
    <row r="8570" customFormat="false" ht="15" hidden="false" customHeight="false" outlineLevel="0" collapsed="false">
      <c r="A8570" s="0" t="n">
        <v>8569</v>
      </c>
      <c r="B8570" s="14" t="n">
        <v>124045.294216984</v>
      </c>
      <c r="C8570" s="15" t="n">
        <v>0.109477077599673</v>
      </c>
      <c r="D8570" s="14" t="n">
        <f aca="false">Summary!$B$5-B8570</f>
        <v>-24045.2942169838</v>
      </c>
      <c r="E8570" s="15" t="n">
        <f aca="false">B8570/Summary!$B$5-1</f>
        <v>0.240452942169838</v>
      </c>
    </row>
    <row r="8571" customFormat="false" ht="15" hidden="false" customHeight="false" outlineLevel="0" collapsed="false">
      <c r="A8571" s="0" t="n">
        <v>8570</v>
      </c>
      <c r="B8571" s="14" t="n">
        <v>85582.4137916013</v>
      </c>
      <c r="C8571" s="15" t="n">
        <v>0.240495640046087</v>
      </c>
      <c r="D8571" s="14" t="n">
        <f aca="false">Summary!$B$5-B8571</f>
        <v>14417.5862083987</v>
      </c>
      <c r="E8571" s="15" t="n">
        <f aca="false">B8571/Summary!$B$5-1</f>
        <v>-0.144175862083987</v>
      </c>
    </row>
    <row r="8572" customFormat="false" ht="15" hidden="false" customHeight="false" outlineLevel="0" collapsed="false">
      <c r="A8572" s="0" t="n">
        <v>8571</v>
      </c>
      <c r="B8572" s="14" t="n">
        <v>115747.479756888</v>
      </c>
      <c r="C8572" s="15" t="n">
        <v>0.0742365037348902</v>
      </c>
      <c r="D8572" s="14" t="n">
        <f aca="false">Summary!$B$5-B8572</f>
        <v>-15747.4797568875</v>
      </c>
      <c r="E8572" s="15" t="n">
        <f aca="false">B8572/Summary!$B$5-1</f>
        <v>0.157474797568875</v>
      </c>
    </row>
    <row r="8573" customFormat="false" ht="15" hidden="false" customHeight="false" outlineLevel="0" collapsed="false">
      <c r="A8573" s="0" t="n">
        <v>8572</v>
      </c>
      <c r="B8573" s="14" t="n">
        <v>105895.201941625</v>
      </c>
      <c r="C8573" s="15" t="n">
        <v>0.111951748967848</v>
      </c>
      <c r="D8573" s="14" t="n">
        <f aca="false">Summary!$B$5-B8573</f>
        <v>-5895.2019416254</v>
      </c>
      <c r="E8573" s="15" t="n">
        <f aca="false">B8573/Summary!$B$5-1</f>
        <v>0.0589520194162541</v>
      </c>
    </row>
    <row r="8574" customFormat="false" ht="15" hidden="false" customHeight="false" outlineLevel="0" collapsed="false">
      <c r="A8574" s="0" t="n">
        <v>8573</v>
      </c>
      <c r="B8574" s="14" t="n">
        <v>97913.521331661</v>
      </c>
      <c r="C8574" s="15" t="n">
        <v>0.141131314343119</v>
      </c>
      <c r="D8574" s="14" t="n">
        <f aca="false">Summary!$B$5-B8574</f>
        <v>2086.47866833903</v>
      </c>
      <c r="E8574" s="15" t="n">
        <f aca="false">B8574/Summary!$B$5-1</f>
        <v>-0.0208647866833903</v>
      </c>
    </row>
    <row r="8575" customFormat="false" ht="15" hidden="false" customHeight="false" outlineLevel="0" collapsed="false">
      <c r="A8575" s="0" t="n">
        <v>8574</v>
      </c>
      <c r="B8575" s="14" t="n">
        <v>108956.018983356</v>
      </c>
      <c r="C8575" s="15" t="n">
        <v>0.0566787047832131</v>
      </c>
      <c r="D8575" s="14" t="n">
        <f aca="false">Summary!$B$5-B8575</f>
        <v>-8956.01898335551</v>
      </c>
      <c r="E8575" s="15" t="n">
        <f aca="false">B8575/Summary!$B$5-1</f>
        <v>0.089560189833555</v>
      </c>
    </row>
    <row r="8576" customFormat="false" ht="15" hidden="false" customHeight="false" outlineLevel="0" collapsed="false">
      <c r="A8576" s="0" t="n">
        <v>8575</v>
      </c>
      <c r="B8576" s="14" t="n">
        <v>118542.751952393</v>
      </c>
      <c r="C8576" s="15" t="n">
        <v>0.0713665849060808</v>
      </c>
      <c r="D8576" s="14" t="n">
        <f aca="false">Summary!$B$5-B8576</f>
        <v>-18542.751952393</v>
      </c>
      <c r="E8576" s="15" t="n">
        <f aca="false">B8576/Summary!$B$5-1</f>
        <v>0.18542751952393</v>
      </c>
    </row>
    <row r="8577" customFormat="false" ht="15" hidden="false" customHeight="false" outlineLevel="0" collapsed="false">
      <c r="A8577" s="0" t="n">
        <v>8576</v>
      </c>
      <c r="B8577" s="14" t="n">
        <v>92048.0585454809</v>
      </c>
      <c r="C8577" s="15" t="n">
        <v>0.16385893501806</v>
      </c>
      <c r="D8577" s="14" t="n">
        <f aca="false">Summary!$B$5-B8577</f>
        <v>7951.94145451908</v>
      </c>
      <c r="E8577" s="15" t="n">
        <f aca="false">B8577/Summary!$B$5-1</f>
        <v>-0.0795194145451909</v>
      </c>
    </row>
    <row r="8578" customFormat="false" ht="15" hidden="false" customHeight="false" outlineLevel="0" collapsed="false">
      <c r="A8578" s="0" t="n">
        <v>8577</v>
      </c>
      <c r="B8578" s="14" t="n">
        <v>126740.536537927</v>
      </c>
      <c r="C8578" s="15" t="n">
        <v>0.0576911319897209</v>
      </c>
      <c r="D8578" s="14" t="n">
        <f aca="false">Summary!$B$5-B8578</f>
        <v>-26740.5365379273</v>
      </c>
      <c r="E8578" s="15" t="n">
        <f aca="false">B8578/Summary!$B$5-1</f>
        <v>0.267405365379273</v>
      </c>
    </row>
    <row r="8579" customFormat="false" ht="15" hidden="false" customHeight="false" outlineLevel="0" collapsed="false">
      <c r="A8579" s="0" t="n">
        <v>8578</v>
      </c>
      <c r="B8579" s="14" t="n">
        <v>85501.7017556545</v>
      </c>
      <c r="C8579" s="15" t="n">
        <v>0.157706368526068</v>
      </c>
      <c r="D8579" s="14" t="n">
        <f aca="false">Summary!$B$5-B8579</f>
        <v>14498.2982443455</v>
      </c>
      <c r="E8579" s="15" t="n">
        <f aca="false">B8579/Summary!$B$5-1</f>
        <v>-0.144982982443455</v>
      </c>
    </row>
    <row r="8580" customFormat="false" ht="15" hidden="false" customHeight="false" outlineLevel="0" collapsed="false">
      <c r="A8580" s="0" t="n">
        <v>8579</v>
      </c>
      <c r="B8580" s="14" t="n">
        <v>106257.426757191</v>
      </c>
      <c r="C8580" s="15" t="n">
        <v>0.171780402924418</v>
      </c>
      <c r="D8580" s="14" t="n">
        <f aca="false">Summary!$B$5-B8580</f>
        <v>-6257.4267571909</v>
      </c>
      <c r="E8580" s="15" t="n">
        <f aca="false">B8580/Summary!$B$5-1</f>
        <v>0.062574267571909</v>
      </c>
    </row>
    <row r="8581" customFormat="false" ht="15" hidden="false" customHeight="false" outlineLevel="0" collapsed="false">
      <c r="A8581" s="0" t="n">
        <v>8580</v>
      </c>
      <c r="B8581" s="14" t="n">
        <v>119199.850197184</v>
      </c>
      <c r="C8581" s="15" t="n">
        <v>0.116047949239659</v>
      </c>
      <c r="D8581" s="14" t="n">
        <f aca="false">Summary!$B$5-B8581</f>
        <v>-19199.8501971838</v>
      </c>
      <c r="E8581" s="15" t="n">
        <f aca="false">B8581/Summary!$B$5-1</f>
        <v>0.191998501971838</v>
      </c>
    </row>
    <row r="8582" customFormat="false" ht="15" hidden="false" customHeight="false" outlineLevel="0" collapsed="false">
      <c r="A8582" s="0" t="n">
        <v>8581</v>
      </c>
      <c r="B8582" s="14" t="n">
        <v>109288.170231321</v>
      </c>
      <c r="C8582" s="15" t="n">
        <v>0.0822937591114433</v>
      </c>
      <c r="D8582" s="14" t="n">
        <f aca="false">Summary!$B$5-B8582</f>
        <v>-9288.17023132141</v>
      </c>
      <c r="E8582" s="15" t="n">
        <f aca="false">B8582/Summary!$B$5-1</f>
        <v>0.092881702313214</v>
      </c>
    </row>
    <row r="8583" customFormat="false" ht="15" hidden="false" customHeight="false" outlineLevel="0" collapsed="false">
      <c r="A8583" s="0" t="n">
        <v>8582</v>
      </c>
      <c r="B8583" s="14" t="n">
        <v>99101.7090646389</v>
      </c>
      <c r="C8583" s="15" t="n">
        <v>0.0956911769417895</v>
      </c>
      <c r="D8583" s="14" t="n">
        <f aca="false">Summary!$B$5-B8583</f>
        <v>898.290935361118</v>
      </c>
      <c r="E8583" s="15" t="n">
        <f aca="false">B8583/Summary!$B$5-1</f>
        <v>-0.00898290935361112</v>
      </c>
    </row>
    <row r="8584" customFormat="false" ht="15" hidden="false" customHeight="false" outlineLevel="0" collapsed="false">
      <c r="A8584" s="0" t="n">
        <v>8583</v>
      </c>
      <c r="B8584" s="14" t="n">
        <v>106579.154588448</v>
      </c>
      <c r="C8584" s="15" t="n">
        <v>0.152227983719756</v>
      </c>
      <c r="D8584" s="14" t="n">
        <f aca="false">Summary!$B$5-B8584</f>
        <v>-6579.1545884477</v>
      </c>
      <c r="E8584" s="15" t="n">
        <f aca="false">B8584/Summary!$B$5-1</f>
        <v>0.0657915458844769</v>
      </c>
    </row>
    <row r="8585" customFormat="false" ht="15" hidden="false" customHeight="false" outlineLevel="0" collapsed="false">
      <c r="A8585" s="0" t="n">
        <v>8584</v>
      </c>
      <c r="B8585" s="14" t="n">
        <v>111673.978985794</v>
      </c>
      <c r="C8585" s="15" t="n">
        <v>0.0634864793257464</v>
      </c>
      <c r="D8585" s="14" t="n">
        <f aca="false">Summary!$B$5-B8585</f>
        <v>-11673.9789857944</v>
      </c>
      <c r="E8585" s="15" t="n">
        <f aca="false">B8585/Summary!$B$5-1</f>
        <v>0.116739789857944</v>
      </c>
    </row>
    <row r="8586" customFormat="false" ht="15" hidden="false" customHeight="false" outlineLevel="0" collapsed="false">
      <c r="A8586" s="0" t="n">
        <v>8585</v>
      </c>
      <c r="B8586" s="14" t="n">
        <v>118457.216193819</v>
      </c>
      <c r="C8586" s="15" t="n">
        <v>0.0696908820962154</v>
      </c>
      <c r="D8586" s="14" t="n">
        <f aca="false">Summary!$B$5-B8586</f>
        <v>-18457.216193819</v>
      </c>
      <c r="E8586" s="15" t="n">
        <f aca="false">B8586/Summary!$B$5-1</f>
        <v>0.18457216193819</v>
      </c>
    </row>
    <row r="8587" customFormat="false" ht="15" hidden="false" customHeight="false" outlineLevel="0" collapsed="false">
      <c r="A8587" s="0" t="n">
        <v>8586</v>
      </c>
      <c r="B8587" s="14" t="n">
        <v>100808.642031067</v>
      </c>
      <c r="C8587" s="15" t="n">
        <v>0.107366348090776</v>
      </c>
      <c r="D8587" s="14" t="n">
        <f aca="false">Summary!$B$5-B8587</f>
        <v>-808.642031066804</v>
      </c>
      <c r="E8587" s="15" t="n">
        <f aca="false">B8587/Summary!$B$5-1</f>
        <v>0.00808642031066809</v>
      </c>
    </row>
    <row r="8588" customFormat="false" ht="15" hidden="false" customHeight="false" outlineLevel="0" collapsed="false">
      <c r="A8588" s="0" t="n">
        <v>8587</v>
      </c>
      <c r="B8588" s="14" t="n">
        <v>118352.806077331</v>
      </c>
      <c r="C8588" s="15" t="n">
        <v>0.100711273643717</v>
      </c>
      <c r="D8588" s="14" t="n">
        <f aca="false">Summary!$B$5-B8588</f>
        <v>-18352.8060773308</v>
      </c>
      <c r="E8588" s="15" t="n">
        <f aca="false">B8588/Summary!$B$5-1</f>
        <v>0.183528060773308</v>
      </c>
    </row>
    <row r="8589" customFormat="false" ht="15" hidden="false" customHeight="false" outlineLevel="0" collapsed="false">
      <c r="A8589" s="0" t="n">
        <v>8588</v>
      </c>
      <c r="B8589" s="14" t="n">
        <v>109966.56990347</v>
      </c>
      <c r="C8589" s="15" t="n">
        <v>0.0616791367774305</v>
      </c>
      <c r="D8589" s="14" t="n">
        <f aca="false">Summary!$B$5-B8589</f>
        <v>-9966.5699034696</v>
      </c>
      <c r="E8589" s="15" t="n">
        <f aca="false">B8589/Summary!$B$5-1</f>
        <v>0.099665699034696</v>
      </c>
    </row>
    <row r="8590" customFormat="false" ht="15" hidden="false" customHeight="false" outlineLevel="0" collapsed="false">
      <c r="A8590" s="0" t="n">
        <v>8589</v>
      </c>
      <c r="B8590" s="14" t="n">
        <v>99159.6694777451</v>
      </c>
      <c r="C8590" s="15" t="n">
        <v>0.168338813612788</v>
      </c>
      <c r="D8590" s="14" t="n">
        <f aca="false">Summary!$B$5-B8590</f>
        <v>840.330522254881</v>
      </c>
      <c r="E8590" s="15" t="n">
        <f aca="false">B8590/Summary!$B$5-1</f>
        <v>-0.00840330522254884</v>
      </c>
    </row>
    <row r="8591" customFormat="false" ht="15" hidden="false" customHeight="false" outlineLevel="0" collapsed="false">
      <c r="A8591" s="0" t="n">
        <v>8590</v>
      </c>
      <c r="B8591" s="14" t="n">
        <v>98547.8287274088</v>
      </c>
      <c r="C8591" s="15" t="n">
        <v>0.0760280980793021</v>
      </c>
      <c r="D8591" s="14" t="n">
        <f aca="false">Summary!$B$5-B8591</f>
        <v>1452.17127259116</v>
      </c>
      <c r="E8591" s="15" t="n">
        <f aca="false">B8591/Summary!$B$5-1</f>
        <v>-0.0145217127259116</v>
      </c>
    </row>
    <row r="8592" customFormat="false" ht="15" hidden="false" customHeight="false" outlineLevel="0" collapsed="false">
      <c r="A8592" s="0" t="n">
        <v>8591</v>
      </c>
      <c r="B8592" s="14" t="n">
        <v>82245.3703834506</v>
      </c>
      <c r="C8592" s="15" t="n">
        <v>0.182488786350826</v>
      </c>
      <c r="D8592" s="14" t="n">
        <f aca="false">Summary!$B$5-B8592</f>
        <v>17754.6296165494</v>
      </c>
      <c r="E8592" s="15" t="n">
        <f aca="false">B8592/Summary!$B$5-1</f>
        <v>-0.177546296165494</v>
      </c>
    </row>
    <row r="8593" customFormat="false" ht="15" hidden="false" customHeight="false" outlineLevel="0" collapsed="false">
      <c r="A8593" s="0" t="n">
        <v>8592</v>
      </c>
      <c r="B8593" s="14" t="n">
        <v>113804.160184975</v>
      </c>
      <c r="C8593" s="15" t="n">
        <v>0.0841218983691677</v>
      </c>
      <c r="D8593" s="14" t="n">
        <f aca="false">Summary!$B$5-B8593</f>
        <v>-13804.1601849753</v>
      </c>
      <c r="E8593" s="15" t="n">
        <f aca="false">B8593/Summary!$B$5-1</f>
        <v>0.138041601849753</v>
      </c>
    </row>
    <row r="8594" customFormat="false" ht="15" hidden="false" customHeight="false" outlineLevel="0" collapsed="false">
      <c r="A8594" s="0" t="n">
        <v>8593</v>
      </c>
      <c r="B8594" s="14" t="n">
        <v>95383.4742516853</v>
      </c>
      <c r="C8594" s="15" t="n">
        <v>0.154198772818104</v>
      </c>
      <c r="D8594" s="14" t="n">
        <f aca="false">Summary!$B$5-B8594</f>
        <v>4616.5257483147</v>
      </c>
      <c r="E8594" s="15" t="n">
        <f aca="false">B8594/Summary!$B$5-1</f>
        <v>-0.046165257483147</v>
      </c>
    </row>
    <row r="8595" customFormat="false" ht="15" hidden="false" customHeight="false" outlineLevel="0" collapsed="false">
      <c r="A8595" s="0" t="n">
        <v>8594</v>
      </c>
      <c r="B8595" s="14" t="n">
        <v>137169.705175478</v>
      </c>
      <c r="C8595" s="15" t="n">
        <v>0.0510023524478014</v>
      </c>
      <c r="D8595" s="14" t="n">
        <f aca="false">Summary!$B$5-B8595</f>
        <v>-37169.7051754776</v>
      </c>
      <c r="E8595" s="15" t="n">
        <f aca="false">B8595/Summary!$B$5-1</f>
        <v>0.371697051754776</v>
      </c>
    </row>
    <row r="8596" customFormat="false" ht="15" hidden="false" customHeight="false" outlineLevel="0" collapsed="false">
      <c r="A8596" s="0" t="n">
        <v>8595</v>
      </c>
      <c r="B8596" s="14" t="n">
        <v>109496.030018557</v>
      </c>
      <c r="C8596" s="15" t="n">
        <v>0.103970566034493</v>
      </c>
      <c r="D8596" s="14" t="n">
        <f aca="false">Summary!$B$5-B8596</f>
        <v>-9496.0300185565</v>
      </c>
      <c r="E8596" s="15" t="n">
        <f aca="false">B8596/Summary!$B$5-1</f>
        <v>0.094960300185565</v>
      </c>
    </row>
    <row r="8597" customFormat="false" ht="15" hidden="false" customHeight="false" outlineLevel="0" collapsed="false">
      <c r="A8597" s="0" t="n">
        <v>8596</v>
      </c>
      <c r="B8597" s="14" t="n">
        <v>105124.936036277</v>
      </c>
      <c r="C8597" s="15" t="n">
        <v>0.100372523713171</v>
      </c>
      <c r="D8597" s="14" t="n">
        <f aca="false">Summary!$B$5-B8597</f>
        <v>-5124.936036277</v>
      </c>
      <c r="E8597" s="15" t="n">
        <f aca="false">B8597/Summary!$B$5-1</f>
        <v>0.05124936036277</v>
      </c>
    </row>
    <row r="8598" customFormat="false" ht="15" hidden="false" customHeight="false" outlineLevel="0" collapsed="false">
      <c r="A8598" s="0" t="n">
        <v>8597</v>
      </c>
      <c r="B8598" s="14" t="n">
        <v>106589.79019701</v>
      </c>
      <c r="C8598" s="15" t="n">
        <v>0.0731165699494538</v>
      </c>
      <c r="D8598" s="14" t="n">
        <f aca="false">Summary!$B$5-B8598</f>
        <v>-6589.7901970097</v>
      </c>
      <c r="E8598" s="15" t="n">
        <f aca="false">B8598/Summary!$B$5-1</f>
        <v>0.0658979019700969</v>
      </c>
    </row>
    <row r="8599" customFormat="false" ht="15" hidden="false" customHeight="false" outlineLevel="0" collapsed="false">
      <c r="A8599" s="0" t="n">
        <v>8598</v>
      </c>
      <c r="B8599" s="14" t="n">
        <v>120636.443704908</v>
      </c>
      <c r="C8599" s="15" t="n">
        <v>0.0719143224739002</v>
      </c>
      <c r="D8599" s="14" t="n">
        <f aca="false">Summary!$B$5-B8599</f>
        <v>-20636.4437049081</v>
      </c>
      <c r="E8599" s="15" t="n">
        <f aca="false">B8599/Summary!$B$5-1</f>
        <v>0.206364437049081</v>
      </c>
    </row>
    <row r="8600" customFormat="false" ht="15" hidden="false" customHeight="false" outlineLevel="0" collapsed="false">
      <c r="A8600" s="0" t="n">
        <v>8599</v>
      </c>
      <c r="B8600" s="14" t="n">
        <v>98154.7240187942</v>
      </c>
      <c r="C8600" s="15" t="n">
        <v>0.122958617285856</v>
      </c>
      <c r="D8600" s="14" t="n">
        <f aca="false">Summary!$B$5-B8600</f>
        <v>1845.27598120584</v>
      </c>
      <c r="E8600" s="15" t="n">
        <f aca="false">B8600/Summary!$B$5-1</f>
        <v>-0.0184527598120584</v>
      </c>
    </row>
    <row r="8601" customFormat="false" ht="15" hidden="false" customHeight="false" outlineLevel="0" collapsed="false">
      <c r="A8601" s="0" t="n">
        <v>8600</v>
      </c>
      <c r="B8601" s="14" t="n">
        <v>110384.769398381</v>
      </c>
      <c r="C8601" s="15" t="n">
        <v>0.0718188431397657</v>
      </c>
      <c r="D8601" s="14" t="n">
        <f aca="false">Summary!$B$5-B8601</f>
        <v>-10384.7693983807</v>
      </c>
      <c r="E8601" s="15" t="n">
        <f aca="false">B8601/Summary!$B$5-1</f>
        <v>0.103847693983807</v>
      </c>
    </row>
    <row r="8602" customFormat="false" ht="15" hidden="false" customHeight="false" outlineLevel="0" collapsed="false">
      <c r="A8602" s="0" t="n">
        <v>8601</v>
      </c>
      <c r="B8602" s="14" t="n">
        <v>103777.143210463</v>
      </c>
      <c r="C8602" s="15" t="n">
        <v>0.110592363341797</v>
      </c>
      <c r="D8602" s="14" t="n">
        <f aca="false">Summary!$B$5-B8602</f>
        <v>-3777.1432104625</v>
      </c>
      <c r="E8602" s="15" t="n">
        <f aca="false">B8602/Summary!$B$5-1</f>
        <v>0.037771432104625</v>
      </c>
    </row>
    <row r="8603" customFormat="false" ht="15" hidden="false" customHeight="false" outlineLevel="0" collapsed="false">
      <c r="A8603" s="0" t="n">
        <v>8602</v>
      </c>
      <c r="B8603" s="14" t="n">
        <v>107527.210952859</v>
      </c>
      <c r="C8603" s="15" t="n">
        <v>0.117746178883193</v>
      </c>
      <c r="D8603" s="14" t="n">
        <f aca="false">Summary!$B$5-B8603</f>
        <v>-7527.21095285899</v>
      </c>
      <c r="E8603" s="15" t="n">
        <f aca="false">B8603/Summary!$B$5-1</f>
        <v>0.07527210952859</v>
      </c>
    </row>
    <row r="8604" customFormat="false" ht="15" hidden="false" customHeight="false" outlineLevel="0" collapsed="false">
      <c r="A8604" s="0" t="n">
        <v>8603</v>
      </c>
      <c r="B8604" s="14" t="n">
        <v>96327.4845889129</v>
      </c>
      <c r="C8604" s="15" t="n">
        <v>0.0875944502178382</v>
      </c>
      <c r="D8604" s="14" t="n">
        <f aca="false">Summary!$B$5-B8604</f>
        <v>3672.51541108712</v>
      </c>
      <c r="E8604" s="15" t="n">
        <f aca="false">B8604/Summary!$B$5-1</f>
        <v>-0.0367251541108712</v>
      </c>
    </row>
    <row r="8605" customFormat="false" ht="15" hidden="false" customHeight="false" outlineLevel="0" collapsed="false">
      <c r="A8605" s="0" t="n">
        <v>8604</v>
      </c>
      <c r="B8605" s="14" t="n">
        <v>118756.284030296</v>
      </c>
      <c r="C8605" s="15" t="n">
        <v>0.0615231202263599</v>
      </c>
      <c r="D8605" s="14" t="n">
        <f aca="false">Summary!$B$5-B8605</f>
        <v>-18756.2840302959</v>
      </c>
      <c r="E8605" s="15" t="n">
        <f aca="false">B8605/Summary!$B$5-1</f>
        <v>0.187562840302959</v>
      </c>
    </row>
    <row r="8606" customFormat="false" ht="15" hidden="false" customHeight="false" outlineLevel="0" collapsed="false">
      <c r="A8606" s="0" t="n">
        <v>8605</v>
      </c>
      <c r="B8606" s="14" t="n">
        <v>132400.705912152</v>
      </c>
      <c r="C8606" s="15" t="n">
        <v>0.0475094351198903</v>
      </c>
      <c r="D8606" s="14" t="n">
        <f aca="false">Summary!$B$5-B8606</f>
        <v>-32400.7059121522</v>
      </c>
      <c r="E8606" s="15" t="n">
        <f aca="false">B8606/Summary!$B$5-1</f>
        <v>0.324007059121522</v>
      </c>
    </row>
    <row r="8607" customFormat="false" ht="15" hidden="false" customHeight="false" outlineLevel="0" collapsed="false">
      <c r="A8607" s="0" t="n">
        <v>8606</v>
      </c>
      <c r="B8607" s="14" t="n">
        <v>132080.734767553</v>
      </c>
      <c r="C8607" s="15" t="n">
        <v>0.0424059453373561</v>
      </c>
      <c r="D8607" s="14" t="n">
        <f aca="false">Summary!$B$5-B8607</f>
        <v>-32080.7347675531</v>
      </c>
      <c r="E8607" s="15" t="n">
        <f aca="false">B8607/Summary!$B$5-1</f>
        <v>0.320807347675531</v>
      </c>
    </row>
    <row r="8608" customFormat="false" ht="15" hidden="false" customHeight="false" outlineLevel="0" collapsed="false">
      <c r="A8608" s="0" t="n">
        <v>8607</v>
      </c>
      <c r="B8608" s="14" t="n">
        <v>100418.007879097</v>
      </c>
      <c r="C8608" s="15" t="n">
        <v>0.128255451580245</v>
      </c>
      <c r="D8608" s="14" t="n">
        <f aca="false">Summary!$B$5-B8608</f>
        <v>-418.007879097204</v>
      </c>
      <c r="E8608" s="15" t="n">
        <f aca="false">B8608/Summary!$B$5-1</f>
        <v>0.00418007879097204</v>
      </c>
    </row>
    <row r="8609" customFormat="false" ht="15" hidden="false" customHeight="false" outlineLevel="0" collapsed="false">
      <c r="A8609" s="0" t="n">
        <v>8608</v>
      </c>
      <c r="B8609" s="14" t="n">
        <v>107302.377342752</v>
      </c>
      <c r="C8609" s="15" t="n">
        <v>0.0947508336717374</v>
      </c>
      <c r="D8609" s="14" t="n">
        <f aca="false">Summary!$B$5-B8609</f>
        <v>-7302.3773427523</v>
      </c>
      <c r="E8609" s="15" t="n">
        <f aca="false">B8609/Summary!$B$5-1</f>
        <v>0.073023773427523</v>
      </c>
    </row>
    <row r="8610" customFormat="false" ht="15" hidden="false" customHeight="false" outlineLevel="0" collapsed="false">
      <c r="A8610" s="0" t="n">
        <v>8609</v>
      </c>
      <c r="B8610" s="14" t="n">
        <v>130651.711080054</v>
      </c>
      <c r="C8610" s="15" t="n">
        <v>0.0362200246320226</v>
      </c>
      <c r="D8610" s="14" t="n">
        <f aca="false">Summary!$B$5-B8610</f>
        <v>-30651.7110800536</v>
      </c>
      <c r="E8610" s="15" t="n">
        <f aca="false">B8610/Summary!$B$5-1</f>
        <v>0.306517110800536</v>
      </c>
    </row>
    <row r="8611" customFormat="false" ht="15" hidden="false" customHeight="false" outlineLevel="0" collapsed="false">
      <c r="A8611" s="0" t="n">
        <v>8610</v>
      </c>
      <c r="B8611" s="14" t="n">
        <v>85048.9420453791</v>
      </c>
      <c r="C8611" s="15" t="n">
        <v>0.195190122484414</v>
      </c>
      <c r="D8611" s="14" t="n">
        <f aca="false">Summary!$B$5-B8611</f>
        <v>14951.0579546209</v>
      </c>
      <c r="E8611" s="15" t="n">
        <f aca="false">B8611/Summary!$B$5-1</f>
        <v>-0.149510579546209</v>
      </c>
    </row>
    <row r="8612" customFormat="false" ht="15" hidden="false" customHeight="false" outlineLevel="0" collapsed="false">
      <c r="A8612" s="0" t="n">
        <v>8611</v>
      </c>
      <c r="B8612" s="14" t="n">
        <v>149464.826281696</v>
      </c>
      <c r="C8612" s="15" t="n">
        <v>0.051436493231375</v>
      </c>
      <c r="D8612" s="14" t="n">
        <f aca="false">Summary!$B$5-B8612</f>
        <v>-49464.8262816957</v>
      </c>
      <c r="E8612" s="15" t="n">
        <f aca="false">B8612/Summary!$B$5-1</f>
        <v>0.494648262816957</v>
      </c>
    </row>
    <row r="8613" customFormat="false" ht="15" hidden="false" customHeight="false" outlineLevel="0" collapsed="false">
      <c r="A8613" s="0" t="n">
        <v>8612</v>
      </c>
      <c r="B8613" s="14" t="n">
        <v>101428.468669746</v>
      </c>
      <c r="C8613" s="15" t="n">
        <v>0.093210927896329</v>
      </c>
      <c r="D8613" s="14" t="n">
        <f aca="false">Summary!$B$5-B8613</f>
        <v>-1428.46866974569</v>
      </c>
      <c r="E8613" s="15" t="n">
        <f aca="false">B8613/Summary!$B$5-1</f>
        <v>0.0142846866974569</v>
      </c>
    </row>
    <row r="8614" customFormat="false" ht="15" hidden="false" customHeight="false" outlineLevel="0" collapsed="false">
      <c r="A8614" s="0" t="n">
        <v>8613</v>
      </c>
      <c r="B8614" s="14" t="n">
        <v>113606.243013448</v>
      </c>
      <c r="C8614" s="15" t="n">
        <v>0.0879505763276068</v>
      </c>
      <c r="D8614" s="14" t="n">
        <f aca="false">Summary!$B$5-B8614</f>
        <v>-13606.2430134476</v>
      </c>
      <c r="E8614" s="15" t="n">
        <f aca="false">B8614/Summary!$B$5-1</f>
        <v>0.136062430134476</v>
      </c>
    </row>
    <row r="8615" customFormat="false" ht="15" hidden="false" customHeight="false" outlineLevel="0" collapsed="false">
      <c r="A8615" s="0" t="n">
        <v>8614</v>
      </c>
      <c r="B8615" s="14" t="n">
        <v>119329.635421779</v>
      </c>
      <c r="C8615" s="15" t="n">
        <v>0.0740555992993853</v>
      </c>
      <c r="D8615" s="14" t="n">
        <f aca="false">Summary!$B$5-B8615</f>
        <v>-19329.6354217786</v>
      </c>
      <c r="E8615" s="15" t="n">
        <f aca="false">B8615/Summary!$B$5-1</f>
        <v>0.193296354217786</v>
      </c>
    </row>
    <row r="8616" customFormat="false" ht="15" hidden="false" customHeight="false" outlineLevel="0" collapsed="false">
      <c r="A8616" s="0" t="n">
        <v>8615</v>
      </c>
      <c r="B8616" s="14" t="n">
        <v>92907.9083544604</v>
      </c>
      <c r="C8616" s="15" t="n">
        <v>0.172395836623243</v>
      </c>
      <c r="D8616" s="14" t="n">
        <f aca="false">Summary!$B$5-B8616</f>
        <v>7092.09164553965</v>
      </c>
      <c r="E8616" s="15" t="n">
        <f aca="false">B8616/Summary!$B$5-1</f>
        <v>-0.0709209164553966</v>
      </c>
    </row>
    <row r="8617" customFormat="false" ht="15" hidden="false" customHeight="false" outlineLevel="0" collapsed="false">
      <c r="A8617" s="0" t="n">
        <v>8616</v>
      </c>
      <c r="B8617" s="14" t="n">
        <v>86424.76820611</v>
      </c>
      <c r="C8617" s="15" t="n">
        <v>0.218108725623222</v>
      </c>
      <c r="D8617" s="14" t="n">
        <f aca="false">Summary!$B$5-B8617</f>
        <v>13575.2317938901</v>
      </c>
      <c r="E8617" s="15" t="n">
        <f aca="false">B8617/Summary!$B$5-1</f>
        <v>-0.135752317938901</v>
      </c>
    </row>
    <row r="8618" customFormat="false" ht="15" hidden="false" customHeight="false" outlineLevel="0" collapsed="false">
      <c r="A8618" s="0" t="n">
        <v>8617</v>
      </c>
      <c r="B8618" s="14" t="n">
        <v>104946.895175542</v>
      </c>
      <c r="C8618" s="15" t="n">
        <v>0.0824698921560768</v>
      </c>
      <c r="D8618" s="14" t="n">
        <f aca="false">Summary!$B$5-B8618</f>
        <v>-4946.895175542</v>
      </c>
      <c r="E8618" s="15" t="n">
        <f aca="false">B8618/Summary!$B$5-1</f>
        <v>0.0494689517554199</v>
      </c>
    </row>
    <row r="8619" customFormat="false" ht="15" hidden="false" customHeight="false" outlineLevel="0" collapsed="false">
      <c r="A8619" s="0" t="n">
        <v>8618</v>
      </c>
      <c r="B8619" s="14" t="n">
        <v>137718.497384309</v>
      </c>
      <c r="C8619" s="15" t="n">
        <v>0.049195265775407</v>
      </c>
      <c r="D8619" s="14" t="n">
        <f aca="false">Summary!$B$5-B8619</f>
        <v>-37718.4973843092</v>
      </c>
      <c r="E8619" s="15" t="n">
        <f aca="false">B8619/Summary!$B$5-1</f>
        <v>0.377184973843092</v>
      </c>
    </row>
    <row r="8620" customFormat="false" ht="15" hidden="false" customHeight="false" outlineLevel="0" collapsed="false">
      <c r="A8620" s="0" t="n">
        <v>8619</v>
      </c>
      <c r="B8620" s="14" t="n">
        <v>104513.141700115</v>
      </c>
      <c r="C8620" s="15" t="n">
        <v>0.0686982601666951</v>
      </c>
      <c r="D8620" s="14" t="n">
        <f aca="false">Summary!$B$5-B8620</f>
        <v>-4513.1417001146</v>
      </c>
      <c r="E8620" s="15" t="n">
        <f aca="false">B8620/Summary!$B$5-1</f>
        <v>0.0451314170011461</v>
      </c>
    </row>
    <row r="8621" customFormat="false" ht="15" hidden="false" customHeight="false" outlineLevel="0" collapsed="false">
      <c r="A8621" s="0" t="n">
        <v>8620</v>
      </c>
      <c r="B8621" s="14" t="n">
        <v>107790.580330368</v>
      </c>
      <c r="C8621" s="15" t="n">
        <v>0.103525198869861</v>
      </c>
      <c r="D8621" s="14" t="n">
        <f aca="false">Summary!$B$5-B8621</f>
        <v>-7790.58033036751</v>
      </c>
      <c r="E8621" s="15" t="n">
        <f aca="false">B8621/Summary!$B$5-1</f>
        <v>0.077905803303675</v>
      </c>
    </row>
    <row r="8622" customFormat="false" ht="15" hidden="false" customHeight="false" outlineLevel="0" collapsed="false">
      <c r="A8622" s="0" t="n">
        <v>8621</v>
      </c>
      <c r="B8622" s="14" t="n">
        <v>122166.500004503</v>
      </c>
      <c r="C8622" s="15" t="n">
        <v>0.0688841457796173</v>
      </c>
      <c r="D8622" s="14" t="n">
        <f aca="false">Summary!$B$5-B8622</f>
        <v>-22166.500004503</v>
      </c>
      <c r="E8622" s="15" t="n">
        <f aca="false">B8622/Summary!$B$5-1</f>
        <v>0.22166500004503</v>
      </c>
    </row>
    <row r="8623" customFormat="false" ht="15" hidden="false" customHeight="false" outlineLevel="0" collapsed="false">
      <c r="A8623" s="0" t="n">
        <v>8622</v>
      </c>
      <c r="B8623" s="14" t="n">
        <v>106332.319199159</v>
      </c>
      <c r="C8623" s="15" t="n">
        <v>0.107582903906975</v>
      </c>
      <c r="D8623" s="14" t="n">
        <f aca="false">Summary!$B$5-B8623</f>
        <v>-6332.31919915931</v>
      </c>
      <c r="E8623" s="15" t="n">
        <f aca="false">B8623/Summary!$B$5-1</f>
        <v>0.0633231919915931</v>
      </c>
    </row>
    <row r="8624" customFormat="false" ht="15" hidden="false" customHeight="false" outlineLevel="0" collapsed="false">
      <c r="A8624" s="0" t="n">
        <v>8623</v>
      </c>
      <c r="B8624" s="14" t="n">
        <v>120120.153812631</v>
      </c>
      <c r="C8624" s="15" t="n">
        <v>0.0626628920691273</v>
      </c>
      <c r="D8624" s="14" t="n">
        <f aca="false">Summary!$B$5-B8624</f>
        <v>-20120.1538126307</v>
      </c>
      <c r="E8624" s="15" t="n">
        <f aca="false">B8624/Summary!$B$5-1</f>
        <v>0.201201538126307</v>
      </c>
    </row>
    <row r="8625" customFormat="false" ht="15" hidden="false" customHeight="false" outlineLevel="0" collapsed="false">
      <c r="A8625" s="0" t="n">
        <v>8624</v>
      </c>
      <c r="B8625" s="14" t="n">
        <v>109844.579424108</v>
      </c>
      <c r="C8625" s="15" t="n">
        <v>0.0509314760203058</v>
      </c>
      <c r="D8625" s="14" t="n">
        <f aca="false">Summary!$B$5-B8625</f>
        <v>-9844.57942410831</v>
      </c>
      <c r="E8625" s="15" t="n">
        <f aca="false">B8625/Summary!$B$5-1</f>
        <v>0.098445794241083</v>
      </c>
    </row>
    <row r="8626" customFormat="false" ht="15" hidden="false" customHeight="false" outlineLevel="0" collapsed="false">
      <c r="A8626" s="0" t="n">
        <v>8625</v>
      </c>
      <c r="B8626" s="14" t="n">
        <v>121802.59477457</v>
      </c>
      <c r="C8626" s="15" t="n">
        <v>0.0457675503978049</v>
      </c>
      <c r="D8626" s="14" t="n">
        <f aca="false">Summary!$B$5-B8626</f>
        <v>-21802.5947745702</v>
      </c>
      <c r="E8626" s="15" t="n">
        <f aca="false">B8626/Summary!$B$5-1</f>
        <v>0.218025947745702</v>
      </c>
    </row>
    <row r="8627" customFormat="false" ht="15" hidden="false" customHeight="false" outlineLevel="0" collapsed="false">
      <c r="A8627" s="0" t="n">
        <v>8626</v>
      </c>
      <c r="B8627" s="14" t="n">
        <v>98040.2057232578</v>
      </c>
      <c r="C8627" s="15" t="n">
        <v>0.121074674709209</v>
      </c>
      <c r="D8627" s="14" t="n">
        <f aca="false">Summary!$B$5-B8627</f>
        <v>1959.79427674221</v>
      </c>
      <c r="E8627" s="15" t="n">
        <f aca="false">B8627/Summary!$B$5-1</f>
        <v>-0.0195979427674221</v>
      </c>
    </row>
    <row r="8628" customFormat="false" ht="15" hidden="false" customHeight="false" outlineLevel="0" collapsed="false">
      <c r="A8628" s="0" t="n">
        <v>8627</v>
      </c>
      <c r="B8628" s="14" t="n">
        <v>121318.876067209</v>
      </c>
      <c r="C8628" s="15" t="n">
        <v>0.0754983205121649</v>
      </c>
      <c r="D8628" s="14" t="n">
        <f aca="false">Summary!$B$5-B8628</f>
        <v>-21318.8760672085</v>
      </c>
      <c r="E8628" s="15" t="n">
        <f aca="false">B8628/Summary!$B$5-1</f>
        <v>0.213188760672085</v>
      </c>
    </row>
    <row r="8629" customFormat="false" ht="15" hidden="false" customHeight="false" outlineLevel="0" collapsed="false">
      <c r="A8629" s="0" t="n">
        <v>8628</v>
      </c>
      <c r="B8629" s="14" t="n">
        <v>105172.264611699</v>
      </c>
      <c r="C8629" s="15" t="n">
        <v>0.0900515693255957</v>
      </c>
      <c r="D8629" s="14" t="n">
        <f aca="false">Summary!$B$5-B8629</f>
        <v>-5172.26461169901</v>
      </c>
      <c r="E8629" s="15" t="n">
        <f aca="false">B8629/Summary!$B$5-1</f>
        <v>0.0517226461169902</v>
      </c>
    </row>
    <row r="8630" customFormat="false" ht="15" hidden="false" customHeight="false" outlineLevel="0" collapsed="false">
      <c r="A8630" s="0" t="n">
        <v>8629</v>
      </c>
      <c r="B8630" s="14" t="n">
        <v>120199.815669393</v>
      </c>
      <c r="C8630" s="15" t="n">
        <v>0.105500225689448</v>
      </c>
      <c r="D8630" s="14" t="n">
        <f aca="false">Summary!$B$5-B8630</f>
        <v>-20199.8156693927</v>
      </c>
      <c r="E8630" s="15" t="n">
        <f aca="false">B8630/Summary!$B$5-1</f>
        <v>0.201998156693927</v>
      </c>
    </row>
    <row r="8631" customFormat="false" ht="15" hidden="false" customHeight="false" outlineLevel="0" collapsed="false">
      <c r="A8631" s="0" t="n">
        <v>8630</v>
      </c>
      <c r="B8631" s="14" t="n">
        <v>106570.507227393</v>
      </c>
      <c r="C8631" s="15" t="n">
        <v>0.0663661339159904</v>
      </c>
      <c r="D8631" s="14" t="n">
        <f aca="false">Summary!$B$5-B8631</f>
        <v>-6570.5072273933</v>
      </c>
      <c r="E8631" s="15" t="n">
        <f aca="false">B8631/Summary!$B$5-1</f>
        <v>0.065705072273933</v>
      </c>
    </row>
    <row r="8632" customFormat="false" ht="15" hidden="false" customHeight="false" outlineLevel="0" collapsed="false">
      <c r="A8632" s="0" t="n">
        <v>8631</v>
      </c>
      <c r="B8632" s="14" t="n">
        <v>114369.275893059</v>
      </c>
      <c r="C8632" s="15" t="n">
        <v>0.0716826670714575</v>
      </c>
      <c r="D8632" s="14" t="n">
        <f aca="false">Summary!$B$5-B8632</f>
        <v>-14369.2758930593</v>
      </c>
      <c r="E8632" s="15" t="n">
        <f aca="false">B8632/Summary!$B$5-1</f>
        <v>0.143692758930593</v>
      </c>
    </row>
    <row r="8633" customFormat="false" ht="15" hidden="false" customHeight="false" outlineLevel="0" collapsed="false">
      <c r="A8633" s="0" t="n">
        <v>8632</v>
      </c>
      <c r="B8633" s="14" t="n">
        <v>102581.326622122</v>
      </c>
      <c r="C8633" s="15" t="n">
        <v>0.0947050762291365</v>
      </c>
      <c r="D8633" s="14" t="n">
        <f aca="false">Summary!$B$5-B8633</f>
        <v>-2581.32662212171</v>
      </c>
      <c r="E8633" s="15" t="n">
        <f aca="false">B8633/Summary!$B$5-1</f>
        <v>0.0258132662212172</v>
      </c>
    </row>
    <row r="8634" customFormat="false" ht="15" hidden="false" customHeight="false" outlineLevel="0" collapsed="false">
      <c r="A8634" s="0" t="n">
        <v>8633</v>
      </c>
      <c r="B8634" s="14" t="n">
        <v>103717.764424046</v>
      </c>
      <c r="C8634" s="15" t="n">
        <v>0.0637359142790107</v>
      </c>
      <c r="D8634" s="14" t="n">
        <f aca="false">Summary!$B$5-B8634</f>
        <v>-3717.7644240463</v>
      </c>
      <c r="E8634" s="15" t="n">
        <f aca="false">B8634/Summary!$B$5-1</f>
        <v>0.037177644240463</v>
      </c>
    </row>
    <row r="8635" customFormat="false" ht="15" hidden="false" customHeight="false" outlineLevel="0" collapsed="false">
      <c r="A8635" s="0" t="n">
        <v>8634</v>
      </c>
      <c r="B8635" s="14" t="n">
        <v>124213.342644478</v>
      </c>
      <c r="C8635" s="15" t="n">
        <v>0.0885215946441361</v>
      </c>
      <c r="D8635" s="14" t="n">
        <f aca="false">Summary!$B$5-B8635</f>
        <v>-24213.3426444779</v>
      </c>
      <c r="E8635" s="15" t="n">
        <f aca="false">B8635/Summary!$B$5-1</f>
        <v>0.242133426444779</v>
      </c>
    </row>
    <row r="8636" customFormat="false" ht="15" hidden="false" customHeight="false" outlineLevel="0" collapsed="false">
      <c r="A8636" s="0" t="n">
        <v>8635</v>
      </c>
      <c r="B8636" s="14" t="n">
        <v>94700.4229536392</v>
      </c>
      <c r="C8636" s="15" t="n">
        <v>0.179001612316853</v>
      </c>
      <c r="D8636" s="14" t="n">
        <f aca="false">Summary!$B$5-B8636</f>
        <v>5299.57704636082</v>
      </c>
      <c r="E8636" s="15" t="n">
        <f aca="false">B8636/Summary!$B$5-1</f>
        <v>-0.0529957704636083</v>
      </c>
    </row>
    <row r="8637" customFormat="false" ht="15" hidden="false" customHeight="false" outlineLevel="0" collapsed="false">
      <c r="A8637" s="0" t="n">
        <v>8636</v>
      </c>
      <c r="B8637" s="14" t="n">
        <v>103685.382120004</v>
      </c>
      <c r="C8637" s="15" t="n">
        <v>0.137597411253692</v>
      </c>
      <c r="D8637" s="14" t="n">
        <f aca="false">Summary!$B$5-B8637</f>
        <v>-3685.3821200044</v>
      </c>
      <c r="E8637" s="15" t="n">
        <f aca="false">B8637/Summary!$B$5-1</f>
        <v>0.036853821200044</v>
      </c>
    </row>
    <row r="8638" customFormat="false" ht="15" hidden="false" customHeight="false" outlineLevel="0" collapsed="false">
      <c r="A8638" s="0" t="n">
        <v>8637</v>
      </c>
      <c r="B8638" s="14" t="n">
        <v>108308.89758115</v>
      </c>
      <c r="C8638" s="15" t="n">
        <v>0.0817545722159447</v>
      </c>
      <c r="D8638" s="14" t="n">
        <f aca="false">Summary!$B$5-B8638</f>
        <v>-8308.8975811503</v>
      </c>
      <c r="E8638" s="15" t="n">
        <f aca="false">B8638/Summary!$B$5-1</f>
        <v>0.083088975811503</v>
      </c>
    </row>
    <row r="8639" customFormat="false" ht="15" hidden="false" customHeight="false" outlineLevel="0" collapsed="false">
      <c r="A8639" s="0" t="n">
        <v>8638</v>
      </c>
      <c r="B8639" s="14" t="n">
        <v>96392.3386275612</v>
      </c>
      <c r="C8639" s="15" t="n">
        <v>0.148890113790451</v>
      </c>
      <c r="D8639" s="14" t="n">
        <f aca="false">Summary!$B$5-B8639</f>
        <v>3607.66137243883</v>
      </c>
      <c r="E8639" s="15" t="n">
        <f aca="false">B8639/Summary!$B$5-1</f>
        <v>-0.0360766137243883</v>
      </c>
    </row>
    <row r="8640" customFormat="false" ht="15" hidden="false" customHeight="false" outlineLevel="0" collapsed="false">
      <c r="A8640" s="0" t="n">
        <v>8639</v>
      </c>
      <c r="B8640" s="14" t="n">
        <v>105496.59458168</v>
      </c>
      <c r="C8640" s="15" t="n">
        <v>0.101067149716122</v>
      </c>
      <c r="D8640" s="14" t="n">
        <f aca="false">Summary!$B$5-B8640</f>
        <v>-5496.5945816796</v>
      </c>
      <c r="E8640" s="15" t="n">
        <f aca="false">B8640/Summary!$B$5-1</f>
        <v>0.0549659458167959</v>
      </c>
    </row>
    <row r="8641" customFormat="false" ht="15" hidden="false" customHeight="false" outlineLevel="0" collapsed="false">
      <c r="A8641" s="0" t="n">
        <v>8640</v>
      </c>
      <c r="B8641" s="14" t="n">
        <v>95143.593024213</v>
      </c>
      <c r="C8641" s="15" t="n">
        <v>0.0973130818745612</v>
      </c>
      <c r="D8641" s="14" t="n">
        <f aca="false">Summary!$B$5-B8641</f>
        <v>4856.40697578699</v>
      </c>
      <c r="E8641" s="15" t="n">
        <f aca="false">B8641/Summary!$B$5-1</f>
        <v>-0.0485640697578699</v>
      </c>
    </row>
    <row r="8642" customFormat="false" ht="15" hidden="false" customHeight="false" outlineLevel="0" collapsed="false">
      <c r="A8642" s="0" t="n">
        <v>8641</v>
      </c>
      <c r="B8642" s="14" t="n">
        <v>121462.531501383</v>
      </c>
      <c r="C8642" s="15" t="n">
        <v>0.0543832292452536</v>
      </c>
      <c r="D8642" s="14" t="n">
        <f aca="false">Summary!$B$5-B8642</f>
        <v>-21462.5315013827</v>
      </c>
      <c r="E8642" s="15" t="n">
        <f aca="false">B8642/Summary!$B$5-1</f>
        <v>0.214625315013827</v>
      </c>
    </row>
    <row r="8643" customFormat="false" ht="15" hidden="false" customHeight="false" outlineLevel="0" collapsed="false">
      <c r="A8643" s="0" t="n">
        <v>8642</v>
      </c>
      <c r="B8643" s="14" t="n">
        <v>100500.530296955</v>
      </c>
      <c r="C8643" s="15" t="n">
        <v>0.130385185962878</v>
      </c>
      <c r="D8643" s="14" t="n">
        <f aca="false">Summary!$B$5-B8643</f>
        <v>-500.530296955199</v>
      </c>
      <c r="E8643" s="15" t="n">
        <f aca="false">B8643/Summary!$B$5-1</f>
        <v>0.00500530296955204</v>
      </c>
    </row>
    <row r="8644" customFormat="false" ht="15" hidden="false" customHeight="false" outlineLevel="0" collapsed="false">
      <c r="A8644" s="0" t="n">
        <v>8643</v>
      </c>
      <c r="B8644" s="14" t="n">
        <v>123513.579923288</v>
      </c>
      <c r="C8644" s="15" t="n">
        <v>0.0532419159807706</v>
      </c>
      <c r="D8644" s="14" t="n">
        <f aca="false">Summary!$B$5-B8644</f>
        <v>-23513.5799232879</v>
      </c>
      <c r="E8644" s="15" t="n">
        <f aca="false">B8644/Summary!$B$5-1</f>
        <v>0.235135799232879</v>
      </c>
    </row>
    <row r="8645" customFormat="false" ht="15" hidden="false" customHeight="false" outlineLevel="0" collapsed="false">
      <c r="A8645" s="0" t="n">
        <v>8644</v>
      </c>
      <c r="B8645" s="14" t="n">
        <v>117284.352781383</v>
      </c>
      <c r="C8645" s="15" t="n">
        <v>0.0751387931676451</v>
      </c>
      <c r="D8645" s="14" t="n">
        <f aca="false">Summary!$B$5-B8645</f>
        <v>-17284.3527813829</v>
      </c>
      <c r="E8645" s="15" t="n">
        <f aca="false">B8645/Summary!$B$5-1</f>
        <v>0.172843527813829</v>
      </c>
    </row>
    <row r="8646" customFormat="false" ht="15" hidden="false" customHeight="false" outlineLevel="0" collapsed="false">
      <c r="A8646" s="0" t="n">
        <v>8645</v>
      </c>
      <c r="B8646" s="14" t="n">
        <v>109351.533420318</v>
      </c>
      <c r="C8646" s="15" t="n">
        <v>0.0793192887953491</v>
      </c>
      <c r="D8646" s="14" t="n">
        <f aca="false">Summary!$B$5-B8646</f>
        <v>-9351.5334203184</v>
      </c>
      <c r="E8646" s="15" t="n">
        <f aca="false">B8646/Summary!$B$5-1</f>
        <v>0.093515334203184</v>
      </c>
    </row>
    <row r="8647" customFormat="false" ht="15" hidden="false" customHeight="false" outlineLevel="0" collapsed="false">
      <c r="A8647" s="0" t="n">
        <v>8646</v>
      </c>
      <c r="B8647" s="14" t="n">
        <v>113332.687198364</v>
      </c>
      <c r="C8647" s="15" t="n">
        <v>0.0859196137884124</v>
      </c>
      <c r="D8647" s="14" t="n">
        <f aca="false">Summary!$B$5-B8647</f>
        <v>-13332.6871983642</v>
      </c>
      <c r="E8647" s="15" t="n">
        <f aca="false">B8647/Summary!$B$5-1</f>
        <v>0.133326871983642</v>
      </c>
    </row>
    <row r="8648" customFormat="false" ht="15" hidden="false" customHeight="false" outlineLevel="0" collapsed="false">
      <c r="A8648" s="0" t="n">
        <v>8647</v>
      </c>
      <c r="B8648" s="14" t="n">
        <v>105438.822005539</v>
      </c>
      <c r="C8648" s="15" t="n">
        <v>0.0999795255715603</v>
      </c>
      <c r="D8648" s="14" t="n">
        <f aca="false">Summary!$B$5-B8648</f>
        <v>-5438.82200553871</v>
      </c>
      <c r="E8648" s="15" t="n">
        <f aca="false">B8648/Summary!$B$5-1</f>
        <v>0.0543882200553871</v>
      </c>
    </row>
    <row r="8649" customFormat="false" ht="15" hidden="false" customHeight="false" outlineLevel="0" collapsed="false">
      <c r="A8649" s="0" t="n">
        <v>8648</v>
      </c>
      <c r="B8649" s="14" t="n">
        <v>110475.852161651</v>
      </c>
      <c r="C8649" s="15" t="n">
        <v>0.144970351794891</v>
      </c>
      <c r="D8649" s="14" t="n">
        <f aca="false">Summary!$B$5-B8649</f>
        <v>-10475.8521616513</v>
      </c>
      <c r="E8649" s="15" t="n">
        <f aca="false">B8649/Summary!$B$5-1</f>
        <v>0.104758521616513</v>
      </c>
    </row>
    <row r="8650" customFormat="false" ht="15" hidden="false" customHeight="false" outlineLevel="0" collapsed="false">
      <c r="A8650" s="0" t="n">
        <v>8649</v>
      </c>
      <c r="B8650" s="14" t="n">
        <v>111562.746537379</v>
      </c>
      <c r="C8650" s="15" t="n">
        <v>0.0952781553547797</v>
      </c>
      <c r="D8650" s="14" t="n">
        <f aca="false">Summary!$B$5-B8650</f>
        <v>-11562.7465373786</v>
      </c>
      <c r="E8650" s="15" t="n">
        <f aca="false">B8650/Summary!$B$5-1</f>
        <v>0.115627465373786</v>
      </c>
    </row>
    <row r="8651" customFormat="false" ht="15" hidden="false" customHeight="false" outlineLevel="0" collapsed="false">
      <c r="A8651" s="0" t="n">
        <v>8650</v>
      </c>
      <c r="B8651" s="14" t="n">
        <v>116999.42187371</v>
      </c>
      <c r="C8651" s="15" t="n">
        <v>0.0645374778369898</v>
      </c>
      <c r="D8651" s="14" t="n">
        <f aca="false">Summary!$B$5-B8651</f>
        <v>-16999.4218737095</v>
      </c>
      <c r="E8651" s="15" t="n">
        <f aca="false">B8651/Summary!$B$5-1</f>
        <v>0.169994218737095</v>
      </c>
    </row>
    <row r="8652" customFormat="false" ht="15" hidden="false" customHeight="false" outlineLevel="0" collapsed="false">
      <c r="A8652" s="0" t="n">
        <v>8651</v>
      </c>
      <c r="B8652" s="14" t="n">
        <v>108583.936305489</v>
      </c>
      <c r="C8652" s="15" t="n">
        <v>0.08253687582077</v>
      </c>
      <c r="D8652" s="14" t="n">
        <f aca="false">Summary!$B$5-B8652</f>
        <v>-8583.93630548861</v>
      </c>
      <c r="E8652" s="15" t="n">
        <f aca="false">B8652/Summary!$B$5-1</f>
        <v>0.0858393630548862</v>
      </c>
    </row>
    <row r="8653" customFormat="false" ht="15" hidden="false" customHeight="false" outlineLevel="0" collapsed="false">
      <c r="A8653" s="0" t="n">
        <v>8652</v>
      </c>
      <c r="B8653" s="14" t="n">
        <v>111965.861585831</v>
      </c>
      <c r="C8653" s="15" t="n">
        <v>0.0764450642442115</v>
      </c>
      <c r="D8653" s="14" t="n">
        <f aca="false">Summary!$B$5-B8653</f>
        <v>-11965.8615858312</v>
      </c>
      <c r="E8653" s="15" t="n">
        <f aca="false">B8653/Summary!$B$5-1</f>
        <v>0.119658615858312</v>
      </c>
    </row>
    <row r="8654" customFormat="false" ht="15" hidden="false" customHeight="false" outlineLevel="0" collapsed="false">
      <c r="A8654" s="0" t="n">
        <v>8653</v>
      </c>
      <c r="B8654" s="14" t="n">
        <v>131034.294165361</v>
      </c>
      <c r="C8654" s="15" t="n">
        <v>0.0542007006509495</v>
      </c>
      <c r="D8654" s="14" t="n">
        <f aca="false">Summary!$B$5-B8654</f>
        <v>-31034.2941653607</v>
      </c>
      <c r="E8654" s="15" t="n">
        <f aca="false">B8654/Summary!$B$5-1</f>
        <v>0.310342941653607</v>
      </c>
    </row>
    <row r="8655" customFormat="false" ht="15" hidden="false" customHeight="false" outlineLevel="0" collapsed="false">
      <c r="A8655" s="0" t="n">
        <v>8654</v>
      </c>
      <c r="B8655" s="14" t="n">
        <v>122242.739732892</v>
      </c>
      <c r="C8655" s="15" t="n">
        <v>0.0610191716476853</v>
      </c>
      <c r="D8655" s="14" t="n">
        <f aca="false">Summary!$B$5-B8655</f>
        <v>-22242.7397328922</v>
      </c>
      <c r="E8655" s="15" t="n">
        <f aca="false">B8655/Summary!$B$5-1</f>
        <v>0.222427397328922</v>
      </c>
    </row>
    <row r="8656" customFormat="false" ht="15" hidden="false" customHeight="false" outlineLevel="0" collapsed="false">
      <c r="A8656" s="0" t="n">
        <v>8655</v>
      </c>
      <c r="B8656" s="14" t="n">
        <v>95408.7109676334</v>
      </c>
      <c r="C8656" s="15" t="n">
        <v>0.149094811335617</v>
      </c>
      <c r="D8656" s="14" t="n">
        <f aca="false">Summary!$B$5-B8656</f>
        <v>4591.28903236656</v>
      </c>
      <c r="E8656" s="15" t="n">
        <f aca="false">B8656/Summary!$B$5-1</f>
        <v>-0.0459128903236656</v>
      </c>
    </row>
    <row r="8657" customFormat="false" ht="15" hidden="false" customHeight="false" outlineLevel="0" collapsed="false">
      <c r="A8657" s="0" t="n">
        <v>8656</v>
      </c>
      <c r="B8657" s="14" t="n">
        <v>97673.5740004249</v>
      </c>
      <c r="C8657" s="15" t="n">
        <v>0.0931048379598006</v>
      </c>
      <c r="D8657" s="14" t="n">
        <f aca="false">Summary!$B$5-B8657</f>
        <v>2326.42599957509</v>
      </c>
      <c r="E8657" s="15" t="n">
        <f aca="false">B8657/Summary!$B$5-1</f>
        <v>-0.0232642599957509</v>
      </c>
    </row>
    <row r="8658" customFormat="false" ht="15" hidden="false" customHeight="false" outlineLevel="0" collapsed="false">
      <c r="A8658" s="0" t="n">
        <v>8657</v>
      </c>
      <c r="B8658" s="14" t="n">
        <v>132857.598286609</v>
      </c>
      <c r="C8658" s="15" t="n">
        <v>0.0381539979106663</v>
      </c>
      <c r="D8658" s="14" t="n">
        <f aca="false">Summary!$B$5-B8658</f>
        <v>-32857.5982866091</v>
      </c>
      <c r="E8658" s="15" t="n">
        <f aca="false">B8658/Summary!$B$5-1</f>
        <v>0.328575982866091</v>
      </c>
    </row>
    <row r="8659" customFormat="false" ht="15" hidden="false" customHeight="false" outlineLevel="0" collapsed="false">
      <c r="A8659" s="0" t="n">
        <v>8658</v>
      </c>
      <c r="B8659" s="14" t="n">
        <v>108892.033411631</v>
      </c>
      <c r="C8659" s="15" t="n">
        <v>0.102189906580609</v>
      </c>
      <c r="D8659" s="14" t="n">
        <f aca="false">Summary!$B$5-B8659</f>
        <v>-8892.0334116314</v>
      </c>
      <c r="E8659" s="15" t="n">
        <f aca="false">B8659/Summary!$B$5-1</f>
        <v>0.0889203341163141</v>
      </c>
    </row>
    <row r="8660" customFormat="false" ht="15" hidden="false" customHeight="false" outlineLevel="0" collapsed="false">
      <c r="A8660" s="0" t="n">
        <v>8659</v>
      </c>
      <c r="B8660" s="14" t="n">
        <v>109517.341136095</v>
      </c>
      <c r="C8660" s="15" t="n">
        <v>0.0854384956453929</v>
      </c>
      <c r="D8660" s="14" t="n">
        <f aca="false">Summary!$B$5-B8660</f>
        <v>-9517.3411360951</v>
      </c>
      <c r="E8660" s="15" t="n">
        <f aca="false">B8660/Summary!$B$5-1</f>
        <v>0.095173411360951</v>
      </c>
    </row>
    <row r="8661" customFormat="false" ht="15" hidden="false" customHeight="false" outlineLevel="0" collapsed="false">
      <c r="A8661" s="0" t="n">
        <v>8660</v>
      </c>
      <c r="B8661" s="14" t="n">
        <v>104019.365366697</v>
      </c>
      <c r="C8661" s="15" t="n">
        <v>0.0955095197764677</v>
      </c>
      <c r="D8661" s="14" t="n">
        <f aca="false">Summary!$B$5-B8661</f>
        <v>-4019.3653666968</v>
      </c>
      <c r="E8661" s="15" t="n">
        <f aca="false">B8661/Summary!$B$5-1</f>
        <v>0.040193653666968</v>
      </c>
    </row>
    <row r="8662" customFormat="false" ht="15" hidden="false" customHeight="false" outlineLevel="0" collapsed="false">
      <c r="A8662" s="0" t="n">
        <v>8661</v>
      </c>
      <c r="B8662" s="14" t="n">
        <v>83446.3835288571</v>
      </c>
      <c r="C8662" s="15" t="n">
        <v>0.170107509446365</v>
      </c>
      <c r="D8662" s="14" t="n">
        <f aca="false">Summary!$B$5-B8662</f>
        <v>16553.6164711429</v>
      </c>
      <c r="E8662" s="15" t="n">
        <f aca="false">B8662/Summary!$B$5-1</f>
        <v>-0.165536164711429</v>
      </c>
    </row>
    <row r="8663" customFormat="false" ht="15" hidden="false" customHeight="false" outlineLevel="0" collapsed="false">
      <c r="A8663" s="0" t="n">
        <v>8662</v>
      </c>
      <c r="B8663" s="14" t="n">
        <v>134494.741677749</v>
      </c>
      <c r="C8663" s="15" t="n">
        <v>0.07582005432659</v>
      </c>
      <c r="D8663" s="14" t="n">
        <f aca="false">Summary!$B$5-B8663</f>
        <v>-34494.7416777491</v>
      </c>
      <c r="E8663" s="15" t="n">
        <f aca="false">B8663/Summary!$B$5-1</f>
        <v>0.344947416777491</v>
      </c>
    </row>
    <row r="8664" customFormat="false" ht="15" hidden="false" customHeight="false" outlineLevel="0" collapsed="false">
      <c r="A8664" s="0" t="n">
        <v>8663</v>
      </c>
      <c r="B8664" s="14" t="n">
        <v>111371.627113408</v>
      </c>
      <c r="C8664" s="15" t="n">
        <v>0.0781940204482899</v>
      </c>
      <c r="D8664" s="14" t="n">
        <f aca="false">Summary!$B$5-B8664</f>
        <v>-11371.6271134075</v>
      </c>
      <c r="E8664" s="15" t="n">
        <f aca="false">B8664/Summary!$B$5-1</f>
        <v>0.113716271134075</v>
      </c>
    </row>
    <row r="8665" customFormat="false" ht="15" hidden="false" customHeight="false" outlineLevel="0" collapsed="false">
      <c r="A8665" s="0" t="n">
        <v>8664</v>
      </c>
      <c r="B8665" s="14" t="n">
        <v>105465.047206399</v>
      </c>
      <c r="C8665" s="15" t="n">
        <v>0.0933506817679926</v>
      </c>
      <c r="D8665" s="14" t="n">
        <f aca="false">Summary!$B$5-B8665</f>
        <v>-5465.0472063989</v>
      </c>
      <c r="E8665" s="15" t="n">
        <f aca="false">B8665/Summary!$B$5-1</f>
        <v>0.0546504720639891</v>
      </c>
    </row>
    <row r="8666" customFormat="false" ht="15" hidden="false" customHeight="false" outlineLevel="0" collapsed="false">
      <c r="A8666" s="0" t="n">
        <v>8665</v>
      </c>
      <c r="B8666" s="14" t="n">
        <v>113425.699654468</v>
      </c>
      <c r="C8666" s="15" t="n">
        <v>0.138475247406426</v>
      </c>
      <c r="D8666" s="14" t="n">
        <f aca="false">Summary!$B$5-B8666</f>
        <v>-13425.6996544683</v>
      </c>
      <c r="E8666" s="15" t="n">
        <f aca="false">B8666/Summary!$B$5-1</f>
        <v>0.134256996544683</v>
      </c>
    </row>
    <row r="8667" customFormat="false" ht="15" hidden="false" customHeight="false" outlineLevel="0" collapsed="false">
      <c r="A8667" s="0" t="n">
        <v>8666</v>
      </c>
      <c r="B8667" s="14" t="n">
        <v>104977.052081066</v>
      </c>
      <c r="C8667" s="15" t="n">
        <v>0.0805960526141483</v>
      </c>
      <c r="D8667" s="14" t="n">
        <f aca="false">Summary!$B$5-B8667</f>
        <v>-4977.05208106581</v>
      </c>
      <c r="E8667" s="15" t="n">
        <f aca="false">B8667/Summary!$B$5-1</f>
        <v>0.049770520810658</v>
      </c>
    </row>
    <row r="8668" customFormat="false" ht="15" hidden="false" customHeight="false" outlineLevel="0" collapsed="false">
      <c r="A8668" s="0" t="n">
        <v>8667</v>
      </c>
      <c r="B8668" s="14" t="n">
        <v>99221.771580167</v>
      </c>
      <c r="C8668" s="15" t="n">
        <v>0.156903308515626</v>
      </c>
      <c r="D8668" s="14" t="n">
        <f aca="false">Summary!$B$5-B8668</f>
        <v>778.228419833016</v>
      </c>
      <c r="E8668" s="15" t="n">
        <f aca="false">B8668/Summary!$B$5-1</f>
        <v>-0.00778228419833016</v>
      </c>
    </row>
    <row r="8669" customFormat="false" ht="15" hidden="false" customHeight="false" outlineLevel="0" collapsed="false">
      <c r="A8669" s="0" t="n">
        <v>8668</v>
      </c>
      <c r="B8669" s="14" t="n">
        <v>100100.461302877</v>
      </c>
      <c r="C8669" s="15" t="n">
        <v>0.123872577331528</v>
      </c>
      <c r="D8669" s="14" t="n">
        <f aca="false">Summary!$B$5-B8669</f>
        <v>-100.461302876996</v>
      </c>
      <c r="E8669" s="15" t="n">
        <f aca="false">B8669/Summary!$B$5-1</f>
        <v>0.00100461302876997</v>
      </c>
    </row>
    <row r="8670" customFormat="false" ht="15" hidden="false" customHeight="false" outlineLevel="0" collapsed="false">
      <c r="A8670" s="0" t="n">
        <v>8669</v>
      </c>
      <c r="B8670" s="14" t="n">
        <v>118056.211964821</v>
      </c>
      <c r="C8670" s="15" t="n">
        <v>0.0756695236116487</v>
      </c>
      <c r="D8670" s="14" t="n">
        <f aca="false">Summary!$B$5-B8670</f>
        <v>-18056.2119648209</v>
      </c>
      <c r="E8670" s="15" t="n">
        <f aca="false">B8670/Summary!$B$5-1</f>
        <v>0.180562119648209</v>
      </c>
    </row>
    <row r="8671" customFormat="false" ht="15" hidden="false" customHeight="false" outlineLevel="0" collapsed="false">
      <c r="A8671" s="0" t="n">
        <v>8670</v>
      </c>
      <c r="B8671" s="14" t="n">
        <v>111081.395559724</v>
      </c>
      <c r="C8671" s="15" t="n">
        <v>0.103573567110681</v>
      </c>
      <c r="D8671" s="14" t="n">
        <f aca="false">Summary!$B$5-B8671</f>
        <v>-11081.3955597243</v>
      </c>
      <c r="E8671" s="15" t="n">
        <f aca="false">B8671/Summary!$B$5-1</f>
        <v>0.110813955597243</v>
      </c>
    </row>
    <row r="8672" customFormat="false" ht="15" hidden="false" customHeight="false" outlineLevel="0" collapsed="false">
      <c r="A8672" s="0" t="n">
        <v>8671</v>
      </c>
      <c r="B8672" s="14" t="n">
        <v>98064.1051055516</v>
      </c>
      <c r="C8672" s="15" t="n">
        <v>0.115183638142764</v>
      </c>
      <c r="D8672" s="14" t="n">
        <f aca="false">Summary!$B$5-B8672</f>
        <v>1935.89489444837</v>
      </c>
      <c r="E8672" s="15" t="n">
        <f aca="false">B8672/Summary!$B$5-1</f>
        <v>-0.0193589489444838</v>
      </c>
    </row>
    <row r="8673" customFormat="false" ht="15" hidden="false" customHeight="false" outlineLevel="0" collapsed="false">
      <c r="A8673" s="0" t="n">
        <v>8672</v>
      </c>
      <c r="B8673" s="14" t="n">
        <v>120632.167286441</v>
      </c>
      <c r="C8673" s="15" t="n">
        <v>0.0807668051725549</v>
      </c>
      <c r="D8673" s="14" t="n">
        <f aca="false">Summary!$B$5-B8673</f>
        <v>-20632.1672864413</v>
      </c>
      <c r="E8673" s="15" t="n">
        <f aca="false">B8673/Summary!$B$5-1</f>
        <v>0.206321672864413</v>
      </c>
    </row>
    <row r="8674" customFormat="false" ht="15" hidden="false" customHeight="false" outlineLevel="0" collapsed="false">
      <c r="A8674" s="0" t="n">
        <v>8673</v>
      </c>
      <c r="B8674" s="14" t="n">
        <v>112171.717037796</v>
      </c>
      <c r="C8674" s="15" t="n">
        <v>0.104438811399386</v>
      </c>
      <c r="D8674" s="14" t="n">
        <f aca="false">Summary!$B$5-B8674</f>
        <v>-12171.7170377963</v>
      </c>
      <c r="E8674" s="15" t="n">
        <f aca="false">B8674/Summary!$B$5-1</f>
        <v>0.121717170377963</v>
      </c>
    </row>
    <row r="8675" customFormat="false" ht="15" hidden="false" customHeight="false" outlineLevel="0" collapsed="false">
      <c r="A8675" s="0" t="n">
        <v>8674</v>
      </c>
      <c r="B8675" s="14" t="n">
        <v>106773.501687051</v>
      </c>
      <c r="C8675" s="15" t="n">
        <v>0.0778256856710973</v>
      </c>
      <c r="D8675" s="14" t="n">
        <f aca="false">Summary!$B$5-B8675</f>
        <v>-6773.5016870512</v>
      </c>
      <c r="E8675" s="15" t="n">
        <f aca="false">B8675/Summary!$B$5-1</f>
        <v>0.067735016870512</v>
      </c>
    </row>
    <row r="8676" customFormat="false" ht="15" hidden="false" customHeight="false" outlineLevel="0" collapsed="false">
      <c r="A8676" s="0" t="n">
        <v>8675</v>
      </c>
      <c r="B8676" s="14" t="n">
        <v>99815.5363533089</v>
      </c>
      <c r="C8676" s="15" t="n">
        <v>0.0889353253775669</v>
      </c>
      <c r="D8676" s="14" t="n">
        <f aca="false">Summary!$B$5-B8676</f>
        <v>184.463646691118</v>
      </c>
      <c r="E8676" s="15" t="n">
        <f aca="false">B8676/Summary!$B$5-1</f>
        <v>-0.00184463646691113</v>
      </c>
    </row>
    <row r="8677" customFormat="false" ht="15" hidden="false" customHeight="false" outlineLevel="0" collapsed="false">
      <c r="A8677" s="0" t="n">
        <v>8676</v>
      </c>
      <c r="B8677" s="14" t="n">
        <v>104749.080245076</v>
      </c>
      <c r="C8677" s="15" t="n">
        <v>0.0566143185674142</v>
      </c>
      <c r="D8677" s="14" t="n">
        <f aca="false">Summary!$B$5-B8677</f>
        <v>-4749.0802450764</v>
      </c>
      <c r="E8677" s="15" t="n">
        <f aca="false">B8677/Summary!$B$5-1</f>
        <v>0.0474908024507641</v>
      </c>
    </row>
    <row r="8678" customFormat="false" ht="15" hidden="false" customHeight="false" outlineLevel="0" collapsed="false">
      <c r="A8678" s="0" t="n">
        <v>8677</v>
      </c>
      <c r="B8678" s="14" t="n">
        <v>98724.6003408546</v>
      </c>
      <c r="C8678" s="15" t="n">
        <v>0.0738774412741325</v>
      </c>
      <c r="D8678" s="14" t="n">
        <f aca="false">Summary!$B$5-B8678</f>
        <v>1275.39965914541</v>
      </c>
      <c r="E8678" s="15" t="n">
        <f aca="false">B8678/Summary!$B$5-1</f>
        <v>-0.012753996591454</v>
      </c>
    </row>
    <row r="8679" customFormat="false" ht="15" hidden="false" customHeight="false" outlineLevel="0" collapsed="false">
      <c r="A8679" s="0" t="n">
        <v>8678</v>
      </c>
      <c r="B8679" s="14" t="n">
        <v>109403.389304553</v>
      </c>
      <c r="C8679" s="15" t="n">
        <v>0.139316282083793</v>
      </c>
      <c r="D8679" s="14" t="n">
        <f aca="false">Summary!$B$5-B8679</f>
        <v>-9403.38930455269</v>
      </c>
      <c r="E8679" s="15" t="n">
        <f aca="false">B8679/Summary!$B$5-1</f>
        <v>0.0940338930455269</v>
      </c>
    </row>
    <row r="8680" customFormat="false" ht="15" hidden="false" customHeight="false" outlineLevel="0" collapsed="false">
      <c r="A8680" s="0" t="n">
        <v>8679</v>
      </c>
      <c r="B8680" s="14" t="n">
        <v>89304.8404720361</v>
      </c>
      <c r="C8680" s="15" t="n">
        <v>0.200718998440728</v>
      </c>
      <c r="D8680" s="14" t="n">
        <f aca="false">Summary!$B$5-B8680</f>
        <v>10695.1595279639</v>
      </c>
      <c r="E8680" s="15" t="n">
        <f aca="false">B8680/Summary!$B$5-1</f>
        <v>-0.106951595279639</v>
      </c>
    </row>
    <row r="8681" customFormat="false" ht="15" hidden="false" customHeight="false" outlineLevel="0" collapsed="false">
      <c r="A8681" s="0" t="n">
        <v>8680</v>
      </c>
      <c r="B8681" s="14" t="n">
        <v>116098.801206416</v>
      </c>
      <c r="C8681" s="15" t="n">
        <v>0.0805748393427612</v>
      </c>
      <c r="D8681" s="14" t="n">
        <f aca="false">Summary!$B$5-B8681</f>
        <v>-16098.8012064159</v>
      </c>
      <c r="E8681" s="15" t="n">
        <f aca="false">B8681/Summary!$B$5-1</f>
        <v>0.160988012064159</v>
      </c>
    </row>
    <row r="8682" customFormat="false" ht="15" hidden="false" customHeight="false" outlineLevel="0" collapsed="false">
      <c r="A8682" s="0" t="n">
        <v>8681</v>
      </c>
      <c r="B8682" s="14" t="n">
        <v>134303.732700197</v>
      </c>
      <c r="C8682" s="15" t="n">
        <v>0.0676561120875596</v>
      </c>
      <c r="D8682" s="14" t="n">
        <f aca="false">Summary!$B$5-B8682</f>
        <v>-34303.7327001966</v>
      </c>
      <c r="E8682" s="15" t="n">
        <f aca="false">B8682/Summary!$B$5-1</f>
        <v>0.343037327001966</v>
      </c>
    </row>
    <row r="8683" customFormat="false" ht="15" hidden="false" customHeight="false" outlineLevel="0" collapsed="false">
      <c r="A8683" s="0" t="n">
        <v>8682</v>
      </c>
      <c r="B8683" s="14" t="n">
        <v>103486.734372285</v>
      </c>
      <c r="C8683" s="15" t="n">
        <v>0.0948791067225404</v>
      </c>
      <c r="D8683" s="14" t="n">
        <f aca="false">Summary!$B$5-B8683</f>
        <v>-3486.73437228519</v>
      </c>
      <c r="E8683" s="15" t="n">
        <f aca="false">B8683/Summary!$B$5-1</f>
        <v>0.0348673437228519</v>
      </c>
    </row>
    <row r="8684" customFormat="false" ht="15" hidden="false" customHeight="false" outlineLevel="0" collapsed="false">
      <c r="A8684" s="0" t="n">
        <v>8683</v>
      </c>
      <c r="B8684" s="14" t="n">
        <v>111329.605934612</v>
      </c>
      <c r="C8684" s="15" t="n">
        <v>0.059225881464866</v>
      </c>
      <c r="D8684" s="14" t="n">
        <f aca="false">Summary!$B$5-B8684</f>
        <v>-11329.6059346122</v>
      </c>
      <c r="E8684" s="15" t="n">
        <f aca="false">B8684/Summary!$B$5-1</f>
        <v>0.113296059346122</v>
      </c>
    </row>
    <row r="8685" customFormat="false" ht="15" hidden="false" customHeight="false" outlineLevel="0" collapsed="false">
      <c r="A8685" s="0" t="n">
        <v>8684</v>
      </c>
      <c r="B8685" s="14" t="n">
        <v>111874.357572193</v>
      </c>
      <c r="C8685" s="15" t="n">
        <v>0.0584292858793263</v>
      </c>
      <c r="D8685" s="14" t="n">
        <f aca="false">Summary!$B$5-B8685</f>
        <v>-11874.3575721926</v>
      </c>
      <c r="E8685" s="15" t="n">
        <f aca="false">B8685/Summary!$B$5-1</f>
        <v>0.118743575721926</v>
      </c>
    </row>
    <row r="8686" customFormat="false" ht="15" hidden="false" customHeight="false" outlineLevel="0" collapsed="false">
      <c r="A8686" s="0" t="n">
        <v>8685</v>
      </c>
      <c r="B8686" s="14" t="n">
        <v>109794.440756255</v>
      </c>
      <c r="C8686" s="15" t="n">
        <v>0.0906862862665611</v>
      </c>
      <c r="D8686" s="14" t="n">
        <f aca="false">Summary!$B$5-B8686</f>
        <v>-9794.44075625519</v>
      </c>
      <c r="E8686" s="15" t="n">
        <f aca="false">B8686/Summary!$B$5-1</f>
        <v>0.097944407562552</v>
      </c>
    </row>
    <row r="8687" customFormat="false" ht="15" hidden="false" customHeight="false" outlineLevel="0" collapsed="false">
      <c r="A8687" s="0" t="n">
        <v>8686</v>
      </c>
      <c r="B8687" s="14" t="n">
        <v>107395.024918913</v>
      </c>
      <c r="C8687" s="15" t="n">
        <v>0.0946599165649451</v>
      </c>
      <c r="D8687" s="14" t="n">
        <f aca="false">Summary!$B$5-B8687</f>
        <v>-7395.0249189133</v>
      </c>
      <c r="E8687" s="15" t="n">
        <f aca="false">B8687/Summary!$B$5-1</f>
        <v>0.0739502491891331</v>
      </c>
    </row>
    <row r="8688" customFormat="false" ht="15" hidden="false" customHeight="false" outlineLevel="0" collapsed="false">
      <c r="A8688" s="0" t="n">
        <v>8687</v>
      </c>
      <c r="B8688" s="14" t="n">
        <v>102660.703924595</v>
      </c>
      <c r="C8688" s="15" t="n">
        <v>0.126735032045517</v>
      </c>
      <c r="D8688" s="14" t="n">
        <f aca="false">Summary!$B$5-B8688</f>
        <v>-2660.70392459469</v>
      </c>
      <c r="E8688" s="15" t="n">
        <f aca="false">B8688/Summary!$B$5-1</f>
        <v>0.026607039245947</v>
      </c>
    </row>
    <row r="8689" customFormat="false" ht="15" hidden="false" customHeight="false" outlineLevel="0" collapsed="false">
      <c r="A8689" s="0" t="n">
        <v>8688</v>
      </c>
      <c r="B8689" s="14" t="n">
        <v>95893.1022690146</v>
      </c>
      <c r="C8689" s="15" t="n">
        <v>0.0988694034099414</v>
      </c>
      <c r="D8689" s="14" t="n">
        <f aca="false">Summary!$B$5-B8689</f>
        <v>4106.89773098545</v>
      </c>
      <c r="E8689" s="15" t="n">
        <f aca="false">B8689/Summary!$B$5-1</f>
        <v>-0.0410689773098545</v>
      </c>
    </row>
    <row r="8690" customFormat="false" ht="15" hidden="false" customHeight="false" outlineLevel="0" collapsed="false">
      <c r="A8690" s="0" t="n">
        <v>8689</v>
      </c>
      <c r="B8690" s="14" t="n">
        <v>107718.882529813</v>
      </c>
      <c r="C8690" s="15" t="n">
        <v>0.0718332349758027</v>
      </c>
      <c r="D8690" s="14" t="n">
        <f aca="false">Summary!$B$5-B8690</f>
        <v>-7718.8825298131</v>
      </c>
      <c r="E8690" s="15" t="n">
        <f aca="false">B8690/Summary!$B$5-1</f>
        <v>0.077188825298131</v>
      </c>
    </row>
    <row r="8691" customFormat="false" ht="15" hidden="false" customHeight="false" outlineLevel="0" collapsed="false">
      <c r="A8691" s="0" t="n">
        <v>8690</v>
      </c>
      <c r="B8691" s="14" t="n">
        <v>115429.635693561</v>
      </c>
      <c r="C8691" s="15" t="n">
        <v>0.0689617564410958</v>
      </c>
      <c r="D8691" s="14" t="n">
        <f aca="false">Summary!$B$5-B8691</f>
        <v>-15429.6356935614</v>
      </c>
      <c r="E8691" s="15" t="n">
        <f aca="false">B8691/Summary!$B$5-1</f>
        <v>0.154296356935614</v>
      </c>
    </row>
    <row r="8692" customFormat="false" ht="15" hidden="false" customHeight="false" outlineLevel="0" collapsed="false">
      <c r="A8692" s="0" t="n">
        <v>8691</v>
      </c>
      <c r="B8692" s="14" t="n">
        <v>93024.9707526972</v>
      </c>
      <c r="C8692" s="15" t="n">
        <v>0.122657818033245</v>
      </c>
      <c r="D8692" s="14" t="n">
        <f aca="false">Summary!$B$5-B8692</f>
        <v>6975.02924730282</v>
      </c>
      <c r="E8692" s="15" t="n">
        <f aca="false">B8692/Summary!$B$5-1</f>
        <v>-0.0697502924730282</v>
      </c>
    </row>
    <row r="8693" customFormat="false" ht="15" hidden="false" customHeight="false" outlineLevel="0" collapsed="false">
      <c r="A8693" s="0" t="n">
        <v>8692</v>
      </c>
      <c r="B8693" s="14" t="n">
        <v>114781.11895447</v>
      </c>
      <c r="C8693" s="15" t="n">
        <v>0.0678987565152297</v>
      </c>
      <c r="D8693" s="14" t="n">
        <f aca="false">Summary!$B$5-B8693</f>
        <v>-14781.1189544697</v>
      </c>
      <c r="E8693" s="15" t="n">
        <f aca="false">B8693/Summary!$B$5-1</f>
        <v>0.147811189544697</v>
      </c>
    </row>
    <row r="8694" customFormat="false" ht="15" hidden="false" customHeight="false" outlineLevel="0" collapsed="false">
      <c r="A8694" s="0" t="n">
        <v>8693</v>
      </c>
      <c r="B8694" s="14" t="n">
        <v>114738.455382627</v>
      </c>
      <c r="C8694" s="15" t="n">
        <v>0.108540691120506</v>
      </c>
      <c r="D8694" s="14" t="n">
        <f aca="false">Summary!$B$5-B8694</f>
        <v>-14738.4553826265</v>
      </c>
      <c r="E8694" s="15" t="n">
        <f aca="false">B8694/Summary!$B$5-1</f>
        <v>0.147384553826265</v>
      </c>
    </row>
    <row r="8695" customFormat="false" ht="15" hidden="false" customHeight="false" outlineLevel="0" collapsed="false">
      <c r="A8695" s="0" t="n">
        <v>8694</v>
      </c>
      <c r="B8695" s="14" t="n">
        <v>136232.975643019</v>
      </c>
      <c r="C8695" s="15" t="n">
        <v>0.0608610689835789</v>
      </c>
      <c r="D8695" s="14" t="n">
        <f aca="false">Summary!$B$5-B8695</f>
        <v>-36232.9756430186</v>
      </c>
      <c r="E8695" s="15" t="n">
        <f aca="false">B8695/Summary!$B$5-1</f>
        <v>0.362329756430186</v>
      </c>
    </row>
    <row r="8696" customFormat="false" ht="15" hidden="false" customHeight="false" outlineLevel="0" collapsed="false">
      <c r="A8696" s="0" t="n">
        <v>8695</v>
      </c>
      <c r="B8696" s="14" t="n">
        <v>99803.9706291244</v>
      </c>
      <c r="C8696" s="15" t="n">
        <v>0.127600007059622</v>
      </c>
      <c r="D8696" s="14" t="n">
        <f aca="false">Summary!$B$5-B8696</f>
        <v>196.029370875593</v>
      </c>
      <c r="E8696" s="15" t="n">
        <f aca="false">B8696/Summary!$B$5-1</f>
        <v>-0.00196029370875594</v>
      </c>
    </row>
    <row r="8697" customFormat="false" ht="15" hidden="false" customHeight="false" outlineLevel="0" collapsed="false">
      <c r="A8697" s="0" t="n">
        <v>8696</v>
      </c>
      <c r="B8697" s="14" t="n">
        <v>147249.237961569</v>
      </c>
      <c r="C8697" s="15" t="n">
        <v>0.0513840473089159</v>
      </c>
      <c r="D8697" s="14" t="n">
        <f aca="false">Summary!$B$5-B8697</f>
        <v>-47249.2379615686</v>
      </c>
      <c r="E8697" s="15" t="n">
        <f aca="false">B8697/Summary!$B$5-1</f>
        <v>0.472492379615686</v>
      </c>
    </row>
    <row r="8698" customFormat="false" ht="15" hidden="false" customHeight="false" outlineLevel="0" collapsed="false">
      <c r="A8698" s="0" t="n">
        <v>8697</v>
      </c>
      <c r="B8698" s="14" t="n">
        <v>94014.5168680173</v>
      </c>
      <c r="C8698" s="15" t="n">
        <v>0.0759040049384715</v>
      </c>
      <c r="D8698" s="14" t="n">
        <f aca="false">Summary!$B$5-B8698</f>
        <v>5985.48313198268</v>
      </c>
      <c r="E8698" s="15" t="n">
        <f aca="false">B8698/Summary!$B$5-1</f>
        <v>-0.0598548313198267</v>
      </c>
    </row>
    <row r="8699" customFormat="false" ht="15" hidden="false" customHeight="false" outlineLevel="0" collapsed="false">
      <c r="A8699" s="0" t="n">
        <v>8698</v>
      </c>
      <c r="B8699" s="14" t="n">
        <v>111016.214270004</v>
      </c>
      <c r="C8699" s="15" t="n">
        <v>0.0652473914675764</v>
      </c>
      <c r="D8699" s="14" t="n">
        <f aca="false">Summary!$B$5-B8699</f>
        <v>-11016.2142700043</v>
      </c>
      <c r="E8699" s="15" t="n">
        <f aca="false">B8699/Summary!$B$5-1</f>
        <v>0.110162142700043</v>
      </c>
    </row>
    <row r="8700" customFormat="false" ht="15" hidden="false" customHeight="false" outlineLevel="0" collapsed="false">
      <c r="A8700" s="0" t="n">
        <v>8699</v>
      </c>
      <c r="B8700" s="14" t="n">
        <v>101158.762309983</v>
      </c>
      <c r="C8700" s="15" t="n">
        <v>0.0634512597286933</v>
      </c>
      <c r="D8700" s="14" t="n">
        <f aca="false">Summary!$B$5-B8700</f>
        <v>-1158.76230998281</v>
      </c>
      <c r="E8700" s="15" t="n">
        <f aca="false">B8700/Summary!$B$5-1</f>
        <v>0.011587623099828</v>
      </c>
    </row>
    <row r="8701" customFormat="false" ht="15" hidden="false" customHeight="false" outlineLevel="0" collapsed="false">
      <c r="A8701" s="0" t="n">
        <v>8700</v>
      </c>
      <c r="B8701" s="14" t="n">
        <v>116968.553309348</v>
      </c>
      <c r="C8701" s="15" t="n">
        <v>0.10075320899127</v>
      </c>
      <c r="D8701" s="14" t="n">
        <f aca="false">Summary!$B$5-B8701</f>
        <v>-16968.5533093476</v>
      </c>
      <c r="E8701" s="15" t="n">
        <f aca="false">B8701/Summary!$B$5-1</f>
        <v>0.169685533093476</v>
      </c>
    </row>
    <row r="8702" customFormat="false" ht="15" hidden="false" customHeight="false" outlineLevel="0" collapsed="false">
      <c r="A8702" s="0" t="n">
        <v>8701</v>
      </c>
      <c r="B8702" s="14" t="n">
        <v>98031.3720852191</v>
      </c>
      <c r="C8702" s="15" t="n">
        <v>0.102298370943852</v>
      </c>
      <c r="D8702" s="14" t="n">
        <f aca="false">Summary!$B$5-B8702</f>
        <v>1968.62791478095</v>
      </c>
      <c r="E8702" s="15" t="n">
        <f aca="false">B8702/Summary!$B$5-1</f>
        <v>-0.0196862791478095</v>
      </c>
    </row>
    <row r="8703" customFormat="false" ht="15" hidden="false" customHeight="false" outlineLevel="0" collapsed="false">
      <c r="A8703" s="0" t="n">
        <v>8702</v>
      </c>
      <c r="B8703" s="14" t="n">
        <v>99201.5776016205</v>
      </c>
      <c r="C8703" s="15" t="n">
        <v>0.102709905252236</v>
      </c>
      <c r="D8703" s="14" t="n">
        <f aca="false">Summary!$B$5-B8703</f>
        <v>798.42239837948</v>
      </c>
      <c r="E8703" s="15" t="n">
        <f aca="false">B8703/Summary!$B$5-1</f>
        <v>-0.00798422398379484</v>
      </c>
    </row>
    <row r="8704" customFormat="false" ht="15" hidden="false" customHeight="false" outlineLevel="0" collapsed="false">
      <c r="A8704" s="0" t="n">
        <v>8703</v>
      </c>
      <c r="B8704" s="14" t="n">
        <v>102573.716672879</v>
      </c>
      <c r="C8704" s="15" t="n">
        <v>0.0986915093199616</v>
      </c>
      <c r="D8704" s="14" t="n">
        <f aca="false">Summary!$B$5-B8704</f>
        <v>-2573.71667287921</v>
      </c>
      <c r="E8704" s="15" t="n">
        <f aca="false">B8704/Summary!$B$5-1</f>
        <v>0.025737166728792</v>
      </c>
    </row>
    <row r="8705" customFormat="false" ht="15" hidden="false" customHeight="false" outlineLevel="0" collapsed="false">
      <c r="A8705" s="0" t="n">
        <v>8704</v>
      </c>
      <c r="B8705" s="14" t="n">
        <v>112991.720941206</v>
      </c>
      <c r="C8705" s="15" t="n">
        <v>0.0696579580541019</v>
      </c>
      <c r="D8705" s="14" t="n">
        <f aca="false">Summary!$B$5-B8705</f>
        <v>-12991.7209412056</v>
      </c>
      <c r="E8705" s="15" t="n">
        <f aca="false">B8705/Summary!$B$5-1</f>
        <v>0.129917209412056</v>
      </c>
    </row>
    <row r="8706" customFormat="false" ht="15" hidden="false" customHeight="false" outlineLevel="0" collapsed="false">
      <c r="A8706" s="0" t="n">
        <v>8705</v>
      </c>
      <c r="B8706" s="14" t="n">
        <v>98680.9450173916</v>
      </c>
      <c r="C8706" s="15" t="n">
        <v>0.09856330338227</v>
      </c>
      <c r="D8706" s="14" t="n">
        <f aca="false">Summary!$B$5-B8706</f>
        <v>1319.05498260843</v>
      </c>
      <c r="E8706" s="15" t="n">
        <f aca="false">B8706/Summary!$B$5-1</f>
        <v>-0.0131905498260844</v>
      </c>
    </row>
    <row r="8707" customFormat="false" ht="15" hidden="false" customHeight="false" outlineLevel="0" collapsed="false">
      <c r="A8707" s="0" t="n">
        <v>8706</v>
      </c>
      <c r="B8707" s="14" t="n">
        <v>119106.658912815</v>
      </c>
      <c r="C8707" s="15" t="n">
        <v>0.0864755800418254</v>
      </c>
      <c r="D8707" s="14" t="n">
        <f aca="false">Summary!$B$5-B8707</f>
        <v>-19106.6589128145</v>
      </c>
      <c r="E8707" s="15" t="n">
        <f aca="false">B8707/Summary!$B$5-1</f>
        <v>0.191066589128145</v>
      </c>
    </row>
    <row r="8708" customFormat="false" ht="15" hidden="false" customHeight="false" outlineLevel="0" collapsed="false">
      <c r="A8708" s="0" t="n">
        <v>8707</v>
      </c>
      <c r="B8708" s="14" t="n">
        <v>92037.5396574728</v>
      </c>
      <c r="C8708" s="15" t="n">
        <v>0.20890452905817</v>
      </c>
      <c r="D8708" s="14" t="n">
        <f aca="false">Summary!$B$5-B8708</f>
        <v>7962.46034252716</v>
      </c>
      <c r="E8708" s="15" t="n">
        <f aca="false">B8708/Summary!$B$5-1</f>
        <v>-0.0796246034252717</v>
      </c>
    </row>
    <row r="8709" customFormat="false" ht="15" hidden="false" customHeight="false" outlineLevel="0" collapsed="false">
      <c r="A8709" s="0" t="n">
        <v>8708</v>
      </c>
      <c r="B8709" s="14" t="n">
        <v>106383.168812253</v>
      </c>
      <c r="C8709" s="15" t="n">
        <v>0.0810893522506099</v>
      </c>
      <c r="D8709" s="14" t="n">
        <f aca="false">Summary!$B$5-B8709</f>
        <v>-6383.168812253</v>
      </c>
      <c r="E8709" s="15" t="n">
        <f aca="false">B8709/Summary!$B$5-1</f>
        <v>0.06383168812253</v>
      </c>
    </row>
    <row r="8710" customFormat="false" ht="15" hidden="false" customHeight="false" outlineLevel="0" collapsed="false">
      <c r="A8710" s="0" t="n">
        <v>8709</v>
      </c>
      <c r="B8710" s="14" t="n">
        <v>108441.33670162</v>
      </c>
      <c r="C8710" s="15" t="n">
        <v>0.0866472896130044</v>
      </c>
      <c r="D8710" s="14" t="n">
        <f aca="false">Summary!$B$5-B8710</f>
        <v>-8441.3367016203</v>
      </c>
      <c r="E8710" s="15" t="n">
        <f aca="false">B8710/Summary!$B$5-1</f>
        <v>0.0844133670162031</v>
      </c>
    </row>
    <row r="8711" customFormat="false" ht="15" hidden="false" customHeight="false" outlineLevel="0" collapsed="false">
      <c r="A8711" s="0" t="n">
        <v>8710</v>
      </c>
      <c r="B8711" s="14" t="n">
        <v>114086.044563742</v>
      </c>
      <c r="C8711" s="15" t="n">
        <v>0.0983143525511133</v>
      </c>
      <c r="D8711" s="14" t="n">
        <f aca="false">Summary!$B$5-B8711</f>
        <v>-14086.0445637415</v>
      </c>
      <c r="E8711" s="15" t="n">
        <f aca="false">B8711/Summary!$B$5-1</f>
        <v>0.140860445637415</v>
      </c>
    </row>
    <row r="8712" customFormat="false" ht="15" hidden="false" customHeight="false" outlineLevel="0" collapsed="false">
      <c r="A8712" s="0" t="n">
        <v>8711</v>
      </c>
      <c r="B8712" s="14" t="n">
        <v>94077.5368495272</v>
      </c>
      <c r="C8712" s="15" t="n">
        <v>0.150288247422175</v>
      </c>
      <c r="D8712" s="14" t="n">
        <f aca="false">Summary!$B$5-B8712</f>
        <v>5922.46315047276</v>
      </c>
      <c r="E8712" s="15" t="n">
        <f aca="false">B8712/Summary!$B$5-1</f>
        <v>-0.0592246315047276</v>
      </c>
    </row>
    <row r="8713" customFormat="false" ht="15" hidden="false" customHeight="false" outlineLevel="0" collapsed="false">
      <c r="A8713" s="0" t="n">
        <v>8712</v>
      </c>
      <c r="B8713" s="14" t="n">
        <v>99522.5951471989</v>
      </c>
      <c r="C8713" s="15" t="n">
        <v>0.124326742222529</v>
      </c>
      <c r="D8713" s="14" t="n">
        <f aca="false">Summary!$B$5-B8713</f>
        <v>477.404852801061</v>
      </c>
      <c r="E8713" s="15" t="n">
        <f aca="false">B8713/Summary!$B$5-1</f>
        <v>-0.00477404852801056</v>
      </c>
    </row>
    <row r="8714" customFormat="false" ht="15" hidden="false" customHeight="false" outlineLevel="0" collapsed="false">
      <c r="A8714" s="0" t="n">
        <v>8713</v>
      </c>
      <c r="B8714" s="14" t="n">
        <v>112591.485453595</v>
      </c>
      <c r="C8714" s="15" t="n">
        <v>0.0876597380797374</v>
      </c>
      <c r="D8714" s="14" t="n">
        <f aca="false">Summary!$B$5-B8714</f>
        <v>-12591.4854535946</v>
      </c>
      <c r="E8714" s="15" t="n">
        <f aca="false">B8714/Summary!$B$5-1</f>
        <v>0.125914854535946</v>
      </c>
    </row>
    <row r="8715" customFormat="false" ht="15" hidden="false" customHeight="false" outlineLevel="0" collapsed="false">
      <c r="A8715" s="0" t="n">
        <v>8714</v>
      </c>
      <c r="B8715" s="14" t="n">
        <v>102846.65115777</v>
      </c>
      <c r="C8715" s="15" t="n">
        <v>0.124089019883792</v>
      </c>
      <c r="D8715" s="14" t="n">
        <f aca="false">Summary!$B$5-B8715</f>
        <v>-2846.65115776969</v>
      </c>
      <c r="E8715" s="15" t="n">
        <f aca="false">B8715/Summary!$B$5-1</f>
        <v>0.028466511577697</v>
      </c>
    </row>
    <row r="8716" customFormat="false" ht="15" hidden="false" customHeight="false" outlineLevel="0" collapsed="false">
      <c r="A8716" s="0" t="n">
        <v>8715</v>
      </c>
      <c r="B8716" s="14" t="n">
        <v>108378.526137416</v>
      </c>
      <c r="C8716" s="15" t="n">
        <v>0.115015274107939</v>
      </c>
      <c r="D8716" s="14" t="n">
        <f aca="false">Summary!$B$5-B8716</f>
        <v>-8378.5261374164</v>
      </c>
      <c r="E8716" s="15" t="n">
        <f aca="false">B8716/Summary!$B$5-1</f>
        <v>0.0837852613741639</v>
      </c>
    </row>
    <row r="8717" customFormat="false" ht="15" hidden="false" customHeight="false" outlineLevel="0" collapsed="false">
      <c r="A8717" s="0" t="n">
        <v>8716</v>
      </c>
      <c r="B8717" s="14" t="n">
        <v>95106.796312476</v>
      </c>
      <c r="C8717" s="15" t="n">
        <v>0.130075223245861</v>
      </c>
      <c r="D8717" s="14" t="n">
        <f aca="false">Summary!$B$5-B8717</f>
        <v>4893.20368752402</v>
      </c>
      <c r="E8717" s="15" t="n">
        <f aca="false">B8717/Summary!$B$5-1</f>
        <v>-0.0489320368752402</v>
      </c>
    </row>
    <row r="8718" customFormat="false" ht="15" hidden="false" customHeight="false" outlineLevel="0" collapsed="false">
      <c r="A8718" s="0" t="n">
        <v>8717</v>
      </c>
      <c r="B8718" s="14" t="n">
        <v>108381.698117133</v>
      </c>
      <c r="C8718" s="15" t="n">
        <v>0.0717176740112534</v>
      </c>
      <c r="D8718" s="14" t="n">
        <f aca="false">Summary!$B$5-B8718</f>
        <v>-8381.69811713271</v>
      </c>
      <c r="E8718" s="15" t="n">
        <f aca="false">B8718/Summary!$B$5-1</f>
        <v>0.083816981171327</v>
      </c>
    </row>
    <row r="8719" customFormat="false" ht="15" hidden="false" customHeight="false" outlineLevel="0" collapsed="false">
      <c r="A8719" s="0" t="n">
        <v>8718</v>
      </c>
      <c r="B8719" s="14" t="n">
        <v>128139.77393063</v>
      </c>
      <c r="C8719" s="15" t="n">
        <v>0.0702313008430039</v>
      </c>
      <c r="D8719" s="14" t="n">
        <f aca="false">Summary!$B$5-B8719</f>
        <v>-28139.7739306295</v>
      </c>
      <c r="E8719" s="15" t="n">
        <f aca="false">B8719/Summary!$B$5-1</f>
        <v>0.281397739306295</v>
      </c>
    </row>
    <row r="8720" customFormat="false" ht="15" hidden="false" customHeight="false" outlineLevel="0" collapsed="false">
      <c r="A8720" s="0" t="n">
        <v>8719</v>
      </c>
      <c r="B8720" s="14" t="n">
        <v>133873.58780931</v>
      </c>
      <c r="C8720" s="15" t="n">
        <v>0.0381196722886114</v>
      </c>
      <c r="D8720" s="14" t="n">
        <f aca="false">Summary!$B$5-B8720</f>
        <v>-33873.5878093096</v>
      </c>
      <c r="E8720" s="15" t="n">
        <f aca="false">B8720/Summary!$B$5-1</f>
        <v>0.338735878093096</v>
      </c>
    </row>
    <row r="8721" customFormat="false" ht="15" hidden="false" customHeight="false" outlineLevel="0" collapsed="false">
      <c r="A8721" s="0" t="n">
        <v>8720</v>
      </c>
      <c r="B8721" s="14" t="n">
        <v>96382.5398078888</v>
      </c>
      <c r="C8721" s="15" t="n">
        <v>0.153592294962881</v>
      </c>
      <c r="D8721" s="14" t="n">
        <f aca="false">Summary!$B$5-B8721</f>
        <v>3617.46019211123</v>
      </c>
      <c r="E8721" s="15" t="n">
        <f aca="false">B8721/Summary!$B$5-1</f>
        <v>-0.0361746019211123</v>
      </c>
    </row>
    <row r="8722" customFormat="false" ht="15" hidden="false" customHeight="false" outlineLevel="0" collapsed="false">
      <c r="A8722" s="0" t="n">
        <v>8721</v>
      </c>
      <c r="B8722" s="14" t="n">
        <v>103168.958635828</v>
      </c>
      <c r="C8722" s="15" t="n">
        <v>0.167339003243126</v>
      </c>
      <c r="D8722" s="14" t="n">
        <f aca="false">Summary!$B$5-B8722</f>
        <v>-3168.9586358278</v>
      </c>
      <c r="E8722" s="15" t="n">
        <f aca="false">B8722/Summary!$B$5-1</f>
        <v>0.031689586358278</v>
      </c>
    </row>
    <row r="8723" customFormat="false" ht="15" hidden="false" customHeight="false" outlineLevel="0" collapsed="false">
      <c r="A8723" s="0" t="n">
        <v>8722</v>
      </c>
      <c r="B8723" s="14" t="n">
        <v>96317.8878646085</v>
      </c>
      <c r="C8723" s="15" t="n">
        <v>0.120882689897483</v>
      </c>
      <c r="D8723" s="14" t="n">
        <f aca="false">Summary!$B$5-B8723</f>
        <v>3682.11213539148</v>
      </c>
      <c r="E8723" s="15" t="n">
        <f aca="false">B8723/Summary!$B$5-1</f>
        <v>-0.0368211213539148</v>
      </c>
    </row>
    <row r="8724" customFormat="false" ht="15" hidden="false" customHeight="false" outlineLevel="0" collapsed="false">
      <c r="A8724" s="0" t="n">
        <v>8723</v>
      </c>
      <c r="B8724" s="14" t="n">
        <v>104812.382522423</v>
      </c>
      <c r="C8724" s="15" t="n">
        <v>0.118511649361409</v>
      </c>
      <c r="D8724" s="14" t="n">
        <f aca="false">Summary!$B$5-B8724</f>
        <v>-4812.382522423</v>
      </c>
      <c r="E8724" s="15" t="n">
        <f aca="false">B8724/Summary!$B$5-1</f>
        <v>0.04812382522423</v>
      </c>
    </row>
    <row r="8725" customFormat="false" ht="15" hidden="false" customHeight="false" outlineLevel="0" collapsed="false">
      <c r="A8725" s="0" t="n">
        <v>8724</v>
      </c>
      <c r="B8725" s="14" t="n">
        <v>103763.746781586</v>
      </c>
      <c r="C8725" s="15" t="n">
        <v>0.0911875618486588</v>
      </c>
      <c r="D8725" s="14" t="n">
        <f aca="false">Summary!$B$5-B8725</f>
        <v>-3763.7467815861</v>
      </c>
      <c r="E8725" s="15" t="n">
        <f aca="false">B8725/Summary!$B$5-1</f>
        <v>0.0376374678158611</v>
      </c>
    </row>
    <row r="8726" customFormat="false" ht="15" hidden="false" customHeight="false" outlineLevel="0" collapsed="false">
      <c r="A8726" s="0" t="n">
        <v>8725</v>
      </c>
      <c r="B8726" s="14" t="n">
        <v>109320.434917172</v>
      </c>
      <c r="C8726" s="15" t="n">
        <v>0.0595654842135175</v>
      </c>
      <c r="D8726" s="14" t="n">
        <f aca="false">Summary!$B$5-B8726</f>
        <v>-9320.4349171716</v>
      </c>
      <c r="E8726" s="15" t="n">
        <f aca="false">B8726/Summary!$B$5-1</f>
        <v>0.0932043491717161</v>
      </c>
    </row>
    <row r="8727" customFormat="false" ht="15" hidden="false" customHeight="false" outlineLevel="0" collapsed="false">
      <c r="A8727" s="0" t="n">
        <v>8726</v>
      </c>
      <c r="B8727" s="14" t="n">
        <v>103345.138026356</v>
      </c>
      <c r="C8727" s="15" t="n">
        <v>0.103305352566587</v>
      </c>
      <c r="D8727" s="14" t="n">
        <f aca="false">Summary!$B$5-B8727</f>
        <v>-3345.13802635641</v>
      </c>
      <c r="E8727" s="15" t="n">
        <f aca="false">B8727/Summary!$B$5-1</f>
        <v>0.0334513802635641</v>
      </c>
    </row>
    <row r="8728" customFormat="false" ht="15" hidden="false" customHeight="false" outlineLevel="0" collapsed="false">
      <c r="A8728" s="0" t="n">
        <v>8727</v>
      </c>
      <c r="B8728" s="14" t="n">
        <v>110156.191616859</v>
      </c>
      <c r="C8728" s="15" t="n">
        <v>0.0696803392749551</v>
      </c>
      <c r="D8728" s="14" t="n">
        <f aca="false">Summary!$B$5-B8728</f>
        <v>-10156.1916168588</v>
      </c>
      <c r="E8728" s="15" t="n">
        <f aca="false">B8728/Summary!$B$5-1</f>
        <v>0.101561916168588</v>
      </c>
    </row>
    <row r="8729" customFormat="false" ht="15" hidden="false" customHeight="false" outlineLevel="0" collapsed="false">
      <c r="A8729" s="0" t="n">
        <v>8728</v>
      </c>
      <c r="B8729" s="14" t="n">
        <v>115907.705785259</v>
      </c>
      <c r="C8729" s="15" t="n">
        <v>0.0912806421560977</v>
      </c>
      <c r="D8729" s="14" t="n">
        <f aca="false">Summary!$B$5-B8729</f>
        <v>-15907.705785259</v>
      </c>
      <c r="E8729" s="15" t="n">
        <f aca="false">B8729/Summary!$B$5-1</f>
        <v>0.15907705785259</v>
      </c>
    </row>
    <row r="8730" customFormat="false" ht="15" hidden="false" customHeight="false" outlineLevel="0" collapsed="false">
      <c r="A8730" s="0" t="n">
        <v>8729</v>
      </c>
      <c r="B8730" s="14" t="n">
        <v>117340.582426827</v>
      </c>
      <c r="C8730" s="15" t="n">
        <v>0.0736709404070728</v>
      </c>
      <c r="D8730" s="14" t="n">
        <f aca="false">Summary!$B$5-B8730</f>
        <v>-17340.582426827</v>
      </c>
      <c r="E8730" s="15" t="n">
        <f aca="false">B8730/Summary!$B$5-1</f>
        <v>0.17340582426827</v>
      </c>
    </row>
    <row r="8731" customFormat="false" ht="15" hidden="false" customHeight="false" outlineLevel="0" collapsed="false">
      <c r="A8731" s="0" t="n">
        <v>8730</v>
      </c>
      <c r="B8731" s="14" t="n">
        <v>99702.2923931968</v>
      </c>
      <c r="C8731" s="15" t="n">
        <v>0.0907073538039168</v>
      </c>
      <c r="D8731" s="14" t="n">
        <f aca="false">Summary!$B$5-B8731</f>
        <v>297.707606803248</v>
      </c>
      <c r="E8731" s="15" t="n">
        <f aca="false">B8731/Summary!$B$5-1</f>
        <v>-0.00297707606803244</v>
      </c>
    </row>
    <row r="8732" customFormat="false" ht="15" hidden="false" customHeight="false" outlineLevel="0" collapsed="false">
      <c r="A8732" s="0" t="n">
        <v>8731</v>
      </c>
      <c r="B8732" s="14" t="n">
        <v>110992.19332391</v>
      </c>
      <c r="C8732" s="15" t="n">
        <v>0.0949376977530348</v>
      </c>
      <c r="D8732" s="14" t="n">
        <f aca="false">Summary!$B$5-B8732</f>
        <v>-10992.1933239104</v>
      </c>
      <c r="E8732" s="15" t="n">
        <f aca="false">B8732/Summary!$B$5-1</f>
        <v>0.109921933239104</v>
      </c>
    </row>
    <row r="8733" customFormat="false" ht="15" hidden="false" customHeight="false" outlineLevel="0" collapsed="false">
      <c r="A8733" s="0" t="n">
        <v>8732</v>
      </c>
      <c r="B8733" s="14" t="n">
        <v>124247.936775404</v>
      </c>
      <c r="C8733" s="15" t="n">
        <v>0.0549771138112957</v>
      </c>
      <c r="D8733" s="14" t="n">
        <f aca="false">Summary!$B$5-B8733</f>
        <v>-24247.9367754035</v>
      </c>
      <c r="E8733" s="15" t="n">
        <f aca="false">B8733/Summary!$B$5-1</f>
        <v>0.242479367754035</v>
      </c>
    </row>
    <row r="8734" customFormat="false" ht="15" hidden="false" customHeight="false" outlineLevel="0" collapsed="false">
      <c r="A8734" s="0" t="n">
        <v>8733</v>
      </c>
      <c r="B8734" s="14" t="n">
        <v>124441.158870163</v>
      </c>
      <c r="C8734" s="15" t="n">
        <v>0.0843387951413749</v>
      </c>
      <c r="D8734" s="14" t="n">
        <f aca="false">Summary!$B$5-B8734</f>
        <v>-24441.1588701633</v>
      </c>
      <c r="E8734" s="15" t="n">
        <f aca="false">B8734/Summary!$B$5-1</f>
        <v>0.244411588701633</v>
      </c>
    </row>
    <row r="8735" customFormat="false" ht="15" hidden="false" customHeight="false" outlineLevel="0" collapsed="false">
      <c r="A8735" s="0" t="n">
        <v>8734</v>
      </c>
      <c r="B8735" s="14" t="n">
        <v>100375.252432207</v>
      </c>
      <c r="C8735" s="15" t="n">
        <v>0.145474822778294</v>
      </c>
      <c r="D8735" s="14" t="n">
        <f aca="false">Summary!$B$5-B8735</f>
        <v>-375.252432206602</v>
      </c>
      <c r="E8735" s="15" t="n">
        <f aca="false">B8735/Summary!$B$5-1</f>
        <v>0.00375252432206596</v>
      </c>
    </row>
    <row r="8736" customFormat="false" ht="15" hidden="false" customHeight="false" outlineLevel="0" collapsed="false">
      <c r="A8736" s="0" t="n">
        <v>8735</v>
      </c>
      <c r="B8736" s="14" t="n">
        <v>129295.44618915</v>
      </c>
      <c r="C8736" s="15" t="n">
        <v>0.0624725666420016</v>
      </c>
      <c r="D8736" s="14" t="n">
        <f aca="false">Summary!$B$5-B8736</f>
        <v>-29295.4461891502</v>
      </c>
      <c r="E8736" s="15" t="n">
        <f aca="false">B8736/Summary!$B$5-1</f>
        <v>0.292954461891502</v>
      </c>
    </row>
    <row r="8737" customFormat="false" ht="15" hidden="false" customHeight="false" outlineLevel="0" collapsed="false">
      <c r="A8737" s="0" t="n">
        <v>8736</v>
      </c>
      <c r="B8737" s="14" t="n">
        <v>112020.068137443</v>
      </c>
      <c r="C8737" s="15" t="n">
        <v>0.0524804027359241</v>
      </c>
      <c r="D8737" s="14" t="n">
        <f aca="false">Summary!$B$5-B8737</f>
        <v>-12020.068137443</v>
      </c>
      <c r="E8737" s="15" t="n">
        <f aca="false">B8737/Summary!$B$5-1</f>
        <v>0.12020068137443</v>
      </c>
    </row>
    <row r="8738" customFormat="false" ht="15" hidden="false" customHeight="false" outlineLevel="0" collapsed="false">
      <c r="A8738" s="0" t="n">
        <v>8737</v>
      </c>
      <c r="B8738" s="14" t="n">
        <v>119173.482275631</v>
      </c>
      <c r="C8738" s="15" t="n">
        <v>0.0576480430213222</v>
      </c>
      <c r="D8738" s="14" t="n">
        <f aca="false">Summary!$B$5-B8738</f>
        <v>-19173.4822756306</v>
      </c>
      <c r="E8738" s="15" t="n">
        <f aca="false">B8738/Summary!$B$5-1</f>
        <v>0.191734822756306</v>
      </c>
    </row>
    <row r="8739" customFormat="false" ht="15" hidden="false" customHeight="false" outlineLevel="0" collapsed="false">
      <c r="A8739" s="0" t="n">
        <v>8738</v>
      </c>
      <c r="B8739" s="14" t="n">
        <v>127855.684735827</v>
      </c>
      <c r="C8739" s="15" t="n">
        <v>0.0491670206929922</v>
      </c>
      <c r="D8739" s="14" t="n">
        <f aca="false">Summary!$B$5-B8739</f>
        <v>-27855.6847358274</v>
      </c>
      <c r="E8739" s="15" t="n">
        <f aca="false">B8739/Summary!$B$5-1</f>
        <v>0.278556847358274</v>
      </c>
    </row>
    <row r="8740" customFormat="false" ht="15" hidden="false" customHeight="false" outlineLevel="0" collapsed="false">
      <c r="A8740" s="0" t="n">
        <v>8739</v>
      </c>
      <c r="B8740" s="14" t="n">
        <v>93900.8617143612</v>
      </c>
      <c r="C8740" s="15" t="n">
        <v>0.196772352867083</v>
      </c>
      <c r="D8740" s="14" t="n">
        <f aca="false">Summary!$B$5-B8740</f>
        <v>6099.13828563879</v>
      </c>
      <c r="E8740" s="15" t="n">
        <f aca="false">B8740/Summary!$B$5-1</f>
        <v>-0.0609913828563879</v>
      </c>
    </row>
    <row r="8741" customFormat="false" ht="15" hidden="false" customHeight="false" outlineLevel="0" collapsed="false">
      <c r="A8741" s="0" t="n">
        <v>8740</v>
      </c>
      <c r="B8741" s="14" t="n">
        <v>106502.412724961</v>
      </c>
      <c r="C8741" s="15" t="n">
        <v>0.0805253161341309</v>
      </c>
      <c r="D8741" s="14" t="n">
        <f aca="false">Summary!$B$5-B8741</f>
        <v>-6502.4127249606</v>
      </c>
      <c r="E8741" s="15" t="n">
        <f aca="false">B8741/Summary!$B$5-1</f>
        <v>0.0650241272496059</v>
      </c>
    </row>
    <row r="8742" customFormat="false" ht="15" hidden="false" customHeight="false" outlineLevel="0" collapsed="false">
      <c r="A8742" s="0" t="n">
        <v>8741</v>
      </c>
      <c r="B8742" s="14" t="n">
        <v>108349.139275554</v>
      </c>
      <c r="C8742" s="15" t="n">
        <v>0.0878886442857205</v>
      </c>
      <c r="D8742" s="14" t="n">
        <f aca="false">Summary!$B$5-B8742</f>
        <v>-8349.13927555439</v>
      </c>
      <c r="E8742" s="15" t="n">
        <f aca="false">B8742/Summary!$B$5-1</f>
        <v>0.0834913927555439</v>
      </c>
    </row>
    <row r="8743" customFormat="false" ht="15" hidden="false" customHeight="false" outlineLevel="0" collapsed="false">
      <c r="A8743" s="0" t="n">
        <v>8742</v>
      </c>
      <c r="B8743" s="14" t="n">
        <v>121041.828757938</v>
      </c>
      <c r="C8743" s="15" t="n">
        <v>0.0819718538412347</v>
      </c>
      <c r="D8743" s="14" t="n">
        <f aca="false">Summary!$B$5-B8743</f>
        <v>-21041.8287579379</v>
      </c>
      <c r="E8743" s="15" t="n">
        <f aca="false">B8743/Summary!$B$5-1</f>
        <v>0.210418287579379</v>
      </c>
    </row>
    <row r="8744" customFormat="false" ht="15" hidden="false" customHeight="false" outlineLevel="0" collapsed="false">
      <c r="A8744" s="0" t="n">
        <v>8743</v>
      </c>
      <c r="B8744" s="14" t="n">
        <v>103755.719166035</v>
      </c>
      <c r="C8744" s="15" t="n">
        <v>0.076615252070976</v>
      </c>
      <c r="D8744" s="14" t="n">
        <f aca="false">Summary!$B$5-B8744</f>
        <v>-3755.7191660352</v>
      </c>
      <c r="E8744" s="15" t="n">
        <f aca="false">B8744/Summary!$B$5-1</f>
        <v>0.0375571916603519</v>
      </c>
    </row>
    <row r="8745" customFormat="false" ht="15" hidden="false" customHeight="false" outlineLevel="0" collapsed="false">
      <c r="A8745" s="0" t="n">
        <v>8744</v>
      </c>
      <c r="B8745" s="14" t="n">
        <v>127440.197156238</v>
      </c>
      <c r="C8745" s="15" t="n">
        <v>0.0635947597255524</v>
      </c>
      <c r="D8745" s="14" t="n">
        <f aca="false">Summary!$B$5-B8745</f>
        <v>-27440.1971562377</v>
      </c>
      <c r="E8745" s="15" t="n">
        <f aca="false">B8745/Summary!$B$5-1</f>
        <v>0.274401971562377</v>
      </c>
    </row>
    <row r="8746" customFormat="false" ht="15" hidden="false" customHeight="false" outlineLevel="0" collapsed="false">
      <c r="A8746" s="0" t="n">
        <v>8745</v>
      </c>
      <c r="B8746" s="14" t="n">
        <v>128206.835070236</v>
      </c>
      <c r="C8746" s="15" t="n">
        <v>0.0993355944667883</v>
      </c>
      <c r="D8746" s="14" t="n">
        <f aca="false">Summary!$B$5-B8746</f>
        <v>-28206.8350702358</v>
      </c>
      <c r="E8746" s="15" t="n">
        <f aca="false">B8746/Summary!$B$5-1</f>
        <v>0.282068350702358</v>
      </c>
    </row>
    <row r="8747" customFormat="false" ht="15" hidden="false" customHeight="false" outlineLevel="0" collapsed="false">
      <c r="A8747" s="0" t="n">
        <v>8746</v>
      </c>
      <c r="B8747" s="14" t="n">
        <v>111975.626333547</v>
      </c>
      <c r="C8747" s="15" t="n">
        <v>0.0459453212405856</v>
      </c>
      <c r="D8747" s="14" t="n">
        <f aca="false">Summary!$B$5-B8747</f>
        <v>-11975.6263335468</v>
      </c>
      <c r="E8747" s="15" t="n">
        <f aca="false">B8747/Summary!$B$5-1</f>
        <v>0.119756263335468</v>
      </c>
    </row>
    <row r="8748" customFormat="false" ht="15" hidden="false" customHeight="false" outlineLevel="0" collapsed="false">
      <c r="A8748" s="0" t="n">
        <v>8747</v>
      </c>
      <c r="B8748" s="14" t="n">
        <v>121428.254262907</v>
      </c>
      <c r="C8748" s="15" t="n">
        <v>0.0696346086476923</v>
      </c>
      <c r="D8748" s="14" t="n">
        <f aca="false">Summary!$B$5-B8748</f>
        <v>-21428.254262907</v>
      </c>
      <c r="E8748" s="15" t="n">
        <f aca="false">B8748/Summary!$B$5-1</f>
        <v>0.21428254262907</v>
      </c>
    </row>
    <row r="8749" customFormat="false" ht="15" hidden="false" customHeight="false" outlineLevel="0" collapsed="false">
      <c r="A8749" s="0" t="n">
        <v>8748</v>
      </c>
      <c r="B8749" s="14" t="n">
        <v>105843.331532747</v>
      </c>
      <c r="C8749" s="15" t="n">
        <v>0.086596604808092</v>
      </c>
      <c r="D8749" s="14" t="n">
        <f aca="false">Summary!$B$5-B8749</f>
        <v>-5843.33153274711</v>
      </c>
      <c r="E8749" s="15" t="n">
        <f aca="false">B8749/Summary!$B$5-1</f>
        <v>0.058433315327471</v>
      </c>
    </row>
    <row r="8750" customFormat="false" ht="15" hidden="false" customHeight="false" outlineLevel="0" collapsed="false">
      <c r="A8750" s="0" t="n">
        <v>8749</v>
      </c>
      <c r="B8750" s="14" t="n">
        <v>119292.056378149</v>
      </c>
      <c r="C8750" s="15" t="n">
        <v>0.111622750062115</v>
      </c>
      <c r="D8750" s="14" t="n">
        <f aca="false">Summary!$B$5-B8750</f>
        <v>-19292.0563781486</v>
      </c>
      <c r="E8750" s="15" t="n">
        <f aca="false">B8750/Summary!$B$5-1</f>
        <v>0.192920563781486</v>
      </c>
    </row>
    <row r="8751" customFormat="false" ht="15" hidden="false" customHeight="false" outlineLevel="0" collapsed="false">
      <c r="A8751" s="0" t="n">
        <v>8750</v>
      </c>
      <c r="B8751" s="14" t="n">
        <v>112140.293485927</v>
      </c>
      <c r="C8751" s="15" t="n">
        <v>0.116346591761041</v>
      </c>
      <c r="D8751" s="14" t="n">
        <f aca="false">Summary!$B$5-B8751</f>
        <v>-12140.2934859274</v>
      </c>
      <c r="E8751" s="15" t="n">
        <f aca="false">B8751/Summary!$B$5-1</f>
        <v>0.121402934859274</v>
      </c>
    </row>
    <row r="8752" customFormat="false" ht="15" hidden="false" customHeight="false" outlineLevel="0" collapsed="false">
      <c r="A8752" s="0" t="n">
        <v>8751</v>
      </c>
      <c r="B8752" s="14" t="n">
        <v>89853.8965095786</v>
      </c>
      <c r="C8752" s="15" t="n">
        <v>0.207433002537398</v>
      </c>
      <c r="D8752" s="14" t="n">
        <f aca="false">Summary!$B$5-B8752</f>
        <v>10146.1034904214</v>
      </c>
      <c r="E8752" s="15" t="n">
        <f aca="false">B8752/Summary!$B$5-1</f>
        <v>-0.101461034904214</v>
      </c>
    </row>
    <row r="8753" customFormat="false" ht="15" hidden="false" customHeight="false" outlineLevel="0" collapsed="false">
      <c r="A8753" s="0" t="n">
        <v>8752</v>
      </c>
      <c r="B8753" s="14" t="n">
        <v>108632.414245132</v>
      </c>
      <c r="C8753" s="15" t="n">
        <v>0.0899664376723922</v>
      </c>
      <c r="D8753" s="14" t="n">
        <f aca="false">Summary!$B$5-B8753</f>
        <v>-8632.41424513191</v>
      </c>
      <c r="E8753" s="15" t="n">
        <f aca="false">B8753/Summary!$B$5-1</f>
        <v>0.086324142451319</v>
      </c>
    </row>
    <row r="8754" customFormat="false" ht="15" hidden="false" customHeight="false" outlineLevel="0" collapsed="false">
      <c r="A8754" s="0" t="n">
        <v>8753</v>
      </c>
      <c r="B8754" s="14" t="n">
        <v>96989.9933175395</v>
      </c>
      <c r="C8754" s="15" t="n">
        <v>0.0899118968202051</v>
      </c>
      <c r="D8754" s="14" t="n">
        <f aca="false">Summary!$B$5-B8754</f>
        <v>3010.00668246046</v>
      </c>
      <c r="E8754" s="15" t="n">
        <f aca="false">B8754/Summary!$B$5-1</f>
        <v>-0.0301000668246045</v>
      </c>
    </row>
    <row r="8755" customFormat="false" ht="15" hidden="false" customHeight="false" outlineLevel="0" collapsed="false">
      <c r="A8755" s="0" t="n">
        <v>8754</v>
      </c>
      <c r="B8755" s="14" t="n">
        <v>120738.306740151</v>
      </c>
      <c r="C8755" s="15" t="n">
        <v>0.0698809770913667</v>
      </c>
      <c r="D8755" s="14" t="n">
        <f aca="false">Summary!$B$5-B8755</f>
        <v>-20738.306740151</v>
      </c>
      <c r="E8755" s="15" t="n">
        <f aca="false">B8755/Summary!$B$5-1</f>
        <v>0.20738306740151</v>
      </c>
    </row>
    <row r="8756" customFormat="false" ht="15" hidden="false" customHeight="false" outlineLevel="0" collapsed="false">
      <c r="A8756" s="0" t="n">
        <v>8755</v>
      </c>
      <c r="B8756" s="14" t="n">
        <v>114453.447955699</v>
      </c>
      <c r="C8756" s="15" t="n">
        <v>0.0929082323659689</v>
      </c>
      <c r="D8756" s="14" t="n">
        <f aca="false">Summary!$B$5-B8756</f>
        <v>-14453.4479556992</v>
      </c>
      <c r="E8756" s="15" t="n">
        <f aca="false">B8756/Summary!$B$5-1</f>
        <v>0.144534479556992</v>
      </c>
    </row>
    <row r="8757" customFormat="false" ht="15" hidden="false" customHeight="false" outlineLevel="0" collapsed="false">
      <c r="A8757" s="0" t="n">
        <v>8756</v>
      </c>
      <c r="B8757" s="14" t="n">
        <v>128227.654374713</v>
      </c>
      <c r="C8757" s="15" t="n">
        <v>0.073077293599999</v>
      </c>
      <c r="D8757" s="14" t="n">
        <f aca="false">Summary!$B$5-B8757</f>
        <v>-28227.654374713</v>
      </c>
      <c r="E8757" s="15" t="n">
        <f aca="false">B8757/Summary!$B$5-1</f>
        <v>0.28227654374713</v>
      </c>
    </row>
    <row r="8758" customFormat="false" ht="15" hidden="false" customHeight="false" outlineLevel="0" collapsed="false">
      <c r="A8758" s="0" t="n">
        <v>8757</v>
      </c>
      <c r="B8758" s="14" t="n">
        <v>107270.387277435</v>
      </c>
      <c r="C8758" s="15" t="n">
        <v>0.0804393313341739</v>
      </c>
      <c r="D8758" s="14" t="n">
        <f aca="false">Summary!$B$5-B8758</f>
        <v>-7270.38727743529</v>
      </c>
      <c r="E8758" s="15" t="n">
        <f aca="false">B8758/Summary!$B$5-1</f>
        <v>0.072703872774353</v>
      </c>
    </row>
    <row r="8759" customFormat="false" ht="15" hidden="false" customHeight="false" outlineLevel="0" collapsed="false">
      <c r="A8759" s="0" t="n">
        <v>8758</v>
      </c>
      <c r="B8759" s="14" t="n">
        <v>98480.099006678</v>
      </c>
      <c r="C8759" s="15" t="n">
        <v>0.122095194656903</v>
      </c>
      <c r="D8759" s="14" t="n">
        <f aca="false">Summary!$B$5-B8759</f>
        <v>1519.90099332201</v>
      </c>
      <c r="E8759" s="15" t="n">
        <f aca="false">B8759/Summary!$B$5-1</f>
        <v>-0.0151990099332201</v>
      </c>
    </row>
    <row r="8760" customFormat="false" ht="15" hidden="false" customHeight="false" outlineLevel="0" collapsed="false">
      <c r="A8760" s="0" t="n">
        <v>8759</v>
      </c>
      <c r="B8760" s="14" t="n">
        <v>114422.525346342</v>
      </c>
      <c r="C8760" s="15" t="n">
        <v>0.0638807647718925</v>
      </c>
      <c r="D8760" s="14" t="n">
        <f aca="false">Summary!$B$5-B8760</f>
        <v>-14422.5253463415</v>
      </c>
      <c r="E8760" s="15" t="n">
        <f aca="false">B8760/Summary!$B$5-1</f>
        <v>0.144225253463415</v>
      </c>
    </row>
    <row r="8761" customFormat="false" ht="15" hidden="false" customHeight="false" outlineLevel="0" collapsed="false">
      <c r="A8761" s="0" t="n">
        <v>8760</v>
      </c>
      <c r="B8761" s="14" t="n">
        <v>119040.567452027</v>
      </c>
      <c r="C8761" s="15" t="n">
        <v>0.0704290751273798</v>
      </c>
      <c r="D8761" s="14" t="n">
        <f aca="false">Summary!$B$5-B8761</f>
        <v>-19040.5674520266</v>
      </c>
      <c r="E8761" s="15" t="n">
        <f aca="false">B8761/Summary!$B$5-1</f>
        <v>0.190405674520266</v>
      </c>
    </row>
    <row r="8762" customFormat="false" ht="15" hidden="false" customHeight="false" outlineLevel="0" collapsed="false">
      <c r="A8762" s="0" t="n">
        <v>8761</v>
      </c>
      <c r="B8762" s="14" t="n">
        <v>101917.809499931</v>
      </c>
      <c r="C8762" s="15" t="n">
        <v>0.115671632905854</v>
      </c>
      <c r="D8762" s="14" t="n">
        <f aca="false">Summary!$B$5-B8762</f>
        <v>-1917.80949993071</v>
      </c>
      <c r="E8762" s="15" t="n">
        <f aca="false">B8762/Summary!$B$5-1</f>
        <v>0.019178094999307</v>
      </c>
    </row>
    <row r="8763" customFormat="false" ht="15" hidden="false" customHeight="false" outlineLevel="0" collapsed="false">
      <c r="A8763" s="0" t="n">
        <v>8762</v>
      </c>
      <c r="B8763" s="14" t="n">
        <v>126283.046100888</v>
      </c>
      <c r="C8763" s="15" t="n">
        <v>0.090211387880202</v>
      </c>
      <c r="D8763" s="14" t="n">
        <f aca="false">Summary!$B$5-B8763</f>
        <v>-26283.0461008879</v>
      </c>
      <c r="E8763" s="15" t="n">
        <f aca="false">B8763/Summary!$B$5-1</f>
        <v>0.262830461008879</v>
      </c>
    </row>
    <row r="8764" customFormat="false" ht="15" hidden="false" customHeight="false" outlineLevel="0" collapsed="false">
      <c r="A8764" s="0" t="n">
        <v>8763</v>
      </c>
      <c r="B8764" s="14" t="n">
        <v>97657.4718690953</v>
      </c>
      <c r="C8764" s="15" t="n">
        <v>0.109016269429998</v>
      </c>
      <c r="D8764" s="14" t="n">
        <f aca="false">Summary!$B$5-B8764</f>
        <v>2342.52813090474</v>
      </c>
      <c r="E8764" s="15" t="n">
        <f aca="false">B8764/Summary!$B$5-1</f>
        <v>-0.0234252813090474</v>
      </c>
    </row>
    <row r="8765" customFormat="false" ht="15" hidden="false" customHeight="false" outlineLevel="0" collapsed="false">
      <c r="A8765" s="0" t="n">
        <v>8764</v>
      </c>
      <c r="B8765" s="14" t="n">
        <v>98098.8284379984</v>
      </c>
      <c r="C8765" s="15" t="n">
        <v>0.110017846546056</v>
      </c>
      <c r="D8765" s="14" t="n">
        <f aca="false">Summary!$B$5-B8765</f>
        <v>1901.17156200159</v>
      </c>
      <c r="E8765" s="15" t="n">
        <f aca="false">B8765/Summary!$B$5-1</f>
        <v>-0.0190117156200159</v>
      </c>
    </row>
    <row r="8766" customFormat="false" ht="15" hidden="false" customHeight="false" outlineLevel="0" collapsed="false">
      <c r="A8766" s="0" t="n">
        <v>8765</v>
      </c>
      <c r="B8766" s="14" t="n">
        <v>94932.8463256673</v>
      </c>
      <c r="C8766" s="15" t="n">
        <v>0.123919061961799</v>
      </c>
      <c r="D8766" s="14" t="n">
        <f aca="false">Summary!$B$5-B8766</f>
        <v>5067.15367433266</v>
      </c>
      <c r="E8766" s="15" t="n">
        <f aca="false">B8766/Summary!$B$5-1</f>
        <v>-0.0506715367433266</v>
      </c>
    </row>
    <row r="8767" customFormat="false" ht="15" hidden="false" customHeight="false" outlineLevel="0" collapsed="false">
      <c r="A8767" s="0" t="n">
        <v>8766</v>
      </c>
      <c r="B8767" s="14" t="n">
        <v>117382.064041434</v>
      </c>
      <c r="C8767" s="15" t="n">
        <v>0.0498078875539337</v>
      </c>
      <c r="D8767" s="14" t="n">
        <f aca="false">Summary!$B$5-B8767</f>
        <v>-17382.064041434</v>
      </c>
      <c r="E8767" s="15" t="n">
        <f aca="false">B8767/Summary!$B$5-1</f>
        <v>0.17382064041434</v>
      </c>
    </row>
    <row r="8768" customFormat="false" ht="15" hidden="false" customHeight="false" outlineLevel="0" collapsed="false">
      <c r="A8768" s="0" t="n">
        <v>8767</v>
      </c>
      <c r="B8768" s="14" t="n">
        <v>105325.379460841</v>
      </c>
      <c r="C8768" s="15" t="n">
        <v>0.0554523587602985</v>
      </c>
      <c r="D8768" s="14" t="n">
        <f aca="false">Summary!$B$5-B8768</f>
        <v>-5325.37946084089</v>
      </c>
      <c r="E8768" s="15" t="n">
        <f aca="false">B8768/Summary!$B$5-1</f>
        <v>0.0532537946084088</v>
      </c>
    </row>
    <row r="8769" customFormat="false" ht="15" hidden="false" customHeight="false" outlineLevel="0" collapsed="false">
      <c r="A8769" s="0" t="n">
        <v>8768</v>
      </c>
      <c r="B8769" s="14" t="n">
        <v>95633.6786437952</v>
      </c>
      <c r="C8769" s="15" t="n">
        <v>0.141640130710581</v>
      </c>
      <c r="D8769" s="14" t="n">
        <f aca="false">Summary!$B$5-B8769</f>
        <v>4366.32135620483</v>
      </c>
      <c r="E8769" s="15" t="n">
        <f aca="false">B8769/Summary!$B$5-1</f>
        <v>-0.0436632135620484</v>
      </c>
    </row>
    <row r="8770" customFormat="false" ht="15" hidden="false" customHeight="false" outlineLevel="0" collapsed="false">
      <c r="A8770" s="0" t="n">
        <v>8769</v>
      </c>
      <c r="B8770" s="14" t="n">
        <v>120852.284930415</v>
      </c>
      <c r="C8770" s="15" t="n">
        <v>0.0538396649115334</v>
      </c>
      <c r="D8770" s="14" t="n">
        <f aca="false">Summary!$B$5-B8770</f>
        <v>-20852.2849304154</v>
      </c>
      <c r="E8770" s="15" t="n">
        <f aca="false">B8770/Summary!$B$5-1</f>
        <v>0.208522849304154</v>
      </c>
    </row>
    <row r="8771" customFormat="false" ht="15" hidden="false" customHeight="false" outlineLevel="0" collapsed="false">
      <c r="A8771" s="0" t="n">
        <v>8770</v>
      </c>
      <c r="B8771" s="14" t="n">
        <v>122391.398847144</v>
      </c>
      <c r="C8771" s="15" t="n">
        <v>0.0529365853187513</v>
      </c>
      <c r="D8771" s="14" t="n">
        <f aca="false">Summary!$B$5-B8771</f>
        <v>-22391.3988471442</v>
      </c>
      <c r="E8771" s="15" t="n">
        <f aca="false">B8771/Summary!$B$5-1</f>
        <v>0.223913988471442</v>
      </c>
    </row>
    <row r="8772" customFormat="false" ht="15" hidden="false" customHeight="false" outlineLevel="0" collapsed="false">
      <c r="A8772" s="0" t="n">
        <v>8771</v>
      </c>
      <c r="B8772" s="14" t="n">
        <v>109610.207500877</v>
      </c>
      <c r="C8772" s="15" t="n">
        <v>0.121526738546282</v>
      </c>
      <c r="D8772" s="14" t="n">
        <f aca="false">Summary!$B$5-B8772</f>
        <v>-9610.2075008765</v>
      </c>
      <c r="E8772" s="15" t="n">
        <f aca="false">B8772/Summary!$B$5-1</f>
        <v>0.0961020750087649</v>
      </c>
    </row>
    <row r="8773" customFormat="false" ht="15" hidden="false" customHeight="false" outlineLevel="0" collapsed="false">
      <c r="A8773" s="0" t="n">
        <v>8772</v>
      </c>
      <c r="B8773" s="14" t="n">
        <v>100138.639356759</v>
      </c>
      <c r="C8773" s="15" t="n">
        <v>0.100636888564727</v>
      </c>
      <c r="D8773" s="14" t="n">
        <f aca="false">Summary!$B$5-B8773</f>
        <v>-138.639356758606</v>
      </c>
      <c r="E8773" s="15" t="n">
        <f aca="false">B8773/Summary!$B$5-1</f>
        <v>0.00138639356758596</v>
      </c>
    </row>
    <row r="8774" customFormat="false" ht="15" hidden="false" customHeight="false" outlineLevel="0" collapsed="false">
      <c r="A8774" s="0" t="n">
        <v>8773</v>
      </c>
      <c r="B8774" s="14" t="n">
        <v>109010.711454763</v>
      </c>
      <c r="C8774" s="15" t="n">
        <v>0.111719316542416</v>
      </c>
      <c r="D8774" s="14" t="n">
        <f aca="false">Summary!$B$5-B8774</f>
        <v>-9010.7114547625</v>
      </c>
      <c r="E8774" s="15" t="n">
        <f aca="false">B8774/Summary!$B$5-1</f>
        <v>0.0901071145476249</v>
      </c>
    </row>
    <row r="8775" customFormat="false" ht="15" hidden="false" customHeight="false" outlineLevel="0" collapsed="false">
      <c r="A8775" s="0" t="n">
        <v>8774</v>
      </c>
      <c r="B8775" s="14" t="n">
        <v>111607.099112388</v>
      </c>
      <c r="C8775" s="15" t="n">
        <v>0.0614518463935988</v>
      </c>
      <c r="D8775" s="14" t="n">
        <f aca="false">Summary!$B$5-B8775</f>
        <v>-11607.0991123876</v>
      </c>
      <c r="E8775" s="15" t="n">
        <f aca="false">B8775/Summary!$B$5-1</f>
        <v>0.116070991123876</v>
      </c>
    </row>
    <row r="8776" customFormat="false" ht="15" hidden="false" customHeight="false" outlineLevel="0" collapsed="false">
      <c r="A8776" s="0" t="n">
        <v>8775</v>
      </c>
      <c r="B8776" s="14" t="n">
        <v>104080.283239005</v>
      </c>
      <c r="C8776" s="15" t="n">
        <v>0.0969656444499569</v>
      </c>
      <c r="D8776" s="14" t="n">
        <f aca="false">Summary!$B$5-B8776</f>
        <v>-4080.2832390051</v>
      </c>
      <c r="E8776" s="15" t="n">
        <f aca="false">B8776/Summary!$B$5-1</f>
        <v>0.0408028323900511</v>
      </c>
    </row>
    <row r="8777" customFormat="false" ht="15" hidden="false" customHeight="false" outlineLevel="0" collapsed="false">
      <c r="A8777" s="0" t="n">
        <v>8776</v>
      </c>
      <c r="B8777" s="14" t="n">
        <v>103009.59314649</v>
      </c>
      <c r="C8777" s="15" t="n">
        <v>0.15482828316451</v>
      </c>
      <c r="D8777" s="14" t="n">
        <f aca="false">Summary!$B$5-B8777</f>
        <v>-3009.5931464898</v>
      </c>
      <c r="E8777" s="15" t="n">
        <f aca="false">B8777/Summary!$B$5-1</f>
        <v>0.0300959314648981</v>
      </c>
    </row>
    <row r="8778" customFormat="false" ht="15" hidden="false" customHeight="false" outlineLevel="0" collapsed="false">
      <c r="A8778" s="0" t="n">
        <v>8777</v>
      </c>
      <c r="B8778" s="14" t="n">
        <v>93079.3895691765</v>
      </c>
      <c r="C8778" s="15" t="n">
        <v>0.166923543436704</v>
      </c>
      <c r="D8778" s="14" t="n">
        <f aca="false">Summary!$B$5-B8778</f>
        <v>6920.61043082355</v>
      </c>
      <c r="E8778" s="15" t="n">
        <f aca="false">B8778/Summary!$B$5-1</f>
        <v>-0.0692061043082355</v>
      </c>
    </row>
    <row r="8779" customFormat="false" ht="15" hidden="false" customHeight="false" outlineLevel="0" collapsed="false">
      <c r="A8779" s="0" t="n">
        <v>8778</v>
      </c>
      <c r="B8779" s="14" t="n">
        <v>92758.2470806715</v>
      </c>
      <c r="C8779" s="15" t="n">
        <v>0.12597042180721</v>
      </c>
      <c r="D8779" s="14" t="n">
        <f aca="false">Summary!$B$5-B8779</f>
        <v>7241.75291932854</v>
      </c>
      <c r="E8779" s="15" t="n">
        <f aca="false">B8779/Summary!$B$5-1</f>
        <v>-0.0724175291932855</v>
      </c>
    </row>
    <row r="8780" customFormat="false" ht="15" hidden="false" customHeight="false" outlineLevel="0" collapsed="false">
      <c r="A8780" s="0" t="n">
        <v>8779</v>
      </c>
      <c r="B8780" s="14" t="n">
        <v>105294.242177904</v>
      </c>
      <c r="C8780" s="15" t="n">
        <v>0.113858840617601</v>
      </c>
      <c r="D8780" s="14" t="n">
        <f aca="false">Summary!$B$5-B8780</f>
        <v>-5294.2421779038</v>
      </c>
      <c r="E8780" s="15" t="n">
        <f aca="false">B8780/Summary!$B$5-1</f>
        <v>0.052942421779038</v>
      </c>
    </row>
    <row r="8781" customFormat="false" ht="15" hidden="false" customHeight="false" outlineLevel="0" collapsed="false">
      <c r="A8781" s="0" t="n">
        <v>8780</v>
      </c>
      <c r="B8781" s="14" t="n">
        <v>95015.0360514147</v>
      </c>
      <c r="C8781" s="15" t="n">
        <v>0.124031139055783</v>
      </c>
      <c r="D8781" s="14" t="n">
        <f aca="false">Summary!$B$5-B8781</f>
        <v>4984.9639485853</v>
      </c>
      <c r="E8781" s="15" t="n">
        <f aca="false">B8781/Summary!$B$5-1</f>
        <v>-0.049849639485853</v>
      </c>
    </row>
    <row r="8782" customFormat="false" ht="15" hidden="false" customHeight="false" outlineLevel="0" collapsed="false">
      <c r="A8782" s="0" t="n">
        <v>8781</v>
      </c>
      <c r="B8782" s="14" t="n">
        <v>107431.54556295</v>
      </c>
      <c r="C8782" s="15" t="n">
        <v>0.0865021526307189</v>
      </c>
      <c r="D8782" s="14" t="n">
        <f aca="false">Summary!$B$5-B8782</f>
        <v>-7431.54556295001</v>
      </c>
      <c r="E8782" s="15" t="n">
        <f aca="false">B8782/Summary!$B$5-1</f>
        <v>0.0743154556295</v>
      </c>
    </row>
    <row r="8783" customFormat="false" ht="15" hidden="false" customHeight="false" outlineLevel="0" collapsed="false">
      <c r="A8783" s="0" t="n">
        <v>8782</v>
      </c>
      <c r="B8783" s="14" t="n">
        <v>88233.5102919386</v>
      </c>
      <c r="C8783" s="15" t="n">
        <v>0.172649829705193</v>
      </c>
      <c r="D8783" s="14" t="n">
        <f aca="false">Summary!$B$5-B8783</f>
        <v>11766.4897080614</v>
      </c>
      <c r="E8783" s="15" t="n">
        <f aca="false">B8783/Summary!$B$5-1</f>
        <v>-0.117664897080614</v>
      </c>
    </row>
    <row r="8784" customFormat="false" ht="15" hidden="false" customHeight="false" outlineLevel="0" collapsed="false">
      <c r="A8784" s="0" t="n">
        <v>8783</v>
      </c>
      <c r="B8784" s="14" t="n">
        <v>123257.359967993</v>
      </c>
      <c r="C8784" s="15" t="n">
        <v>0.0880567403437903</v>
      </c>
      <c r="D8784" s="14" t="n">
        <f aca="false">Summary!$B$5-B8784</f>
        <v>-23257.3599679929</v>
      </c>
      <c r="E8784" s="15" t="n">
        <f aca="false">B8784/Summary!$B$5-1</f>
        <v>0.232573599679929</v>
      </c>
    </row>
    <row r="8785" customFormat="false" ht="15" hidden="false" customHeight="false" outlineLevel="0" collapsed="false">
      <c r="A8785" s="0" t="n">
        <v>8784</v>
      </c>
      <c r="B8785" s="14" t="n">
        <v>107054.943221968</v>
      </c>
      <c r="C8785" s="15" t="n">
        <v>0.11957564877534</v>
      </c>
      <c r="D8785" s="14" t="n">
        <f aca="false">Summary!$B$5-B8785</f>
        <v>-7054.94322196821</v>
      </c>
      <c r="E8785" s="15" t="n">
        <f aca="false">B8785/Summary!$B$5-1</f>
        <v>0.070549432219682</v>
      </c>
    </row>
    <row r="8786" customFormat="false" ht="15" hidden="false" customHeight="false" outlineLevel="0" collapsed="false">
      <c r="A8786" s="0" t="n">
        <v>8785</v>
      </c>
      <c r="B8786" s="14" t="n">
        <v>99716.5235492632</v>
      </c>
      <c r="C8786" s="15" t="n">
        <v>0.155906780886919</v>
      </c>
      <c r="D8786" s="14" t="n">
        <f aca="false">Summary!$B$5-B8786</f>
        <v>283.476450736824</v>
      </c>
      <c r="E8786" s="15" t="n">
        <f aca="false">B8786/Summary!$B$5-1</f>
        <v>-0.00283476450736819</v>
      </c>
    </row>
    <row r="8787" customFormat="false" ht="15" hidden="false" customHeight="false" outlineLevel="0" collapsed="false">
      <c r="A8787" s="0" t="n">
        <v>8786</v>
      </c>
      <c r="B8787" s="14" t="n">
        <v>104541.619933253</v>
      </c>
      <c r="C8787" s="15" t="n">
        <v>0.140326030360351</v>
      </c>
      <c r="D8787" s="14" t="n">
        <f aca="false">Summary!$B$5-B8787</f>
        <v>-4541.6199332527</v>
      </c>
      <c r="E8787" s="15" t="n">
        <f aca="false">B8787/Summary!$B$5-1</f>
        <v>0.0454161993325271</v>
      </c>
    </row>
    <row r="8788" customFormat="false" ht="15" hidden="false" customHeight="false" outlineLevel="0" collapsed="false">
      <c r="A8788" s="0" t="n">
        <v>8787</v>
      </c>
      <c r="B8788" s="14" t="n">
        <v>118607.883659231</v>
      </c>
      <c r="C8788" s="15" t="n">
        <v>0.0484550836103243</v>
      </c>
      <c r="D8788" s="14" t="n">
        <f aca="false">Summary!$B$5-B8788</f>
        <v>-18607.8836592306</v>
      </c>
      <c r="E8788" s="15" t="n">
        <f aca="false">B8788/Summary!$B$5-1</f>
        <v>0.186078836592306</v>
      </c>
    </row>
    <row r="8789" customFormat="false" ht="15" hidden="false" customHeight="false" outlineLevel="0" collapsed="false">
      <c r="A8789" s="0" t="n">
        <v>8788</v>
      </c>
      <c r="B8789" s="14" t="n">
        <v>88831.2767104171</v>
      </c>
      <c r="C8789" s="15" t="n">
        <v>0.156063577667245</v>
      </c>
      <c r="D8789" s="14" t="n">
        <f aca="false">Summary!$B$5-B8789</f>
        <v>11168.7232895829</v>
      </c>
      <c r="E8789" s="15" t="n">
        <f aca="false">B8789/Summary!$B$5-1</f>
        <v>-0.111687232895829</v>
      </c>
    </row>
    <row r="8790" customFormat="false" ht="15" hidden="false" customHeight="false" outlineLevel="0" collapsed="false">
      <c r="A8790" s="0" t="n">
        <v>8789</v>
      </c>
      <c r="B8790" s="14" t="n">
        <v>102346.07399215</v>
      </c>
      <c r="C8790" s="15" t="n">
        <v>0.102589168683835</v>
      </c>
      <c r="D8790" s="14" t="n">
        <f aca="false">Summary!$B$5-B8790</f>
        <v>-2346.07399215001</v>
      </c>
      <c r="E8790" s="15" t="n">
        <f aca="false">B8790/Summary!$B$5-1</f>
        <v>0.0234607399215001</v>
      </c>
    </row>
    <row r="8791" customFormat="false" ht="15" hidden="false" customHeight="false" outlineLevel="0" collapsed="false">
      <c r="A8791" s="0" t="n">
        <v>8790</v>
      </c>
      <c r="B8791" s="14" t="n">
        <v>115120.754336878</v>
      </c>
      <c r="C8791" s="15" t="n">
        <v>0.109916809051378</v>
      </c>
      <c r="D8791" s="14" t="n">
        <f aca="false">Summary!$B$5-B8791</f>
        <v>-15120.754336878</v>
      </c>
      <c r="E8791" s="15" t="n">
        <f aca="false">B8791/Summary!$B$5-1</f>
        <v>0.15120754336878</v>
      </c>
    </row>
    <row r="8792" customFormat="false" ht="15" hidden="false" customHeight="false" outlineLevel="0" collapsed="false">
      <c r="A8792" s="0" t="n">
        <v>8791</v>
      </c>
      <c r="B8792" s="14" t="n">
        <v>105513.954518864</v>
      </c>
      <c r="C8792" s="15" t="n">
        <v>0.0862213827869753</v>
      </c>
      <c r="D8792" s="14" t="n">
        <f aca="false">Summary!$B$5-B8792</f>
        <v>-5513.9545188643</v>
      </c>
      <c r="E8792" s="15" t="n">
        <f aca="false">B8792/Summary!$B$5-1</f>
        <v>0.055139545188643</v>
      </c>
    </row>
    <row r="8793" customFormat="false" ht="15" hidden="false" customHeight="false" outlineLevel="0" collapsed="false">
      <c r="A8793" s="0" t="n">
        <v>8792</v>
      </c>
      <c r="B8793" s="14" t="n">
        <v>97722.2661942657</v>
      </c>
      <c r="C8793" s="15" t="n">
        <v>0.184787524171002</v>
      </c>
      <c r="D8793" s="14" t="n">
        <f aca="false">Summary!$B$5-B8793</f>
        <v>2277.73380573432</v>
      </c>
      <c r="E8793" s="15" t="n">
        <f aca="false">B8793/Summary!$B$5-1</f>
        <v>-0.0227773380573432</v>
      </c>
    </row>
    <row r="8794" customFormat="false" ht="15" hidden="false" customHeight="false" outlineLevel="0" collapsed="false">
      <c r="A8794" s="0" t="n">
        <v>8793</v>
      </c>
      <c r="B8794" s="14" t="n">
        <v>106647.00831011</v>
      </c>
      <c r="C8794" s="15" t="n">
        <v>0.0649342461998174</v>
      </c>
      <c r="D8794" s="14" t="n">
        <f aca="false">Summary!$B$5-B8794</f>
        <v>-6647.00831010949</v>
      </c>
      <c r="E8794" s="15" t="n">
        <f aca="false">B8794/Summary!$B$5-1</f>
        <v>0.0664700831010949</v>
      </c>
    </row>
    <row r="8795" customFormat="false" ht="15" hidden="false" customHeight="false" outlineLevel="0" collapsed="false">
      <c r="A8795" s="0" t="n">
        <v>8794</v>
      </c>
      <c r="B8795" s="14" t="n">
        <v>100153.339311855</v>
      </c>
      <c r="C8795" s="15" t="n">
        <v>0.118858602599321</v>
      </c>
      <c r="D8795" s="14" t="n">
        <f aca="false">Summary!$B$5-B8795</f>
        <v>-153.339311854506</v>
      </c>
      <c r="E8795" s="15" t="n">
        <f aca="false">B8795/Summary!$B$5-1</f>
        <v>0.00153339311854506</v>
      </c>
    </row>
    <row r="8796" customFormat="false" ht="15" hidden="false" customHeight="false" outlineLevel="0" collapsed="false">
      <c r="A8796" s="0" t="n">
        <v>8795</v>
      </c>
      <c r="B8796" s="14" t="n">
        <v>105784.074532683</v>
      </c>
      <c r="C8796" s="15" t="n">
        <v>0.122210911320494</v>
      </c>
      <c r="D8796" s="14" t="n">
        <f aca="false">Summary!$B$5-B8796</f>
        <v>-5784.0745326834</v>
      </c>
      <c r="E8796" s="15" t="n">
        <f aca="false">B8796/Summary!$B$5-1</f>
        <v>0.0578407453268339</v>
      </c>
    </row>
    <row r="8797" customFormat="false" ht="15" hidden="false" customHeight="false" outlineLevel="0" collapsed="false">
      <c r="A8797" s="0" t="n">
        <v>8796</v>
      </c>
      <c r="B8797" s="14" t="n">
        <v>96347.7247601016</v>
      </c>
      <c r="C8797" s="15" t="n">
        <v>0.140832885858088</v>
      </c>
      <c r="D8797" s="14" t="n">
        <f aca="false">Summary!$B$5-B8797</f>
        <v>3652.27523989843</v>
      </c>
      <c r="E8797" s="15" t="n">
        <f aca="false">B8797/Summary!$B$5-1</f>
        <v>-0.0365227523989843</v>
      </c>
    </row>
    <row r="8798" customFormat="false" ht="15" hidden="false" customHeight="false" outlineLevel="0" collapsed="false">
      <c r="A8798" s="0" t="n">
        <v>8797</v>
      </c>
      <c r="B8798" s="14" t="n">
        <v>93632.8609741458</v>
      </c>
      <c r="C8798" s="15" t="n">
        <v>0.090776471805774</v>
      </c>
      <c r="D8798" s="14" t="n">
        <f aca="false">Summary!$B$5-B8798</f>
        <v>6367.13902585418</v>
      </c>
      <c r="E8798" s="15" t="n">
        <f aca="false">B8798/Summary!$B$5-1</f>
        <v>-0.0636713902585419</v>
      </c>
    </row>
    <row r="8799" customFormat="false" ht="15" hidden="false" customHeight="false" outlineLevel="0" collapsed="false">
      <c r="A8799" s="0" t="n">
        <v>8798</v>
      </c>
      <c r="B8799" s="14" t="n">
        <v>123018.268324568</v>
      </c>
      <c r="C8799" s="15" t="n">
        <v>0.0547505196658321</v>
      </c>
      <c r="D8799" s="14" t="n">
        <f aca="false">Summary!$B$5-B8799</f>
        <v>-23018.2683245676</v>
      </c>
      <c r="E8799" s="15" t="n">
        <f aca="false">B8799/Summary!$B$5-1</f>
        <v>0.230182683245676</v>
      </c>
    </row>
    <row r="8800" customFormat="false" ht="15" hidden="false" customHeight="false" outlineLevel="0" collapsed="false">
      <c r="A8800" s="0" t="n">
        <v>8799</v>
      </c>
      <c r="B8800" s="14" t="n">
        <v>86517.1122268538</v>
      </c>
      <c r="C8800" s="15" t="n">
        <v>0.202129964862104</v>
      </c>
      <c r="D8800" s="14" t="n">
        <f aca="false">Summary!$B$5-B8800</f>
        <v>13482.8877731462</v>
      </c>
      <c r="E8800" s="15" t="n">
        <f aca="false">B8800/Summary!$B$5-1</f>
        <v>-0.134828877731462</v>
      </c>
    </row>
    <row r="8801" customFormat="false" ht="15" hidden="false" customHeight="false" outlineLevel="0" collapsed="false">
      <c r="A8801" s="0" t="n">
        <v>8800</v>
      </c>
      <c r="B8801" s="14" t="n">
        <v>107004.299742584</v>
      </c>
      <c r="C8801" s="15" t="n">
        <v>0.112858863960856</v>
      </c>
      <c r="D8801" s="14" t="n">
        <f aca="false">Summary!$B$5-B8801</f>
        <v>-7004.29974258351</v>
      </c>
      <c r="E8801" s="15" t="n">
        <f aca="false">B8801/Summary!$B$5-1</f>
        <v>0.070042997425835</v>
      </c>
    </row>
    <row r="8802" customFormat="false" ht="15" hidden="false" customHeight="false" outlineLevel="0" collapsed="false">
      <c r="A8802" s="0" t="n">
        <v>8801</v>
      </c>
      <c r="B8802" s="14" t="n">
        <v>117865.501380935</v>
      </c>
      <c r="C8802" s="15" t="n">
        <v>0.0816008676507105</v>
      </c>
      <c r="D8802" s="14" t="n">
        <f aca="false">Summary!$B$5-B8802</f>
        <v>-17865.5013809347</v>
      </c>
      <c r="E8802" s="15" t="n">
        <f aca="false">B8802/Summary!$B$5-1</f>
        <v>0.178655013809347</v>
      </c>
    </row>
    <row r="8803" customFormat="false" ht="15" hidden="false" customHeight="false" outlineLevel="0" collapsed="false">
      <c r="A8803" s="0" t="n">
        <v>8802</v>
      </c>
      <c r="B8803" s="14" t="n">
        <v>95871.4279383832</v>
      </c>
      <c r="C8803" s="15" t="n">
        <v>0.114130512788361</v>
      </c>
      <c r="D8803" s="14" t="n">
        <f aca="false">Summary!$B$5-B8803</f>
        <v>4128.57206161681</v>
      </c>
      <c r="E8803" s="15" t="n">
        <f aca="false">B8803/Summary!$B$5-1</f>
        <v>-0.0412857206161681</v>
      </c>
    </row>
    <row r="8804" customFormat="false" ht="15" hidden="false" customHeight="false" outlineLevel="0" collapsed="false">
      <c r="A8804" s="0" t="n">
        <v>8803</v>
      </c>
      <c r="B8804" s="14" t="n">
        <v>97813.3391031305</v>
      </c>
      <c r="C8804" s="15" t="n">
        <v>0.134070230035353</v>
      </c>
      <c r="D8804" s="14" t="n">
        <f aca="false">Summary!$B$5-B8804</f>
        <v>2186.66089686952</v>
      </c>
      <c r="E8804" s="15" t="n">
        <f aca="false">B8804/Summary!$B$5-1</f>
        <v>-0.0218666089686952</v>
      </c>
    </row>
    <row r="8805" customFormat="false" ht="15" hidden="false" customHeight="false" outlineLevel="0" collapsed="false">
      <c r="A8805" s="0" t="n">
        <v>8804</v>
      </c>
      <c r="B8805" s="14" t="n">
        <v>91790.7220487789</v>
      </c>
      <c r="C8805" s="15" t="n">
        <v>0.127077118133509</v>
      </c>
      <c r="D8805" s="14" t="n">
        <f aca="false">Summary!$B$5-B8805</f>
        <v>8209.27795122113</v>
      </c>
      <c r="E8805" s="15" t="n">
        <f aca="false">B8805/Summary!$B$5-1</f>
        <v>-0.0820927795122113</v>
      </c>
    </row>
    <row r="8806" customFormat="false" ht="15" hidden="false" customHeight="false" outlineLevel="0" collapsed="false">
      <c r="A8806" s="0" t="n">
        <v>8805</v>
      </c>
      <c r="B8806" s="14" t="n">
        <v>119966.661629655</v>
      </c>
      <c r="C8806" s="15" t="n">
        <v>0.069879993853893</v>
      </c>
      <c r="D8806" s="14" t="n">
        <f aca="false">Summary!$B$5-B8806</f>
        <v>-19966.6616296547</v>
      </c>
      <c r="E8806" s="15" t="n">
        <f aca="false">B8806/Summary!$B$5-1</f>
        <v>0.199666616296547</v>
      </c>
    </row>
    <row r="8807" customFormat="false" ht="15" hidden="false" customHeight="false" outlineLevel="0" collapsed="false">
      <c r="A8807" s="0" t="n">
        <v>8806</v>
      </c>
      <c r="B8807" s="14" t="n">
        <v>106942.043505024</v>
      </c>
      <c r="C8807" s="15" t="n">
        <v>0.114790965079779</v>
      </c>
      <c r="D8807" s="14" t="n">
        <f aca="false">Summary!$B$5-B8807</f>
        <v>-6942.0435050238</v>
      </c>
      <c r="E8807" s="15" t="n">
        <f aca="false">B8807/Summary!$B$5-1</f>
        <v>0.0694204350502381</v>
      </c>
    </row>
    <row r="8808" customFormat="false" ht="15" hidden="false" customHeight="false" outlineLevel="0" collapsed="false">
      <c r="A8808" s="0" t="n">
        <v>8807</v>
      </c>
      <c r="B8808" s="14" t="n">
        <v>131451.191138707</v>
      </c>
      <c r="C8808" s="15" t="n">
        <v>0.0778574659859646</v>
      </c>
      <c r="D8808" s="14" t="n">
        <f aca="false">Summary!$B$5-B8808</f>
        <v>-31451.1911387065</v>
      </c>
      <c r="E8808" s="15" t="n">
        <f aca="false">B8808/Summary!$B$5-1</f>
        <v>0.314511911387065</v>
      </c>
    </row>
    <row r="8809" customFormat="false" ht="15" hidden="false" customHeight="false" outlineLevel="0" collapsed="false">
      <c r="A8809" s="0" t="n">
        <v>8808</v>
      </c>
      <c r="B8809" s="14" t="n">
        <v>98255.3720725038</v>
      </c>
      <c r="C8809" s="15" t="n">
        <v>0.0980848521302586</v>
      </c>
      <c r="D8809" s="14" t="n">
        <f aca="false">Summary!$B$5-B8809</f>
        <v>1744.62792749621</v>
      </c>
      <c r="E8809" s="15" t="n">
        <f aca="false">B8809/Summary!$B$5-1</f>
        <v>-0.0174462792749621</v>
      </c>
    </row>
    <row r="8810" customFormat="false" ht="15" hidden="false" customHeight="false" outlineLevel="0" collapsed="false">
      <c r="A8810" s="0" t="n">
        <v>8809</v>
      </c>
      <c r="B8810" s="14" t="n">
        <v>93607.7973951689</v>
      </c>
      <c r="C8810" s="15" t="n">
        <v>0.126693561680146</v>
      </c>
      <c r="D8810" s="14" t="n">
        <f aca="false">Summary!$B$5-B8810</f>
        <v>6392.20260483111</v>
      </c>
      <c r="E8810" s="15" t="n">
        <f aca="false">B8810/Summary!$B$5-1</f>
        <v>-0.0639220260483111</v>
      </c>
    </row>
    <row r="8811" customFormat="false" ht="15" hidden="false" customHeight="false" outlineLevel="0" collapsed="false">
      <c r="A8811" s="0" t="n">
        <v>8810</v>
      </c>
      <c r="B8811" s="14" t="n">
        <v>108766.164613093</v>
      </c>
      <c r="C8811" s="15" t="n">
        <v>0.0839360672685826</v>
      </c>
      <c r="D8811" s="14" t="n">
        <f aca="false">Summary!$B$5-B8811</f>
        <v>-8766.1646130928</v>
      </c>
      <c r="E8811" s="15" t="n">
        <f aca="false">B8811/Summary!$B$5-1</f>
        <v>0.0876616461309281</v>
      </c>
    </row>
    <row r="8812" customFormat="false" ht="15" hidden="false" customHeight="false" outlineLevel="0" collapsed="false">
      <c r="A8812" s="0" t="n">
        <v>8811</v>
      </c>
      <c r="B8812" s="14" t="n">
        <v>119290.385095297</v>
      </c>
      <c r="C8812" s="15" t="n">
        <v>0.111365923187806</v>
      </c>
      <c r="D8812" s="14" t="n">
        <f aca="false">Summary!$B$5-B8812</f>
        <v>-19290.3850952966</v>
      </c>
      <c r="E8812" s="15" t="n">
        <f aca="false">B8812/Summary!$B$5-1</f>
        <v>0.192903850952966</v>
      </c>
    </row>
    <row r="8813" customFormat="false" ht="15" hidden="false" customHeight="false" outlineLevel="0" collapsed="false">
      <c r="A8813" s="0" t="n">
        <v>8812</v>
      </c>
      <c r="B8813" s="14" t="n">
        <v>113135.823134289</v>
      </c>
      <c r="C8813" s="15" t="n">
        <v>0.0849513240504817</v>
      </c>
      <c r="D8813" s="14" t="n">
        <f aca="false">Summary!$B$5-B8813</f>
        <v>-13135.8231342886</v>
      </c>
      <c r="E8813" s="15" t="n">
        <f aca="false">B8813/Summary!$B$5-1</f>
        <v>0.131358231342886</v>
      </c>
    </row>
    <row r="8814" customFormat="false" ht="15" hidden="false" customHeight="false" outlineLevel="0" collapsed="false">
      <c r="A8814" s="0" t="n">
        <v>8813</v>
      </c>
      <c r="B8814" s="14" t="n">
        <v>115312.372947618</v>
      </c>
      <c r="C8814" s="15" t="n">
        <v>0.0899110537864236</v>
      </c>
      <c r="D8814" s="14" t="n">
        <f aca="false">Summary!$B$5-B8814</f>
        <v>-15312.3729476179</v>
      </c>
      <c r="E8814" s="15" t="n">
        <f aca="false">B8814/Summary!$B$5-1</f>
        <v>0.153123729476179</v>
      </c>
    </row>
    <row r="8815" customFormat="false" ht="15" hidden="false" customHeight="false" outlineLevel="0" collapsed="false">
      <c r="A8815" s="0" t="n">
        <v>8814</v>
      </c>
      <c r="B8815" s="14" t="n">
        <v>144818.49797532</v>
      </c>
      <c r="C8815" s="15" t="n">
        <v>0.0442109260597676</v>
      </c>
      <c r="D8815" s="14" t="n">
        <f aca="false">Summary!$B$5-B8815</f>
        <v>-44818.4979753199</v>
      </c>
      <c r="E8815" s="15" t="n">
        <f aca="false">B8815/Summary!$B$5-1</f>
        <v>0.448184979753199</v>
      </c>
    </row>
    <row r="8816" customFormat="false" ht="15" hidden="false" customHeight="false" outlineLevel="0" collapsed="false">
      <c r="A8816" s="0" t="n">
        <v>8815</v>
      </c>
      <c r="B8816" s="14" t="n">
        <v>119106.731776104</v>
      </c>
      <c r="C8816" s="15" t="n">
        <v>0.0669552216977289</v>
      </c>
      <c r="D8816" s="14" t="n">
        <f aca="false">Summary!$B$5-B8816</f>
        <v>-19106.7317761035</v>
      </c>
      <c r="E8816" s="15" t="n">
        <f aca="false">B8816/Summary!$B$5-1</f>
        <v>0.191067317761035</v>
      </c>
    </row>
    <row r="8817" customFormat="false" ht="15" hidden="false" customHeight="false" outlineLevel="0" collapsed="false">
      <c r="A8817" s="0" t="n">
        <v>8816</v>
      </c>
      <c r="B8817" s="14" t="n">
        <v>98140.4464161961</v>
      </c>
      <c r="C8817" s="15" t="n">
        <v>0.080415080539459</v>
      </c>
      <c r="D8817" s="14" t="n">
        <f aca="false">Summary!$B$5-B8817</f>
        <v>1859.55358380386</v>
      </c>
      <c r="E8817" s="15" t="n">
        <f aca="false">B8817/Summary!$B$5-1</f>
        <v>-0.0185955358380386</v>
      </c>
    </row>
    <row r="8818" customFormat="false" ht="15" hidden="false" customHeight="false" outlineLevel="0" collapsed="false">
      <c r="A8818" s="0" t="n">
        <v>8817</v>
      </c>
      <c r="B8818" s="14" t="n">
        <v>101686.223444211</v>
      </c>
      <c r="C8818" s="15" t="n">
        <v>0.103513545744653</v>
      </c>
      <c r="D8818" s="14" t="n">
        <f aca="false">Summary!$B$5-B8818</f>
        <v>-1686.22344421119</v>
      </c>
      <c r="E8818" s="15" t="n">
        <f aca="false">B8818/Summary!$B$5-1</f>
        <v>0.0168622344421119</v>
      </c>
    </row>
    <row r="8819" customFormat="false" ht="15" hidden="false" customHeight="false" outlineLevel="0" collapsed="false">
      <c r="A8819" s="0" t="n">
        <v>8818</v>
      </c>
      <c r="B8819" s="14" t="n">
        <v>119526.382539493</v>
      </c>
      <c r="C8819" s="15" t="n">
        <v>0.157057327715527</v>
      </c>
      <c r="D8819" s="14" t="n">
        <f aca="false">Summary!$B$5-B8819</f>
        <v>-19526.3825394928</v>
      </c>
      <c r="E8819" s="15" t="n">
        <f aca="false">B8819/Summary!$B$5-1</f>
        <v>0.195263825394928</v>
      </c>
    </row>
    <row r="8820" customFormat="false" ht="15" hidden="false" customHeight="false" outlineLevel="0" collapsed="false">
      <c r="A8820" s="0" t="n">
        <v>8819</v>
      </c>
      <c r="B8820" s="14" t="n">
        <v>106582.480132547</v>
      </c>
      <c r="C8820" s="15" t="n">
        <v>0.0717580302736997</v>
      </c>
      <c r="D8820" s="14" t="n">
        <f aca="false">Summary!$B$5-B8820</f>
        <v>-6582.4801325467</v>
      </c>
      <c r="E8820" s="15" t="n">
        <f aca="false">B8820/Summary!$B$5-1</f>
        <v>0.065824801325467</v>
      </c>
    </row>
    <row r="8821" customFormat="false" ht="15" hidden="false" customHeight="false" outlineLevel="0" collapsed="false">
      <c r="A8821" s="0" t="n">
        <v>8820</v>
      </c>
      <c r="B8821" s="14" t="n">
        <v>108663.298270306</v>
      </c>
      <c r="C8821" s="15" t="n">
        <v>0.0906466335154116</v>
      </c>
      <c r="D8821" s="14" t="n">
        <f aca="false">Summary!$B$5-B8821</f>
        <v>-8663.2982703064</v>
      </c>
      <c r="E8821" s="15" t="n">
        <f aca="false">B8821/Summary!$B$5-1</f>
        <v>0.0866329827030641</v>
      </c>
    </row>
    <row r="8822" customFormat="false" ht="15" hidden="false" customHeight="false" outlineLevel="0" collapsed="false">
      <c r="A8822" s="0" t="n">
        <v>8821</v>
      </c>
      <c r="B8822" s="14" t="n">
        <v>134360.297920891</v>
      </c>
      <c r="C8822" s="15" t="n">
        <v>0.0624206752134361</v>
      </c>
      <c r="D8822" s="14" t="n">
        <f aca="false">Summary!$B$5-B8822</f>
        <v>-34360.2979208907</v>
      </c>
      <c r="E8822" s="15" t="n">
        <f aca="false">B8822/Summary!$B$5-1</f>
        <v>0.343602979208907</v>
      </c>
    </row>
    <row r="8823" customFormat="false" ht="15" hidden="false" customHeight="false" outlineLevel="0" collapsed="false">
      <c r="A8823" s="0" t="n">
        <v>8822</v>
      </c>
      <c r="B8823" s="14" t="n">
        <v>146097.2562536</v>
      </c>
      <c r="C8823" s="15" t="n">
        <v>0.0743725241366802</v>
      </c>
      <c r="D8823" s="14" t="n">
        <f aca="false">Summary!$B$5-B8823</f>
        <v>-46097.2562536003</v>
      </c>
      <c r="E8823" s="15" t="n">
        <f aca="false">B8823/Summary!$B$5-1</f>
        <v>0.460972562536003</v>
      </c>
    </row>
    <row r="8824" customFormat="false" ht="15" hidden="false" customHeight="false" outlineLevel="0" collapsed="false">
      <c r="A8824" s="0" t="n">
        <v>8823</v>
      </c>
      <c r="B8824" s="14" t="n">
        <v>108447.652389696</v>
      </c>
      <c r="C8824" s="15" t="n">
        <v>0.086078027898137</v>
      </c>
      <c r="D8824" s="14" t="n">
        <f aca="false">Summary!$B$5-B8824</f>
        <v>-8447.6523896955</v>
      </c>
      <c r="E8824" s="15" t="n">
        <f aca="false">B8824/Summary!$B$5-1</f>
        <v>0.0844765238969552</v>
      </c>
    </row>
    <row r="8825" customFormat="false" ht="15" hidden="false" customHeight="false" outlineLevel="0" collapsed="false">
      <c r="A8825" s="0" t="n">
        <v>8824</v>
      </c>
      <c r="B8825" s="14" t="n">
        <v>99351.0435628012</v>
      </c>
      <c r="C8825" s="15" t="n">
        <v>0.0999278030499313</v>
      </c>
      <c r="D8825" s="14" t="n">
        <f aca="false">Summary!$B$5-B8825</f>
        <v>648.95643719878</v>
      </c>
      <c r="E8825" s="15" t="n">
        <f aca="false">B8825/Summary!$B$5-1</f>
        <v>-0.00648956437198778</v>
      </c>
    </row>
    <row r="8826" customFormat="false" ht="15" hidden="false" customHeight="false" outlineLevel="0" collapsed="false">
      <c r="A8826" s="0" t="n">
        <v>8825</v>
      </c>
      <c r="B8826" s="14" t="n">
        <v>106214.424078045</v>
      </c>
      <c r="C8826" s="15" t="n">
        <v>0.0949540839825057</v>
      </c>
      <c r="D8826" s="14" t="n">
        <f aca="false">Summary!$B$5-B8826</f>
        <v>-6214.4240780452</v>
      </c>
      <c r="E8826" s="15" t="n">
        <f aca="false">B8826/Summary!$B$5-1</f>
        <v>0.062144240780452</v>
      </c>
    </row>
    <row r="8827" customFormat="false" ht="15" hidden="false" customHeight="false" outlineLevel="0" collapsed="false">
      <c r="A8827" s="0" t="n">
        <v>8826</v>
      </c>
      <c r="B8827" s="14" t="n">
        <v>98266.2393957363</v>
      </c>
      <c r="C8827" s="15" t="n">
        <v>0.0997333317854184</v>
      </c>
      <c r="D8827" s="14" t="n">
        <f aca="false">Summary!$B$5-B8827</f>
        <v>1733.76060426369</v>
      </c>
      <c r="E8827" s="15" t="n">
        <f aca="false">B8827/Summary!$B$5-1</f>
        <v>-0.0173376060426369</v>
      </c>
    </row>
    <row r="8828" customFormat="false" ht="15" hidden="false" customHeight="false" outlineLevel="0" collapsed="false">
      <c r="A8828" s="0" t="n">
        <v>8827</v>
      </c>
      <c r="B8828" s="14" t="n">
        <v>93525.5822627227</v>
      </c>
      <c r="C8828" s="15" t="n">
        <v>0.11598653182495</v>
      </c>
      <c r="D8828" s="14" t="n">
        <f aca="false">Summary!$B$5-B8828</f>
        <v>6474.41773727731</v>
      </c>
      <c r="E8828" s="15" t="n">
        <f aca="false">B8828/Summary!$B$5-1</f>
        <v>-0.0647441773727732</v>
      </c>
    </row>
    <row r="8829" customFormat="false" ht="15" hidden="false" customHeight="false" outlineLevel="0" collapsed="false">
      <c r="A8829" s="0" t="n">
        <v>8828</v>
      </c>
      <c r="B8829" s="14" t="n">
        <v>110883.913965848</v>
      </c>
      <c r="C8829" s="15" t="n">
        <v>0.127810273517765</v>
      </c>
      <c r="D8829" s="14" t="n">
        <f aca="false">Summary!$B$5-B8829</f>
        <v>-10883.9139658479</v>
      </c>
      <c r="E8829" s="15" t="n">
        <f aca="false">B8829/Summary!$B$5-1</f>
        <v>0.108839139658479</v>
      </c>
    </row>
    <row r="8830" customFormat="false" ht="15" hidden="false" customHeight="false" outlineLevel="0" collapsed="false">
      <c r="A8830" s="0" t="n">
        <v>8829</v>
      </c>
      <c r="B8830" s="14" t="n">
        <v>114217.388686852</v>
      </c>
      <c r="C8830" s="15" t="n">
        <v>0.0741062466027705</v>
      </c>
      <c r="D8830" s="14" t="n">
        <f aca="false">Summary!$B$5-B8830</f>
        <v>-14217.3886868518</v>
      </c>
      <c r="E8830" s="15" t="n">
        <f aca="false">B8830/Summary!$B$5-1</f>
        <v>0.142173886868518</v>
      </c>
    </row>
    <row r="8831" customFormat="false" ht="15" hidden="false" customHeight="false" outlineLevel="0" collapsed="false">
      <c r="A8831" s="0" t="n">
        <v>8830</v>
      </c>
      <c r="B8831" s="14" t="n">
        <v>105963.53776223</v>
      </c>
      <c r="C8831" s="15" t="n">
        <v>0.0932956017029035</v>
      </c>
      <c r="D8831" s="14" t="n">
        <f aca="false">Summary!$B$5-B8831</f>
        <v>-5963.5377622299</v>
      </c>
      <c r="E8831" s="15" t="n">
        <f aca="false">B8831/Summary!$B$5-1</f>
        <v>0.0596353776222991</v>
      </c>
    </row>
    <row r="8832" customFormat="false" ht="15" hidden="false" customHeight="false" outlineLevel="0" collapsed="false">
      <c r="A8832" s="0" t="n">
        <v>8831</v>
      </c>
      <c r="B8832" s="14" t="n">
        <v>139596.246633506</v>
      </c>
      <c r="C8832" s="15" t="n">
        <v>0.102532989391419</v>
      </c>
      <c r="D8832" s="14" t="n">
        <f aca="false">Summary!$B$5-B8832</f>
        <v>-39596.2466335055</v>
      </c>
      <c r="E8832" s="15" t="n">
        <f aca="false">B8832/Summary!$B$5-1</f>
        <v>0.395962466335055</v>
      </c>
    </row>
    <row r="8833" customFormat="false" ht="15" hidden="false" customHeight="false" outlineLevel="0" collapsed="false">
      <c r="A8833" s="0" t="n">
        <v>8832</v>
      </c>
      <c r="B8833" s="14" t="n">
        <v>110152.75799558</v>
      </c>
      <c r="C8833" s="15" t="n">
        <v>0.11003189006948</v>
      </c>
      <c r="D8833" s="14" t="n">
        <f aca="false">Summary!$B$5-B8833</f>
        <v>-10152.7579955795</v>
      </c>
      <c r="E8833" s="15" t="n">
        <f aca="false">B8833/Summary!$B$5-1</f>
        <v>0.101527579955795</v>
      </c>
    </row>
    <row r="8834" customFormat="false" ht="15" hidden="false" customHeight="false" outlineLevel="0" collapsed="false">
      <c r="A8834" s="0" t="n">
        <v>8833</v>
      </c>
      <c r="B8834" s="14" t="n">
        <v>111263.603287449</v>
      </c>
      <c r="C8834" s="15" t="n">
        <v>0.125241662209848</v>
      </c>
      <c r="D8834" s="14" t="n">
        <f aca="false">Summary!$B$5-B8834</f>
        <v>-11263.6032874488</v>
      </c>
      <c r="E8834" s="15" t="n">
        <f aca="false">B8834/Summary!$B$5-1</f>
        <v>0.112636032874488</v>
      </c>
    </row>
    <row r="8835" customFormat="false" ht="15" hidden="false" customHeight="false" outlineLevel="0" collapsed="false">
      <c r="A8835" s="0" t="n">
        <v>8834</v>
      </c>
      <c r="B8835" s="14" t="n">
        <v>100916.379688438</v>
      </c>
      <c r="C8835" s="15" t="n">
        <v>0.137180378957662</v>
      </c>
      <c r="D8835" s="14" t="n">
        <f aca="false">Summary!$B$5-B8835</f>
        <v>-916.379688437504</v>
      </c>
      <c r="E8835" s="15" t="n">
        <f aca="false">B8835/Summary!$B$5-1</f>
        <v>0.00916379688437496</v>
      </c>
    </row>
    <row r="8836" customFormat="false" ht="15" hidden="false" customHeight="false" outlineLevel="0" collapsed="false">
      <c r="A8836" s="0" t="n">
        <v>8835</v>
      </c>
      <c r="B8836" s="14" t="n">
        <v>143298.84372502</v>
      </c>
      <c r="C8836" s="15" t="n">
        <v>0.0454024178040314</v>
      </c>
      <c r="D8836" s="14" t="n">
        <f aca="false">Summary!$B$5-B8836</f>
        <v>-43298.84372502</v>
      </c>
      <c r="E8836" s="15" t="n">
        <f aca="false">B8836/Summary!$B$5-1</f>
        <v>0.4329884372502</v>
      </c>
    </row>
    <row r="8837" customFormat="false" ht="15" hidden="false" customHeight="false" outlineLevel="0" collapsed="false">
      <c r="A8837" s="0" t="n">
        <v>8836</v>
      </c>
      <c r="B8837" s="14" t="n">
        <v>101620.13656941</v>
      </c>
      <c r="C8837" s="15" t="n">
        <v>0.0809873074305468</v>
      </c>
      <c r="D8837" s="14" t="n">
        <f aca="false">Summary!$B$5-B8837</f>
        <v>-1620.1365694097</v>
      </c>
      <c r="E8837" s="15" t="n">
        <f aca="false">B8837/Summary!$B$5-1</f>
        <v>0.0162013656940971</v>
      </c>
    </row>
    <row r="8838" customFormat="false" ht="15" hidden="false" customHeight="false" outlineLevel="0" collapsed="false">
      <c r="A8838" s="0" t="n">
        <v>8837</v>
      </c>
      <c r="B8838" s="14" t="n">
        <v>110063.925802876</v>
      </c>
      <c r="C8838" s="15" t="n">
        <v>0.0815431535220691</v>
      </c>
      <c r="D8838" s="14" t="n">
        <f aca="false">Summary!$B$5-B8838</f>
        <v>-10063.925802876</v>
      </c>
      <c r="E8838" s="15" t="n">
        <f aca="false">B8838/Summary!$B$5-1</f>
        <v>0.10063925802876</v>
      </c>
    </row>
    <row r="8839" customFormat="false" ht="15" hidden="false" customHeight="false" outlineLevel="0" collapsed="false">
      <c r="A8839" s="0" t="n">
        <v>8838</v>
      </c>
      <c r="B8839" s="14" t="n">
        <v>119176.441145901</v>
      </c>
      <c r="C8839" s="15" t="n">
        <v>0.0669375047286076</v>
      </c>
      <c r="D8839" s="14" t="n">
        <f aca="false">Summary!$B$5-B8839</f>
        <v>-19176.4411459013</v>
      </c>
      <c r="E8839" s="15" t="n">
        <f aca="false">B8839/Summary!$B$5-1</f>
        <v>0.191764411459013</v>
      </c>
    </row>
    <row r="8840" customFormat="false" ht="15" hidden="false" customHeight="false" outlineLevel="0" collapsed="false">
      <c r="A8840" s="0" t="n">
        <v>8839</v>
      </c>
      <c r="B8840" s="14" t="n">
        <v>106872.18029676</v>
      </c>
      <c r="C8840" s="15" t="n">
        <v>0.107925072881067</v>
      </c>
      <c r="D8840" s="14" t="n">
        <f aca="false">Summary!$B$5-B8840</f>
        <v>-6872.1802967602</v>
      </c>
      <c r="E8840" s="15" t="n">
        <f aca="false">B8840/Summary!$B$5-1</f>
        <v>0.068721802967602</v>
      </c>
    </row>
    <row r="8841" customFormat="false" ht="15" hidden="false" customHeight="false" outlineLevel="0" collapsed="false">
      <c r="A8841" s="0" t="n">
        <v>8840</v>
      </c>
      <c r="B8841" s="14" t="n">
        <v>105966.013659668</v>
      </c>
      <c r="C8841" s="15" t="n">
        <v>0.0939178483462565</v>
      </c>
      <c r="D8841" s="14" t="n">
        <f aca="false">Summary!$B$5-B8841</f>
        <v>-5966.0136596677</v>
      </c>
      <c r="E8841" s="15" t="n">
        <f aca="false">B8841/Summary!$B$5-1</f>
        <v>0.0596601365966771</v>
      </c>
    </row>
    <row r="8842" customFormat="false" ht="15" hidden="false" customHeight="false" outlineLevel="0" collapsed="false">
      <c r="A8842" s="0" t="n">
        <v>8841</v>
      </c>
      <c r="B8842" s="14" t="n">
        <v>109596.030733634</v>
      </c>
      <c r="C8842" s="15" t="n">
        <v>0.11095738755987</v>
      </c>
      <c r="D8842" s="14" t="n">
        <f aca="false">Summary!$B$5-B8842</f>
        <v>-9596.0307336336</v>
      </c>
      <c r="E8842" s="15" t="n">
        <f aca="false">B8842/Summary!$B$5-1</f>
        <v>0.095960307336336</v>
      </c>
    </row>
    <row r="8843" customFormat="false" ht="15" hidden="false" customHeight="false" outlineLevel="0" collapsed="false">
      <c r="A8843" s="0" t="n">
        <v>8842</v>
      </c>
      <c r="B8843" s="14" t="n">
        <v>105031.064115373</v>
      </c>
      <c r="C8843" s="15" t="n">
        <v>0.0892852306853166</v>
      </c>
      <c r="D8843" s="14" t="n">
        <f aca="false">Summary!$B$5-B8843</f>
        <v>-5031.0641153734</v>
      </c>
      <c r="E8843" s="15" t="n">
        <f aca="false">B8843/Summary!$B$5-1</f>
        <v>0.050310641153734</v>
      </c>
    </row>
    <row r="8844" customFormat="false" ht="15" hidden="false" customHeight="false" outlineLevel="0" collapsed="false">
      <c r="A8844" s="0" t="n">
        <v>8843</v>
      </c>
      <c r="B8844" s="14" t="n">
        <v>103479.531350212</v>
      </c>
      <c r="C8844" s="15" t="n">
        <v>0.0749017756819986</v>
      </c>
      <c r="D8844" s="14" t="n">
        <f aca="false">Summary!$B$5-B8844</f>
        <v>-3479.5313502115</v>
      </c>
      <c r="E8844" s="15" t="n">
        <f aca="false">B8844/Summary!$B$5-1</f>
        <v>0.0347953135021151</v>
      </c>
    </row>
    <row r="8845" customFormat="false" ht="15" hidden="false" customHeight="false" outlineLevel="0" collapsed="false">
      <c r="A8845" s="0" t="n">
        <v>8844</v>
      </c>
      <c r="B8845" s="14" t="n">
        <v>131763.305903591</v>
      </c>
      <c r="C8845" s="15" t="n">
        <v>0.0611870068732003</v>
      </c>
      <c r="D8845" s="14" t="n">
        <f aca="false">Summary!$B$5-B8845</f>
        <v>-31763.3059035905</v>
      </c>
      <c r="E8845" s="15" t="n">
        <f aca="false">B8845/Summary!$B$5-1</f>
        <v>0.317633059035905</v>
      </c>
    </row>
    <row r="8846" customFormat="false" ht="15" hidden="false" customHeight="false" outlineLevel="0" collapsed="false">
      <c r="A8846" s="0" t="n">
        <v>8845</v>
      </c>
      <c r="B8846" s="14" t="n">
        <v>99935.1421395309</v>
      </c>
      <c r="C8846" s="15" t="n">
        <v>0.120463297389816</v>
      </c>
      <c r="D8846" s="14" t="n">
        <f aca="false">Summary!$B$5-B8846</f>
        <v>64.8578604690556</v>
      </c>
      <c r="E8846" s="15" t="n">
        <f aca="false">B8846/Summary!$B$5-1</f>
        <v>-0.000648578604690586</v>
      </c>
    </row>
    <row r="8847" customFormat="false" ht="15" hidden="false" customHeight="false" outlineLevel="0" collapsed="false">
      <c r="A8847" s="0" t="n">
        <v>8846</v>
      </c>
      <c r="B8847" s="14" t="n">
        <v>117993.153320088</v>
      </c>
      <c r="C8847" s="15" t="n">
        <v>0.0939867541302519</v>
      </c>
      <c r="D8847" s="14" t="n">
        <f aca="false">Summary!$B$5-B8847</f>
        <v>-17993.1533200876</v>
      </c>
      <c r="E8847" s="15" t="n">
        <f aca="false">B8847/Summary!$B$5-1</f>
        <v>0.179931533200876</v>
      </c>
    </row>
    <row r="8848" customFormat="false" ht="15" hidden="false" customHeight="false" outlineLevel="0" collapsed="false">
      <c r="A8848" s="0" t="n">
        <v>8847</v>
      </c>
      <c r="B8848" s="14" t="n">
        <v>94012.1095576141</v>
      </c>
      <c r="C8848" s="15" t="n">
        <v>0.132184973331087</v>
      </c>
      <c r="D8848" s="14" t="n">
        <f aca="false">Summary!$B$5-B8848</f>
        <v>5987.89044238594</v>
      </c>
      <c r="E8848" s="15" t="n">
        <f aca="false">B8848/Summary!$B$5-1</f>
        <v>-0.0598789044238594</v>
      </c>
    </row>
    <row r="8849" customFormat="false" ht="15" hidden="false" customHeight="false" outlineLevel="0" collapsed="false">
      <c r="A8849" s="0" t="n">
        <v>8848</v>
      </c>
      <c r="B8849" s="14" t="n">
        <v>128656.312598991</v>
      </c>
      <c r="C8849" s="15" t="n">
        <v>0.061690110445801</v>
      </c>
      <c r="D8849" s="14" t="n">
        <f aca="false">Summary!$B$5-B8849</f>
        <v>-28656.3125989907</v>
      </c>
      <c r="E8849" s="15" t="n">
        <f aca="false">B8849/Summary!$B$5-1</f>
        <v>0.286563125989907</v>
      </c>
    </row>
    <row r="8850" customFormat="false" ht="15" hidden="false" customHeight="false" outlineLevel="0" collapsed="false">
      <c r="A8850" s="0" t="n">
        <v>8849</v>
      </c>
      <c r="B8850" s="14" t="n">
        <v>132143.994970068</v>
      </c>
      <c r="C8850" s="15" t="n">
        <v>0.0813355392208663</v>
      </c>
      <c r="D8850" s="14" t="n">
        <f aca="false">Summary!$B$5-B8850</f>
        <v>-32143.9949700675</v>
      </c>
      <c r="E8850" s="15" t="n">
        <f aca="false">B8850/Summary!$B$5-1</f>
        <v>0.321439949700675</v>
      </c>
    </row>
    <row r="8851" customFormat="false" ht="15" hidden="false" customHeight="false" outlineLevel="0" collapsed="false">
      <c r="A8851" s="0" t="n">
        <v>8850</v>
      </c>
      <c r="B8851" s="14" t="n">
        <v>107355.132979568</v>
      </c>
      <c r="C8851" s="15" t="n">
        <v>0.0668404368880816</v>
      </c>
      <c r="D8851" s="14" t="n">
        <f aca="false">Summary!$B$5-B8851</f>
        <v>-7355.1329795676</v>
      </c>
      <c r="E8851" s="15" t="n">
        <f aca="false">B8851/Summary!$B$5-1</f>
        <v>0.073551329795676</v>
      </c>
    </row>
    <row r="8852" customFormat="false" ht="15" hidden="false" customHeight="false" outlineLevel="0" collapsed="false">
      <c r="A8852" s="0" t="n">
        <v>8851</v>
      </c>
      <c r="B8852" s="14" t="n">
        <v>97065.4819952893</v>
      </c>
      <c r="C8852" s="15" t="n">
        <v>0.145156043348674</v>
      </c>
      <c r="D8852" s="14" t="n">
        <f aca="false">Summary!$B$5-B8852</f>
        <v>2934.5180047107</v>
      </c>
      <c r="E8852" s="15" t="n">
        <f aca="false">B8852/Summary!$B$5-1</f>
        <v>-0.029345180047107</v>
      </c>
    </row>
    <row r="8853" customFormat="false" ht="15" hidden="false" customHeight="false" outlineLevel="0" collapsed="false">
      <c r="A8853" s="0" t="n">
        <v>8852</v>
      </c>
      <c r="B8853" s="14" t="n">
        <v>123557.971913471</v>
      </c>
      <c r="C8853" s="15" t="n">
        <v>0.0603829644964947</v>
      </c>
      <c r="D8853" s="14" t="n">
        <f aca="false">Summary!$B$5-B8853</f>
        <v>-23557.9719134713</v>
      </c>
      <c r="E8853" s="15" t="n">
        <f aca="false">B8853/Summary!$B$5-1</f>
        <v>0.235579719134713</v>
      </c>
    </row>
    <row r="8854" customFormat="false" ht="15" hidden="false" customHeight="false" outlineLevel="0" collapsed="false">
      <c r="A8854" s="0" t="n">
        <v>8853</v>
      </c>
      <c r="B8854" s="14" t="n">
        <v>132045.943770849</v>
      </c>
      <c r="C8854" s="15" t="n">
        <v>0.0515762538872787</v>
      </c>
      <c r="D8854" s="14" t="n">
        <f aca="false">Summary!$B$5-B8854</f>
        <v>-32045.9437708487</v>
      </c>
      <c r="E8854" s="15" t="n">
        <f aca="false">B8854/Summary!$B$5-1</f>
        <v>0.320459437708487</v>
      </c>
    </row>
    <row r="8855" customFormat="false" ht="15" hidden="false" customHeight="false" outlineLevel="0" collapsed="false">
      <c r="A8855" s="0" t="n">
        <v>8854</v>
      </c>
      <c r="B8855" s="14" t="n">
        <v>107280.142981827</v>
      </c>
      <c r="C8855" s="15" t="n">
        <v>0.071006081126255</v>
      </c>
      <c r="D8855" s="14" t="n">
        <f aca="false">Summary!$B$5-B8855</f>
        <v>-7280.1429818269</v>
      </c>
      <c r="E8855" s="15" t="n">
        <f aca="false">B8855/Summary!$B$5-1</f>
        <v>0.0728014298182689</v>
      </c>
    </row>
    <row r="8856" customFormat="false" ht="15" hidden="false" customHeight="false" outlineLevel="0" collapsed="false">
      <c r="A8856" s="0" t="n">
        <v>8855</v>
      </c>
      <c r="B8856" s="14" t="n">
        <v>117244.420788271</v>
      </c>
      <c r="C8856" s="15" t="n">
        <v>0.117341029989467</v>
      </c>
      <c r="D8856" s="14" t="n">
        <f aca="false">Summary!$B$5-B8856</f>
        <v>-17244.4207882713</v>
      </c>
      <c r="E8856" s="15" t="n">
        <f aca="false">B8856/Summary!$B$5-1</f>
        <v>0.172444207882713</v>
      </c>
    </row>
    <row r="8857" customFormat="false" ht="15" hidden="false" customHeight="false" outlineLevel="0" collapsed="false">
      <c r="A8857" s="0" t="n">
        <v>8856</v>
      </c>
      <c r="B8857" s="14" t="n">
        <v>123467.557910589</v>
      </c>
      <c r="C8857" s="15" t="n">
        <v>0.0716494488521202</v>
      </c>
      <c r="D8857" s="14" t="n">
        <f aca="false">Summary!$B$5-B8857</f>
        <v>-23467.5579105894</v>
      </c>
      <c r="E8857" s="15" t="n">
        <f aca="false">B8857/Summary!$B$5-1</f>
        <v>0.234675579105894</v>
      </c>
    </row>
    <row r="8858" customFormat="false" ht="15" hidden="false" customHeight="false" outlineLevel="0" collapsed="false">
      <c r="A8858" s="0" t="n">
        <v>8857</v>
      </c>
      <c r="B8858" s="14" t="n">
        <v>137134.779351559</v>
      </c>
      <c r="C8858" s="15" t="n">
        <v>0.0600771510350592</v>
      </c>
      <c r="D8858" s="14" t="n">
        <f aca="false">Summary!$B$5-B8858</f>
        <v>-37134.7793515587</v>
      </c>
      <c r="E8858" s="15" t="n">
        <f aca="false">B8858/Summary!$B$5-1</f>
        <v>0.371347793515587</v>
      </c>
    </row>
    <row r="8859" customFormat="false" ht="15" hidden="false" customHeight="false" outlineLevel="0" collapsed="false">
      <c r="A8859" s="0" t="n">
        <v>8858</v>
      </c>
      <c r="B8859" s="14" t="n">
        <v>99096.4132897319</v>
      </c>
      <c r="C8859" s="15" t="n">
        <v>0.196331019678768</v>
      </c>
      <c r="D8859" s="14" t="n">
        <f aca="false">Summary!$B$5-B8859</f>
        <v>903.586710268108</v>
      </c>
      <c r="E8859" s="15" t="n">
        <f aca="false">B8859/Summary!$B$5-1</f>
        <v>-0.00903586710268112</v>
      </c>
    </row>
    <row r="8860" customFormat="false" ht="15" hidden="false" customHeight="false" outlineLevel="0" collapsed="false">
      <c r="A8860" s="0" t="n">
        <v>8859</v>
      </c>
      <c r="B8860" s="14" t="n">
        <v>88804.8999427662</v>
      </c>
      <c r="C8860" s="15" t="n">
        <v>0.133025998701635</v>
      </c>
      <c r="D8860" s="14" t="n">
        <f aca="false">Summary!$B$5-B8860</f>
        <v>11195.1000572338</v>
      </c>
      <c r="E8860" s="15" t="n">
        <f aca="false">B8860/Summary!$B$5-1</f>
        <v>-0.111951000572338</v>
      </c>
    </row>
    <row r="8861" customFormat="false" ht="15" hidden="false" customHeight="false" outlineLevel="0" collapsed="false">
      <c r="A8861" s="0" t="n">
        <v>8860</v>
      </c>
      <c r="B8861" s="14" t="n">
        <v>123614.157611748</v>
      </c>
      <c r="C8861" s="15" t="n">
        <v>0.0708325677663552</v>
      </c>
      <c r="D8861" s="14" t="n">
        <f aca="false">Summary!$B$5-B8861</f>
        <v>-23614.1576117482</v>
      </c>
      <c r="E8861" s="15" t="n">
        <f aca="false">B8861/Summary!$B$5-1</f>
        <v>0.236141576117482</v>
      </c>
    </row>
    <row r="8862" customFormat="false" ht="15" hidden="false" customHeight="false" outlineLevel="0" collapsed="false">
      <c r="A8862" s="0" t="n">
        <v>8861</v>
      </c>
      <c r="B8862" s="14" t="n">
        <v>109781.606493467</v>
      </c>
      <c r="C8862" s="15" t="n">
        <v>0.0507401539965496</v>
      </c>
      <c r="D8862" s="14" t="n">
        <f aca="false">Summary!$B$5-B8862</f>
        <v>-9781.6064934669</v>
      </c>
      <c r="E8862" s="15" t="n">
        <f aca="false">B8862/Summary!$B$5-1</f>
        <v>0.0978160649346689</v>
      </c>
    </row>
    <row r="8863" customFormat="false" ht="15" hidden="false" customHeight="false" outlineLevel="0" collapsed="false">
      <c r="A8863" s="0" t="n">
        <v>8862</v>
      </c>
      <c r="B8863" s="14" t="n">
        <v>115866.96261837</v>
      </c>
      <c r="C8863" s="15" t="n">
        <v>0.106798666593686</v>
      </c>
      <c r="D8863" s="14" t="n">
        <f aca="false">Summary!$B$5-B8863</f>
        <v>-15866.9626183702</v>
      </c>
      <c r="E8863" s="15" t="n">
        <f aca="false">B8863/Summary!$B$5-1</f>
        <v>0.158669626183702</v>
      </c>
    </row>
    <row r="8864" customFormat="false" ht="15" hidden="false" customHeight="false" outlineLevel="0" collapsed="false">
      <c r="A8864" s="0" t="n">
        <v>8863</v>
      </c>
      <c r="B8864" s="14" t="n">
        <v>85852.9608490619</v>
      </c>
      <c r="C8864" s="15" t="n">
        <v>0.156646553243346</v>
      </c>
      <c r="D8864" s="14" t="n">
        <f aca="false">Summary!$B$5-B8864</f>
        <v>14147.0391509381</v>
      </c>
      <c r="E8864" s="15" t="n">
        <f aca="false">B8864/Summary!$B$5-1</f>
        <v>-0.141470391509381</v>
      </c>
    </row>
    <row r="8865" customFormat="false" ht="15" hidden="false" customHeight="false" outlineLevel="0" collapsed="false">
      <c r="A8865" s="0" t="n">
        <v>8864</v>
      </c>
      <c r="B8865" s="14" t="n">
        <v>103152.538317911</v>
      </c>
      <c r="C8865" s="15" t="n">
        <v>0.110268675734481</v>
      </c>
      <c r="D8865" s="14" t="n">
        <f aca="false">Summary!$B$5-B8865</f>
        <v>-3152.5383179114</v>
      </c>
      <c r="E8865" s="15" t="n">
        <f aca="false">B8865/Summary!$B$5-1</f>
        <v>0.031525383179114</v>
      </c>
    </row>
    <row r="8866" customFormat="false" ht="15" hidden="false" customHeight="false" outlineLevel="0" collapsed="false">
      <c r="A8866" s="0" t="n">
        <v>8865</v>
      </c>
      <c r="B8866" s="14" t="n">
        <v>100968.373383476</v>
      </c>
      <c r="C8866" s="15" t="n">
        <v>0.162447832900536</v>
      </c>
      <c r="D8866" s="14" t="n">
        <f aca="false">Summary!$B$5-B8866</f>
        <v>-968.373383476093</v>
      </c>
      <c r="E8866" s="15" t="n">
        <f aca="false">B8866/Summary!$B$5-1</f>
        <v>0.00968373383476084</v>
      </c>
    </row>
    <row r="8867" customFormat="false" ht="15" hidden="false" customHeight="false" outlineLevel="0" collapsed="false">
      <c r="A8867" s="0" t="n">
        <v>8866</v>
      </c>
      <c r="B8867" s="14" t="n">
        <v>94198.6660546854</v>
      </c>
      <c r="C8867" s="15" t="n">
        <v>0.0934214009046963</v>
      </c>
      <c r="D8867" s="14" t="n">
        <f aca="false">Summary!$B$5-B8867</f>
        <v>5801.33394531463</v>
      </c>
      <c r="E8867" s="15" t="n">
        <f aca="false">B8867/Summary!$B$5-1</f>
        <v>-0.0580133394531464</v>
      </c>
    </row>
    <row r="8868" customFormat="false" ht="15" hidden="false" customHeight="false" outlineLevel="0" collapsed="false">
      <c r="A8868" s="0" t="n">
        <v>8867</v>
      </c>
      <c r="B8868" s="14" t="n">
        <v>97137.6034012154</v>
      </c>
      <c r="C8868" s="15" t="n">
        <v>0.114459523913803</v>
      </c>
      <c r="D8868" s="14" t="n">
        <f aca="false">Summary!$B$5-B8868</f>
        <v>2862.39659878457</v>
      </c>
      <c r="E8868" s="15" t="n">
        <f aca="false">B8868/Summary!$B$5-1</f>
        <v>-0.0286239659878458</v>
      </c>
    </row>
    <row r="8869" customFormat="false" ht="15" hidden="false" customHeight="false" outlineLevel="0" collapsed="false">
      <c r="A8869" s="0" t="n">
        <v>8868</v>
      </c>
      <c r="B8869" s="14" t="n">
        <v>115800.030845003</v>
      </c>
      <c r="C8869" s="15" t="n">
        <v>0.138082294252696</v>
      </c>
      <c r="D8869" s="14" t="n">
        <f aca="false">Summary!$B$5-B8869</f>
        <v>-15800.0308450033</v>
      </c>
      <c r="E8869" s="15" t="n">
        <f aca="false">B8869/Summary!$B$5-1</f>
        <v>0.158000308450033</v>
      </c>
    </row>
    <row r="8870" customFormat="false" ht="15" hidden="false" customHeight="false" outlineLevel="0" collapsed="false">
      <c r="A8870" s="0" t="n">
        <v>8869</v>
      </c>
      <c r="B8870" s="14" t="n">
        <v>108313.455804873</v>
      </c>
      <c r="C8870" s="15" t="n">
        <v>0.102928487097204</v>
      </c>
      <c r="D8870" s="14" t="n">
        <f aca="false">Summary!$B$5-B8870</f>
        <v>-8313.4558048732</v>
      </c>
      <c r="E8870" s="15" t="n">
        <f aca="false">B8870/Summary!$B$5-1</f>
        <v>0.0831345580487319</v>
      </c>
    </row>
    <row r="8871" customFormat="false" ht="15" hidden="false" customHeight="false" outlineLevel="0" collapsed="false">
      <c r="A8871" s="0" t="n">
        <v>8870</v>
      </c>
      <c r="B8871" s="14" t="n">
        <v>118111.777813661</v>
      </c>
      <c r="C8871" s="15" t="n">
        <v>0.112129899001844</v>
      </c>
      <c r="D8871" s="14" t="n">
        <f aca="false">Summary!$B$5-B8871</f>
        <v>-18111.7778136613</v>
      </c>
      <c r="E8871" s="15" t="n">
        <f aca="false">B8871/Summary!$B$5-1</f>
        <v>0.181117778136613</v>
      </c>
    </row>
    <row r="8872" customFormat="false" ht="15" hidden="false" customHeight="false" outlineLevel="0" collapsed="false">
      <c r="A8872" s="0" t="n">
        <v>8871</v>
      </c>
      <c r="B8872" s="14" t="n">
        <v>116457.427768876</v>
      </c>
      <c r="C8872" s="15" t="n">
        <v>0.132253596470822</v>
      </c>
      <c r="D8872" s="14" t="n">
        <f aca="false">Summary!$B$5-B8872</f>
        <v>-16457.4277688763</v>
      </c>
      <c r="E8872" s="15" t="n">
        <f aca="false">B8872/Summary!$B$5-1</f>
        <v>0.164574277688763</v>
      </c>
    </row>
    <row r="8873" customFormat="false" ht="15" hidden="false" customHeight="false" outlineLevel="0" collapsed="false">
      <c r="A8873" s="0" t="n">
        <v>8872</v>
      </c>
      <c r="B8873" s="14" t="n">
        <v>88732.3663010932</v>
      </c>
      <c r="C8873" s="15" t="n">
        <v>0.211389281235902</v>
      </c>
      <c r="D8873" s="14" t="n">
        <f aca="false">Summary!$B$5-B8873</f>
        <v>11267.6336989068</v>
      </c>
      <c r="E8873" s="15" t="n">
        <f aca="false">B8873/Summary!$B$5-1</f>
        <v>-0.112676336989068</v>
      </c>
    </row>
    <row r="8874" customFormat="false" ht="15" hidden="false" customHeight="false" outlineLevel="0" collapsed="false">
      <c r="A8874" s="0" t="n">
        <v>8873</v>
      </c>
      <c r="B8874" s="14" t="n">
        <v>99309.7520044653</v>
      </c>
      <c r="C8874" s="15" t="n">
        <v>0.074288524859647</v>
      </c>
      <c r="D8874" s="14" t="n">
        <f aca="false">Summary!$B$5-B8874</f>
        <v>690.247995534708</v>
      </c>
      <c r="E8874" s="15" t="n">
        <f aca="false">B8874/Summary!$B$5-1</f>
        <v>-0.0069024799553471</v>
      </c>
    </row>
    <row r="8875" customFormat="false" ht="15" hidden="false" customHeight="false" outlineLevel="0" collapsed="false">
      <c r="A8875" s="0" t="n">
        <v>8874</v>
      </c>
      <c r="B8875" s="14" t="n">
        <v>110854.802960223</v>
      </c>
      <c r="C8875" s="15" t="n">
        <v>0.111453177507778</v>
      </c>
      <c r="D8875" s="14" t="n">
        <f aca="false">Summary!$B$5-B8875</f>
        <v>-10854.8029602232</v>
      </c>
      <c r="E8875" s="15" t="n">
        <f aca="false">B8875/Summary!$B$5-1</f>
        <v>0.108548029602232</v>
      </c>
    </row>
    <row r="8876" customFormat="false" ht="15" hidden="false" customHeight="false" outlineLevel="0" collapsed="false">
      <c r="A8876" s="0" t="n">
        <v>8875</v>
      </c>
      <c r="B8876" s="14" t="n">
        <v>106066.470497167</v>
      </c>
      <c r="C8876" s="15" t="n">
        <v>0.0911517739872046</v>
      </c>
      <c r="D8876" s="14" t="n">
        <f aca="false">Summary!$B$5-B8876</f>
        <v>-6066.47049716669</v>
      </c>
      <c r="E8876" s="15" t="n">
        <f aca="false">B8876/Summary!$B$5-1</f>
        <v>0.0606647049716669</v>
      </c>
    </row>
    <row r="8877" customFormat="false" ht="15" hidden="false" customHeight="false" outlineLevel="0" collapsed="false">
      <c r="A8877" s="0" t="n">
        <v>8876</v>
      </c>
      <c r="B8877" s="14" t="n">
        <v>104815.055097177</v>
      </c>
      <c r="C8877" s="15" t="n">
        <v>0.08018051481935</v>
      </c>
      <c r="D8877" s="14" t="n">
        <f aca="false">Summary!$B$5-B8877</f>
        <v>-4815.0550971768</v>
      </c>
      <c r="E8877" s="15" t="n">
        <f aca="false">B8877/Summary!$B$5-1</f>
        <v>0.0481505509717679</v>
      </c>
    </row>
    <row r="8878" customFormat="false" ht="15" hidden="false" customHeight="false" outlineLevel="0" collapsed="false">
      <c r="A8878" s="0" t="n">
        <v>8877</v>
      </c>
      <c r="B8878" s="14" t="n">
        <v>108049.535315888</v>
      </c>
      <c r="C8878" s="15" t="n">
        <v>0.115255983021621</v>
      </c>
      <c r="D8878" s="14" t="n">
        <f aca="false">Summary!$B$5-B8878</f>
        <v>-8049.535315888</v>
      </c>
      <c r="E8878" s="15" t="n">
        <f aca="false">B8878/Summary!$B$5-1</f>
        <v>0.0804953531588801</v>
      </c>
    </row>
    <row r="8879" customFormat="false" ht="15" hidden="false" customHeight="false" outlineLevel="0" collapsed="false">
      <c r="A8879" s="0" t="n">
        <v>8878</v>
      </c>
      <c r="B8879" s="14" t="n">
        <v>113790.539975339</v>
      </c>
      <c r="C8879" s="15" t="n">
        <v>0.0756518716019541</v>
      </c>
      <c r="D8879" s="14" t="n">
        <f aca="false">Summary!$B$5-B8879</f>
        <v>-13790.5399753391</v>
      </c>
      <c r="E8879" s="15" t="n">
        <f aca="false">B8879/Summary!$B$5-1</f>
        <v>0.137905399753391</v>
      </c>
    </row>
    <row r="8880" customFormat="false" ht="15" hidden="false" customHeight="false" outlineLevel="0" collapsed="false">
      <c r="A8880" s="0" t="n">
        <v>8879</v>
      </c>
      <c r="B8880" s="14" t="n">
        <v>117278.409783543</v>
      </c>
      <c r="C8880" s="15" t="n">
        <v>0.0766316795712817</v>
      </c>
      <c r="D8880" s="14" t="n">
        <f aca="false">Summary!$B$5-B8880</f>
        <v>-17278.4097835432</v>
      </c>
      <c r="E8880" s="15" t="n">
        <f aca="false">B8880/Summary!$B$5-1</f>
        <v>0.172784097835432</v>
      </c>
    </row>
    <row r="8881" customFormat="false" ht="15" hidden="false" customHeight="false" outlineLevel="0" collapsed="false">
      <c r="A8881" s="0" t="n">
        <v>8880</v>
      </c>
      <c r="B8881" s="14" t="n">
        <v>80101.0368521134</v>
      </c>
      <c r="C8881" s="15" t="n">
        <v>0.221155291944988</v>
      </c>
      <c r="D8881" s="14" t="n">
        <f aca="false">Summary!$B$5-B8881</f>
        <v>19898.9631478867</v>
      </c>
      <c r="E8881" s="15" t="n">
        <f aca="false">B8881/Summary!$B$5-1</f>
        <v>-0.198989631478867</v>
      </c>
    </row>
    <row r="8882" customFormat="false" ht="15" hidden="false" customHeight="false" outlineLevel="0" collapsed="false">
      <c r="A8882" s="0" t="n">
        <v>8881</v>
      </c>
      <c r="B8882" s="14" t="n">
        <v>112183.358854616</v>
      </c>
      <c r="C8882" s="15" t="n">
        <v>0.0767106654871707</v>
      </c>
      <c r="D8882" s="14" t="n">
        <f aca="false">Summary!$B$5-B8882</f>
        <v>-12183.3588546164</v>
      </c>
      <c r="E8882" s="15" t="n">
        <f aca="false">B8882/Summary!$B$5-1</f>
        <v>0.121833588546164</v>
      </c>
    </row>
    <row r="8883" customFormat="false" ht="15" hidden="false" customHeight="false" outlineLevel="0" collapsed="false">
      <c r="A8883" s="0" t="n">
        <v>8882</v>
      </c>
      <c r="B8883" s="14" t="n">
        <v>111762.160338759</v>
      </c>
      <c r="C8883" s="15" t="n">
        <v>0.0925003854318921</v>
      </c>
      <c r="D8883" s="14" t="n">
        <f aca="false">Summary!$B$5-B8883</f>
        <v>-11762.1603387593</v>
      </c>
      <c r="E8883" s="15" t="n">
        <f aca="false">B8883/Summary!$B$5-1</f>
        <v>0.117621603387593</v>
      </c>
    </row>
    <row r="8884" customFormat="false" ht="15" hidden="false" customHeight="false" outlineLevel="0" collapsed="false">
      <c r="A8884" s="0" t="n">
        <v>8883</v>
      </c>
      <c r="B8884" s="14" t="n">
        <v>117153.735586778</v>
      </c>
      <c r="C8884" s="15" t="n">
        <v>0.111624974754546</v>
      </c>
      <c r="D8884" s="14" t="n">
        <f aca="false">Summary!$B$5-B8884</f>
        <v>-17153.7355867775</v>
      </c>
      <c r="E8884" s="15" t="n">
        <f aca="false">B8884/Summary!$B$5-1</f>
        <v>0.171537355867775</v>
      </c>
    </row>
    <row r="8885" customFormat="false" ht="15" hidden="false" customHeight="false" outlineLevel="0" collapsed="false">
      <c r="A8885" s="0" t="n">
        <v>8884</v>
      </c>
      <c r="B8885" s="14" t="n">
        <v>92043.7362341783</v>
      </c>
      <c r="C8885" s="15" t="n">
        <v>0.15017077909607</v>
      </c>
      <c r="D8885" s="14" t="n">
        <f aca="false">Summary!$B$5-B8885</f>
        <v>7956.26376582171</v>
      </c>
      <c r="E8885" s="15" t="n">
        <f aca="false">B8885/Summary!$B$5-1</f>
        <v>-0.0795626376582171</v>
      </c>
    </row>
    <row r="8886" customFormat="false" ht="15" hidden="false" customHeight="false" outlineLevel="0" collapsed="false">
      <c r="A8886" s="0" t="n">
        <v>8885</v>
      </c>
      <c r="B8886" s="14" t="n">
        <v>98517.6671518357</v>
      </c>
      <c r="C8886" s="15" t="n">
        <v>0.121970901872897</v>
      </c>
      <c r="D8886" s="14" t="n">
        <f aca="false">Summary!$B$5-B8886</f>
        <v>1482.33284816434</v>
      </c>
      <c r="E8886" s="15" t="n">
        <f aca="false">B8886/Summary!$B$5-1</f>
        <v>-0.0148233284816434</v>
      </c>
    </row>
    <row r="8887" customFormat="false" ht="15" hidden="false" customHeight="false" outlineLevel="0" collapsed="false">
      <c r="A8887" s="0" t="n">
        <v>8886</v>
      </c>
      <c r="B8887" s="14" t="n">
        <v>112045.089373427</v>
      </c>
      <c r="C8887" s="15" t="n">
        <v>0.0501187928006962</v>
      </c>
      <c r="D8887" s="14" t="n">
        <f aca="false">Summary!$B$5-B8887</f>
        <v>-12045.0893734274</v>
      </c>
      <c r="E8887" s="15" t="n">
        <f aca="false">B8887/Summary!$B$5-1</f>
        <v>0.120450893734274</v>
      </c>
    </row>
    <row r="8888" customFormat="false" ht="15" hidden="false" customHeight="false" outlineLevel="0" collapsed="false">
      <c r="A8888" s="0" t="n">
        <v>8887</v>
      </c>
      <c r="B8888" s="14" t="n">
        <v>109138.51071246</v>
      </c>
      <c r="C8888" s="15" t="n">
        <v>0.0847452899066218</v>
      </c>
      <c r="D8888" s="14" t="n">
        <f aca="false">Summary!$B$5-B8888</f>
        <v>-9138.5107124598</v>
      </c>
      <c r="E8888" s="15" t="n">
        <f aca="false">B8888/Summary!$B$5-1</f>
        <v>0.0913851071245979</v>
      </c>
    </row>
    <row r="8889" customFormat="false" ht="15" hidden="false" customHeight="false" outlineLevel="0" collapsed="false">
      <c r="A8889" s="0" t="n">
        <v>8888</v>
      </c>
      <c r="B8889" s="14" t="n">
        <v>109062.570488362</v>
      </c>
      <c r="C8889" s="15" t="n">
        <v>0.0797035565723362</v>
      </c>
      <c r="D8889" s="14" t="n">
        <f aca="false">Summary!$B$5-B8889</f>
        <v>-9062.5704883622</v>
      </c>
      <c r="E8889" s="15" t="n">
        <f aca="false">B8889/Summary!$B$5-1</f>
        <v>0.0906257048836219</v>
      </c>
    </row>
    <row r="8890" customFormat="false" ht="15" hidden="false" customHeight="false" outlineLevel="0" collapsed="false">
      <c r="A8890" s="0" t="n">
        <v>8889</v>
      </c>
      <c r="B8890" s="14" t="n">
        <v>112876.793316329</v>
      </c>
      <c r="C8890" s="15" t="n">
        <v>0.125589213100322</v>
      </c>
      <c r="D8890" s="14" t="n">
        <f aca="false">Summary!$B$5-B8890</f>
        <v>-12876.7933163287</v>
      </c>
      <c r="E8890" s="15" t="n">
        <f aca="false">B8890/Summary!$B$5-1</f>
        <v>0.128767933163287</v>
      </c>
    </row>
    <row r="8891" customFormat="false" ht="15" hidden="false" customHeight="false" outlineLevel="0" collapsed="false">
      <c r="A8891" s="0" t="n">
        <v>8890</v>
      </c>
      <c r="B8891" s="14" t="n">
        <v>101203.246191592</v>
      </c>
      <c r="C8891" s="15" t="n">
        <v>0.0971019488768674</v>
      </c>
      <c r="D8891" s="14" t="n">
        <f aca="false">Summary!$B$5-B8891</f>
        <v>-1203.2461915918</v>
      </c>
      <c r="E8891" s="15" t="n">
        <f aca="false">B8891/Summary!$B$5-1</f>
        <v>0.012032461915918</v>
      </c>
    </row>
    <row r="8892" customFormat="false" ht="15" hidden="false" customHeight="false" outlineLevel="0" collapsed="false">
      <c r="A8892" s="0" t="n">
        <v>8891</v>
      </c>
      <c r="B8892" s="14" t="n">
        <v>96863.3962484127</v>
      </c>
      <c r="C8892" s="15" t="n">
        <v>0.11670262292256</v>
      </c>
      <c r="D8892" s="14" t="n">
        <f aca="false">Summary!$B$5-B8892</f>
        <v>3136.60375158726</v>
      </c>
      <c r="E8892" s="15" t="n">
        <f aca="false">B8892/Summary!$B$5-1</f>
        <v>-0.0313660375158726</v>
      </c>
    </row>
    <row r="8893" customFormat="false" ht="15" hidden="false" customHeight="false" outlineLevel="0" collapsed="false">
      <c r="A8893" s="0" t="n">
        <v>8892</v>
      </c>
      <c r="B8893" s="14" t="n">
        <v>91957.5847405253</v>
      </c>
      <c r="C8893" s="15" t="n">
        <v>0.167341814422885</v>
      </c>
      <c r="D8893" s="14" t="n">
        <f aca="false">Summary!$B$5-B8893</f>
        <v>8042.41525947471</v>
      </c>
      <c r="E8893" s="15" t="n">
        <f aca="false">B8893/Summary!$B$5-1</f>
        <v>-0.0804241525947471</v>
      </c>
    </row>
    <row r="8894" customFormat="false" ht="15" hidden="false" customHeight="false" outlineLevel="0" collapsed="false">
      <c r="A8894" s="0" t="n">
        <v>8893</v>
      </c>
      <c r="B8894" s="14" t="n">
        <v>107446.577875945</v>
      </c>
      <c r="C8894" s="15" t="n">
        <v>0.0785379900912541</v>
      </c>
      <c r="D8894" s="14" t="n">
        <f aca="false">Summary!$B$5-B8894</f>
        <v>-7446.5778759446</v>
      </c>
      <c r="E8894" s="15" t="n">
        <f aca="false">B8894/Summary!$B$5-1</f>
        <v>0.074465778759446</v>
      </c>
    </row>
    <row r="8895" customFormat="false" ht="15" hidden="false" customHeight="false" outlineLevel="0" collapsed="false">
      <c r="A8895" s="0" t="n">
        <v>8894</v>
      </c>
      <c r="B8895" s="14" t="n">
        <v>111101.743481304</v>
      </c>
      <c r="C8895" s="15" t="n">
        <v>0.0729590395652899</v>
      </c>
      <c r="D8895" s="14" t="n">
        <f aca="false">Summary!$B$5-B8895</f>
        <v>-11101.7434813038</v>
      </c>
      <c r="E8895" s="15" t="n">
        <f aca="false">B8895/Summary!$B$5-1</f>
        <v>0.111017434813038</v>
      </c>
    </row>
    <row r="8896" customFormat="false" ht="15" hidden="false" customHeight="false" outlineLevel="0" collapsed="false">
      <c r="A8896" s="0" t="n">
        <v>8895</v>
      </c>
      <c r="B8896" s="14" t="n">
        <v>94689.7736197483</v>
      </c>
      <c r="C8896" s="15" t="n">
        <v>0.136584741616335</v>
      </c>
      <c r="D8896" s="14" t="n">
        <f aca="false">Summary!$B$5-B8896</f>
        <v>5310.2263802517</v>
      </c>
      <c r="E8896" s="15" t="n">
        <f aca="false">B8896/Summary!$B$5-1</f>
        <v>-0.0531022638025169</v>
      </c>
    </row>
    <row r="8897" customFormat="false" ht="15" hidden="false" customHeight="false" outlineLevel="0" collapsed="false">
      <c r="A8897" s="0" t="n">
        <v>8896</v>
      </c>
      <c r="B8897" s="14" t="n">
        <v>104920.369593178</v>
      </c>
      <c r="C8897" s="15" t="n">
        <v>0.0597078872230635</v>
      </c>
      <c r="D8897" s="14" t="n">
        <f aca="false">Summary!$B$5-B8897</f>
        <v>-4920.36959317781</v>
      </c>
      <c r="E8897" s="15" t="n">
        <f aca="false">B8897/Summary!$B$5-1</f>
        <v>0.0492036959317781</v>
      </c>
    </row>
    <row r="8898" customFormat="false" ht="15" hidden="false" customHeight="false" outlineLevel="0" collapsed="false">
      <c r="A8898" s="0" t="n">
        <v>8897</v>
      </c>
      <c r="B8898" s="14" t="n">
        <v>113799.196681341</v>
      </c>
      <c r="C8898" s="15" t="n">
        <v>0.0631618125967393</v>
      </c>
      <c r="D8898" s="14" t="n">
        <f aca="false">Summary!$B$5-B8898</f>
        <v>-13799.1966813408</v>
      </c>
      <c r="E8898" s="15" t="n">
        <f aca="false">B8898/Summary!$B$5-1</f>
        <v>0.137991966813408</v>
      </c>
    </row>
    <row r="8899" customFormat="false" ht="15" hidden="false" customHeight="false" outlineLevel="0" collapsed="false">
      <c r="A8899" s="0" t="n">
        <v>8898</v>
      </c>
      <c r="B8899" s="14" t="n">
        <v>102818.853010273</v>
      </c>
      <c r="C8899" s="15" t="n">
        <v>0.0658836443383059</v>
      </c>
      <c r="D8899" s="14" t="n">
        <f aca="false">Summary!$B$5-B8899</f>
        <v>-2818.85301027331</v>
      </c>
      <c r="E8899" s="15" t="n">
        <f aca="false">B8899/Summary!$B$5-1</f>
        <v>0.0281885301027331</v>
      </c>
    </row>
    <row r="8900" customFormat="false" ht="15" hidden="false" customHeight="false" outlineLevel="0" collapsed="false">
      <c r="A8900" s="0" t="n">
        <v>8899</v>
      </c>
      <c r="B8900" s="14" t="n">
        <v>115092.439194707</v>
      </c>
      <c r="C8900" s="15" t="n">
        <v>0.146807584138228</v>
      </c>
      <c r="D8900" s="14" t="n">
        <f aca="false">Summary!$B$5-B8900</f>
        <v>-15092.4391947065</v>
      </c>
      <c r="E8900" s="15" t="n">
        <f aca="false">B8900/Summary!$B$5-1</f>
        <v>0.150924391947065</v>
      </c>
    </row>
    <row r="8901" customFormat="false" ht="15" hidden="false" customHeight="false" outlineLevel="0" collapsed="false">
      <c r="A8901" s="0" t="n">
        <v>8900</v>
      </c>
      <c r="B8901" s="14" t="n">
        <v>108382.466846531</v>
      </c>
      <c r="C8901" s="15" t="n">
        <v>0.0831270491367581</v>
      </c>
      <c r="D8901" s="14" t="n">
        <f aca="false">Summary!$B$5-B8901</f>
        <v>-8382.4668465305</v>
      </c>
      <c r="E8901" s="15" t="n">
        <f aca="false">B8901/Summary!$B$5-1</f>
        <v>0.083824668465305</v>
      </c>
    </row>
    <row r="8902" customFormat="false" ht="15" hidden="false" customHeight="false" outlineLevel="0" collapsed="false">
      <c r="A8902" s="0" t="n">
        <v>8901</v>
      </c>
      <c r="B8902" s="14" t="n">
        <v>104215.720609104</v>
      </c>
      <c r="C8902" s="15" t="n">
        <v>0.0847532876379565</v>
      </c>
      <c r="D8902" s="14" t="n">
        <f aca="false">Summary!$B$5-B8902</f>
        <v>-4215.7206091042</v>
      </c>
      <c r="E8902" s="15" t="n">
        <f aca="false">B8902/Summary!$B$5-1</f>
        <v>0.042157206091042</v>
      </c>
    </row>
    <row r="8903" customFormat="false" ht="15" hidden="false" customHeight="false" outlineLevel="0" collapsed="false">
      <c r="A8903" s="0" t="n">
        <v>8902</v>
      </c>
      <c r="B8903" s="14" t="n">
        <v>117050.246428026</v>
      </c>
      <c r="C8903" s="15" t="n">
        <v>0.0536959457366546</v>
      </c>
      <c r="D8903" s="14" t="n">
        <f aca="false">Summary!$B$5-B8903</f>
        <v>-17050.2464280264</v>
      </c>
      <c r="E8903" s="15" t="n">
        <f aca="false">B8903/Summary!$B$5-1</f>
        <v>0.170502464280264</v>
      </c>
    </row>
    <row r="8904" customFormat="false" ht="15" hidden="false" customHeight="false" outlineLevel="0" collapsed="false">
      <c r="A8904" s="0" t="n">
        <v>8903</v>
      </c>
      <c r="B8904" s="14" t="n">
        <v>131293.063895912</v>
      </c>
      <c r="C8904" s="15" t="n">
        <v>0.0586772665107507</v>
      </c>
      <c r="D8904" s="14" t="n">
        <f aca="false">Summary!$B$5-B8904</f>
        <v>-31293.0638959124</v>
      </c>
      <c r="E8904" s="15" t="n">
        <f aca="false">B8904/Summary!$B$5-1</f>
        <v>0.312930638959124</v>
      </c>
    </row>
    <row r="8905" customFormat="false" ht="15" hidden="false" customHeight="false" outlineLevel="0" collapsed="false">
      <c r="A8905" s="0" t="n">
        <v>8904</v>
      </c>
      <c r="B8905" s="14" t="n">
        <v>112367.191562979</v>
      </c>
      <c r="C8905" s="15" t="n">
        <v>0.0969292600184051</v>
      </c>
      <c r="D8905" s="14" t="n">
        <f aca="false">Summary!$B$5-B8905</f>
        <v>-12367.191562979</v>
      </c>
      <c r="E8905" s="15" t="n">
        <f aca="false">B8905/Summary!$B$5-1</f>
        <v>0.12367191562979</v>
      </c>
    </row>
    <row r="8906" customFormat="false" ht="15" hidden="false" customHeight="false" outlineLevel="0" collapsed="false">
      <c r="A8906" s="0" t="n">
        <v>8905</v>
      </c>
      <c r="B8906" s="14" t="n">
        <v>136113.350574415</v>
      </c>
      <c r="C8906" s="15" t="n">
        <v>0.115910600392612</v>
      </c>
      <c r="D8906" s="14" t="n">
        <f aca="false">Summary!$B$5-B8906</f>
        <v>-36113.3505744153</v>
      </c>
      <c r="E8906" s="15" t="n">
        <f aca="false">B8906/Summary!$B$5-1</f>
        <v>0.361133505744153</v>
      </c>
    </row>
    <row r="8907" customFormat="false" ht="15" hidden="false" customHeight="false" outlineLevel="0" collapsed="false">
      <c r="A8907" s="0" t="n">
        <v>8906</v>
      </c>
      <c r="B8907" s="14" t="n">
        <v>103016.013956028</v>
      </c>
      <c r="C8907" s="15" t="n">
        <v>0.121656642254439</v>
      </c>
      <c r="D8907" s="14" t="n">
        <f aca="false">Summary!$B$5-B8907</f>
        <v>-3016.01395602799</v>
      </c>
      <c r="E8907" s="15" t="n">
        <f aca="false">B8907/Summary!$B$5-1</f>
        <v>0.03016013956028</v>
      </c>
    </row>
    <row r="8908" customFormat="false" ht="15" hidden="false" customHeight="false" outlineLevel="0" collapsed="false">
      <c r="A8908" s="0" t="n">
        <v>8907</v>
      </c>
      <c r="B8908" s="14" t="n">
        <v>100531.036236905</v>
      </c>
      <c r="C8908" s="15" t="n">
        <v>0.0913783208146697</v>
      </c>
      <c r="D8908" s="14" t="n">
        <f aca="false">Summary!$B$5-B8908</f>
        <v>-531.036236904794</v>
      </c>
      <c r="E8908" s="15" t="n">
        <f aca="false">B8908/Summary!$B$5-1</f>
        <v>0.00531036236904803</v>
      </c>
    </row>
    <row r="8909" customFormat="false" ht="15" hidden="false" customHeight="false" outlineLevel="0" collapsed="false">
      <c r="A8909" s="0" t="n">
        <v>8908</v>
      </c>
      <c r="B8909" s="14" t="n">
        <v>82699.5517828171</v>
      </c>
      <c r="C8909" s="15" t="n">
        <v>0.196741613192454</v>
      </c>
      <c r="D8909" s="14" t="n">
        <f aca="false">Summary!$B$5-B8909</f>
        <v>17300.4482171829</v>
      </c>
      <c r="E8909" s="15" t="n">
        <f aca="false">B8909/Summary!$B$5-1</f>
        <v>-0.173004482171829</v>
      </c>
    </row>
    <row r="8910" customFormat="false" ht="15" hidden="false" customHeight="false" outlineLevel="0" collapsed="false">
      <c r="A8910" s="0" t="n">
        <v>8909</v>
      </c>
      <c r="B8910" s="14" t="n">
        <v>140239.452793093</v>
      </c>
      <c r="C8910" s="15" t="n">
        <v>0.0734108768239771</v>
      </c>
      <c r="D8910" s="14" t="n">
        <f aca="false">Summary!$B$5-B8910</f>
        <v>-40239.4527930934</v>
      </c>
      <c r="E8910" s="15" t="n">
        <f aca="false">B8910/Summary!$B$5-1</f>
        <v>0.402394527930934</v>
      </c>
    </row>
    <row r="8911" customFormat="false" ht="15" hidden="false" customHeight="false" outlineLevel="0" collapsed="false">
      <c r="A8911" s="0" t="n">
        <v>8910</v>
      </c>
      <c r="B8911" s="14" t="n">
        <v>117317.226996037</v>
      </c>
      <c r="C8911" s="15" t="n">
        <v>0.0686376286745772</v>
      </c>
      <c r="D8911" s="14" t="n">
        <f aca="false">Summary!$B$5-B8911</f>
        <v>-17317.2269960369</v>
      </c>
      <c r="E8911" s="15" t="n">
        <f aca="false">B8911/Summary!$B$5-1</f>
        <v>0.173172269960369</v>
      </c>
    </row>
    <row r="8912" customFormat="false" ht="15" hidden="false" customHeight="false" outlineLevel="0" collapsed="false">
      <c r="A8912" s="0" t="n">
        <v>8911</v>
      </c>
      <c r="B8912" s="14" t="n">
        <v>118090.620239097</v>
      </c>
      <c r="C8912" s="15" t="n">
        <v>0.0678773456217274</v>
      </c>
      <c r="D8912" s="14" t="n">
        <f aca="false">Summary!$B$5-B8912</f>
        <v>-18090.6202390966</v>
      </c>
      <c r="E8912" s="15" t="n">
        <f aca="false">B8912/Summary!$B$5-1</f>
        <v>0.180906202390966</v>
      </c>
    </row>
    <row r="8913" customFormat="false" ht="15" hidden="false" customHeight="false" outlineLevel="0" collapsed="false">
      <c r="A8913" s="0" t="n">
        <v>8912</v>
      </c>
      <c r="B8913" s="14" t="n">
        <v>124723.787754541</v>
      </c>
      <c r="C8913" s="15" t="n">
        <v>0.0718972427453644</v>
      </c>
      <c r="D8913" s="14" t="n">
        <f aca="false">Summary!$B$5-B8913</f>
        <v>-24723.7877545408</v>
      </c>
      <c r="E8913" s="15" t="n">
        <f aca="false">B8913/Summary!$B$5-1</f>
        <v>0.247237877545408</v>
      </c>
    </row>
    <row r="8914" customFormat="false" ht="15" hidden="false" customHeight="false" outlineLevel="0" collapsed="false">
      <c r="A8914" s="0" t="n">
        <v>8913</v>
      </c>
      <c r="B8914" s="14" t="n">
        <v>105784.983050735</v>
      </c>
      <c r="C8914" s="15" t="n">
        <v>0.0977772942633474</v>
      </c>
      <c r="D8914" s="14" t="n">
        <f aca="false">Summary!$B$5-B8914</f>
        <v>-5784.98305073461</v>
      </c>
      <c r="E8914" s="15" t="n">
        <f aca="false">B8914/Summary!$B$5-1</f>
        <v>0.057849830507346</v>
      </c>
    </row>
    <row r="8915" customFormat="false" ht="15" hidden="false" customHeight="false" outlineLevel="0" collapsed="false">
      <c r="A8915" s="0" t="n">
        <v>8914</v>
      </c>
      <c r="B8915" s="14" t="n">
        <v>137608.594051459</v>
      </c>
      <c r="C8915" s="15" t="n">
        <v>0.0466193494187612</v>
      </c>
      <c r="D8915" s="14" t="n">
        <f aca="false">Summary!$B$5-B8915</f>
        <v>-37608.5940514588</v>
      </c>
      <c r="E8915" s="15" t="n">
        <f aca="false">B8915/Summary!$B$5-1</f>
        <v>0.376085940514588</v>
      </c>
    </row>
    <row r="8916" customFormat="false" ht="15" hidden="false" customHeight="false" outlineLevel="0" collapsed="false">
      <c r="A8916" s="0" t="n">
        <v>8915</v>
      </c>
      <c r="B8916" s="14" t="n">
        <v>128907.66088712</v>
      </c>
      <c r="C8916" s="15" t="n">
        <v>0.0565997060417312</v>
      </c>
      <c r="D8916" s="14" t="n">
        <f aca="false">Summary!$B$5-B8916</f>
        <v>-28907.6608871201</v>
      </c>
      <c r="E8916" s="15" t="n">
        <f aca="false">B8916/Summary!$B$5-1</f>
        <v>0.289076608871201</v>
      </c>
    </row>
    <row r="8917" customFormat="false" ht="15" hidden="false" customHeight="false" outlineLevel="0" collapsed="false">
      <c r="A8917" s="0" t="n">
        <v>8916</v>
      </c>
      <c r="B8917" s="14" t="n">
        <v>108221.405576456</v>
      </c>
      <c r="C8917" s="15" t="n">
        <v>0.0825593731402986</v>
      </c>
      <c r="D8917" s="14" t="n">
        <f aca="false">Summary!$B$5-B8917</f>
        <v>-8221.405576456</v>
      </c>
      <c r="E8917" s="15" t="n">
        <f aca="false">B8917/Summary!$B$5-1</f>
        <v>0.0822140557645601</v>
      </c>
    </row>
    <row r="8918" customFormat="false" ht="15" hidden="false" customHeight="false" outlineLevel="0" collapsed="false">
      <c r="A8918" s="0" t="n">
        <v>8917</v>
      </c>
      <c r="B8918" s="14" t="n">
        <v>104212.419671078</v>
      </c>
      <c r="C8918" s="15" t="n">
        <v>0.0781522814327577</v>
      </c>
      <c r="D8918" s="14" t="n">
        <f aca="false">Summary!$B$5-B8918</f>
        <v>-4212.4196710784</v>
      </c>
      <c r="E8918" s="15" t="n">
        <f aca="false">B8918/Summary!$B$5-1</f>
        <v>0.0421241967107839</v>
      </c>
    </row>
    <row r="8919" customFormat="false" ht="15" hidden="false" customHeight="false" outlineLevel="0" collapsed="false">
      <c r="A8919" s="0" t="n">
        <v>8918</v>
      </c>
      <c r="B8919" s="14" t="n">
        <v>136744.22532914</v>
      </c>
      <c r="C8919" s="15" t="n">
        <v>0.0544383364646237</v>
      </c>
      <c r="D8919" s="14" t="n">
        <f aca="false">Summary!$B$5-B8919</f>
        <v>-36744.2253291402</v>
      </c>
      <c r="E8919" s="15" t="n">
        <f aca="false">B8919/Summary!$B$5-1</f>
        <v>0.367442253291402</v>
      </c>
    </row>
    <row r="8920" customFormat="false" ht="15" hidden="false" customHeight="false" outlineLevel="0" collapsed="false">
      <c r="A8920" s="0" t="n">
        <v>8919</v>
      </c>
      <c r="B8920" s="14" t="n">
        <v>103756.695663699</v>
      </c>
      <c r="C8920" s="15" t="n">
        <v>0.0793562217283502</v>
      </c>
      <c r="D8920" s="14" t="n">
        <f aca="false">Summary!$B$5-B8920</f>
        <v>-3756.69566369909</v>
      </c>
      <c r="E8920" s="15" t="n">
        <f aca="false">B8920/Summary!$B$5-1</f>
        <v>0.0375669566369909</v>
      </c>
    </row>
    <row r="8921" customFormat="false" ht="15" hidden="false" customHeight="false" outlineLevel="0" collapsed="false">
      <c r="A8921" s="0" t="n">
        <v>8920</v>
      </c>
      <c r="B8921" s="14" t="n">
        <v>120425.074359569</v>
      </c>
      <c r="C8921" s="15" t="n">
        <v>0.0549161510183102</v>
      </c>
      <c r="D8921" s="14" t="n">
        <f aca="false">Summary!$B$5-B8921</f>
        <v>-20425.0743595694</v>
      </c>
      <c r="E8921" s="15" t="n">
        <f aca="false">B8921/Summary!$B$5-1</f>
        <v>0.204250743595694</v>
      </c>
    </row>
    <row r="8922" customFormat="false" ht="15" hidden="false" customHeight="false" outlineLevel="0" collapsed="false">
      <c r="A8922" s="0" t="n">
        <v>8921</v>
      </c>
      <c r="B8922" s="14" t="n">
        <v>103622.885186274</v>
      </c>
      <c r="C8922" s="15" t="n">
        <v>0.10597010120138</v>
      </c>
      <c r="D8922" s="14" t="n">
        <f aca="false">Summary!$B$5-B8922</f>
        <v>-3622.885186274</v>
      </c>
      <c r="E8922" s="15" t="n">
        <f aca="false">B8922/Summary!$B$5-1</f>
        <v>0.0362288518627401</v>
      </c>
    </row>
    <row r="8923" customFormat="false" ht="15" hidden="false" customHeight="false" outlineLevel="0" collapsed="false">
      <c r="A8923" s="0" t="n">
        <v>8922</v>
      </c>
      <c r="B8923" s="14" t="n">
        <v>121782.429276947</v>
      </c>
      <c r="C8923" s="15" t="n">
        <v>0.0489770996645582</v>
      </c>
      <c r="D8923" s="14" t="n">
        <f aca="false">Summary!$B$5-B8923</f>
        <v>-21782.4292769472</v>
      </c>
      <c r="E8923" s="15" t="n">
        <f aca="false">B8923/Summary!$B$5-1</f>
        <v>0.217824292769472</v>
      </c>
    </row>
    <row r="8924" customFormat="false" ht="15" hidden="false" customHeight="false" outlineLevel="0" collapsed="false">
      <c r="A8924" s="0" t="n">
        <v>8923</v>
      </c>
      <c r="B8924" s="14" t="n">
        <v>113298.635937364</v>
      </c>
      <c r="C8924" s="15" t="n">
        <v>0.115922321112125</v>
      </c>
      <c r="D8924" s="14" t="n">
        <f aca="false">Summary!$B$5-B8924</f>
        <v>-13298.6359373636</v>
      </c>
      <c r="E8924" s="15" t="n">
        <f aca="false">B8924/Summary!$B$5-1</f>
        <v>0.132986359373636</v>
      </c>
    </row>
    <row r="8925" customFormat="false" ht="15" hidden="false" customHeight="false" outlineLevel="0" collapsed="false">
      <c r="A8925" s="0" t="n">
        <v>8924</v>
      </c>
      <c r="B8925" s="14" t="n">
        <v>116180.731356912</v>
      </c>
      <c r="C8925" s="15" t="n">
        <v>0.0663782811163656</v>
      </c>
      <c r="D8925" s="14" t="n">
        <f aca="false">Summary!$B$5-B8925</f>
        <v>-16180.7313569122</v>
      </c>
      <c r="E8925" s="15" t="n">
        <f aca="false">B8925/Summary!$B$5-1</f>
        <v>0.161807313569122</v>
      </c>
    </row>
    <row r="8926" customFormat="false" ht="15" hidden="false" customHeight="false" outlineLevel="0" collapsed="false">
      <c r="A8926" s="0" t="n">
        <v>8925</v>
      </c>
      <c r="B8926" s="14" t="n">
        <v>105199.008657792</v>
      </c>
      <c r="C8926" s="15" t="n">
        <v>0.0715315565473766</v>
      </c>
      <c r="D8926" s="14" t="n">
        <f aca="false">Summary!$B$5-B8926</f>
        <v>-5199.0086577919</v>
      </c>
      <c r="E8926" s="15" t="n">
        <f aca="false">B8926/Summary!$B$5-1</f>
        <v>0.051990086577919</v>
      </c>
    </row>
    <row r="8927" customFormat="false" ht="15" hidden="false" customHeight="false" outlineLevel="0" collapsed="false">
      <c r="A8927" s="0" t="n">
        <v>8926</v>
      </c>
      <c r="B8927" s="14" t="n">
        <v>112363.96009024</v>
      </c>
      <c r="C8927" s="15" t="n">
        <v>0.0700665895265722</v>
      </c>
      <c r="D8927" s="14" t="n">
        <f aca="false">Summary!$B$5-B8927</f>
        <v>-12363.9600902395</v>
      </c>
      <c r="E8927" s="15" t="n">
        <f aca="false">B8927/Summary!$B$5-1</f>
        <v>0.123639600902395</v>
      </c>
    </row>
    <row r="8928" customFormat="false" ht="15" hidden="false" customHeight="false" outlineLevel="0" collapsed="false">
      <c r="A8928" s="0" t="n">
        <v>8927</v>
      </c>
      <c r="B8928" s="14" t="n">
        <v>131955.987870503</v>
      </c>
      <c r="C8928" s="15" t="n">
        <v>0.0571377608126323</v>
      </c>
      <c r="D8928" s="14" t="n">
        <f aca="false">Summary!$B$5-B8928</f>
        <v>-31955.9878705029</v>
      </c>
      <c r="E8928" s="15" t="n">
        <f aca="false">B8928/Summary!$B$5-1</f>
        <v>0.319559878705029</v>
      </c>
    </row>
    <row r="8929" customFormat="false" ht="15" hidden="false" customHeight="false" outlineLevel="0" collapsed="false">
      <c r="A8929" s="0" t="n">
        <v>8928</v>
      </c>
      <c r="B8929" s="14" t="n">
        <v>107219.649258988</v>
      </c>
      <c r="C8929" s="15" t="n">
        <v>0.0963337888726151</v>
      </c>
      <c r="D8929" s="14" t="n">
        <f aca="false">Summary!$B$5-B8929</f>
        <v>-7219.6492589876</v>
      </c>
      <c r="E8929" s="15" t="n">
        <f aca="false">B8929/Summary!$B$5-1</f>
        <v>0.0721964925898759</v>
      </c>
    </row>
    <row r="8930" customFormat="false" ht="15" hidden="false" customHeight="false" outlineLevel="0" collapsed="false">
      <c r="A8930" s="0" t="n">
        <v>8929</v>
      </c>
      <c r="B8930" s="14" t="n">
        <v>96841.3955748206</v>
      </c>
      <c r="C8930" s="15" t="n">
        <v>0.0980518888268321</v>
      </c>
      <c r="D8930" s="14" t="n">
        <f aca="false">Summary!$B$5-B8930</f>
        <v>3158.60442517944</v>
      </c>
      <c r="E8930" s="15" t="n">
        <f aca="false">B8930/Summary!$B$5-1</f>
        <v>-0.0315860442517943</v>
      </c>
    </row>
    <row r="8931" customFormat="false" ht="15" hidden="false" customHeight="false" outlineLevel="0" collapsed="false">
      <c r="A8931" s="0" t="n">
        <v>8930</v>
      </c>
      <c r="B8931" s="14" t="n">
        <v>114667.921087049</v>
      </c>
      <c r="C8931" s="15" t="n">
        <v>0.0600964948790598</v>
      </c>
      <c r="D8931" s="14" t="n">
        <f aca="false">Summary!$B$5-B8931</f>
        <v>-14667.921087049</v>
      </c>
      <c r="E8931" s="15" t="n">
        <f aca="false">B8931/Summary!$B$5-1</f>
        <v>0.14667921087049</v>
      </c>
    </row>
    <row r="8932" customFormat="false" ht="15" hidden="false" customHeight="false" outlineLevel="0" collapsed="false">
      <c r="A8932" s="0" t="n">
        <v>8931</v>
      </c>
      <c r="B8932" s="14" t="n">
        <v>100940.193762869</v>
      </c>
      <c r="C8932" s="15" t="n">
        <v>0.113151422712002</v>
      </c>
      <c r="D8932" s="14" t="n">
        <f aca="false">Summary!$B$5-B8932</f>
        <v>-940.193762868905</v>
      </c>
      <c r="E8932" s="15" t="n">
        <f aca="false">B8932/Summary!$B$5-1</f>
        <v>0.00940193762868913</v>
      </c>
    </row>
    <row r="8933" customFormat="false" ht="15" hidden="false" customHeight="false" outlineLevel="0" collapsed="false">
      <c r="A8933" s="0" t="n">
        <v>8932</v>
      </c>
      <c r="B8933" s="14" t="n">
        <v>103419.718041371</v>
      </c>
      <c r="C8933" s="15" t="n">
        <v>0.113294124849861</v>
      </c>
      <c r="D8933" s="14" t="n">
        <f aca="false">Summary!$B$5-B8933</f>
        <v>-3419.71804137131</v>
      </c>
      <c r="E8933" s="15" t="n">
        <f aca="false">B8933/Summary!$B$5-1</f>
        <v>0.0341971804137131</v>
      </c>
    </row>
    <row r="8934" customFormat="false" ht="15" hidden="false" customHeight="false" outlineLevel="0" collapsed="false">
      <c r="A8934" s="0" t="n">
        <v>8933</v>
      </c>
      <c r="B8934" s="14" t="n">
        <v>105148.638329008</v>
      </c>
      <c r="C8934" s="15" t="n">
        <v>0.07093408690065</v>
      </c>
      <c r="D8934" s="14" t="n">
        <f aca="false">Summary!$B$5-B8934</f>
        <v>-5148.63832900841</v>
      </c>
      <c r="E8934" s="15" t="n">
        <f aca="false">B8934/Summary!$B$5-1</f>
        <v>0.051486383290084</v>
      </c>
    </row>
    <row r="8935" customFormat="false" ht="15" hidden="false" customHeight="false" outlineLevel="0" collapsed="false">
      <c r="A8935" s="0" t="n">
        <v>8934</v>
      </c>
      <c r="B8935" s="14" t="n">
        <v>111825.346482461</v>
      </c>
      <c r="C8935" s="15" t="n">
        <v>0.106266366868855</v>
      </c>
      <c r="D8935" s="14" t="n">
        <f aca="false">Summary!$B$5-B8935</f>
        <v>-11825.3464824609</v>
      </c>
      <c r="E8935" s="15" t="n">
        <f aca="false">B8935/Summary!$B$5-1</f>
        <v>0.118253464824609</v>
      </c>
    </row>
    <row r="8936" customFormat="false" ht="15" hidden="false" customHeight="false" outlineLevel="0" collapsed="false">
      <c r="A8936" s="0" t="n">
        <v>8935</v>
      </c>
      <c r="B8936" s="14" t="n">
        <v>136544.899316428</v>
      </c>
      <c r="C8936" s="15" t="n">
        <v>0.0684821947260794</v>
      </c>
      <c r="D8936" s="14" t="n">
        <f aca="false">Summary!$B$5-B8936</f>
        <v>-36544.8993164276</v>
      </c>
      <c r="E8936" s="15" t="n">
        <f aca="false">B8936/Summary!$B$5-1</f>
        <v>0.365448993164276</v>
      </c>
    </row>
    <row r="8937" customFormat="false" ht="15" hidden="false" customHeight="false" outlineLevel="0" collapsed="false">
      <c r="A8937" s="0" t="n">
        <v>8936</v>
      </c>
      <c r="B8937" s="14" t="n">
        <v>106552.731066839</v>
      </c>
      <c r="C8937" s="15" t="n">
        <v>0.0903162738189154</v>
      </c>
      <c r="D8937" s="14" t="n">
        <f aca="false">Summary!$B$5-B8937</f>
        <v>-6552.73106683941</v>
      </c>
      <c r="E8937" s="15" t="n">
        <f aca="false">B8937/Summary!$B$5-1</f>
        <v>0.065527310668394</v>
      </c>
    </row>
    <row r="8938" customFormat="false" ht="15" hidden="false" customHeight="false" outlineLevel="0" collapsed="false">
      <c r="A8938" s="0" t="n">
        <v>8937</v>
      </c>
      <c r="B8938" s="14" t="n">
        <v>88438.6996974231</v>
      </c>
      <c r="C8938" s="15" t="n">
        <v>0.184461965667193</v>
      </c>
      <c r="D8938" s="14" t="n">
        <f aca="false">Summary!$B$5-B8938</f>
        <v>11561.3003025769</v>
      </c>
      <c r="E8938" s="15" t="n">
        <f aca="false">B8938/Summary!$B$5-1</f>
        <v>-0.115613003025769</v>
      </c>
    </row>
    <row r="8939" customFormat="false" ht="15" hidden="false" customHeight="false" outlineLevel="0" collapsed="false">
      <c r="A8939" s="0" t="n">
        <v>8938</v>
      </c>
      <c r="B8939" s="14" t="n">
        <v>101911.404404133</v>
      </c>
      <c r="C8939" s="15" t="n">
        <v>0.0895052190907301</v>
      </c>
      <c r="D8939" s="14" t="n">
        <f aca="false">Summary!$B$5-B8939</f>
        <v>-1911.4044041329</v>
      </c>
      <c r="E8939" s="15" t="n">
        <f aca="false">B8939/Summary!$B$5-1</f>
        <v>0.0191140440413291</v>
      </c>
    </row>
    <row r="8940" customFormat="false" ht="15" hidden="false" customHeight="false" outlineLevel="0" collapsed="false">
      <c r="A8940" s="0" t="n">
        <v>8939</v>
      </c>
      <c r="B8940" s="14" t="n">
        <v>110795.691536806</v>
      </c>
      <c r="C8940" s="15" t="n">
        <v>0.107511751432203</v>
      </c>
      <c r="D8940" s="14" t="n">
        <f aca="false">Summary!$B$5-B8940</f>
        <v>-10795.6915368061</v>
      </c>
      <c r="E8940" s="15" t="n">
        <f aca="false">B8940/Summary!$B$5-1</f>
        <v>0.107956915368061</v>
      </c>
    </row>
    <row r="8941" customFormat="false" ht="15" hidden="false" customHeight="false" outlineLevel="0" collapsed="false">
      <c r="A8941" s="0" t="n">
        <v>8940</v>
      </c>
      <c r="B8941" s="14" t="n">
        <v>83761.6221184565</v>
      </c>
      <c r="C8941" s="15" t="n">
        <v>0.182660515195424</v>
      </c>
      <c r="D8941" s="14" t="n">
        <f aca="false">Summary!$B$5-B8941</f>
        <v>16238.3778815436</v>
      </c>
      <c r="E8941" s="15" t="n">
        <f aca="false">B8941/Summary!$B$5-1</f>
        <v>-0.162383778815436</v>
      </c>
    </row>
    <row r="8942" customFormat="false" ht="15" hidden="false" customHeight="false" outlineLevel="0" collapsed="false">
      <c r="A8942" s="0" t="n">
        <v>8941</v>
      </c>
      <c r="B8942" s="14" t="n">
        <v>75885.6506068044</v>
      </c>
      <c r="C8942" s="15" t="n">
        <v>0.276398636991546</v>
      </c>
      <c r="D8942" s="14" t="n">
        <f aca="false">Summary!$B$5-B8942</f>
        <v>24114.3493931956</v>
      </c>
      <c r="E8942" s="15" t="n">
        <f aca="false">B8942/Summary!$B$5-1</f>
        <v>-0.241143493931956</v>
      </c>
    </row>
    <row r="8943" customFormat="false" ht="15" hidden="false" customHeight="false" outlineLevel="0" collapsed="false">
      <c r="A8943" s="0" t="n">
        <v>8942</v>
      </c>
      <c r="B8943" s="14" t="n">
        <v>108394.749664132</v>
      </c>
      <c r="C8943" s="15" t="n">
        <v>0.127255806935722</v>
      </c>
      <c r="D8943" s="14" t="n">
        <f aca="false">Summary!$B$5-B8943</f>
        <v>-8394.7496641324</v>
      </c>
      <c r="E8943" s="15" t="n">
        <f aca="false">B8943/Summary!$B$5-1</f>
        <v>0.0839474966413241</v>
      </c>
    </row>
    <row r="8944" customFormat="false" ht="15" hidden="false" customHeight="false" outlineLevel="0" collapsed="false">
      <c r="A8944" s="0" t="n">
        <v>8943</v>
      </c>
      <c r="B8944" s="14" t="n">
        <v>116210.19798203</v>
      </c>
      <c r="C8944" s="15" t="n">
        <v>0.0576043470354715</v>
      </c>
      <c r="D8944" s="14" t="n">
        <f aca="false">Summary!$B$5-B8944</f>
        <v>-16210.1979820302</v>
      </c>
      <c r="E8944" s="15" t="n">
        <f aca="false">B8944/Summary!$B$5-1</f>
        <v>0.162101979820302</v>
      </c>
    </row>
    <row r="8945" customFormat="false" ht="15" hidden="false" customHeight="false" outlineLevel="0" collapsed="false">
      <c r="A8945" s="0" t="n">
        <v>8944</v>
      </c>
      <c r="B8945" s="14" t="n">
        <v>112789.854802825</v>
      </c>
      <c r="C8945" s="15" t="n">
        <v>0.0519183610185939</v>
      </c>
      <c r="D8945" s="14" t="n">
        <f aca="false">Summary!$B$5-B8945</f>
        <v>-12789.8548028245</v>
      </c>
      <c r="E8945" s="15" t="n">
        <f aca="false">B8945/Summary!$B$5-1</f>
        <v>0.127898548028245</v>
      </c>
    </row>
    <row r="8946" customFormat="false" ht="15" hidden="false" customHeight="false" outlineLevel="0" collapsed="false">
      <c r="A8946" s="0" t="n">
        <v>8945</v>
      </c>
      <c r="B8946" s="14" t="n">
        <v>93835.0424167869</v>
      </c>
      <c r="C8946" s="15" t="n">
        <v>0.099347087840446</v>
      </c>
      <c r="D8946" s="14" t="n">
        <f aca="false">Summary!$B$5-B8946</f>
        <v>6164.95758321311</v>
      </c>
      <c r="E8946" s="15" t="n">
        <f aca="false">B8946/Summary!$B$5-1</f>
        <v>-0.061649575832131</v>
      </c>
    </row>
    <row r="8947" customFormat="false" ht="15" hidden="false" customHeight="false" outlineLevel="0" collapsed="false">
      <c r="A8947" s="0" t="n">
        <v>8946</v>
      </c>
      <c r="B8947" s="14" t="n">
        <v>88083.9832165424</v>
      </c>
      <c r="C8947" s="15" t="n">
        <v>0.149546129627735</v>
      </c>
      <c r="D8947" s="14" t="n">
        <f aca="false">Summary!$B$5-B8947</f>
        <v>11916.0167834576</v>
      </c>
      <c r="E8947" s="15" t="n">
        <f aca="false">B8947/Summary!$B$5-1</f>
        <v>-0.119160167834576</v>
      </c>
    </row>
    <row r="8948" customFormat="false" ht="15" hidden="false" customHeight="false" outlineLevel="0" collapsed="false">
      <c r="A8948" s="0" t="n">
        <v>8947</v>
      </c>
      <c r="B8948" s="14" t="n">
        <v>107357.331490395</v>
      </c>
      <c r="C8948" s="15" t="n">
        <v>0.0745515904272954</v>
      </c>
      <c r="D8948" s="14" t="n">
        <f aca="false">Summary!$B$5-B8948</f>
        <v>-7357.3314903947</v>
      </c>
      <c r="E8948" s="15" t="n">
        <f aca="false">B8948/Summary!$B$5-1</f>
        <v>0.073573314903947</v>
      </c>
    </row>
    <row r="8949" customFormat="false" ht="15" hidden="false" customHeight="false" outlineLevel="0" collapsed="false">
      <c r="A8949" s="0" t="n">
        <v>8948</v>
      </c>
      <c r="B8949" s="14" t="n">
        <v>110388.207095031</v>
      </c>
      <c r="C8949" s="15" t="n">
        <v>0.103849392349956</v>
      </c>
      <c r="D8949" s="14" t="n">
        <f aca="false">Summary!$B$5-B8949</f>
        <v>-10388.2070950308</v>
      </c>
      <c r="E8949" s="15" t="n">
        <f aca="false">B8949/Summary!$B$5-1</f>
        <v>0.103882070950308</v>
      </c>
    </row>
    <row r="8950" customFormat="false" ht="15" hidden="false" customHeight="false" outlineLevel="0" collapsed="false">
      <c r="A8950" s="0" t="n">
        <v>8949</v>
      </c>
      <c r="B8950" s="14" t="n">
        <v>89664.8670387361</v>
      </c>
      <c r="C8950" s="15" t="n">
        <v>0.187772252038168</v>
      </c>
      <c r="D8950" s="14" t="n">
        <f aca="false">Summary!$B$5-B8950</f>
        <v>10335.1329612639</v>
      </c>
      <c r="E8950" s="15" t="n">
        <f aca="false">B8950/Summary!$B$5-1</f>
        <v>-0.103351329612639</v>
      </c>
    </row>
    <row r="8951" customFormat="false" ht="15" hidden="false" customHeight="false" outlineLevel="0" collapsed="false">
      <c r="A8951" s="0" t="n">
        <v>8950</v>
      </c>
      <c r="B8951" s="14" t="n">
        <v>113951.26379817</v>
      </c>
      <c r="C8951" s="15" t="n">
        <v>0.0677874356387801</v>
      </c>
      <c r="D8951" s="14" t="n">
        <f aca="false">Summary!$B$5-B8951</f>
        <v>-13951.2637981701</v>
      </c>
      <c r="E8951" s="15" t="n">
        <f aca="false">B8951/Summary!$B$5-1</f>
        <v>0.139512637981701</v>
      </c>
    </row>
    <row r="8952" customFormat="false" ht="15" hidden="false" customHeight="false" outlineLevel="0" collapsed="false">
      <c r="A8952" s="0" t="n">
        <v>8951</v>
      </c>
      <c r="B8952" s="14" t="n">
        <v>120263.730928689</v>
      </c>
      <c r="C8952" s="15" t="n">
        <v>0.0643509646137584</v>
      </c>
      <c r="D8952" s="14" t="n">
        <f aca="false">Summary!$B$5-B8952</f>
        <v>-20263.730928689</v>
      </c>
      <c r="E8952" s="15" t="n">
        <f aca="false">B8952/Summary!$B$5-1</f>
        <v>0.20263730928689</v>
      </c>
    </row>
    <row r="8953" customFormat="false" ht="15" hidden="false" customHeight="false" outlineLevel="0" collapsed="false">
      <c r="A8953" s="0" t="n">
        <v>8952</v>
      </c>
      <c r="B8953" s="14" t="n">
        <v>109990.31152103</v>
      </c>
      <c r="C8953" s="15" t="n">
        <v>0.0721632400490936</v>
      </c>
      <c r="D8953" s="14" t="n">
        <f aca="false">Summary!$B$5-B8953</f>
        <v>-9990.3115210301</v>
      </c>
      <c r="E8953" s="15" t="n">
        <f aca="false">B8953/Summary!$B$5-1</f>
        <v>0.0999031152103009</v>
      </c>
    </row>
    <row r="8954" customFormat="false" ht="15" hidden="false" customHeight="false" outlineLevel="0" collapsed="false">
      <c r="A8954" s="0" t="n">
        <v>8953</v>
      </c>
      <c r="B8954" s="14" t="n">
        <v>97084.3812178221</v>
      </c>
      <c r="C8954" s="15" t="n">
        <v>0.078262180365186</v>
      </c>
      <c r="D8954" s="14" t="n">
        <f aca="false">Summary!$B$5-B8954</f>
        <v>2915.61878217795</v>
      </c>
      <c r="E8954" s="15" t="n">
        <f aca="false">B8954/Summary!$B$5-1</f>
        <v>-0.0291561878217794</v>
      </c>
    </row>
    <row r="8955" customFormat="false" ht="15" hidden="false" customHeight="false" outlineLevel="0" collapsed="false">
      <c r="A8955" s="0" t="n">
        <v>8954</v>
      </c>
      <c r="B8955" s="14" t="n">
        <v>103033.996862167</v>
      </c>
      <c r="C8955" s="15" t="n">
        <v>0.0882950036167648</v>
      </c>
      <c r="D8955" s="14" t="n">
        <f aca="false">Summary!$B$5-B8955</f>
        <v>-3033.99686216661</v>
      </c>
      <c r="E8955" s="15" t="n">
        <f aca="false">B8955/Summary!$B$5-1</f>
        <v>0.0303399686216661</v>
      </c>
    </row>
    <row r="8956" customFormat="false" ht="15" hidden="false" customHeight="false" outlineLevel="0" collapsed="false">
      <c r="A8956" s="0" t="n">
        <v>8955</v>
      </c>
      <c r="B8956" s="14" t="n">
        <v>129162.585969301</v>
      </c>
      <c r="C8956" s="15" t="n">
        <v>0.0737211246255589</v>
      </c>
      <c r="D8956" s="14" t="n">
        <f aca="false">Summary!$B$5-B8956</f>
        <v>-29162.5859693009</v>
      </c>
      <c r="E8956" s="15" t="n">
        <f aca="false">B8956/Summary!$B$5-1</f>
        <v>0.291625859693009</v>
      </c>
    </row>
    <row r="8957" customFormat="false" ht="15" hidden="false" customHeight="false" outlineLevel="0" collapsed="false">
      <c r="A8957" s="0" t="n">
        <v>8956</v>
      </c>
      <c r="B8957" s="14" t="n">
        <v>110165.153514469</v>
      </c>
      <c r="C8957" s="15" t="n">
        <v>0.0955901504157705</v>
      </c>
      <c r="D8957" s="14" t="n">
        <f aca="false">Summary!$B$5-B8957</f>
        <v>-10165.1535144686</v>
      </c>
      <c r="E8957" s="15" t="n">
        <f aca="false">B8957/Summary!$B$5-1</f>
        <v>0.101651535144686</v>
      </c>
    </row>
    <row r="8958" customFormat="false" ht="15" hidden="false" customHeight="false" outlineLevel="0" collapsed="false">
      <c r="A8958" s="0" t="n">
        <v>8957</v>
      </c>
      <c r="B8958" s="14" t="n">
        <v>102184.873935537</v>
      </c>
      <c r="C8958" s="15" t="n">
        <v>0.0894281233545237</v>
      </c>
      <c r="D8958" s="14" t="n">
        <f aca="false">Summary!$B$5-B8958</f>
        <v>-2184.8739355367</v>
      </c>
      <c r="E8958" s="15" t="n">
        <f aca="false">B8958/Summary!$B$5-1</f>
        <v>0.021848739355367</v>
      </c>
    </row>
    <row r="8959" customFormat="false" ht="15" hidden="false" customHeight="false" outlineLevel="0" collapsed="false">
      <c r="A8959" s="0" t="n">
        <v>8958</v>
      </c>
      <c r="B8959" s="14" t="n">
        <v>111673.220448822</v>
      </c>
      <c r="C8959" s="15" t="n">
        <v>0.0821938511881915</v>
      </c>
      <c r="D8959" s="14" t="n">
        <f aca="false">Summary!$B$5-B8959</f>
        <v>-11673.2204488219</v>
      </c>
      <c r="E8959" s="15" t="n">
        <f aca="false">B8959/Summary!$B$5-1</f>
        <v>0.116732204488219</v>
      </c>
    </row>
    <row r="8960" customFormat="false" ht="15" hidden="false" customHeight="false" outlineLevel="0" collapsed="false">
      <c r="A8960" s="0" t="n">
        <v>8959</v>
      </c>
      <c r="B8960" s="14" t="n">
        <v>114147.677058806</v>
      </c>
      <c r="C8960" s="15" t="n">
        <v>0.0732739673596942</v>
      </c>
      <c r="D8960" s="14" t="n">
        <f aca="false">Summary!$B$5-B8960</f>
        <v>-14147.6770588056</v>
      </c>
      <c r="E8960" s="15" t="n">
        <f aca="false">B8960/Summary!$B$5-1</f>
        <v>0.141476770588056</v>
      </c>
    </row>
    <row r="8961" customFormat="false" ht="15" hidden="false" customHeight="false" outlineLevel="0" collapsed="false">
      <c r="A8961" s="0" t="n">
        <v>8960</v>
      </c>
      <c r="B8961" s="14" t="n">
        <v>122957.488537625</v>
      </c>
      <c r="C8961" s="15" t="n">
        <v>0.0873971807418033</v>
      </c>
      <c r="D8961" s="14" t="n">
        <f aca="false">Summary!$B$5-B8961</f>
        <v>-22957.4885376246</v>
      </c>
      <c r="E8961" s="15" t="n">
        <f aca="false">B8961/Summary!$B$5-1</f>
        <v>0.229574885376246</v>
      </c>
    </row>
    <row r="8962" customFormat="false" ht="15" hidden="false" customHeight="false" outlineLevel="0" collapsed="false">
      <c r="A8962" s="0" t="n">
        <v>8961</v>
      </c>
      <c r="B8962" s="14" t="n">
        <v>72454.8635263836</v>
      </c>
      <c r="C8962" s="15" t="n">
        <v>0.315239208166232</v>
      </c>
      <c r="D8962" s="14" t="n">
        <f aca="false">Summary!$B$5-B8962</f>
        <v>27545.1364736164</v>
      </c>
      <c r="E8962" s="15" t="n">
        <f aca="false">B8962/Summary!$B$5-1</f>
        <v>-0.275451364736164</v>
      </c>
    </row>
    <row r="8963" customFormat="false" ht="15" hidden="false" customHeight="false" outlineLevel="0" collapsed="false">
      <c r="A8963" s="0" t="n">
        <v>8962</v>
      </c>
      <c r="B8963" s="14" t="n">
        <v>152833.759233295</v>
      </c>
      <c r="C8963" s="15" t="n">
        <v>0.0417689070483389</v>
      </c>
      <c r="D8963" s="14" t="n">
        <f aca="false">Summary!$B$5-B8963</f>
        <v>-52833.7592332947</v>
      </c>
      <c r="E8963" s="15" t="n">
        <f aca="false">B8963/Summary!$B$5-1</f>
        <v>0.528337592332947</v>
      </c>
    </row>
    <row r="8964" customFormat="false" ht="15" hidden="false" customHeight="false" outlineLevel="0" collapsed="false">
      <c r="A8964" s="0" t="n">
        <v>8963</v>
      </c>
      <c r="B8964" s="14" t="n">
        <v>100855.755763895</v>
      </c>
      <c r="C8964" s="15" t="n">
        <v>0.109133935244338</v>
      </c>
      <c r="D8964" s="14" t="n">
        <f aca="false">Summary!$B$5-B8964</f>
        <v>-855.755763894893</v>
      </c>
      <c r="E8964" s="15" t="n">
        <f aca="false">B8964/Summary!$B$5-1</f>
        <v>0.00855755763894894</v>
      </c>
    </row>
    <row r="8965" customFormat="false" ht="15" hidden="false" customHeight="false" outlineLevel="0" collapsed="false">
      <c r="A8965" s="0" t="n">
        <v>8964</v>
      </c>
      <c r="B8965" s="14" t="n">
        <v>92076.6408574508</v>
      </c>
      <c r="C8965" s="15" t="n">
        <v>0.142793278773373</v>
      </c>
      <c r="D8965" s="14" t="n">
        <f aca="false">Summary!$B$5-B8965</f>
        <v>7923.35914254925</v>
      </c>
      <c r="E8965" s="15" t="n">
        <f aca="false">B8965/Summary!$B$5-1</f>
        <v>-0.0792335914254925</v>
      </c>
    </row>
    <row r="8966" customFormat="false" ht="15" hidden="false" customHeight="false" outlineLevel="0" collapsed="false">
      <c r="A8966" s="0" t="n">
        <v>8965</v>
      </c>
      <c r="B8966" s="14" t="n">
        <v>122603.365204454</v>
      </c>
      <c r="C8966" s="15" t="n">
        <v>0.0658258131898696</v>
      </c>
      <c r="D8966" s="14" t="n">
        <f aca="false">Summary!$B$5-B8966</f>
        <v>-22603.3652044535</v>
      </c>
      <c r="E8966" s="15" t="n">
        <f aca="false">B8966/Summary!$B$5-1</f>
        <v>0.226033652044535</v>
      </c>
    </row>
    <row r="8967" customFormat="false" ht="15" hidden="false" customHeight="false" outlineLevel="0" collapsed="false">
      <c r="A8967" s="0" t="n">
        <v>8966</v>
      </c>
      <c r="B8967" s="14" t="n">
        <v>94584.8311678936</v>
      </c>
      <c r="C8967" s="15" t="n">
        <v>0.174059457232966</v>
      </c>
      <c r="D8967" s="14" t="n">
        <f aca="false">Summary!$B$5-B8967</f>
        <v>5415.16883210637</v>
      </c>
      <c r="E8967" s="15" t="n">
        <f aca="false">B8967/Summary!$B$5-1</f>
        <v>-0.0541516883210637</v>
      </c>
    </row>
    <row r="8968" customFormat="false" ht="15" hidden="false" customHeight="false" outlineLevel="0" collapsed="false">
      <c r="A8968" s="0" t="n">
        <v>8967</v>
      </c>
      <c r="B8968" s="14" t="n">
        <v>117541.267596527</v>
      </c>
      <c r="C8968" s="15" t="n">
        <v>0.0752171110552179</v>
      </c>
      <c r="D8968" s="14" t="n">
        <f aca="false">Summary!$B$5-B8968</f>
        <v>-17541.267596527</v>
      </c>
      <c r="E8968" s="15" t="n">
        <f aca="false">B8968/Summary!$B$5-1</f>
        <v>0.17541267596527</v>
      </c>
    </row>
    <row r="8969" customFormat="false" ht="15" hidden="false" customHeight="false" outlineLevel="0" collapsed="false">
      <c r="A8969" s="0" t="n">
        <v>8968</v>
      </c>
      <c r="B8969" s="14" t="n">
        <v>104649.482930674</v>
      </c>
      <c r="C8969" s="15" t="n">
        <v>0.111572038877927</v>
      </c>
      <c r="D8969" s="14" t="n">
        <f aca="false">Summary!$B$5-B8969</f>
        <v>-4649.4829306741</v>
      </c>
      <c r="E8969" s="15" t="n">
        <f aca="false">B8969/Summary!$B$5-1</f>
        <v>0.0464948293067411</v>
      </c>
    </row>
    <row r="8970" customFormat="false" ht="15" hidden="false" customHeight="false" outlineLevel="0" collapsed="false">
      <c r="A8970" s="0" t="n">
        <v>8969</v>
      </c>
      <c r="B8970" s="14" t="n">
        <v>118751.257613929</v>
      </c>
      <c r="C8970" s="15" t="n">
        <v>0.0750482691221649</v>
      </c>
      <c r="D8970" s="14" t="n">
        <f aca="false">Summary!$B$5-B8970</f>
        <v>-18751.2576139294</v>
      </c>
      <c r="E8970" s="15" t="n">
        <f aca="false">B8970/Summary!$B$5-1</f>
        <v>0.187512576139294</v>
      </c>
    </row>
    <row r="8971" customFormat="false" ht="15" hidden="false" customHeight="false" outlineLevel="0" collapsed="false">
      <c r="A8971" s="0" t="n">
        <v>8970</v>
      </c>
      <c r="B8971" s="14" t="n">
        <v>95466.5252139786</v>
      </c>
      <c r="C8971" s="15" t="n">
        <v>0.0950435161730947</v>
      </c>
      <c r="D8971" s="14" t="n">
        <f aca="false">Summary!$B$5-B8971</f>
        <v>4533.4747860214</v>
      </c>
      <c r="E8971" s="15" t="n">
        <f aca="false">B8971/Summary!$B$5-1</f>
        <v>-0.045334747860214</v>
      </c>
    </row>
    <row r="8972" customFormat="false" ht="15" hidden="false" customHeight="false" outlineLevel="0" collapsed="false">
      <c r="A8972" s="0" t="n">
        <v>8971</v>
      </c>
      <c r="B8972" s="14" t="n">
        <v>106924.602799895</v>
      </c>
      <c r="C8972" s="15" t="n">
        <v>0.105960134885225</v>
      </c>
      <c r="D8972" s="14" t="n">
        <f aca="false">Summary!$B$5-B8972</f>
        <v>-6924.60279989521</v>
      </c>
      <c r="E8972" s="15" t="n">
        <f aca="false">B8972/Summary!$B$5-1</f>
        <v>0.069246027998952</v>
      </c>
    </row>
    <row r="8973" customFormat="false" ht="15" hidden="false" customHeight="false" outlineLevel="0" collapsed="false">
      <c r="A8973" s="0" t="n">
        <v>8972</v>
      </c>
      <c r="B8973" s="14" t="n">
        <v>102121.899183896</v>
      </c>
      <c r="C8973" s="15" t="n">
        <v>0.0814745539875637</v>
      </c>
      <c r="D8973" s="14" t="n">
        <f aca="false">Summary!$B$5-B8973</f>
        <v>-2121.89918389601</v>
      </c>
      <c r="E8973" s="15" t="n">
        <f aca="false">B8973/Summary!$B$5-1</f>
        <v>0.02121899183896</v>
      </c>
    </row>
    <row r="8974" customFormat="false" ht="15" hidden="false" customHeight="false" outlineLevel="0" collapsed="false">
      <c r="A8974" s="0" t="n">
        <v>8973</v>
      </c>
      <c r="B8974" s="14" t="n">
        <v>118111.14687061</v>
      </c>
      <c r="C8974" s="15" t="n">
        <v>0.0633983686585439</v>
      </c>
      <c r="D8974" s="14" t="n">
        <f aca="false">Summary!$B$5-B8974</f>
        <v>-18111.1468706095</v>
      </c>
      <c r="E8974" s="15" t="n">
        <f aca="false">B8974/Summary!$B$5-1</f>
        <v>0.181111468706095</v>
      </c>
    </row>
    <row r="8975" customFormat="false" ht="15" hidden="false" customHeight="false" outlineLevel="0" collapsed="false">
      <c r="A8975" s="0" t="n">
        <v>8974</v>
      </c>
      <c r="B8975" s="14" t="n">
        <v>119176.345176055</v>
      </c>
      <c r="C8975" s="15" t="n">
        <v>0.0966741198369482</v>
      </c>
      <c r="D8975" s="14" t="n">
        <f aca="false">Summary!$B$5-B8975</f>
        <v>-19176.3451760552</v>
      </c>
      <c r="E8975" s="15" t="n">
        <f aca="false">B8975/Summary!$B$5-1</f>
        <v>0.191763451760552</v>
      </c>
    </row>
    <row r="8976" customFormat="false" ht="15" hidden="false" customHeight="false" outlineLevel="0" collapsed="false">
      <c r="A8976" s="0" t="n">
        <v>8975</v>
      </c>
      <c r="B8976" s="14" t="n">
        <v>91381.5423216218</v>
      </c>
      <c r="C8976" s="15" t="n">
        <v>0.110795843297195</v>
      </c>
      <c r="D8976" s="14" t="n">
        <f aca="false">Summary!$B$5-B8976</f>
        <v>8618.45767837821</v>
      </c>
      <c r="E8976" s="15" t="n">
        <f aca="false">B8976/Summary!$B$5-1</f>
        <v>-0.0861845767837821</v>
      </c>
    </row>
    <row r="8977" customFormat="false" ht="15" hidden="false" customHeight="false" outlineLevel="0" collapsed="false">
      <c r="A8977" s="0" t="n">
        <v>8976</v>
      </c>
      <c r="B8977" s="14" t="n">
        <v>118235.068892427</v>
      </c>
      <c r="C8977" s="15" t="n">
        <v>0.0685435285714861</v>
      </c>
      <c r="D8977" s="14" t="n">
        <f aca="false">Summary!$B$5-B8977</f>
        <v>-18235.0688924268</v>
      </c>
      <c r="E8977" s="15" t="n">
        <f aca="false">B8977/Summary!$B$5-1</f>
        <v>0.182350688924268</v>
      </c>
    </row>
    <row r="8978" customFormat="false" ht="15" hidden="false" customHeight="false" outlineLevel="0" collapsed="false">
      <c r="A8978" s="0" t="n">
        <v>8977</v>
      </c>
      <c r="B8978" s="14" t="n">
        <v>129814.424066312</v>
      </c>
      <c r="C8978" s="15" t="n">
        <v>0.0599432120853843</v>
      </c>
      <c r="D8978" s="14" t="n">
        <f aca="false">Summary!$B$5-B8978</f>
        <v>-29814.4240663122</v>
      </c>
      <c r="E8978" s="15" t="n">
        <f aca="false">B8978/Summary!$B$5-1</f>
        <v>0.298144240663122</v>
      </c>
    </row>
    <row r="8979" customFormat="false" ht="15" hidden="false" customHeight="false" outlineLevel="0" collapsed="false">
      <c r="A8979" s="0" t="n">
        <v>8978</v>
      </c>
      <c r="B8979" s="14" t="n">
        <v>134673.115690148</v>
      </c>
      <c r="C8979" s="15" t="n">
        <v>0.0661082186756263</v>
      </c>
      <c r="D8979" s="14" t="n">
        <f aca="false">Summary!$B$5-B8979</f>
        <v>-34673.1156901483</v>
      </c>
      <c r="E8979" s="15" t="n">
        <f aca="false">B8979/Summary!$B$5-1</f>
        <v>0.346731156901483</v>
      </c>
    </row>
    <row r="8980" customFormat="false" ht="15" hidden="false" customHeight="false" outlineLevel="0" collapsed="false">
      <c r="A8980" s="0" t="n">
        <v>8979</v>
      </c>
      <c r="B8980" s="14" t="n">
        <v>103289.043407919</v>
      </c>
      <c r="C8980" s="15" t="n">
        <v>0.0827163463255159</v>
      </c>
      <c r="D8980" s="14" t="n">
        <f aca="false">Summary!$B$5-B8980</f>
        <v>-3289.04340791939</v>
      </c>
      <c r="E8980" s="15" t="n">
        <f aca="false">B8980/Summary!$B$5-1</f>
        <v>0.032890434079194</v>
      </c>
    </row>
    <row r="8981" customFormat="false" ht="15" hidden="false" customHeight="false" outlineLevel="0" collapsed="false">
      <c r="A8981" s="0" t="n">
        <v>8980</v>
      </c>
      <c r="B8981" s="14" t="n">
        <v>137132.947456142</v>
      </c>
      <c r="C8981" s="15" t="n">
        <v>0.0654271897500786</v>
      </c>
      <c r="D8981" s="14" t="n">
        <f aca="false">Summary!$B$5-B8981</f>
        <v>-37132.9474561421</v>
      </c>
      <c r="E8981" s="15" t="n">
        <f aca="false">B8981/Summary!$B$5-1</f>
        <v>0.371329474561421</v>
      </c>
    </row>
    <row r="8982" customFormat="false" ht="15" hidden="false" customHeight="false" outlineLevel="0" collapsed="false">
      <c r="A8982" s="0" t="n">
        <v>8981</v>
      </c>
      <c r="B8982" s="14" t="n">
        <v>97677.4453342161</v>
      </c>
      <c r="C8982" s="15" t="n">
        <v>0.0987864490320537</v>
      </c>
      <c r="D8982" s="14" t="n">
        <f aca="false">Summary!$B$5-B8982</f>
        <v>2322.55466578392</v>
      </c>
      <c r="E8982" s="15" t="n">
        <f aca="false">B8982/Summary!$B$5-1</f>
        <v>-0.0232255466578392</v>
      </c>
    </row>
    <row r="8983" customFormat="false" ht="15" hidden="false" customHeight="false" outlineLevel="0" collapsed="false">
      <c r="A8983" s="0" t="n">
        <v>8982</v>
      </c>
      <c r="B8983" s="14" t="n">
        <v>107898.086256171</v>
      </c>
      <c r="C8983" s="15" t="n">
        <v>0.0567647497036935</v>
      </c>
      <c r="D8983" s="14" t="n">
        <f aca="false">Summary!$B$5-B8983</f>
        <v>-7898.0862561711</v>
      </c>
      <c r="E8983" s="15" t="n">
        <f aca="false">B8983/Summary!$B$5-1</f>
        <v>0.078980862561711</v>
      </c>
    </row>
    <row r="8984" customFormat="false" ht="15" hidden="false" customHeight="false" outlineLevel="0" collapsed="false">
      <c r="A8984" s="0" t="n">
        <v>8983</v>
      </c>
      <c r="B8984" s="14" t="n">
        <v>95858.0349244529</v>
      </c>
      <c r="C8984" s="15" t="n">
        <v>0.122855393164091</v>
      </c>
      <c r="D8984" s="14" t="n">
        <f aca="false">Summary!$B$5-B8984</f>
        <v>4141.96507554708</v>
      </c>
      <c r="E8984" s="15" t="n">
        <f aca="false">B8984/Summary!$B$5-1</f>
        <v>-0.0414196507554708</v>
      </c>
    </row>
    <row r="8985" customFormat="false" ht="15" hidden="false" customHeight="false" outlineLevel="0" collapsed="false">
      <c r="A8985" s="0" t="n">
        <v>8984</v>
      </c>
      <c r="B8985" s="14" t="n">
        <v>129924.855131405</v>
      </c>
      <c r="C8985" s="15" t="n">
        <v>0.0648941220934695</v>
      </c>
      <c r="D8985" s="14" t="n">
        <f aca="false">Summary!$B$5-B8985</f>
        <v>-29924.8551314054</v>
      </c>
      <c r="E8985" s="15" t="n">
        <f aca="false">B8985/Summary!$B$5-1</f>
        <v>0.299248551314054</v>
      </c>
    </row>
    <row r="8986" customFormat="false" ht="15" hidden="false" customHeight="false" outlineLevel="0" collapsed="false">
      <c r="A8986" s="0" t="n">
        <v>8985</v>
      </c>
      <c r="B8986" s="14" t="n">
        <v>96177.7496599287</v>
      </c>
      <c r="C8986" s="15" t="n">
        <v>0.141546713815231</v>
      </c>
      <c r="D8986" s="14" t="n">
        <f aca="false">Summary!$B$5-B8986</f>
        <v>3822.25034007127</v>
      </c>
      <c r="E8986" s="15" t="n">
        <f aca="false">B8986/Summary!$B$5-1</f>
        <v>-0.0382225034007128</v>
      </c>
    </row>
    <row r="8987" customFormat="false" ht="15" hidden="false" customHeight="false" outlineLevel="0" collapsed="false">
      <c r="A8987" s="0" t="n">
        <v>8986</v>
      </c>
      <c r="B8987" s="14" t="n">
        <v>109025.758191063</v>
      </c>
      <c r="C8987" s="15" t="n">
        <v>0.0971637639640529</v>
      </c>
      <c r="D8987" s="14" t="n">
        <f aca="false">Summary!$B$5-B8987</f>
        <v>-9025.7581910626</v>
      </c>
      <c r="E8987" s="15" t="n">
        <f aca="false">B8987/Summary!$B$5-1</f>
        <v>0.0902575819106259</v>
      </c>
    </row>
    <row r="8988" customFormat="false" ht="15" hidden="false" customHeight="false" outlineLevel="0" collapsed="false">
      <c r="A8988" s="0" t="n">
        <v>8987</v>
      </c>
      <c r="B8988" s="14" t="n">
        <v>98710.5214736117</v>
      </c>
      <c r="C8988" s="15" t="n">
        <v>0.119314252430781</v>
      </c>
      <c r="D8988" s="14" t="n">
        <f aca="false">Summary!$B$5-B8988</f>
        <v>1289.4785263883</v>
      </c>
      <c r="E8988" s="15" t="n">
        <f aca="false">B8988/Summary!$B$5-1</f>
        <v>-0.012894785263883</v>
      </c>
    </row>
    <row r="8989" customFormat="false" ht="15" hidden="false" customHeight="false" outlineLevel="0" collapsed="false">
      <c r="A8989" s="0" t="n">
        <v>8988</v>
      </c>
      <c r="B8989" s="14" t="n">
        <v>100803.671824259</v>
      </c>
      <c r="C8989" s="15" t="n">
        <v>0.126891751527453</v>
      </c>
      <c r="D8989" s="14" t="n">
        <f aca="false">Summary!$B$5-B8989</f>
        <v>-803.671824259203</v>
      </c>
      <c r="E8989" s="15" t="n">
        <f aca="false">B8989/Summary!$B$5-1</f>
        <v>0.008036718242592</v>
      </c>
    </row>
    <row r="8990" customFormat="false" ht="15" hidden="false" customHeight="false" outlineLevel="0" collapsed="false">
      <c r="A8990" s="0" t="n">
        <v>8989</v>
      </c>
      <c r="B8990" s="14" t="n">
        <v>94920.2620436221</v>
      </c>
      <c r="C8990" s="15" t="n">
        <v>0.115324615209892</v>
      </c>
      <c r="D8990" s="14" t="n">
        <f aca="false">Summary!$B$5-B8990</f>
        <v>5079.73795637787</v>
      </c>
      <c r="E8990" s="15" t="n">
        <f aca="false">B8990/Summary!$B$5-1</f>
        <v>-0.0507973795637787</v>
      </c>
    </row>
    <row r="8991" customFormat="false" ht="15" hidden="false" customHeight="false" outlineLevel="0" collapsed="false">
      <c r="A8991" s="0" t="n">
        <v>8990</v>
      </c>
      <c r="B8991" s="14" t="n">
        <v>112551.016782038</v>
      </c>
      <c r="C8991" s="15" t="n">
        <v>0.0572980878348997</v>
      </c>
      <c r="D8991" s="14" t="n">
        <f aca="false">Summary!$B$5-B8991</f>
        <v>-12551.016782038</v>
      </c>
      <c r="E8991" s="15" t="n">
        <f aca="false">B8991/Summary!$B$5-1</f>
        <v>0.12551016782038</v>
      </c>
    </row>
    <row r="8992" customFormat="false" ht="15" hidden="false" customHeight="false" outlineLevel="0" collapsed="false">
      <c r="A8992" s="0" t="n">
        <v>8991</v>
      </c>
      <c r="B8992" s="14" t="n">
        <v>103304.580793656</v>
      </c>
      <c r="C8992" s="15" t="n">
        <v>0.106260651068976</v>
      </c>
      <c r="D8992" s="14" t="n">
        <f aca="false">Summary!$B$5-B8992</f>
        <v>-3304.58079365559</v>
      </c>
      <c r="E8992" s="15" t="n">
        <f aca="false">B8992/Summary!$B$5-1</f>
        <v>0.0330458079365559</v>
      </c>
    </row>
    <row r="8993" customFormat="false" ht="15" hidden="false" customHeight="false" outlineLevel="0" collapsed="false">
      <c r="A8993" s="0" t="n">
        <v>8992</v>
      </c>
      <c r="B8993" s="14" t="n">
        <v>118714.946980392</v>
      </c>
      <c r="C8993" s="15" t="n">
        <v>0.0644248587816055</v>
      </c>
      <c r="D8993" s="14" t="n">
        <f aca="false">Summary!$B$5-B8993</f>
        <v>-18714.946980392</v>
      </c>
      <c r="E8993" s="15" t="n">
        <f aca="false">B8993/Summary!$B$5-1</f>
        <v>0.18714946980392</v>
      </c>
    </row>
    <row r="8994" customFormat="false" ht="15" hidden="false" customHeight="false" outlineLevel="0" collapsed="false">
      <c r="A8994" s="0" t="n">
        <v>8993</v>
      </c>
      <c r="B8994" s="14" t="n">
        <v>116403.328324109</v>
      </c>
      <c r="C8994" s="15" t="n">
        <v>0.0706095229236076</v>
      </c>
      <c r="D8994" s="14" t="n">
        <f aca="false">Summary!$B$5-B8994</f>
        <v>-16403.3283241085</v>
      </c>
      <c r="E8994" s="15" t="n">
        <f aca="false">B8994/Summary!$B$5-1</f>
        <v>0.164033283241085</v>
      </c>
    </row>
    <row r="8995" customFormat="false" ht="15" hidden="false" customHeight="false" outlineLevel="0" collapsed="false">
      <c r="A8995" s="0" t="n">
        <v>8994</v>
      </c>
      <c r="B8995" s="14" t="n">
        <v>106109.707411726</v>
      </c>
      <c r="C8995" s="15" t="n">
        <v>0.0845206226832429</v>
      </c>
      <c r="D8995" s="14" t="n">
        <f aca="false">Summary!$B$5-B8995</f>
        <v>-6109.70741172601</v>
      </c>
      <c r="E8995" s="15" t="n">
        <f aca="false">B8995/Summary!$B$5-1</f>
        <v>0.0610970741172601</v>
      </c>
    </row>
    <row r="8996" customFormat="false" ht="15" hidden="false" customHeight="false" outlineLevel="0" collapsed="false">
      <c r="A8996" s="0" t="n">
        <v>8995</v>
      </c>
      <c r="B8996" s="14" t="n">
        <v>91351.736021111</v>
      </c>
      <c r="C8996" s="15" t="n">
        <v>0.169316862586329</v>
      </c>
      <c r="D8996" s="14" t="n">
        <f aca="false">Summary!$B$5-B8996</f>
        <v>8648.26397888902</v>
      </c>
      <c r="E8996" s="15" t="n">
        <f aca="false">B8996/Summary!$B$5-1</f>
        <v>-0.0864826397888903</v>
      </c>
    </row>
    <row r="8997" customFormat="false" ht="15" hidden="false" customHeight="false" outlineLevel="0" collapsed="false">
      <c r="A8997" s="0" t="n">
        <v>8996</v>
      </c>
      <c r="B8997" s="14" t="n">
        <v>105955.259875934</v>
      </c>
      <c r="C8997" s="15" t="n">
        <v>0.102554791575344</v>
      </c>
      <c r="D8997" s="14" t="n">
        <f aca="false">Summary!$B$5-B8997</f>
        <v>-5955.259875934</v>
      </c>
      <c r="E8997" s="15" t="n">
        <f aca="false">B8997/Summary!$B$5-1</f>
        <v>0.0595525987593399</v>
      </c>
    </row>
    <row r="8998" customFormat="false" ht="15" hidden="false" customHeight="false" outlineLevel="0" collapsed="false">
      <c r="A8998" s="0" t="n">
        <v>8997</v>
      </c>
      <c r="B8998" s="14" t="n">
        <v>100885.361349654</v>
      </c>
      <c r="C8998" s="15" t="n">
        <v>0.17924405720429</v>
      </c>
      <c r="D8998" s="14" t="n">
        <f aca="false">Summary!$B$5-B8998</f>
        <v>-885.361349654297</v>
      </c>
      <c r="E8998" s="15" t="n">
        <f aca="false">B8998/Summary!$B$5-1</f>
        <v>0.0088536134965429</v>
      </c>
    </row>
    <row r="8999" customFormat="false" ht="15" hidden="false" customHeight="false" outlineLevel="0" collapsed="false">
      <c r="A8999" s="0" t="n">
        <v>8998</v>
      </c>
      <c r="B8999" s="14" t="n">
        <v>133707.707255457</v>
      </c>
      <c r="C8999" s="15" t="n">
        <v>0.038336006190132</v>
      </c>
      <c r="D8999" s="14" t="n">
        <f aca="false">Summary!$B$5-B8999</f>
        <v>-33707.7072554565</v>
      </c>
      <c r="E8999" s="15" t="n">
        <f aca="false">B8999/Summary!$B$5-1</f>
        <v>0.337077072554565</v>
      </c>
    </row>
    <row r="9000" customFormat="false" ht="15" hidden="false" customHeight="false" outlineLevel="0" collapsed="false">
      <c r="A9000" s="0" t="n">
        <v>8999</v>
      </c>
      <c r="B9000" s="14" t="n">
        <v>130203.729458553</v>
      </c>
      <c r="C9000" s="15" t="n">
        <v>0.0664481010178931</v>
      </c>
      <c r="D9000" s="14" t="n">
        <f aca="false">Summary!$B$5-B9000</f>
        <v>-30203.7294585532</v>
      </c>
      <c r="E9000" s="15" t="n">
        <f aca="false">B9000/Summary!$B$5-1</f>
        <v>0.302037294585532</v>
      </c>
    </row>
    <row r="9001" customFormat="false" ht="15" hidden="false" customHeight="false" outlineLevel="0" collapsed="false">
      <c r="A9001" s="0" t="n">
        <v>9000</v>
      </c>
      <c r="B9001" s="14" t="n">
        <v>103803.798261001</v>
      </c>
      <c r="C9001" s="15" t="n">
        <v>0.0707112896258232</v>
      </c>
      <c r="D9001" s="14" t="n">
        <f aca="false">Summary!$B$5-B9001</f>
        <v>-3803.7982610008</v>
      </c>
      <c r="E9001" s="15" t="n">
        <f aca="false">B9001/Summary!$B$5-1</f>
        <v>0.0380379826100081</v>
      </c>
    </row>
    <row r="9002" customFormat="false" ht="15" hidden="false" customHeight="false" outlineLevel="0" collapsed="false">
      <c r="A9002" s="0" t="n">
        <v>9001</v>
      </c>
      <c r="B9002" s="14" t="n">
        <v>103324.361370835</v>
      </c>
      <c r="C9002" s="15" t="n">
        <v>0.0629322046398269</v>
      </c>
      <c r="D9002" s="14" t="n">
        <f aca="false">Summary!$B$5-B9002</f>
        <v>-3324.3613708348</v>
      </c>
      <c r="E9002" s="15" t="n">
        <f aca="false">B9002/Summary!$B$5-1</f>
        <v>0.0332436137083481</v>
      </c>
    </row>
    <row r="9003" customFormat="false" ht="15" hidden="false" customHeight="false" outlineLevel="0" collapsed="false">
      <c r="A9003" s="0" t="n">
        <v>9002</v>
      </c>
      <c r="B9003" s="14" t="n">
        <v>93431.8587748472</v>
      </c>
      <c r="C9003" s="15" t="n">
        <v>0.0903653017181163</v>
      </c>
      <c r="D9003" s="14" t="n">
        <f aca="false">Summary!$B$5-B9003</f>
        <v>6568.14122515285</v>
      </c>
      <c r="E9003" s="15" t="n">
        <f aca="false">B9003/Summary!$B$5-1</f>
        <v>-0.0656814122515286</v>
      </c>
    </row>
    <row r="9004" customFormat="false" ht="15" hidden="false" customHeight="false" outlineLevel="0" collapsed="false">
      <c r="A9004" s="0" t="n">
        <v>9003</v>
      </c>
      <c r="B9004" s="14" t="n">
        <v>107509.080349235</v>
      </c>
      <c r="C9004" s="15" t="n">
        <v>0.0779449076865505</v>
      </c>
      <c r="D9004" s="14" t="n">
        <f aca="false">Summary!$B$5-B9004</f>
        <v>-7509.0803492354</v>
      </c>
      <c r="E9004" s="15" t="n">
        <f aca="false">B9004/Summary!$B$5-1</f>
        <v>0.0750908034923541</v>
      </c>
    </row>
    <row r="9005" customFormat="false" ht="15" hidden="false" customHeight="false" outlineLevel="0" collapsed="false">
      <c r="A9005" s="0" t="n">
        <v>9004</v>
      </c>
      <c r="B9005" s="14" t="n">
        <v>120592.107096823</v>
      </c>
      <c r="C9005" s="15" t="n">
        <v>0.0668499391077477</v>
      </c>
      <c r="D9005" s="14" t="n">
        <f aca="false">Summary!$B$5-B9005</f>
        <v>-20592.1070968229</v>
      </c>
      <c r="E9005" s="15" t="n">
        <f aca="false">B9005/Summary!$B$5-1</f>
        <v>0.205921070968229</v>
      </c>
    </row>
    <row r="9006" customFormat="false" ht="15" hidden="false" customHeight="false" outlineLevel="0" collapsed="false">
      <c r="A9006" s="0" t="n">
        <v>9005</v>
      </c>
      <c r="B9006" s="14" t="n">
        <v>101810.82034142</v>
      </c>
      <c r="C9006" s="15" t="n">
        <v>0.102026552152711</v>
      </c>
      <c r="D9006" s="14" t="n">
        <f aca="false">Summary!$B$5-B9006</f>
        <v>-1810.82034141971</v>
      </c>
      <c r="E9006" s="15" t="n">
        <f aca="false">B9006/Summary!$B$5-1</f>
        <v>0.0181082034141971</v>
      </c>
    </row>
    <row r="9007" customFormat="false" ht="15" hidden="false" customHeight="false" outlineLevel="0" collapsed="false">
      <c r="A9007" s="0" t="n">
        <v>9006</v>
      </c>
      <c r="B9007" s="14" t="n">
        <v>108516.91277973</v>
      </c>
      <c r="C9007" s="15" t="n">
        <v>0.141986655855645</v>
      </c>
      <c r="D9007" s="14" t="n">
        <f aca="false">Summary!$B$5-B9007</f>
        <v>-8516.9127797298</v>
      </c>
      <c r="E9007" s="15" t="n">
        <f aca="false">B9007/Summary!$B$5-1</f>
        <v>0.0851691277972979</v>
      </c>
    </row>
    <row r="9008" customFormat="false" ht="15" hidden="false" customHeight="false" outlineLevel="0" collapsed="false">
      <c r="A9008" s="0" t="n">
        <v>9007</v>
      </c>
      <c r="B9008" s="14" t="n">
        <v>99275.344024987</v>
      </c>
      <c r="C9008" s="15" t="n">
        <v>0.0669124494512117</v>
      </c>
      <c r="D9008" s="14" t="n">
        <f aca="false">Summary!$B$5-B9008</f>
        <v>724.655975012982</v>
      </c>
      <c r="E9008" s="15" t="n">
        <f aca="false">B9008/Summary!$B$5-1</f>
        <v>-0.00724655975012978</v>
      </c>
    </row>
    <row r="9009" customFormat="false" ht="15" hidden="false" customHeight="false" outlineLevel="0" collapsed="false">
      <c r="A9009" s="0" t="n">
        <v>9008</v>
      </c>
      <c r="B9009" s="14" t="n">
        <v>107298.717061064</v>
      </c>
      <c r="C9009" s="15" t="n">
        <v>0.0901049575783556</v>
      </c>
      <c r="D9009" s="14" t="n">
        <f aca="false">Summary!$B$5-B9009</f>
        <v>-7298.7170610641</v>
      </c>
      <c r="E9009" s="15" t="n">
        <f aca="false">B9009/Summary!$B$5-1</f>
        <v>0.0729871706106411</v>
      </c>
    </row>
    <row r="9010" customFormat="false" ht="15" hidden="false" customHeight="false" outlineLevel="0" collapsed="false">
      <c r="A9010" s="0" t="n">
        <v>9009</v>
      </c>
      <c r="B9010" s="14" t="n">
        <v>120113.438301493</v>
      </c>
      <c r="C9010" s="15" t="n">
        <v>0.0962140923630145</v>
      </c>
      <c r="D9010" s="14" t="n">
        <f aca="false">Summary!$B$5-B9010</f>
        <v>-20113.4383014926</v>
      </c>
      <c r="E9010" s="15" t="n">
        <f aca="false">B9010/Summary!$B$5-1</f>
        <v>0.201134383014926</v>
      </c>
    </row>
    <row r="9011" customFormat="false" ht="15" hidden="false" customHeight="false" outlineLevel="0" collapsed="false">
      <c r="A9011" s="0" t="n">
        <v>9010</v>
      </c>
      <c r="B9011" s="14" t="n">
        <v>103122.781764191</v>
      </c>
      <c r="C9011" s="15" t="n">
        <v>0.0780745021878915</v>
      </c>
      <c r="D9011" s="14" t="n">
        <f aca="false">Summary!$B$5-B9011</f>
        <v>-3122.7817641906</v>
      </c>
      <c r="E9011" s="15" t="n">
        <f aca="false">B9011/Summary!$B$5-1</f>
        <v>0.0312278176419061</v>
      </c>
    </row>
    <row r="9012" customFormat="false" ht="15" hidden="false" customHeight="false" outlineLevel="0" collapsed="false">
      <c r="A9012" s="0" t="n">
        <v>9011</v>
      </c>
      <c r="B9012" s="14" t="n">
        <v>138026.572689163</v>
      </c>
      <c r="C9012" s="15" t="n">
        <v>0.0838605998356815</v>
      </c>
      <c r="D9012" s="14" t="n">
        <f aca="false">Summary!$B$5-B9012</f>
        <v>-38026.5726891626</v>
      </c>
      <c r="E9012" s="15" t="n">
        <f aca="false">B9012/Summary!$B$5-1</f>
        <v>0.380265726891626</v>
      </c>
    </row>
    <row r="9013" customFormat="false" ht="15" hidden="false" customHeight="false" outlineLevel="0" collapsed="false">
      <c r="A9013" s="0" t="n">
        <v>9012</v>
      </c>
      <c r="B9013" s="14" t="n">
        <v>130587.308329493</v>
      </c>
      <c r="C9013" s="15" t="n">
        <v>0.0446668491233494</v>
      </c>
      <c r="D9013" s="14" t="n">
        <f aca="false">Summary!$B$5-B9013</f>
        <v>-30587.3083294933</v>
      </c>
      <c r="E9013" s="15" t="n">
        <f aca="false">B9013/Summary!$B$5-1</f>
        <v>0.305873083294933</v>
      </c>
    </row>
    <row r="9014" customFormat="false" ht="15" hidden="false" customHeight="false" outlineLevel="0" collapsed="false">
      <c r="A9014" s="0" t="n">
        <v>9013</v>
      </c>
      <c r="B9014" s="14" t="n">
        <v>129571.002205543</v>
      </c>
      <c r="C9014" s="15" t="n">
        <v>0.0494457771643085</v>
      </c>
      <c r="D9014" s="14" t="n">
        <f aca="false">Summary!$B$5-B9014</f>
        <v>-29571.0022055427</v>
      </c>
      <c r="E9014" s="15" t="n">
        <f aca="false">B9014/Summary!$B$5-1</f>
        <v>0.295710022055427</v>
      </c>
    </row>
    <row r="9015" customFormat="false" ht="15" hidden="false" customHeight="false" outlineLevel="0" collapsed="false">
      <c r="A9015" s="0" t="n">
        <v>9014</v>
      </c>
      <c r="B9015" s="14" t="n">
        <v>94631.0806920164</v>
      </c>
      <c r="C9015" s="15" t="n">
        <v>0.162813613176465</v>
      </c>
      <c r="D9015" s="14" t="n">
        <f aca="false">Summary!$B$5-B9015</f>
        <v>5368.91930798358</v>
      </c>
      <c r="E9015" s="15" t="n">
        <f aca="false">B9015/Summary!$B$5-1</f>
        <v>-0.0536891930798358</v>
      </c>
    </row>
    <row r="9016" customFormat="false" ht="15" hidden="false" customHeight="false" outlineLevel="0" collapsed="false">
      <c r="A9016" s="0" t="n">
        <v>9015</v>
      </c>
      <c r="B9016" s="14" t="n">
        <v>128434.995030168</v>
      </c>
      <c r="C9016" s="15" t="n">
        <v>0.0924313007077063</v>
      </c>
      <c r="D9016" s="14" t="n">
        <f aca="false">Summary!$B$5-B9016</f>
        <v>-28434.995030168</v>
      </c>
      <c r="E9016" s="15" t="n">
        <f aca="false">B9016/Summary!$B$5-1</f>
        <v>0.28434995030168</v>
      </c>
    </row>
    <row r="9017" customFormat="false" ht="15" hidden="false" customHeight="false" outlineLevel="0" collapsed="false">
      <c r="A9017" s="0" t="n">
        <v>9016</v>
      </c>
      <c r="B9017" s="14" t="n">
        <v>98572.5887262309</v>
      </c>
      <c r="C9017" s="15" t="n">
        <v>0.117308569881384</v>
      </c>
      <c r="D9017" s="14" t="n">
        <f aca="false">Summary!$B$5-B9017</f>
        <v>1427.41127376913</v>
      </c>
      <c r="E9017" s="15" t="n">
        <f aca="false">B9017/Summary!$B$5-1</f>
        <v>-0.0142741127376913</v>
      </c>
    </row>
    <row r="9018" customFormat="false" ht="15" hidden="false" customHeight="false" outlineLevel="0" collapsed="false">
      <c r="A9018" s="0" t="n">
        <v>9017</v>
      </c>
      <c r="B9018" s="14" t="n">
        <v>110606.954819813</v>
      </c>
      <c r="C9018" s="15" t="n">
        <v>0.0970011505606684</v>
      </c>
      <c r="D9018" s="14" t="n">
        <f aca="false">Summary!$B$5-B9018</f>
        <v>-10606.9548198125</v>
      </c>
      <c r="E9018" s="15" t="n">
        <f aca="false">B9018/Summary!$B$5-1</f>
        <v>0.106069548198125</v>
      </c>
    </row>
    <row r="9019" customFormat="false" ht="15" hidden="false" customHeight="false" outlineLevel="0" collapsed="false">
      <c r="A9019" s="0" t="n">
        <v>9018</v>
      </c>
      <c r="B9019" s="14" t="n">
        <v>117923.862880078</v>
      </c>
      <c r="C9019" s="15" t="n">
        <v>0.0500677597101578</v>
      </c>
      <c r="D9019" s="14" t="n">
        <f aca="false">Summary!$B$5-B9019</f>
        <v>-17923.8628800779</v>
      </c>
      <c r="E9019" s="15" t="n">
        <f aca="false">B9019/Summary!$B$5-1</f>
        <v>0.179238628800779</v>
      </c>
    </row>
    <row r="9020" customFormat="false" ht="15" hidden="false" customHeight="false" outlineLevel="0" collapsed="false">
      <c r="A9020" s="0" t="n">
        <v>9019</v>
      </c>
      <c r="B9020" s="14" t="n">
        <v>115458.777468903</v>
      </c>
      <c r="C9020" s="15" t="n">
        <v>0.131196122383333</v>
      </c>
      <c r="D9020" s="14" t="n">
        <f aca="false">Summary!$B$5-B9020</f>
        <v>-15458.7774689033</v>
      </c>
      <c r="E9020" s="15" t="n">
        <f aca="false">B9020/Summary!$B$5-1</f>
        <v>0.154587774689033</v>
      </c>
    </row>
    <row r="9021" customFormat="false" ht="15" hidden="false" customHeight="false" outlineLevel="0" collapsed="false">
      <c r="A9021" s="0" t="n">
        <v>9020</v>
      </c>
      <c r="B9021" s="14" t="n">
        <v>97754.949709558</v>
      </c>
      <c r="C9021" s="15" t="n">
        <v>0.120787512960904</v>
      </c>
      <c r="D9021" s="14" t="n">
        <f aca="false">Summary!$B$5-B9021</f>
        <v>2245.050290442</v>
      </c>
      <c r="E9021" s="15" t="n">
        <f aca="false">B9021/Summary!$B$5-1</f>
        <v>-0.02245050290442</v>
      </c>
    </row>
    <row r="9022" customFormat="false" ht="15" hidden="false" customHeight="false" outlineLevel="0" collapsed="false">
      <c r="A9022" s="0" t="n">
        <v>9021</v>
      </c>
      <c r="B9022" s="14" t="n">
        <v>98353.3794727994</v>
      </c>
      <c r="C9022" s="15" t="n">
        <v>0.0874044441289978</v>
      </c>
      <c r="D9022" s="14" t="n">
        <f aca="false">Summary!$B$5-B9022</f>
        <v>1646.62052720065</v>
      </c>
      <c r="E9022" s="15" t="n">
        <f aca="false">B9022/Summary!$B$5-1</f>
        <v>-0.0164662052720065</v>
      </c>
    </row>
    <row r="9023" customFormat="false" ht="15" hidden="false" customHeight="false" outlineLevel="0" collapsed="false">
      <c r="A9023" s="0" t="n">
        <v>9022</v>
      </c>
      <c r="B9023" s="14" t="n">
        <v>112792.955942932</v>
      </c>
      <c r="C9023" s="15" t="n">
        <v>0.103418009524178</v>
      </c>
      <c r="D9023" s="14" t="n">
        <f aca="false">Summary!$B$5-B9023</f>
        <v>-12792.9559429323</v>
      </c>
      <c r="E9023" s="15" t="n">
        <f aca="false">B9023/Summary!$B$5-1</f>
        <v>0.127929559429323</v>
      </c>
    </row>
    <row r="9024" customFormat="false" ht="15" hidden="false" customHeight="false" outlineLevel="0" collapsed="false">
      <c r="A9024" s="0" t="n">
        <v>9023</v>
      </c>
      <c r="B9024" s="14" t="n">
        <v>104182.846277464</v>
      </c>
      <c r="C9024" s="15" t="n">
        <v>0.0883108836184551</v>
      </c>
      <c r="D9024" s="14" t="n">
        <f aca="false">Summary!$B$5-B9024</f>
        <v>-4182.8462774638</v>
      </c>
      <c r="E9024" s="15" t="n">
        <f aca="false">B9024/Summary!$B$5-1</f>
        <v>0.0418284627746379</v>
      </c>
    </row>
    <row r="9025" customFormat="false" ht="15" hidden="false" customHeight="false" outlineLevel="0" collapsed="false">
      <c r="A9025" s="0" t="n">
        <v>9024</v>
      </c>
      <c r="B9025" s="14" t="n">
        <v>114903.930281405</v>
      </c>
      <c r="C9025" s="15" t="n">
        <v>0.0561328840598123</v>
      </c>
      <c r="D9025" s="14" t="n">
        <f aca="false">Summary!$B$5-B9025</f>
        <v>-14903.9302814051</v>
      </c>
      <c r="E9025" s="15" t="n">
        <f aca="false">B9025/Summary!$B$5-1</f>
        <v>0.149039302814051</v>
      </c>
    </row>
    <row r="9026" customFormat="false" ht="15" hidden="false" customHeight="false" outlineLevel="0" collapsed="false">
      <c r="A9026" s="0" t="n">
        <v>9025</v>
      </c>
      <c r="B9026" s="14" t="n">
        <v>106726.1135426</v>
      </c>
      <c r="C9026" s="15" t="n">
        <v>0.0756624332347777</v>
      </c>
      <c r="D9026" s="14" t="n">
        <f aca="false">Summary!$B$5-B9026</f>
        <v>-6726.1135425996</v>
      </c>
      <c r="E9026" s="15" t="n">
        <f aca="false">B9026/Summary!$B$5-1</f>
        <v>0.067261135425996</v>
      </c>
    </row>
    <row r="9027" customFormat="false" ht="15" hidden="false" customHeight="false" outlineLevel="0" collapsed="false">
      <c r="A9027" s="0" t="n">
        <v>9026</v>
      </c>
      <c r="B9027" s="14" t="n">
        <v>87470.8073201834</v>
      </c>
      <c r="C9027" s="15" t="n">
        <v>0.183325100239814</v>
      </c>
      <c r="D9027" s="14" t="n">
        <f aca="false">Summary!$B$5-B9027</f>
        <v>12529.1926798166</v>
      </c>
      <c r="E9027" s="15" t="n">
        <f aca="false">B9027/Summary!$B$5-1</f>
        <v>-0.125291926798166</v>
      </c>
    </row>
    <row r="9028" customFormat="false" ht="15" hidden="false" customHeight="false" outlineLevel="0" collapsed="false">
      <c r="A9028" s="0" t="n">
        <v>9027</v>
      </c>
      <c r="B9028" s="14" t="n">
        <v>103153.129611871</v>
      </c>
      <c r="C9028" s="15" t="n">
        <v>0.0782574552797082</v>
      </c>
      <c r="D9028" s="14" t="n">
        <f aca="false">Summary!$B$5-B9028</f>
        <v>-3153.12961187121</v>
      </c>
      <c r="E9028" s="15" t="n">
        <f aca="false">B9028/Summary!$B$5-1</f>
        <v>0.031531296118712</v>
      </c>
    </row>
    <row r="9029" customFormat="false" ht="15" hidden="false" customHeight="false" outlineLevel="0" collapsed="false">
      <c r="A9029" s="0" t="n">
        <v>9028</v>
      </c>
      <c r="B9029" s="14" t="n">
        <v>94938.9853962125</v>
      </c>
      <c r="C9029" s="15" t="n">
        <v>0.0932414271067663</v>
      </c>
      <c r="D9029" s="14" t="n">
        <f aca="false">Summary!$B$5-B9029</f>
        <v>5061.01460378748</v>
      </c>
      <c r="E9029" s="15" t="n">
        <f aca="false">B9029/Summary!$B$5-1</f>
        <v>-0.0506101460378748</v>
      </c>
    </row>
    <row r="9030" customFormat="false" ht="15" hidden="false" customHeight="false" outlineLevel="0" collapsed="false">
      <c r="A9030" s="0" t="n">
        <v>9029</v>
      </c>
      <c r="B9030" s="14" t="n">
        <v>108836.453058469</v>
      </c>
      <c r="C9030" s="15" t="n">
        <v>0.10037689757579</v>
      </c>
      <c r="D9030" s="14" t="n">
        <f aca="false">Summary!$B$5-B9030</f>
        <v>-8836.4530584686</v>
      </c>
      <c r="E9030" s="15" t="n">
        <f aca="false">B9030/Summary!$B$5-1</f>
        <v>0.0883645305846861</v>
      </c>
    </row>
    <row r="9031" customFormat="false" ht="15" hidden="false" customHeight="false" outlineLevel="0" collapsed="false">
      <c r="A9031" s="0" t="n">
        <v>9030</v>
      </c>
      <c r="B9031" s="14" t="n">
        <v>96146.5936964932</v>
      </c>
      <c r="C9031" s="15" t="n">
        <v>0.125898608917855</v>
      </c>
      <c r="D9031" s="14" t="n">
        <f aca="false">Summary!$B$5-B9031</f>
        <v>3853.40630350677</v>
      </c>
      <c r="E9031" s="15" t="n">
        <f aca="false">B9031/Summary!$B$5-1</f>
        <v>-0.0385340630350677</v>
      </c>
    </row>
    <row r="9032" customFormat="false" ht="15" hidden="false" customHeight="false" outlineLevel="0" collapsed="false">
      <c r="A9032" s="0" t="n">
        <v>9031</v>
      </c>
      <c r="B9032" s="14" t="n">
        <v>98117.3975068029</v>
      </c>
      <c r="C9032" s="15" t="n">
        <v>0.0940786816832304</v>
      </c>
      <c r="D9032" s="14" t="n">
        <f aca="false">Summary!$B$5-B9032</f>
        <v>1882.6024931971</v>
      </c>
      <c r="E9032" s="15" t="n">
        <f aca="false">B9032/Summary!$B$5-1</f>
        <v>-0.0188260249319711</v>
      </c>
    </row>
    <row r="9033" customFormat="false" ht="15" hidden="false" customHeight="false" outlineLevel="0" collapsed="false">
      <c r="A9033" s="0" t="n">
        <v>9032</v>
      </c>
      <c r="B9033" s="14" t="n">
        <v>97907.4457243531</v>
      </c>
      <c r="C9033" s="15" t="n">
        <v>0.113255708367755</v>
      </c>
      <c r="D9033" s="14" t="n">
        <f aca="false">Summary!$B$5-B9033</f>
        <v>2092.55427564695</v>
      </c>
      <c r="E9033" s="15" t="n">
        <f aca="false">B9033/Summary!$B$5-1</f>
        <v>-0.0209255427564695</v>
      </c>
    </row>
    <row r="9034" customFormat="false" ht="15" hidden="false" customHeight="false" outlineLevel="0" collapsed="false">
      <c r="A9034" s="0" t="n">
        <v>9033</v>
      </c>
      <c r="B9034" s="14" t="n">
        <v>86465.4309332928</v>
      </c>
      <c r="C9034" s="15" t="n">
        <v>0.15841393154192</v>
      </c>
      <c r="D9034" s="14" t="n">
        <f aca="false">Summary!$B$5-B9034</f>
        <v>13534.5690667072</v>
      </c>
      <c r="E9034" s="15" t="n">
        <f aca="false">B9034/Summary!$B$5-1</f>
        <v>-0.135345690667072</v>
      </c>
    </row>
    <row r="9035" customFormat="false" ht="15" hidden="false" customHeight="false" outlineLevel="0" collapsed="false">
      <c r="A9035" s="0" t="n">
        <v>9034</v>
      </c>
      <c r="B9035" s="14" t="n">
        <v>103930.879858708</v>
      </c>
      <c r="C9035" s="15" t="n">
        <v>0.102442364428762</v>
      </c>
      <c r="D9035" s="14" t="n">
        <f aca="false">Summary!$B$5-B9035</f>
        <v>-3930.8798587075</v>
      </c>
      <c r="E9035" s="15" t="n">
        <f aca="false">B9035/Summary!$B$5-1</f>
        <v>0.039308798587075</v>
      </c>
    </row>
    <row r="9036" customFormat="false" ht="15" hidden="false" customHeight="false" outlineLevel="0" collapsed="false">
      <c r="A9036" s="0" t="n">
        <v>9035</v>
      </c>
      <c r="B9036" s="14" t="n">
        <v>121437.087591233</v>
      </c>
      <c r="C9036" s="15" t="n">
        <v>0.0596578909868456</v>
      </c>
      <c r="D9036" s="14" t="n">
        <f aca="false">Summary!$B$5-B9036</f>
        <v>-21437.0875912325</v>
      </c>
      <c r="E9036" s="15" t="n">
        <f aca="false">B9036/Summary!$B$5-1</f>
        <v>0.214370875912325</v>
      </c>
    </row>
    <row r="9037" customFormat="false" ht="15" hidden="false" customHeight="false" outlineLevel="0" collapsed="false">
      <c r="A9037" s="0" t="n">
        <v>9036</v>
      </c>
      <c r="B9037" s="14" t="n">
        <v>87194.9929084865</v>
      </c>
      <c r="C9037" s="15" t="n">
        <v>0.192779281316142</v>
      </c>
      <c r="D9037" s="14" t="n">
        <f aca="false">Summary!$B$5-B9037</f>
        <v>12805.0070915135</v>
      </c>
      <c r="E9037" s="15" t="n">
        <f aca="false">B9037/Summary!$B$5-1</f>
        <v>-0.128050070915135</v>
      </c>
    </row>
    <row r="9038" customFormat="false" ht="15" hidden="false" customHeight="false" outlineLevel="0" collapsed="false">
      <c r="A9038" s="0" t="n">
        <v>9037</v>
      </c>
      <c r="B9038" s="14" t="n">
        <v>106190.109386493</v>
      </c>
      <c r="C9038" s="15" t="n">
        <v>0.0955894414337155</v>
      </c>
      <c r="D9038" s="14" t="n">
        <f aca="false">Summary!$B$5-B9038</f>
        <v>-6190.1093864932</v>
      </c>
      <c r="E9038" s="15" t="n">
        <f aca="false">B9038/Summary!$B$5-1</f>
        <v>0.061901093864932</v>
      </c>
    </row>
    <row r="9039" customFormat="false" ht="15" hidden="false" customHeight="false" outlineLevel="0" collapsed="false">
      <c r="A9039" s="0" t="n">
        <v>9038</v>
      </c>
      <c r="B9039" s="14" t="n">
        <v>107045.894715979</v>
      </c>
      <c r="C9039" s="15" t="n">
        <v>0.0718503503251641</v>
      </c>
      <c r="D9039" s="14" t="n">
        <f aca="false">Summary!$B$5-B9039</f>
        <v>-7045.89471597879</v>
      </c>
      <c r="E9039" s="15" t="n">
        <f aca="false">B9039/Summary!$B$5-1</f>
        <v>0.0704589471597878</v>
      </c>
    </row>
    <row r="9040" customFormat="false" ht="15" hidden="false" customHeight="false" outlineLevel="0" collapsed="false">
      <c r="A9040" s="0" t="n">
        <v>9039</v>
      </c>
      <c r="B9040" s="14" t="n">
        <v>90832.7315540923</v>
      </c>
      <c r="C9040" s="15" t="n">
        <v>0.121970474091347</v>
      </c>
      <c r="D9040" s="14" t="n">
        <f aca="false">Summary!$B$5-B9040</f>
        <v>9167.26844590774</v>
      </c>
      <c r="E9040" s="15" t="n">
        <f aca="false">B9040/Summary!$B$5-1</f>
        <v>-0.0916726844590774</v>
      </c>
    </row>
    <row r="9041" customFormat="false" ht="15" hidden="false" customHeight="false" outlineLevel="0" collapsed="false">
      <c r="A9041" s="0" t="n">
        <v>9040</v>
      </c>
      <c r="B9041" s="14" t="n">
        <v>125020.436907222</v>
      </c>
      <c r="C9041" s="15" t="n">
        <v>0.0920049564021029</v>
      </c>
      <c r="D9041" s="14" t="n">
        <f aca="false">Summary!$B$5-B9041</f>
        <v>-25020.4369072219</v>
      </c>
      <c r="E9041" s="15" t="n">
        <f aca="false">B9041/Summary!$B$5-1</f>
        <v>0.250204369072219</v>
      </c>
    </row>
    <row r="9042" customFormat="false" ht="15" hidden="false" customHeight="false" outlineLevel="0" collapsed="false">
      <c r="A9042" s="0" t="n">
        <v>9041</v>
      </c>
      <c r="B9042" s="14" t="n">
        <v>104342.1175734</v>
      </c>
      <c r="C9042" s="15" t="n">
        <v>0.0951472009376043</v>
      </c>
      <c r="D9042" s="14" t="n">
        <f aca="false">Summary!$B$5-B9042</f>
        <v>-4342.1175734003</v>
      </c>
      <c r="E9042" s="15" t="n">
        <f aca="false">B9042/Summary!$B$5-1</f>
        <v>0.0434211757340031</v>
      </c>
    </row>
    <row r="9043" customFormat="false" ht="15" hidden="false" customHeight="false" outlineLevel="0" collapsed="false">
      <c r="A9043" s="0" t="n">
        <v>9042</v>
      </c>
      <c r="B9043" s="14" t="n">
        <v>117569.933838823</v>
      </c>
      <c r="C9043" s="15" t="n">
        <v>0.0596501063687868</v>
      </c>
      <c r="D9043" s="14" t="n">
        <f aca="false">Summary!$B$5-B9043</f>
        <v>-17569.9338388228</v>
      </c>
      <c r="E9043" s="15" t="n">
        <f aca="false">B9043/Summary!$B$5-1</f>
        <v>0.175699338388228</v>
      </c>
    </row>
    <row r="9044" customFormat="false" ht="15" hidden="false" customHeight="false" outlineLevel="0" collapsed="false">
      <c r="A9044" s="0" t="n">
        <v>9043</v>
      </c>
      <c r="B9044" s="14" t="n">
        <v>101494.150157048</v>
      </c>
      <c r="C9044" s="15" t="n">
        <v>0.150619041040764</v>
      </c>
      <c r="D9044" s="14" t="n">
        <f aca="false">Summary!$B$5-B9044</f>
        <v>-1494.15015704821</v>
      </c>
      <c r="E9044" s="15" t="n">
        <f aca="false">B9044/Summary!$B$5-1</f>
        <v>0.0149415015704821</v>
      </c>
    </row>
    <row r="9045" customFormat="false" ht="15" hidden="false" customHeight="false" outlineLevel="0" collapsed="false">
      <c r="A9045" s="0" t="n">
        <v>9044</v>
      </c>
      <c r="B9045" s="14" t="n">
        <v>92617.9857566137</v>
      </c>
      <c r="C9045" s="15" t="n">
        <v>0.116947473605625</v>
      </c>
      <c r="D9045" s="14" t="n">
        <f aca="false">Summary!$B$5-B9045</f>
        <v>7382.01424338626</v>
      </c>
      <c r="E9045" s="15" t="n">
        <f aca="false">B9045/Summary!$B$5-1</f>
        <v>-0.0738201424338626</v>
      </c>
    </row>
    <row r="9046" customFormat="false" ht="15" hidden="false" customHeight="false" outlineLevel="0" collapsed="false">
      <c r="A9046" s="0" t="n">
        <v>9045</v>
      </c>
      <c r="B9046" s="14" t="n">
        <v>106719.946886617</v>
      </c>
      <c r="C9046" s="15" t="n">
        <v>0.0815186876422209</v>
      </c>
      <c r="D9046" s="14" t="n">
        <f aca="false">Summary!$B$5-B9046</f>
        <v>-6719.9468866172</v>
      </c>
      <c r="E9046" s="15" t="n">
        <f aca="false">B9046/Summary!$B$5-1</f>
        <v>0.0671994688661719</v>
      </c>
    </row>
    <row r="9047" customFormat="false" ht="15" hidden="false" customHeight="false" outlineLevel="0" collapsed="false">
      <c r="A9047" s="0" t="n">
        <v>9046</v>
      </c>
      <c r="B9047" s="14" t="n">
        <v>84984.6279423285</v>
      </c>
      <c r="C9047" s="15" t="n">
        <v>0.166722104166536</v>
      </c>
      <c r="D9047" s="14" t="n">
        <f aca="false">Summary!$B$5-B9047</f>
        <v>15015.3720576715</v>
      </c>
      <c r="E9047" s="15" t="n">
        <f aca="false">B9047/Summary!$B$5-1</f>
        <v>-0.150153720576715</v>
      </c>
    </row>
    <row r="9048" customFormat="false" ht="15" hidden="false" customHeight="false" outlineLevel="0" collapsed="false">
      <c r="A9048" s="0" t="n">
        <v>9047</v>
      </c>
      <c r="B9048" s="14" t="n">
        <v>122974.449854795</v>
      </c>
      <c r="C9048" s="15" t="n">
        <v>0.0561130736649778</v>
      </c>
      <c r="D9048" s="14" t="n">
        <f aca="false">Summary!$B$5-B9048</f>
        <v>-22974.4498547954</v>
      </c>
      <c r="E9048" s="15" t="n">
        <f aca="false">B9048/Summary!$B$5-1</f>
        <v>0.229744498547954</v>
      </c>
    </row>
    <row r="9049" customFormat="false" ht="15" hidden="false" customHeight="false" outlineLevel="0" collapsed="false">
      <c r="A9049" s="0" t="n">
        <v>9048</v>
      </c>
      <c r="B9049" s="14" t="n">
        <v>117743.354924407</v>
      </c>
      <c r="C9049" s="15" t="n">
        <v>0.0464579044019569</v>
      </c>
      <c r="D9049" s="14" t="n">
        <f aca="false">Summary!$B$5-B9049</f>
        <v>-17743.3549244071</v>
      </c>
      <c r="E9049" s="15" t="n">
        <f aca="false">B9049/Summary!$B$5-1</f>
        <v>0.177433549244071</v>
      </c>
    </row>
    <row r="9050" customFormat="false" ht="15" hidden="false" customHeight="false" outlineLevel="0" collapsed="false">
      <c r="A9050" s="0" t="n">
        <v>9049</v>
      </c>
      <c r="B9050" s="14" t="n">
        <v>95096.480377989</v>
      </c>
      <c r="C9050" s="15" t="n">
        <v>0.105369402548449</v>
      </c>
      <c r="D9050" s="14" t="n">
        <f aca="false">Summary!$B$5-B9050</f>
        <v>4903.51962201097</v>
      </c>
      <c r="E9050" s="15" t="n">
        <f aca="false">B9050/Summary!$B$5-1</f>
        <v>-0.0490351962201097</v>
      </c>
    </row>
    <row r="9051" customFormat="false" ht="15" hidden="false" customHeight="false" outlineLevel="0" collapsed="false">
      <c r="A9051" s="0" t="n">
        <v>9050</v>
      </c>
      <c r="B9051" s="14" t="n">
        <v>125223.724337615</v>
      </c>
      <c r="C9051" s="15" t="n">
        <v>0.0520205730281995</v>
      </c>
      <c r="D9051" s="14" t="n">
        <f aca="false">Summary!$B$5-B9051</f>
        <v>-25223.7243376145</v>
      </c>
      <c r="E9051" s="15" t="n">
        <f aca="false">B9051/Summary!$B$5-1</f>
        <v>0.252237243376145</v>
      </c>
    </row>
    <row r="9052" customFormat="false" ht="15" hidden="false" customHeight="false" outlineLevel="0" collapsed="false">
      <c r="A9052" s="0" t="n">
        <v>9051</v>
      </c>
      <c r="B9052" s="14" t="n">
        <v>117959.082497884</v>
      </c>
      <c r="C9052" s="15" t="n">
        <v>0.0684824277592208</v>
      </c>
      <c r="D9052" s="14" t="n">
        <f aca="false">Summary!$B$5-B9052</f>
        <v>-17959.082497884</v>
      </c>
      <c r="E9052" s="15" t="n">
        <f aca="false">B9052/Summary!$B$5-1</f>
        <v>0.17959082497884</v>
      </c>
    </row>
    <row r="9053" customFormat="false" ht="15" hidden="false" customHeight="false" outlineLevel="0" collapsed="false">
      <c r="A9053" s="0" t="n">
        <v>9052</v>
      </c>
      <c r="B9053" s="14" t="n">
        <v>100236.53922592</v>
      </c>
      <c r="C9053" s="15" t="n">
        <v>0.0773026832842778</v>
      </c>
      <c r="D9053" s="14" t="n">
        <f aca="false">Summary!$B$5-B9053</f>
        <v>-236.539225920205</v>
      </c>
      <c r="E9053" s="15" t="n">
        <f aca="false">B9053/Summary!$B$5-1</f>
        <v>0.00236539225920196</v>
      </c>
    </row>
    <row r="9054" customFormat="false" ht="15" hidden="false" customHeight="false" outlineLevel="0" collapsed="false">
      <c r="A9054" s="0" t="n">
        <v>9053</v>
      </c>
      <c r="B9054" s="14" t="n">
        <v>95796.2147723895</v>
      </c>
      <c r="C9054" s="15" t="n">
        <v>0.0938115166284472</v>
      </c>
      <c r="D9054" s="14" t="n">
        <f aca="false">Summary!$B$5-B9054</f>
        <v>4203.7852276105</v>
      </c>
      <c r="E9054" s="15" t="n">
        <f aca="false">B9054/Summary!$B$5-1</f>
        <v>-0.042037852276105</v>
      </c>
    </row>
    <row r="9055" customFormat="false" ht="15" hidden="false" customHeight="false" outlineLevel="0" collapsed="false">
      <c r="A9055" s="0" t="n">
        <v>9054</v>
      </c>
      <c r="B9055" s="14" t="n">
        <v>116996.465245491</v>
      </c>
      <c r="C9055" s="15" t="n">
        <v>0.13980078333223</v>
      </c>
      <c r="D9055" s="14" t="n">
        <f aca="false">Summary!$B$5-B9055</f>
        <v>-16996.4652454914</v>
      </c>
      <c r="E9055" s="15" t="n">
        <f aca="false">B9055/Summary!$B$5-1</f>
        <v>0.169964652454914</v>
      </c>
    </row>
    <row r="9056" customFormat="false" ht="15" hidden="false" customHeight="false" outlineLevel="0" collapsed="false">
      <c r="A9056" s="0" t="n">
        <v>9055</v>
      </c>
      <c r="B9056" s="14" t="n">
        <v>119960.659655475</v>
      </c>
      <c r="C9056" s="15" t="n">
        <v>0.0728964305831497</v>
      </c>
      <c r="D9056" s="14" t="n">
        <f aca="false">Summary!$B$5-B9056</f>
        <v>-19960.6596554751</v>
      </c>
      <c r="E9056" s="15" t="n">
        <f aca="false">B9056/Summary!$B$5-1</f>
        <v>0.199606596554751</v>
      </c>
    </row>
    <row r="9057" customFormat="false" ht="15" hidden="false" customHeight="false" outlineLevel="0" collapsed="false">
      <c r="A9057" s="0" t="n">
        <v>9056</v>
      </c>
      <c r="B9057" s="14" t="n">
        <v>114144.321597294</v>
      </c>
      <c r="C9057" s="15" t="n">
        <v>0.0584209373163411</v>
      </c>
      <c r="D9057" s="14" t="n">
        <f aca="false">Summary!$B$5-B9057</f>
        <v>-14144.3215972939</v>
      </c>
      <c r="E9057" s="15" t="n">
        <f aca="false">B9057/Summary!$B$5-1</f>
        <v>0.141443215972939</v>
      </c>
    </row>
    <row r="9058" customFormat="false" ht="15" hidden="false" customHeight="false" outlineLevel="0" collapsed="false">
      <c r="A9058" s="0" t="n">
        <v>9057</v>
      </c>
      <c r="B9058" s="14" t="n">
        <v>119850.577822268</v>
      </c>
      <c r="C9058" s="15" t="n">
        <v>0.0581148510404078</v>
      </c>
      <c r="D9058" s="14" t="n">
        <f aca="false">Summary!$B$5-B9058</f>
        <v>-19850.5778222679</v>
      </c>
      <c r="E9058" s="15" t="n">
        <f aca="false">B9058/Summary!$B$5-1</f>
        <v>0.198505778222679</v>
      </c>
    </row>
    <row r="9059" customFormat="false" ht="15" hidden="false" customHeight="false" outlineLevel="0" collapsed="false">
      <c r="A9059" s="0" t="n">
        <v>9058</v>
      </c>
      <c r="B9059" s="14" t="n">
        <v>115874.84109171</v>
      </c>
      <c r="C9059" s="15" t="n">
        <v>0.0834713734096069</v>
      </c>
      <c r="D9059" s="14" t="n">
        <f aca="false">Summary!$B$5-B9059</f>
        <v>-15874.8410917098</v>
      </c>
      <c r="E9059" s="15" t="n">
        <f aca="false">B9059/Summary!$B$5-1</f>
        <v>0.158748410917098</v>
      </c>
    </row>
    <row r="9060" customFormat="false" ht="15" hidden="false" customHeight="false" outlineLevel="0" collapsed="false">
      <c r="A9060" s="0" t="n">
        <v>9059</v>
      </c>
      <c r="B9060" s="14" t="n">
        <v>112803.283584206</v>
      </c>
      <c r="C9060" s="15" t="n">
        <v>0.105830856678115</v>
      </c>
      <c r="D9060" s="14" t="n">
        <f aca="false">Summary!$B$5-B9060</f>
        <v>-12803.2835842064</v>
      </c>
      <c r="E9060" s="15" t="n">
        <f aca="false">B9060/Summary!$B$5-1</f>
        <v>0.128032835842064</v>
      </c>
    </row>
    <row r="9061" customFormat="false" ht="15" hidden="false" customHeight="false" outlineLevel="0" collapsed="false">
      <c r="A9061" s="0" t="n">
        <v>9060</v>
      </c>
      <c r="B9061" s="14" t="n">
        <v>129098.161742719</v>
      </c>
      <c r="C9061" s="15" t="n">
        <v>0.0664969152197962</v>
      </c>
      <c r="D9061" s="14" t="n">
        <f aca="false">Summary!$B$5-B9061</f>
        <v>-29098.1617427185</v>
      </c>
      <c r="E9061" s="15" t="n">
        <f aca="false">B9061/Summary!$B$5-1</f>
        <v>0.290981617427185</v>
      </c>
    </row>
    <row r="9062" customFormat="false" ht="15" hidden="false" customHeight="false" outlineLevel="0" collapsed="false">
      <c r="A9062" s="0" t="n">
        <v>9061</v>
      </c>
      <c r="B9062" s="14" t="n">
        <v>125472.623243012</v>
      </c>
      <c r="C9062" s="15" t="n">
        <v>0.057840342616213</v>
      </c>
      <c r="D9062" s="14" t="n">
        <f aca="false">Summary!$B$5-B9062</f>
        <v>-25472.6232430124</v>
      </c>
      <c r="E9062" s="15" t="n">
        <f aca="false">B9062/Summary!$B$5-1</f>
        <v>0.254726232430124</v>
      </c>
    </row>
    <row r="9063" customFormat="false" ht="15" hidden="false" customHeight="false" outlineLevel="0" collapsed="false">
      <c r="A9063" s="0" t="n">
        <v>9062</v>
      </c>
      <c r="B9063" s="14" t="n">
        <v>108593.572338898</v>
      </c>
      <c r="C9063" s="15" t="n">
        <v>0.127555014857557</v>
      </c>
      <c r="D9063" s="14" t="n">
        <f aca="false">Summary!$B$5-B9063</f>
        <v>-8593.5723388984</v>
      </c>
      <c r="E9063" s="15" t="n">
        <f aca="false">B9063/Summary!$B$5-1</f>
        <v>0.0859357233889841</v>
      </c>
    </row>
    <row r="9064" customFormat="false" ht="15" hidden="false" customHeight="false" outlineLevel="0" collapsed="false">
      <c r="A9064" s="0" t="n">
        <v>9063</v>
      </c>
      <c r="B9064" s="14" t="n">
        <v>102367.512646923</v>
      </c>
      <c r="C9064" s="15" t="n">
        <v>0.0730856298902746</v>
      </c>
      <c r="D9064" s="14" t="n">
        <f aca="false">Summary!$B$5-B9064</f>
        <v>-2367.51264692259</v>
      </c>
      <c r="E9064" s="15" t="n">
        <f aca="false">B9064/Summary!$B$5-1</f>
        <v>0.0236751264692259</v>
      </c>
    </row>
    <row r="9065" customFormat="false" ht="15" hidden="false" customHeight="false" outlineLevel="0" collapsed="false">
      <c r="A9065" s="0" t="n">
        <v>9064</v>
      </c>
      <c r="B9065" s="14" t="n">
        <v>112297.259120868</v>
      </c>
      <c r="C9065" s="15" t="n">
        <v>0.0946147757735391</v>
      </c>
      <c r="D9065" s="14" t="n">
        <f aca="false">Summary!$B$5-B9065</f>
        <v>-12297.2591208675</v>
      </c>
      <c r="E9065" s="15" t="n">
        <f aca="false">B9065/Summary!$B$5-1</f>
        <v>0.122972591208675</v>
      </c>
    </row>
    <row r="9066" customFormat="false" ht="15" hidden="false" customHeight="false" outlineLevel="0" collapsed="false">
      <c r="A9066" s="0" t="n">
        <v>9065</v>
      </c>
      <c r="B9066" s="14" t="n">
        <v>139718.824758958</v>
      </c>
      <c r="C9066" s="15" t="n">
        <v>0.0767509729675345</v>
      </c>
      <c r="D9066" s="14" t="n">
        <f aca="false">Summary!$B$5-B9066</f>
        <v>-39718.8247589582</v>
      </c>
      <c r="E9066" s="15" t="n">
        <f aca="false">B9066/Summary!$B$5-1</f>
        <v>0.397188247589582</v>
      </c>
    </row>
    <row r="9067" customFormat="false" ht="15" hidden="false" customHeight="false" outlineLevel="0" collapsed="false">
      <c r="A9067" s="0" t="n">
        <v>9066</v>
      </c>
      <c r="B9067" s="14" t="n">
        <v>107055.371016153</v>
      </c>
      <c r="C9067" s="15" t="n">
        <v>0.072871887615679</v>
      </c>
      <c r="D9067" s="14" t="n">
        <f aca="false">Summary!$B$5-B9067</f>
        <v>-7055.3710161529</v>
      </c>
      <c r="E9067" s="15" t="n">
        <f aca="false">B9067/Summary!$B$5-1</f>
        <v>0.070553710161529</v>
      </c>
    </row>
    <row r="9068" customFormat="false" ht="15" hidden="false" customHeight="false" outlineLevel="0" collapsed="false">
      <c r="A9068" s="0" t="n">
        <v>9067</v>
      </c>
      <c r="B9068" s="14" t="n">
        <v>113804.937226836</v>
      </c>
      <c r="C9068" s="15" t="n">
        <v>0.0758242304986456</v>
      </c>
      <c r="D9068" s="14" t="n">
        <f aca="false">Summary!$B$5-B9068</f>
        <v>-13804.9372268356</v>
      </c>
      <c r="E9068" s="15" t="n">
        <f aca="false">B9068/Summary!$B$5-1</f>
        <v>0.138049372268356</v>
      </c>
    </row>
    <row r="9069" customFormat="false" ht="15" hidden="false" customHeight="false" outlineLevel="0" collapsed="false">
      <c r="A9069" s="0" t="n">
        <v>9068</v>
      </c>
      <c r="B9069" s="14" t="n">
        <v>107358.283089323</v>
      </c>
      <c r="C9069" s="15" t="n">
        <v>0.104266980939173</v>
      </c>
      <c r="D9069" s="14" t="n">
        <f aca="false">Summary!$B$5-B9069</f>
        <v>-7358.2830893229</v>
      </c>
      <c r="E9069" s="15" t="n">
        <f aca="false">B9069/Summary!$B$5-1</f>
        <v>0.0735828308932289</v>
      </c>
    </row>
    <row r="9070" customFormat="false" ht="15" hidden="false" customHeight="false" outlineLevel="0" collapsed="false">
      <c r="A9070" s="0" t="n">
        <v>9069</v>
      </c>
      <c r="B9070" s="14" t="n">
        <v>113550.14612768</v>
      </c>
      <c r="C9070" s="15" t="n">
        <v>0.0922243646007243</v>
      </c>
      <c r="D9070" s="14" t="n">
        <f aca="false">Summary!$B$5-B9070</f>
        <v>-13550.1461276795</v>
      </c>
      <c r="E9070" s="15" t="n">
        <f aca="false">B9070/Summary!$B$5-1</f>
        <v>0.135501461276795</v>
      </c>
    </row>
    <row r="9071" customFormat="false" ht="15" hidden="false" customHeight="false" outlineLevel="0" collapsed="false">
      <c r="A9071" s="0" t="n">
        <v>9070</v>
      </c>
      <c r="B9071" s="14" t="n">
        <v>116071.85443704</v>
      </c>
      <c r="C9071" s="15" t="n">
        <v>0.0815425355221521</v>
      </c>
      <c r="D9071" s="14" t="n">
        <f aca="false">Summary!$B$5-B9071</f>
        <v>-16071.8544370403</v>
      </c>
      <c r="E9071" s="15" t="n">
        <f aca="false">B9071/Summary!$B$5-1</f>
        <v>0.160718544370403</v>
      </c>
    </row>
    <row r="9072" customFormat="false" ht="15" hidden="false" customHeight="false" outlineLevel="0" collapsed="false">
      <c r="A9072" s="0" t="n">
        <v>9071</v>
      </c>
      <c r="B9072" s="14" t="n">
        <v>79761.7067116937</v>
      </c>
      <c r="C9072" s="15" t="n">
        <v>0.209511964954733</v>
      </c>
      <c r="D9072" s="14" t="n">
        <f aca="false">Summary!$B$5-B9072</f>
        <v>20238.2932883063</v>
      </c>
      <c r="E9072" s="15" t="n">
        <f aca="false">B9072/Summary!$B$5-1</f>
        <v>-0.202382932883063</v>
      </c>
    </row>
    <row r="9073" customFormat="false" ht="15" hidden="false" customHeight="false" outlineLevel="0" collapsed="false">
      <c r="A9073" s="0" t="n">
        <v>9072</v>
      </c>
      <c r="B9073" s="14" t="n">
        <v>109433.169145249</v>
      </c>
      <c r="C9073" s="15" t="n">
        <v>0.0694568594656093</v>
      </c>
      <c r="D9073" s="14" t="n">
        <f aca="false">Summary!$B$5-B9073</f>
        <v>-9433.1691452486</v>
      </c>
      <c r="E9073" s="15" t="n">
        <f aca="false">B9073/Summary!$B$5-1</f>
        <v>0.0943316914524859</v>
      </c>
    </row>
    <row r="9074" customFormat="false" ht="15" hidden="false" customHeight="false" outlineLevel="0" collapsed="false">
      <c r="A9074" s="0" t="n">
        <v>9073</v>
      </c>
      <c r="B9074" s="14" t="n">
        <v>97972.1077614195</v>
      </c>
      <c r="C9074" s="15" t="n">
        <v>0.0950261073234883</v>
      </c>
      <c r="D9074" s="14" t="n">
        <f aca="false">Summary!$B$5-B9074</f>
        <v>2027.89223858051</v>
      </c>
      <c r="E9074" s="15" t="n">
        <f aca="false">B9074/Summary!$B$5-1</f>
        <v>-0.0202789223858051</v>
      </c>
    </row>
    <row r="9075" customFormat="false" ht="15" hidden="false" customHeight="false" outlineLevel="0" collapsed="false">
      <c r="A9075" s="0" t="n">
        <v>9074</v>
      </c>
      <c r="B9075" s="14" t="n">
        <v>107553.692602597</v>
      </c>
      <c r="C9075" s="15" t="n">
        <v>0.0809421812472465</v>
      </c>
      <c r="D9075" s="14" t="n">
        <f aca="false">Summary!$B$5-B9075</f>
        <v>-7553.6926025967</v>
      </c>
      <c r="E9075" s="15" t="n">
        <f aca="false">B9075/Summary!$B$5-1</f>
        <v>0.0755369260259671</v>
      </c>
    </row>
    <row r="9076" customFormat="false" ht="15" hidden="false" customHeight="false" outlineLevel="0" collapsed="false">
      <c r="A9076" s="0" t="n">
        <v>9075</v>
      </c>
      <c r="B9076" s="14" t="n">
        <v>112036.177448335</v>
      </c>
      <c r="C9076" s="15" t="n">
        <v>0.0975096399974262</v>
      </c>
      <c r="D9076" s="14" t="n">
        <f aca="false">Summary!$B$5-B9076</f>
        <v>-12036.177448335</v>
      </c>
      <c r="E9076" s="15" t="n">
        <f aca="false">B9076/Summary!$B$5-1</f>
        <v>0.12036177448335</v>
      </c>
    </row>
    <row r="9077" customFormat="false" ht="15" hidden="false" customHeight="false" outlineLevel="0" collapsed="false">
      <c r="A9077" s="0" t="n">
        <v>9076</v>
      </c>
      <c r="B9077" s="14" t="n">
        <v>106560.048083132</v>
      </c>
      <c r="C9077" s="15" t="n">
        <v>0.0852515432633336</v>
      </c>
      <c r="D9077" s="14" t="n">
        <f aca="false">Summary!$B$5-B9077</f>
        <v>-6560.04808313159</v>
      </c>
      <c r="E9077" s="15" t="n">
        <f aca="false">B9077/Summary!$B$5-1</f>
        <v>0.065600480831316</v>
      </c>
    </row>
    <row r="9078" customFormat="false" ht="15" hidden="false" customHeight="false" outlineLevel="0" collapsed="false">
      <c r="A9078" s="0" t="n">
        <v>9077</v>
      </c>
      <c r="B9078" s="14" t="n">
        <v>144972.542799161</v>
      </c>
      <c r="C9078" s="15" t="n">
        <v>0.0484286095108779</v>
      </c>
      <c r="D9078" s="14" t="n">
        <f aca="false">Summary!$B$5-B9078</f>
        <v>-44972.5427991606</v>
      </c>
      <c r="E9078" s="15" t="n">
        <f aca="false">B9078/Summary!$B$5-1</f>
        <v>0.449725427991606</v>
      </c>
    </row>
    <row r="9079" customFormat="false" ht="15" hidden="false" customHeight="false" outlineLevel="0" collapsed="false">
      <c r="A9079" s="0" t="n">
        <v>9078</v>
      </c>
      <c r="B9079" s="14" t="n">
        <v>109975.756633532</v>
      </c>
      <c r="C9079" s="15" t="n">
        <v>0.118045866608739</v>
      </c>
      <c r="D9079" s="14" t="n">
        <f aca="false">Summary!$B$5-B9079</f>
        <v>-9975.756633532</v>
      </c>
      <c r="E9079" s="15" t="n">
        <f aca="false">B9079/Summary!$B$5-1</f>
        <v>0.0997575663353201</v>
      </c>
    </row>
    <row r="9080" customFormat="false" ht="15" hidden="false" customHeight="false" outlineLevel="0" collapsed="false">
      <c r="A9080" s="0" t="n">
        <v>9079</v>
      </c>
      <c r="B9080" s="14" t="n">
        <v>102423.9214591</v>
      </c>
      <c r="C9080" s="15" t="n">
        <v>0.108711421632178</v>
      </c>
      <c r="D9080" s="14" t="n">
        <f aca="false">Summary!$B$5-B9080</f>
        <v>-2423.9214590996</v>
      </c>
      <c r="E9080" s="15" t="n">
        <f aca="false">B9080/Summary!$B$5-1</f>
        <v>0.024239214590996</v>
      </c>
    </row>
    <row r="9081" customFormat="false" ht="15" hidden="false" customHeight="false" outlineLevel="0" collapsed="false">
      <c r="A9081" s="0" t="n">
        <v>9080</v>
      </c>
      <c r="B9081" s="14" t="n">
        <v>100805.441739125</v>
      </c>
      <c r="C9081" s="15" t="n">
        <v>0.0696086218648077</v>
      </c>
      <c r="D9081" s="14" t="n">
        <f aca="false">Summary!$B$5-B9081</f>
        <v>-805.441739125105</v>
      </c>
      <c r="E9081" s="15" t="n">
        <f aca="false">B9081/Summary!$B$5-1</f>
        <v>0.00805441739125112</v>
      </c>
    </row>
    <row r="9082" customFormat="false" ht="15" hidden="false" customHeight="false" outlineLevel="0" collapsed="false">
      <c r="A9082" s="0" t="n">
        <v>9081</v>
      </c>
      <c r="B9082" s="14" t="n">
        <v>97718.9612107082</v>
      </c>
      <c r="C9082" s="15" t="n">
        <v>0.0757067072900554</v>
      </c>
      <c r="D9082" s="14" t="n">
        <f aca="false">Summary!$B$5-B9082</f>
        <v>2281.03878929178</v>
      </c>
      <c r="E9082" s="15" t="n">
        <f aca="false">B9082/Summary!$B$5-1</f>
        <v>-0.0228103878929178</v>
      </c>
    </row>
    <row r="9083" customFormat="false" ht="15" hidden="false" customHeight="false" outlineLevel="0" collapsed="false">
      <c r="A9083" s="0" t="n">
        <v>9082</v>
      </c>
      <c r="B9083" s="14" t="n">
        <v>101080.105181929</v>
      </c>
      <c r="C9083" s="15" t="n">
        <v>0.0732118996942074</v>
      </c>
      <c r="D9083" s="14" t="n">
        <f aca="false">Summary!$B$5-B9083</f>
        <v>-1080.1051819289</v>
      </c>
      <c r="E9083" s="15" t="n">
        <f aca="false">B9083/Summary!$B$5-1</f>
        <v>0.0108010518192889</v>
      </c>
    </row>
    <row r="9084" customFormat="false" ht="15" hidden="false" customHeight="false" outlineLevel="0" collapsed="false">
      <c r="A9084" s="0" t="n">
        <v>9083</v>
      </c>
      <c r="B9084" s="14" t="n">
        <v>109847.656217557</v>
      </c>
      <c r="C9084" s="15" t="n">
        <v>0.0991380042396614</v>
      </c>
      <c r="D9084" s="14" t="n">
        <f aca="false">Summary!$B$5-B9084</f>
        <v>-9847.6562175569</v>
      </c>
      <c r="E9084" s="15" t="n">
        <f aca="false">B9084/Summary!$B$5-1</f>
        <v>0.098476562175569</v>
      </c>
    </row>
    <row r="9085" customFormat="false" ht="15" hidden="false" customHeight="false" outlineLevel="0" collapsed="false">
      <c r="A9085" s="0" t="n">
        <v>9084</v>
      </c>
      <c r="B9085" s="14" t="n">
        <v>105978.113598055</v>
      </c>
      <c r="C9085" s="15" t="n">
        <v>0.0733775607549756</v>
      </c>
      <c r="D9085" s="14" t="n">
        <f aca="false">Summary!$B$5-B9085</f>
        <v>-5978.1135980546</v>
      </c>
      <c r="E9085" s="15" t="n">
        <f aca="false">B9085/Summary!$B$5-1</f>
        <v>0.059781135980546</v>
      </c>
    </row>
    <row r="9086" customFormat="false" ht="15" hidden="false" customHeight="false" outlineLevel="0" collapsed="false">
      <c r="A9086" s="0" t="n">
        <v>9085</v>
      </c>
      <c r="B9086" s="14" t="n">
        <v>104696.554499022</v>
      </c>
      <c r="C9086" s="15" t="n">
        <v>0.08947841216341</v>
      </c>
      <c r="D9086" s="14" t="n">
        <f aca="false">Summary!$B$5-B9086</f>
        <v>-4696.5544990221</v>
      </c>
      <c r="E9086" s="15" t="n">
        <f aca="false">B9086/Summary!$B$5-1</f>
        <v>0.0469655449902209</v>
      </c>
    </row>
    <row r="9087" customFormat="false" ht="15" hidden="false" customHeight="false" outlineLevel="0" collapsed="false">
      <c r="A9087" s="0" t="n">
        <v>9086</v>
      </c>
      <c r="B9087" s="14" t="n">
        <v>106864.155599435</v>
      </c>
      <c r="C9087" s="15" t="n">
        <v>0.092788232892747</v>
      </c>
      <c r="D9087" s="14" t="n">
        <f aca="false">Summary!$B$5-B9087</f>
        <v>-6864.1555994348</v>
      </c>
      <c r="E9087" s="15" t="n">
        <f aca="false">B9087/Summary!$B$5-1</f>
        <v>0.0686415559943481</v>
      </c>
    </row>
    <row r="9088" customFormat="false" ht="15" hidden="false" customHeight="false" outlineLevel="0" collapsed="false">
      <c r="A9088" s="0" t="n">
        <v>9087</v>
      </c>
      <c r="B9088" s="14" t="n">
        <v>95055.8896946361</v>
      </c>
      <c r="C9088" s="15" t="n">
        <v>0.150677246058802</v>
      </c>
      <c r="D9088" s="14" t="n">
        <f aca="false">Summary!$B$5-B9088</f>
        <v>4944.11030536387</v>
      </c>
      <c r="E9088" s="15" t="n">
        <f aca="false">B9088/Summary!$B$5-1</f>
        <v>-0.0494411030536387</v>
      </c>
    </row>
    <row r="9089" customFormat="false" ht="15" hidden="false" customHeight="false" outlineLevel="0" collapsed="false">
      <c r="A9089" s="0" t="n">
        <v>9088</v>
      </c>
      <c r="B9089" s="14" t="n">
        <v>97621.2882554188</v>
      </c>
      <c r="C9089" s="15" t="n">
        <v>0.10115125305632</v>
      </c>
      <c r="D9089" s="14" t="n">
        <f aca="false">Summary!$B$5-B9089</f>
        <v>2378.71174458123</v>
      </c>
      <c r="E9089" s="15" t="n">
        <f aca="false">B9089/Summary!$B$5-1</f>
        <v>-0.0237871174458123</v>
      </c>
    </row>
    <row r="9090" customFormat="false" ht="15" hidden="false" customHeight="false" outlineLevel="0" collapsed="false">
      <c r="A9090" s="0" t="n">
        <v>9089</v>
      </c>
      <c r="B9090" s="14" t="n">
        <v>114748.515664541</v>
      </c>
      <c r="C9090" s="15" t="n">
        <v>0.0671746842230976</v>
      </c>
      <c r="D9090" s="14" t="n">
        <f aca="false">Summary!$B$5-B9090</f>
        <v>-14748.5156645405</v>
      </c>
      <c r="E9090" s="15" t="n">
        <f aca="false">B9090/Summary!$B$5-1</f>
        <v>0.147485156645405</v>
      </c>
    </row>
    <row r="9091" customFormat="false" ht="15" hidden="false" customHeight="false" outlineLevel="0" collapsed="false">
      <c r="A9091" s="0" t="n">
        <v>9090</v>
      </c>
      <c r="B9091" s="14" t="n">
        <v>112379.681943277</v>
      </c>
      <c r="C9091" s="15" t="n">
        <v>0.0629310969274698</v>
      </c>
      <c r="D9091" s="14" t="n">
        <f aca="false">Summary!$B$5-B9091</f>
        <v>-12379.681943277</v>
      </c>
      <c r="E9091" s="15" t="n">
        <f aca="false">B9091/Summary!$B$5-1</f>
        <v>0.12379681943277</v>
      </c>
    </row>
    <row r="9092" customFormat="false" ht="15" hidden="false" customHeight="false" outlineLevel="0" collapsed="false">
      <c r="A9092" s="0" t="n">
        <v>9091</v>
      </c>
      <c r="B9092" s="14" t="n">
        <v>106850.071054624</v>
      </c>
      <c r="C9092" s="15" t="n">
        <v>0.0987690807415147</v>
      </c>
      <c r="D9092" s="14" t="n">
        <f aca="false">Summary!$B$5-B9092</f>
        <v>-6850.071054624</v>
      </c>
      <c r="E9092" s="15" t="n">
        <f aca="false">B9092/Summary!$B$5-1</f>
        <v>0.0685007105462401</v>
      </c>
    </row>
    <row r="9093" customFormat="false" ht="15" hidden="false" customHeight="false" outlineLevel="0" collapsed="false">
      <c r="A9093" s="0" t="n">
        <v>9092</v>
      </c>
      <c r="B9093" s="14" t="n">
        <v>99977.7798680204</v>
      </c>
      <c r="C9093" s="15" t="n">
        <v>0.0928433002167818</v>
      </c>
      <c r="D9093" s="14" t="n">
        <f aca="false">Summary!$B$5-B9093</f>
        <v>22.2201319795568</v>
      </c>
      <c r="E9093" s="15" t="n">
        <f aca="false">B9093/Summary!$B$5-1</f>
        <v>-0.000222201319795556</v>
      </c>
    </row>
    <row r="9094" customFormat="false" ht="15" hidden="false" customHeight="false" outlineLevel="0" collapsed="false">
      <c r="A9094" s="0" t="n">
        <v>9093</v>
      </c>
      <c r="B9094" s="14" t="n">
        <v>100784.879410909</v>
      </c>
      <c r="C9094" s="15" t="n">
        <v>0.106547787058571</v>
      </c>
      <c r="D9094" s="14" t="n">
        <f aca="false">Summary!$B$5-B9094</f>
        <v>-784.879410908601</v>
      </c>
      <c r="E9094" s="15" t="n">
        <f aca="false">B9094/Summary!$B$5-1</f>
        <v>0.00784879410908612</v>
      </c>
    </row>
    <row r="9095" customFormat="false" ht="15" hidden="false" customHeight="false" outlineLevel="0" collapsed="false">
      <c r="A9095" s="0" t="n">
        <v>9094</v>
      </c>
      <c r="B9095" s="14" t="n">
        <v>126122.990483137</v>
      </c>
      <c r="C9095" s="15" t="n">
        <v>0.0937663907647863</v>
      </c>
      <c r="D9095" s="14" t="n">
        <f aca="false">Summary!$B$5-B9095</f>
        <v>-26122.990483137</v>
      </c>
      <c r="E9095" s="15" t="n">
        <f aca="false">B9095/Summary!$B$5-1</f>
        <v>0.26122990483137</v>
      </c>
    </row>
    <row r="9096" customFormat="false" ht="15" hidden="false" customHeight="false" outlineLevel="0" collapsed="false">
      <c r="A9096" s="0" t="n">
        <v>9095</v>
      </c>
      <c r="B9096" s="14" t="n">
        <v>111731.448726906</v>
      </c>
      <c r="C9096" s="15" t="n">
        <v>0.113613579565869</v>
      </c>
      <c r="D9096" s="14" t="n">
        <f aca="false">Summary!$B$5-B9096</f>
        <v>-11731.4487269064</v>
      </c>
      <c r="E9096" s="15" t="n">
        <f aca="false">B9096/Summary!$B$5-1</f>
        <v>0.117314487269064</v>
      </c>
    </row>
    <row r="9097" customFormat="false" ht="15" hidden="false" customHeight="false" outlineLevel="0" collapsed="false">
      <c r="A9097" s="0" t="n">
        <v>9096</v>
      </c>
      <c r="B9097" s="14" t="n">
        <v>120171.046529751</v>
      </c>
      <c r="C9097" s="15" t="n">
        <v>0.0590521333127269</v>
      </c>
      <c r="D9097" s="14" t="n">
        <f aca="false">Summary!$B$5-B9097</f>
        <v>-20171.0465297507</v>
      </c>
      <c r="E9097" s="15" t="n">
        <f aca="false">B9097/Summary!$B$5-1</f>
        <v>0.201710465297507</v>
      </c>
    </row>
    <row r="9098" customFormat="false" ht="15" hidden="false" customHeight="false" outlineLevel="0" collapsed="false">
      <c r="A9098" s="0" t="n">
        <v>9097</v>
      </c>
      <c r="B9098" s="14" t="n">
        <v>93530.6302904935</v>
      </c>
      <c r="C9098" s="15" t="n">
        <v>0.208931099844747</v>
      </c>
      <c r="D9098" s="14" t="n">
        <f aca="false">Summary!$B$5-B9098</f>
        <v>6469.36970950646</v>
      </c>
      <c r="E9098" s="15" t="n">
        <f aca="false">B9098/Summary!$B$5-1</f>
        <v>-0.0646936970950646</v>
      </c>
    </row>
    <row r="9099" customFormat="false" ht="15" hidden="false" customHeight="false" outlineLevel="0" collapsed="false">
      <c r="A9099" s="0" t="n">
        <v>9098</v>
      </c>
      <c r="B9099" s="14" t="n">
        <v>100704.852623031</v>
      </c>
      <c r="C9099" s="15" t="n">
        <v>0.0966869932106506</v>
      </c>
      <c r="D9099" s="14" t="n">
        <f aca="false">Summary!$B$5-B9099</f>
        <v>-704.852623031198</v>
      </c>
      <c r="E9099" s="15" t="n">
        <f aca="false">B9099/Summary!$B$5-1</f>
        <v>0.00704852623031194</v>
      </c>
    </row>
    <row r="9100" customFormat="false" ht="15" hidden="false" customHeight="false" outlineLevel="0" collapsed="false">
      <c r="A9100" s="0" t="n">
        <v>9099</v>
      </c>
      <c r="B9100" s="14" t="n">
        <v>109807.285557814</v>
      </c>
      <c r="C9100" s="15" t="n">
        <v>0.0823390607060474</v>
      </c>
      <c r="D9100" s="14" t="n">
        <f aca="false">Summary!$B$5-B9100</f>
        <v>-9807.28555781359</v>
      </c>
      <c r="E9100" s="15" t="n">
        <f aca="false">B9100/Summary!$B$5-1</f>
        <v>0.0980728555781358</v>
      </c>
    </row>
    <row r="9101" customFormat="false" ht="15" hidden="false" customHeight="false" outlineLevel="0" collapsed="false">
      <c r="A9101" s="0" t="n">
        <v>9100</v>
      </c>
      <c r="B9101" s="14" t="n">
        <v>122913.548384389</v>
      </c>
      <c r="C9101" s="15" t="n">
        <v>0.0935513936650804</v>
      </c>
      <c r="D9101" s="14" t="n">
        <f aca="false">Summary!$B$5-B9101</f>
        <v>-22913.5483843887</v>
      </c>
      <c r="E9101" s="15" t="n">
        <f aca="false">B9101/Summary!$B$5-1</f>
        <v>0.229135483843887</v>
      </c>
    </row>
    <row r="9102" customFormat="false" ht="15" hidden="false" customHeight="false" outlineLevel="0" collapsed="false">
      <c r="A9102" s="0" t="n">
        <v>9101</v>
      </c>
      <c r="B9102" s="14" t="n">
        <v>159829.151997826</v>
      </c>
      <c r="C9102" s="15" t="n">
        <v>0.0506366395952382</v>
      </c>
      <c r="D9102" s="14" t="n">
        <f aca="false">Summary!$B$5-B9102</f>
        <v>-59829.1519978259</v>
      </c>
      <c r="E9102" s="15" t="n">
        <f aca="false">B9102/Summary!$B$5-1</f>
        <v>0.598291519978259</v>
      </c>
    </row>
    <row r="9103" customFormat="false" ht="15" hidden="false" customHeight="false" outlineLevel="0" collapsed="false">
      <c r="A9103" s="0" t="n">
        <v>9102</v>
      </c>
      <c r="B9103" s="14" t="n">
        <v>105814.250052331</v>
      </c>
      <c r="C9103" s="15" t="n">
        <v>0.121109334114096</v>
      </c>
      <c r="D9103" s="14" t="n">
        <f aca="false">Summary!$B$5-B9103</f>
        <v>-5814.250052331</v>
      </c>
      <c r="E9103" s="15" t="n">
        <f aca="false">B9103/Summary!$B$5-1</f>
        <v>0.0581425005233101</v>
      </c>
    </row>
    <row r="9104" customFormat="false" ht="15" hidden="false" customHeight="false" outlineLevel="0" collapsed="false">
      <c r="A9104" s="0" t="n">
        <v>9103</v>
      </c>
      <c r="B9104" s="14" t="n">
        <v>126241.181059862</v>
      </c>
      <c r="C9104" s="15" t="n">
        <v>0.0678926963870817</v>
      </c>
      <c r="D9104" s="14" t="n">
        <f aca="false">Summary!$B$5-B9104</f>
        <v>-26241.181059862</v>
      </c>
      <c r="E9104" s="15" t="n">
        <f aca="false">B9104/Summary!$B$5-1</f>
        <v>0.26241181059862</v>
      </c>
    </row>
    <row r="9105" customFormat="false" ht="15" hidden="false" customHeight="false" outlineLevel="0" collapsed="false">
      <c r="A9105" s="0" t="n">
        <v>9104</v>
      </c>
      <c r="B9105" s="14" t="n">
        <v>130668.846994233</v>
      </c>
      <c r="C9105" s="15" t="n">
        <v>0.0513482405156536</v>
      </c>
      <c r="D9105" s="14" t="n">
        <f aca="false">Summary!$B$5-B9105</f>
        <v>-30668.8469942329</v>
      </c>
      <c r="E9105" s="15" t="n">
        <f aca="false">B9105/Summary!$B$5-1</f>
        <v>0.306688469942329</v>
      </c>
    </row>
    <row r="9106" customFormat="false" ht="15" hidden="false" customHeight="false" outlineLevel="0" collapsed="false">
      <c r="A9106" s="0" t="n">
        <v>9105</v>
      </c>
      <c r="B9106" s="14" t="n">
        <v>105221.794288761</v>
      </c>
      <c r="C9106" s="15" t="n">
        <v>0.0650238422016765</v>
      </c>
      <c r="D9106" s="14" t="n">
        <f aca="false">Summary!$B$5-B9106</f>
        <v>-5221.7942887612</v>
      </c>
      <c r="E9106" s="15" t="n">
        <f aca="false">B9106/Summary!$B$5-1</f>
        <v>0.0522179428876119</v>
      </c>
    </row>
    <row r="9107" customFormat="false" ht="15" hidden="false" customHeight="false" outlineLevel="0" collapsed="false">
      <c r="A9107" s="0" t="n">
        <v>9106</v>
      </c>
      <c r="B9107" s="14" t="n">
        <v>114121.993581723</v>
      </c>
      <c r="C9107" s="15" t="n">
        <v>0.0873390843619405</v>
      </c>
      <c r="D9107" s="14" t="n">
        <f aca="false">Summary!$B$5-B9107</f>
        <v>-14121.9935817227</v>
      </c>
      <c r="E9107" s="15" t="n">
        <f aca="false">B9107/Summary!$B$5-1</f>
        <v>0.141219935817227</v>
      </c>
    </row>
    <row r="9108" customFormat="false" ht="15" hidden="false" customHeight="false" outlineLevel="0" collapsed="false">
      <c r="A9108" s="0" t="n">
        <v>9107</v>
      </c>
      <c r="B9108" s="14" t="n">
        <v>102699.468340156</v>
      </c>
      <c r="C9108" s="15" t="n">
        <v>0.105492582693817</v>
      </c>
      <c r="D9108" s="14" t="n">
        <f aca="false">Summary!$B$5-B9108</f>
        <v>-2699.46834015611</v>
      </c>
      <c r="E9108" s="15" t="n">
        <f aca="false">B9108/Summary!$B$5-1</f>
        <v>0.0269946834015611</v>
      </c>
    </row>
    <row r="9109" customFormat="false" ht="15" hidden="false" customHeight="false" outlineLevel="0" collapsed="false">
      <c r="A9109" s="0" t="n">
        <v>9108</v>
      </c>
      <c r="B9109" s="14" t="n">
        <v>96984.5797946013</v>
      </c>
      <c r="C9109" s="15" t="n">
        <v>0.0981385454967211</v>
      </c>
      <c r="D9109" s="14" t="n">
        <f aca="false">Summary!$B$5-B9109</f>
        <v>3015.42020539871</v>
      </c>
      <c r="E9109" s="15" t="n">
        <f aca="false">B9109/Summary!$B$5-1</f>
        <v>-0.0301542020539871</v>
      </c>
    </row>
    <row r="9110" customFormat="false" ht="15" hidden="false" customHeight="false" outlineLevel="0" collapsed="false">
      <c r="A9110" s="0" t="n">
        <v>9109</v>
      </c>
      <c r="B9110" s="14" t="n">
        <v>106879.973706988</v>
      </c>
      <c r="C9110" s="15" t="n">
        <v>0.0866447767906027</v>
      </c>
      <c r="D9110" s="14" t="n">
        <f aca="false">Summary!$B$5-B9110</f>
        <v>-6879.97370698809</v>
      </c>
      <c r="E9110" s="15" t="n">
        <f aca="false">B9110/Summary!$B$5-1</f>
        <v>0.068799737069881</v>
      </c>
    </row>
    <row r="9111" customFormat="false" ht="15" hidden="false" customHeight="false" outlineLevel="0" collapsed="false">
      <c r="A9111" s="0" t="n">
        <v>9110</v>
      </c>
      <c r="B9111" s="14" t="n">
        <v>96109.6007006612</v>
      </c>
      <c r="C9111" s="15" t="n">
        <v>0.149438275916408</v>
      </c>
      <c r="D9111" s="14" t="n">
        <f aca="false">Summary!$B$5-B9111</f>
        <v>3890.39929933877</v>
      </c>
      <c r="E9111" s="15" t="n">
        <f aca="false">B9111/Summary!$B$5-1</f>
        <v>-0.0389039929933877</v>
      </c>
    </row>
    <row r="9112" customFormat="false" ht="15" hidden="false" customHeight="false" outlineLevel="0" collapsed="false">
      <c r="A9112" s="0" t="n">
        <v>9111</v>
      </c>
      <c r="B9112" s="14" t="n">
        <v>97260.7569371733</v>
      </c>
      <c r="C9112" s="15" t="n">
        <v>0.106461749545814</v>
      </c>
      <c r="D9112" s="14" t="n">
        <f aca="false">Summary!$B$5-B9112</f>
        <v>2739.24306282672</v>
      </c>
      <c r="E9112" s="15" t="n">
        <f aca="false">B9112/Summary!$B$5-1</f>
        <v>-0.0273924306282671</v>
      </c>
    </row>
    <row r="9113" customFormat="false" ht="15" hidden="false" customHeight="false" outlineLevel="0" collapsed="false">
      <c r="A9113" s="0" t="n">
        <v>9112</v>
      </c>
      <c r="B9113" s="14" t="n">
        <v>111288.100177889</v>
      </c>
      <c r="C9113" s="15" t="n">
        <v>0.0793947729958874</v>
      </c>
      <c r="D9113" s="14" t="n">
        <f aca="false">Summary!$B$5-B9113</f>
        <v>-11288.1001778887</v>
      </c>
      <c r="E9113" s="15" t="n">
        <f aca="false">B9113/Summary!$B$5-1</f>
        <v>0.112881001778887</v>
      </c>
    </row>
    <row r="9114" customFormat="false" ht="15" hidden="false" customHeight="false" outlineLevel="0" collapsed="false">
      <c r="A9114" s="0" t="n">
        <v>9113</v>
      </c>
      <c r="B9114" s="14" t="n">
        <v>116655.631536725</v>
      </c>
      <c r="C9114" s="15" t="n">
        <v>0.110072918575577</v>
      </c>
      <c r="D9114" s="14" t="n">
        <f aca="false">Summary!$B$5-B9114</f>
        <v>-16655.6315367248</v>
      </c>
      <c r="E9114" s="15" t="n">
        <f aca="false">B9114/Summary!$B$5-1</f>
        <v>0.166556315367248</v>
      </c>
    </row>
    <row r="9115" customFormat="false" ht="15" hidden="false" customHeight="false" outlineLevel="0" collapsed="false">
      <c r="A9115" s="0" t="n">
        <v>9114</v>
      </c>
      <c r="B9115" s="14" t="n">
        <v>111269.041628231</v>
      </c>
      <c r="C9115" s="15" t="n">
        <v>0.0888606452091378</v>
      </c>
      <c r="D9115" s="14" t="n">
        <f aca="false">Summary!$B$5-B9115</f>
        <v>-11269.0416282309</v>
      </c>
      <c r="E9115" s="15" t="n">
        <f aca="false">B9115/Summary!$B$5-1</f>
        <v>0.112690416282309</v>
      </c>
    </row>
    <row r="9116" customFormat="false" ht="15" hidden="false" customHeight="false" outlineLevel="0" collapsed="false">
      <c r="A9116" s="0" t="n">
        <v>9115</v>
      </c>
      <c r="B9116" s="14" t="n">
        <v>101375.820375386</v>
      </c>
      <c r="C9116" s="15" t="n">
        <v>0.0834046738601616</v>
      </c>
      <c r="D9116" s="14" t="n">
        <f aca="false">Summary!$B$5-B9116</f>
        <v>-1375.82037538631</v>
      </c>
      <c r="E9116" s="15" t="n">
        <f aca="false">B9116/Summary!$B$5-1</f>
        <v>0.0137582037538631</v>
      </c>
    </row>
    <row r="9117" customFormat="false" ht="15" hidden="false" customHeight="false" outlineLevel="0" collapsed="false">
      <c r="A9117" s="0" t="n">
        <v>9116</v>
      </c>
      <c r="B9117" s="14" t="n">
        <v>93343.0145859042</v>
      </c>
      <c r="C9117" s="15" t="n">
        <v>0.0873354601402953</v>
      </c>
      <c r="D9117" s="14" t="n">
        <f aca="false">Summary!$B$5-B9117</f>
        <v>6656.98541409578</v>
      </c>
      <c r="E9117" s="15" t="n">
        <f aca="false">B9117/Summary!$B$5-1</f>
        <v>-0.0665698541409577</v>
      </c>
    </row>
    <row r="9118" customFormat="false" ht="15" hidden="false" customHeight="false" outlineLevel="0" collapsed="false">
      <c r="A9118" s="0" t="n">
        <v>9117</v>
      </c>
      <c r="B9118" s="14" t="n">
        <v>87663.5015378814</v>
      </c>
      <c r="C9118" s="15" t="n">
        <v>0.146033078720618</v>
      </c>
      <c r="D9118" s="14" t="n">
        <f aca="false">Summary!$B$5-B9118</f>
        <v>12336.4984621186</v>
      </c>
      <c r="E9118" s="15" t="n">
        <f aca="false">B9118/Summary!$B$5-1</f>
        <v>-0.123364984621186</v>
      </c>
    </row>
    <row r="9119" customFormat="false" ht="15" hidden="false" customHeight="false" outlineLevel="0" collapsed="false">
      <c r="A9119" s="0" t="n">
        <v>9118</v>
      </c>
      <c r="B9119" s="14" t="n">
        <v>117871.424664807</v>
      </c>
      <c r="C9119" s="15" t="n">
        <v>0.0788157116078361</v>
      </c>
      <c r="D9119" s="14" t="n">
        <f aca="false">Summary!$B$5-B9119</f>
        <v>-17871.4246648067</v>
      </c>
      <c r="E9119" s="15" t="n">
        <f aca="false">B9119/Summary!$B$5-1</f>
        <v>0.178714246648067</v>
      </c>
    </row>
    <row r="9120" customFormat="false" ht="15" hidden="false" customHeight="false" outlineLevel="0" collapsed="false">
      <c r="A9120" s="0" t="n">
        <v>9119</v>
      </c>
      <c r="B9120" s="14" t="n">
        <v>113881.364284652</v>
      </c>
      <c r="C9120" s="15" t="n">
        <v>0.0705364008264773</v>
      </c>
      <c r="D9120" s="14" t="n">
        <f aca="false">Summary!$B$5-B9120</f>
        <v>-13881.3642846522</v>
      </c>
      <c r="E9120" s="15" t="n">
        <f aca="false">B9120/Summary!$B$5-1</f>
        <v>0.138813642846522</v>
      </c>
    </row>
    <row r="9121" customFormat="false" ht="15" hidden="false" customHeight="false" outlineLevel="0" collapsed="false">
      <c r="A9121" s="0" t="n">
        <v>9120</v>
      </c>
      <c r="B9121" s="14" t="n">
        <v>125601.65249439</v>
      </c>
      <c r="C9121" s="15" t="n">
        <v>0.0426939384080516</v>
      </c>
      <c r="D9121" s="14" t="n">
        <f aca="false">Summary!$B$5-B9121</f>
        <v>-25601.6524943897</v>
      </c>
      <c r="E9121" s="15" t="n">
        <f aca="false">B9121/Summary!$B$5-1</f>
        <v>0.256016524943897</v>
      </c>
    </row>
    <row r="9122" customFormat="false" ht="15" hidden="false" customHeight="false" outlineLevel="0" collapsed="false">
      <c r="A9122" s="0" t="n">
        <v>9121</v>
      </c>
      <c r="B9122" s="14" t="n">
        <v>102106.313030125</v>
      </c>
      <c r="C9122" s="15" t="n">
        <v>0.12184732553987</v>
      </c>
      <c r="D9122" s="14" t="n">
        <f aca="false">Summary!$B$5-B9122</f>
        <v>-2106.3130301248</v>
      </c>
      <c r="E9122" s="15" t="n">
        <f aca="false">B9122/Summary!$B$5-1</f>
        <v>0.0210631303012481</v>
      </c>
    </row>
    <row r="9123" customFormat="false" ht="15" hidden="false" customHeight="false" outlineLevel="0" collapsed="false">
      <c r="A9123" s="0" t="n">
        <v>9122</v>
      </c>
      <c r="B9123" s="14" t="n">
        <v>98133.1928203987</v>
      </c>
      <c r="C9123" s="15" t="n">
        <v>0.131480173676914</v>
      </c>
      <c r="D9123" s="14" t="n">
        <f aca="false">Summary!$B$5-B9123</f>
        <v>1866.80717960127</v>
      </c>
      <c r="E9123" s="15" t="n">
        <f aca="false">B9123/Summary!$B$5-1</f>
        <v>-0.0186680717960127</v>
      </c>
    </row>
    <row r="9124" customFormat="false" ht="15" hidden="false" customHeight="false" outlineLevel="0" collapsed="false">
      <c r="A9124" s="0" t="n">
        <v>9123</v>
      </c>
      <c r="B9124" s="14" t="n">
        <v>131612.353788186</v>
      </c>
      <c r="C9124" s="15" t="n">
        <v>0.0422830879916604</v>
      </c>
      <c r="D9124" s="14" t="n">
        <f aca="false">Summary!$B$5-B9124</f>
        <v>-31612.3537881858</v>
      </c>
      <c r="E9124" s="15" t="n">
        <f aca="false">B9124/Summary!$B$5-1</f>
        <v>0.316123537881858</v>
      </c>
    </row>
    <row r="9125" customFormat="false" ht="15" hidden="false" customHeight="false" outlineLevel="0" collapsed="false">
      <c r="A9125" s="0" t="n">
        <v>9124</v>
      </c>
      <c r="B9125" s="14" t="n">
        <v>108750.206800879</v>
      </c>
      <c r="C9125" s="15" t="n">
        <v>0.0744952787222205</v>
      </c>
      <c r="D9125" s="14" t="n">
        <f aca="false">Summary!$B$5-B9125</f>
        <v>-8750.20680087881</v>
      </c>
      <c r="E9125" s="15" t="n">
        <f aca="false">B9125/Summary!$B$5-1</f>
        <v>0.0875020680087881</v>
      </c>
    </row>
    <row r="9126" customFormat="false" ht="15" hidden="false" customHeight="false" outlineLevel="0" collapsed="false">
      <c r="A9126" s="0" t="n">
        <v>9125</v>
      </c>
      <c r="B9126" s="14" t="n">
        <v>155292.833743871</v>
      </c>
      <c r="C9126" s="15" t="n">
        <v>0.0352918127486478</v>
      </c>
      <c r="D9126" s="14" t="n">
        <f aca="false">Summary!$B$5-B9126</f>
        <v>-55292.8337438708</v>
      </c>
      <c r="E9126" s="15" t="n">
        <f aca="false">B9126/Summary!$B$5-1</f>
        <v>0.552928337438708</v>
      </c>
    </row>
    <row r="9127" customFormat="false" ht="15" hidden="false" customHeight="false" outlineLevel="0" collapsed="false">
      <c r="A9127" s="0" t="n">
        <v>9126</v>
      </c>
      <c r="B9127" s="14" t="n">
        <v>104288.895175624</v>
      </c>
      <c r="C9127" s="15" t="n">
        <v>0.0925425357833388</v>
      </c>
      <c r="D9127" s="14" t="n">
        <f aca="false">Summary!$B$5-B9127</f>
        <v>-4288.89517562369</v>
      </c>
      <c r="E9127" s="15" t="n">
        <f aca="false">B9127/Summary!$B$5-1</f>
        <v>0.042888951756237</v>
      </c>
    </row>
    <row r="9128" customFormat="false" ht="15" hidden="false" customHeight="false" outlineLevel="0" collapsed="false">
      <c r="A9128" s="0" t="n">
        <v>9127</v>
      </c>
      <c r="B9128" s="14" t="n">
        <v>93233.4932537012</v>
      </c>
      <c r="C9128" s="15" t="n">
        <v>0.108994076190581</v>
      </c>
      <c r="D9128" s="14" t="n">
        <f aca="false">Summary!$B$5-B9128</f>
        <v>6766.50674629881</v>
      </c>
      <c r="E9128" s="15" t="n">
        <f aca="false">B9128/Summary!$B$5-1</f>
        <v>-0.0676650674629881</v>
      </c>
    </row>
    <row r="9129" customFormat="false" ht="15" hidden="false" customHeight="false" outlineLevel="0" collapsed="false">
      <c r="A9129" s="0" t="n">
        <v>9128</v>
      </c>
      <c r="B9129" s="14" t="n">
        <v>92645.725503067</v>
      </c>
      <c r="C9129" s="15" t="n">
        <v>0.105314135135523</v>
      </c>
      <c r="D9129" s="14" t="n">
        <f aca="false">Summary!$B$5-B9129</f>
        <v>7354.27449693298</v>
      </c>
      <c r="E9129" s="15" t="n">
        <f aca="false">B9129/Summary!$B$5-1</f>
        <v>-0.0735427449693298</v>
      </c>
    </row>
    <row r="9130" customFormat="false" ht="15" hidden="false" customHeight="false" outlineLevel="0" collapsed="false">
      <c r="A9130" s="0" t="n">
        <v>9129</v>
      </c>
      <c r="B9130" s="14" t="n">
        <v>107988.702172262</v>
      </c>
      <c r="C9130" s="15" t="n">
        <v>0.134022630185567</v>
      </c>
      <c r="D9130" s="14" t="n">
        <f aca="false">Summary!$B$5-B9130</f>
        <v>-7988.70217226179</v>
      </c>
      <c r="E9130" s="15" t="n">
        <f aca="false">B9130/Summary!$B$5-1</f>
        <v>0.079887021722618</v>
      </c>
    </row>
    <row r="9131" customFormat="false" ht="15" hidden="false" customHeight="false" outlineLevel="0" collapsed="false">
      <c r="A9131" s="0" t="n">
        <v>9130</v>
      </c>
      <c r="B9131" s="14" t="n">
        <v>126161.422954591</v>
      </c>
      <c r="C9131" s="15" t="n">
        <v>0.0719508170988861</v>
      </c>
      <c r="D9131" s="14" t="n">
        <f aca="false">Summary!$B$5-B9131</f>
        <v>-26161.4229545905</v>
      </c>
      <c r="E9131" s="15" t="n">
        <f aca="false">B9131/Summary!$B$5-1</f>
        <v>0.261614229545905</v>
      </c>
    </row>
    <row r="9132" customFormat="false" ht="15" hidden="false" customHeight="false" outlineLevel="0" collapsed="false">
      <c r="A9132" s="0" t="n">
        <v>9131</v>
      </c>
      <c r="B9132" s="14" t="n">
        <v>98796.6959533112</v>
      </c>
      <c r="C9132" s="15" t="n">
        <v>0.141676213904545</v>
      </c>
      <c r="D9132" s="14" t="n">
        <f aca="false">Summary!$B$5-B9132</f>
        <v>1203.30404668881</v>
      </c>
      <c r="E9132" s="15" t="n">
        <f aca="false">B9132/Summary!$B$5-1</f>
        <v>-0.012033040466888</v>
      </c>
    </row>
    <row r="9133" customFormat="false" ht="15" hidden="false" customHeight="false" outlineLevel="0" collapsed="false">
      <c r="A9133" s="0" t="n">
        <v>9132</v>
      </c>
      <c r="B9133" s="14" t="n">
        <v>86048.0844021991</v>
      </c>
      <c r="C9133" s="15" t="n">
        <v>0.18965266819224</v>
      </c>
      <c r="D9133" s="14" t="n">
        <f aca="false">Summary!$B$5-B9133</f>
        <v>13951.9155978009</v>
      </c>
      <c r="E9133" s="15" t="n">
        <f aca="false">B9133/Summary!$B$5-1</f>
        <v>-0.139519155978009</v>
      </c>
    </row>
    <row r="9134" customFormat="false" ht="15" hidden="false" customHeight="false" outlineLevel="0" collapsed="false">
      <c r="A9134" s="0" t="n">
        <v>9133</v>
      </c>
      <c r="B9134" s="14" t="n">
        <v>103334.464624014</v>
      </c>
      <c r="C9134" s="15" t="n">
        <v>0.109806463460664</v>
      </c>
      <c r="D9134" s="14" t="n">
        <f aca="false">Summary!$B$5-B9134</f>
        <v>-3334.4646240139</v>
      </c>
      <c r="E9134" s="15" t="n">
        <f aca="false">B9134/Summary!$B$5-1</f>
        <v>0.033344646240139</v>
      </c>
    </row>
    <row r="9135" customFormat="false" ht="15" hidden="false" customHeight="false" outlineLevel="0" collapsed="false">
      <c r="A9135" s="0" t="n">
        <v>9134</v>
      </c>
      <c r="B9135" s="14" t="n">
        <v>113939.870856999</v>
      </c>
      <c r="C9135" s="15" t="n">
        <v>0.131888895682773</v>
      </c>
      <c r="D9135" s="14" t="n">
        <f aca="false">Summary!$B$5-B9135</f>
        <v>-13939.8708569994</v>
      </c>
      <c r="E9135" s="15" t="n">
        <f aca="false">B9135/Summary!$B$5-1</f>
        <v>0.139398708569994</v>
      </c>
    </row>
    <row r="9136" customFormat="false" ht="15" hidden="false" customHeight="false" outlineLevel="0" collapsed="false">
      <c r="A9136" s="0" t="n">
        <v>9135</v>
      </c>
      <c r="B9136" s="14" t="n">
        <v>106745.899338504</v>
      </c>
      <c r="C9136" s="15" t="n">
        <v>0.0614792945014593</v>
      </c>
      <c r="D9136" s="14" t="n">
        <f aca="false">Summary!$B$5-B9136</f>
        <v>-6745.8993385044</v>
      </c>
      <c r="E9136" s="15" t="n">
        <f aca="false">B9136/Summary!$B$5-1</f>
        <v>0.067458993385044</v>
      </c>
    </row>
    <row r="9137" customFormat="false" ht="15" hidden="false" customHeight="false" outlineLevel="0" collapsed="false">
      <c r="A9137" s="0" t="n">
        <v>9136</v>
      </c>
      <c r="B9137" s="14" t="n">
        <v>90852.2457280808</v>
      </c>
      <c r="C9137" s="15" t="n">
        <v>0.121753793207753</v>
      </c>
      <c r="D9137" s="14" t="n">
        <f aca="false">Summary!$B$5-B9137</f>
        <v>9147.75427191917</v>
      </c>
      <c r="E9137" s="15" t="n">
        <f aca="false">B9137/Summary!$B$5-1</f>
        <v>-0.0914775427191917</v>
      </c>
    </row>
    <row r="9138" customFormat="false" ht="15" hidden="false" customHeight="false" outlineLevel="0" collapsed="false">
      <c r="A9138" s="0" t="n">
        <v>9137</v>
      </c>
      <c r="B9138" s="14" t="n">
        <v>90416.9898224233</v>
      </c>
      <c r="C9138" s="15" t="n">
        <v>0.120685250597376</v>
      </c>
      <c r="D9138" s="14" t="n">
        <f aca="false">Summary!$B$5-B9138</f>
        <v>9583.01017757667</v>
      </c>
      <c r="E9138" s="15" t="n">
        <f aca="false">B9138/Summary!$B$5-1</f>
        <v>-0.0958301017757667</v>
      </c>
    </row>
    <row r="9139" customFormat="false" ht="15" hidden="false" customHeight="false" outlineLevel="0" collapsed="false">
      <c r="A9139" s="0" t="n">
        <v>9138</v>
      </c>
      <c r="B9139" s="14" t="n">
        <v>116331.546377498</v>
      </c>
      <c r="C9139" s="15" t="n">
        <v>0.0802761980597418</v>
      </c>
      <c r="D9139" s="14" t="n">
        <f aca="false">Summary!$B$5-B9139</f>
        <v>-16331.5463774979</v>
      </c>
      <c r="E9139" s="15" t="n">
        <f aca="false">B9139/Summary!$B$5-1</f>
        <v>0.163315463774979</v>
      </c>
    </row>
    <row r="9140" customFormat="false" ht="15" hidden="false" customHeight="false" outlineLevel="0" collapsed="false">
      <c r="A9140" s="0" t="n">
        <v>9139</v>
      </c>
      <c r="B9140" s="14" t="n">
        <v>111678.493330063</v>
      </c>
      <c r="C9140" s="15" t="n">
        <v>0.0898533865696033</v>
      </c>
      <c r="D9140" s="14" t="n">
        <f aca="false">Summary!$B$5-B9140</f>
        <v>-11678.4933300633</v>
      </c>
      <c r="E9140" s="15" t="n">
        <f aca="false">B9140/Summary!$B$5-1</f>
        <v>0.116784933300633</v>
      </c>
    </row>
    <row r="9141" customFormat="false" ht="15" hidden="false" customHeight="false" outlineLevel="0" collapsed="false">
      <c r="A9141" s="0" t="n">
        <v>9140</v>
      </c>
      <c r="B9141" s="14" t="n">
        <v>124547.649253949</v>
      </c>
      <c r="C9141" s="15" t="n">
        <v>0.0525644787402413</v>
      </c>
      <c r="D9141" s="14" t="n">
        <f aca="false">Summary!$B$5-B9141</f>
        <v>-24547.6492539492</v>
      </c>
      <c r="E9141" s="15" t="n">
        <f aca="false">B9141/Summary!$B$5-1</f>
        <v>0.245476492539492</v>
      </c>
    </row>
    <row r="9142" customFormat="false" ht="15" hidden="false" customHeight="false" outlineLevel="0" collapsed="false">
      <c r="A9142" s="0" t="n">
        <v>9141</v>
      </c>
      <c r="B9142" s="14" t="n">
        <v>113873.60359629</v>
      </c>
      <c r="C9142" s="15" t="n">
        <v>0.07192200468484</v>
      </c>
      <c r="D9142" s="14" t="n">
        <f aca="false">Summary!$B$5-B9142</f>
        <v>-13873.6035962901</v>
      </c>
      <c r="E9142" s="15" t="n">
        <f aca="false">B9142/Summary!$B$5-1</f>
        <v>0.138736035962901</v>
      </c>
    </row>
    <row r="9143" customFormat="false" ht="15" hidden="false" customHeight="false" outlineLevel="0" collapsed="false">
      <c r="A9143" s="0" t="n">
        <v>9142</v>
      </c>
      <c r="B9143" s="14" t="n">
        <v>120701.035668868</v>
      </c>
      <c r="C9143" s="15" t="n">
        <v>0.058868324331268</v>
      </c>
      <c r="D9143" s="14" t="n">
        <f aca="false">Summary!$B$5-B9143</f>
        <v>-20701.0356688683</v>
      </c>
      <c r="E9143" s="15" t="n">
        <f aca="false">B9143/Summary!$B$5-1</f>
        <v>0.207010356688683</v>
      </c>
    </row>
    <row r="9144" customFormat="false" ht="15" hidden="false" customHeight="false" outlineLevel="0" collapsed="false">
      <c r="A9144" s="0" t="n">
        <v>9143</v>
      </c>
      <c r="B9144" s="14" t="n">
        <v>132604.497916565</v>
      </c>
      <c r="C9144" s="15" t="n">
        <v>0.052669206750101</v>
      </c>
      <c r="D9144" s="14" t="n">
        <f aca="false">Summary!$B$5-B9144</f>
        <v>-32604.4979165653</v>
      </c>
      <c r="E9144" s="15" t="n">
        <f aca="false">B9144/Summary!$B$5-1</f>
        <v>0.326044979165653</v>
      </c>
    </row>
    <row r="9145" customFormat="false" ht="15" hidden="false" customHeight="false" outlineLevel="0" collapsed="false">
      <c r="A9145" s="0" t="n">
        <v>9144</v>
      </c>
      <c r="B9145" s="14" t="n">
        <v>111975.301244354</v>
      </c>
      <c r="C9145" s="15" t="n">
        <v>0.0741166370062406</v>
      </c>
      <c r="D9145" s="14" t="n">
        <f aca="false">Summary!$B$5-B9145</f>
        <v>-11975.3012443542</v>
      </c>
      <c r="E9145" s="15" t="n">
        <f aca="false">B9145/Summary!$B$5-1</f>
        <v>0.119753012443542</v>
      </c>
    </row>
    <row r="9146" customFormat="false" ht="15" hidden="false" customHeight="false" outlineLevel="0" collapsed="false">
      <c r="A9146" s="0" t="n">
        <v>9145</v>
      </c>
      <c r="B9146" s="14" t="n">
        <v>117330.155500115</v>
      </c>
      <c r="C9146" s="15" t="n">
        <v>0.0884336326809184</v>
      </c>
      <c r="D9146" s="14" t="n">
        <f aca="false">Summary!$B$5-B9146</f>
        <v>-17330.1555001148</v>
      </c>
      <c r="E9146" s="15" t="n">
        <f aca="false">B9146/Summary!$B$5-1</f>
        <v>0.173301555001148</v>
      </c>
    </row>
    <row r="9147" customFormat="false" ht="15" hidden="false" customHeight="false" outlineLevel="0" collapsed="false">
      <c r="A9147" s="0" t="n">
        <v>9146</v>
      </c>
      <c r="B9147" s="14" t="n">
        <v>85346.6035390654</v>
      </c>
      <c r="C9147" s="15" t="n">
        <v>0.152984977726392</v>
      </c>
      <c r="D9147" s="14" t="n">
        <f aca="false">Summary!$B$5-B9147</f>
        <v>14653.3964609346</v>
      </c>
      <c r="E9147" s="15" t="n">
        <f aca="false">B9147/Summary!$B$5-1</f>
        <v>-0.146533964609346</v>
      </c>
    </row>
    <row r="9148" customFormat="false" ht="15" hidden="false" customHeight="false" outlineLevel="0" collapsed="false">
      <c r="A9148" s="0" t="n">
        <v>9147</v>
      </c>
      <c r="B9148" s="14" t="n">
        <v>110615.147889433</v>
      </c>
      <c r="C9148" s="15" t="n">
        <v>0.0887320222611412</v>
      </c>
      <c r="D9148" s="14" t="n">
        <f aca="false">Summary!$B$5-B9148</f>
        <v>-10615.1478894326</v>
      </c>
      <c r="E9148" s="15" t="n">
        <f aca="false">B9148/Summary!$B$5-1</f>
        <v>0.106151478894326</v>
      </c>
    </row>
    <row r="9149" customFormat="false" ht="15" hidden="false" customHeight="false" outlineLevel="0" collapsed="false">
      <c r="A9149" s="0" t="n">
        <v>9148</v>
      </c>
      <c r="B9149" s="14" t="n">
        <v>125112.979074094</v>
      </c>
      <c r="C9149" s="15" t="n">
        <v>0.075108203132233</v>
      </c>
      <c r="D9149" s="14" t="n">
        <f aca="false">Summary!$B$5-B9149</f>
        <v>-25112.9790740937</v>
      </c>
      <c r="E9149" s="15" t="n">
        <f aca="false">B9149/Summary!$B$5-1</f>
        <v>0.251129790740937</v>
      </c>
    </row>
    <row r="9150" customFormat="false" ht="15" hidden="false" customHeight="false" outlineLevel="0" collapsed="false">
      <c r="A9150" s="0" t="n">
        <v>9149</v>
      </c>
      <c r="B9150" s="14" t="n">
        <v>97843.7882403643</v>
      </c>
      <c r="C9150" s="15" t="n">
        <v>0.0968984835055514</v>
      </c>
      <c r="D9150" s="14" t="n">
        <f aca="false">Summary!$B$5-B9150</f>
        <v>2156.21175963567</v>
      </c>
      <c r="E9150" s="15" t="n">
        <f aca="false">B9150/Summary!$B$5-1</f>
        <v>-0.0215621175963567</v>
      </c>
    </row>
    <row r="9151" customFormat="false" ht="15" hidden="false" customHeight="false" outlineLevel="0" collapsed="false">
      <c r="A9151" s="0" t="n">
        <v>9150</v>
      </c>
      <c r="B9151" s="14" t="n">
        <v>103488.535132656</v>
      </c>
      <c r="C9151" s="15" t="n">
        <v>0.0708438011193702</v>
      </c>
      <c r="D9151" s="14" t="n">
        <f aca="false">Summary!$B$5-B9151</f>
        <v>-3488.5351326563</v>
      </c>
      <c r="E9151" s="15" t="n">
        <f aca="false">B9151/Summary!$B$5-1</f>
        <v>0.034885351326563</v>
      </c>
    </row>
    <row r="9152" customFormat="false" ht="15" hidden="false" customHeight="false" outlineLevel="0" collapsed="false">
      <c r="A9152" s="0" t="n">
        <v>9151</v>
      </c>
      <c r="B9152" s="14" t="n">
        <v>88939.7185289895</v>
      </c>
      <c r="C9152" s="15" t="n">
        <v>0.187821100229185</v>
      </c>
      <c r="D9152" s="14" t="n">
        <f aca="false">Summary!$B$5-B9152</f>
        <v>11060.2814710105</v>
      </c>
      <c r="E9152" s="15" t="n">
        <f aca="false">B9152/Summary!$B$5-1</f>
        <v>-0.110602814710105</v>
      </c>
    </row>
    <row r="9153" customFormat="false" ht="15" hidden="false" customHeight="false" outlineLevel="0" collapsed="false">
      <c r="A9153" s="0" t="n">
        <v>9152</v>
      </c>
      <c r="B9153" s="14" t="n">
        <v>96717.45679639</v>
      </c>
      <c r="C9153" s="15" t="n">
        <v>0.117184085470333</v>
      </c>
      <c r="D9153" s="14" t="n">
        <f aca="false">Summary!$B$5-B9153</f>
        <v>3282.54320361005</v>
      </c>
      <c r="E9153" s="15" t="n">
        <f aca="false">B9153/Summary!$B$5-1</f>
        <v>-0.0328254320361006</v>
      </c>
    </row>
    <row r="9154" customFormat="false" ht="15" hidden="false" customHeight="false" outlineLevel="0" collapsed="false">
      <c r="A9154" s="0" t="n">
        <v>9153</v>
      </c>
      <c r="B9154" s="14" t="n">
        <v>92351.9662278659</v>
      </c>
      <c r="C9154" s="15" t="n">
        <v>0.126410262781857</v>
      </c>
      <c r="D9154" s="14" t="n">
        <f aca="false">Summary!$B$5-B9154</f>
        <v>7648.03377213406</v>
      </c>
      <c r="E9154" s="15" t="n">
        <f aca="false">B9154/Summary!$B$5-1</f>
        <v>-0.0764803377213407</v>
      </c>
    </row>
    <row r="9155" customFormat="false" ht="15" hidden="false" customHeight="false" outlineLevel="0" collapsed="false">
      <c r="A9155" s="0" t="n">
        <v>9154</v>
      </c>
      <c r="B9155" s="14" t="n">
        <v>121246.040055812</v>
      </c>
      <c r="C9155" s="15" t="n">
        <v>0.105847081914832</v>
      </c>
      <c r="D9155" s="14" t="n">
        <f aca="false">Summary!$B$5-B9155</f>
        <v>-21246.0400558117</v>
      </c>
      <c r="E9155" s="15" t="n">
        <f aca="false">B9155/Summary!$B$5-1</f>
        <v>0.212460400558117</v>
      </c>
    </row>
    <row r="9156" customFormat="false" ht="15" hidden="false" customHeight="false" outlineLevel="0" collapsed="false">
      <c r="A9156" s="0" t="n">
        <v>9155</v>
      </c>
      <c r="B9156" s="14" t="n">
        <v>103223.333886824</v>
      </c>
      <c r="C9156" s="15" t="n">
        <v>0.0895349605629064</v>
      </c>
      <c r="D9156" s="14" t="n">
        <f aca="false">Summary!$B$5-B9156</f>
        <v>-3223.33388682381</v>
      </c>
      <c r="E9156" s="15" t="n">
        <f aca="false">B9156/Summary!$B$5-1</f>
        <v>0.0322333388682381</v>
      </c>
    </row>
    <row r="9157" customFormat="false" ht="15" hidden="false" customHeight="false" outlineLevel="0" collapsed="false">
      <c r="A9157" s="0" t="n">
        <v>9156</v>
      </c>
      <c r="B9157" s="14" t="n">
        <v>113546.188896321</v>
      </c>
      <c r="C9157" s="15" t="n">
        <v>0.115231149852625</v>
      </c>
      <c r="D9157" s="14" t="n">
        <f aca="false">Summary!$B$5-B9157</f>
        <v>-13546.1888963211</v>
      </c>
      <c r="E9157" s="15" t="n">
        <f aca="false">B9157/Summary!$B$5-1</f>
        <v>0.135461888963211</v>
      </c>
    </row>
    <row r="9158" customFormat="false" ht="15" hidden="false" customHeight="false" outlineLevel="0" collapsed="false">
      <c r="A9158" s="0" t="n">
        <v>9157</v>
      </c>
      <c r="B9158" s="14" t="n">
        <v>109169.546784347</v>
      </c>
      <c r="C9158" s="15" t="n">
        <v>0.106517642913856</v>
      </c>
      <c r="D9158" s="14" t="n">
        <f aca="false">Summary!$B$5-B9158</f>
        <v>-9169.5467843465</v>
      </c>
      <c r="E9158" s="15" t="n">
        <f aca="false">B9158/Summary!$B$5-1</f>
        <v>0.0916954678434649</v>
      </c>
    </row>
    <row r="9159" customFormat="false" ht="15" hidden="false" customHeight="false" outlineLevel="0" collapsed="false">
      <c r="A9159" s="0" t="n">
        <v>9158</v>
      </c>
      <c r="B9159" s="14" t="n">
        <v>108315.463222102</v>
      </c>
      <c r="C9159" s="15" t="n">
        <v>0.0928969827300441</v>
      </c>
      <c r="D9159" s="14" t="n">
        <f aca="false">Summary!$B$5-B9159</f>
        <v>-8315.4632221022</v>
      </c>
      <c r="E9159" s="15" t="n">
        <f aca="false">B9159/Summary!$B$5-1</f>
        <v>0.0831546322210219</v>
      </c>
    </row>
    <row r="9160" customFormat="false" ht="15" hidden="false" customHeight="false" outlineLevel="0" collapsed="false">
      <c r="A9160" s="0" t="n">
        <v>9159</v>
      </c>
      <c r="B9160" s="14" t="n">
        <v>116741.274367934</v>
      </c>
      <c r="C9160" s="15" t="n">
        <v>0.0752353357362016</v>
      </c>
      <c r="D9160" s="14" t="n">
        <f aca="false">Summary!$B$5-B9160</f>
        <v>-16741.2743679337</v>
      </c>
      <c r="E9160" s="15" t="n">
        <f aca="false">B9160/Summary!$B$5-1</f>
        <v>0.167412743679337</v>
      </c>
    </row>
    <row r="9161" customFormat="false" ht="15" hidden="false" customHeight="false" outlineLevel="0" collapsed="false">
      <c r="A9161" s="0" t="n">
        <v>9160</v>
      </c>
      <c r="B9161" s="14" t="n">
        <v>111915.927164399</v>
      </c>
      <c r="C9161" s="15" t="n">
        <v>0.103886529851603</v>
      </c>
      <c r="D9161" s="14" t="n">
        <f aca="false">Summary!$B$5-B9161</f>
        <v>-11915.927164399</v>
      </c>
      <c r="E9161" s="15" t="n">
        <f aca="false">B9161/Summary!$B$5-1</f>
        <v>0.11915927164399</v>
      </c>
    </row>
    <row r="9162" customFormat="false" ht="15" hidden="false" customHeight="false" outlineLevel="0" collapsed="false">
      <c r="A9162" s="0" t="n">
        <v>9161</v>
      </c>
      <c r="B9162" s="14" t="n">
        <v>110364.595508336</v>
      </c>
      <c r="C9162" s="15" t="n">
        <v>0.0951404719619023</v>
      </c>
      <c r="D9162" s="14" t="n">
        <f aca="false">Summary!$B$5-B9162</f>
        <v>-10364.5955083355</v>
      </c>
      <c r="E9162" s="15" t="n">
        <f aca="false">B9162/Summary!$B$5-1</f>
        <v>0.103645955083355</v>
      </c>
    </row>
    <row r="9163" customFormat="false" ht="15" hidden="false" customHeight="false" outlineLevel="0" collapsed="false">
      <c r="A9163" s="0" t="n">
        <v>9162</v>
      </c>
      <c r="B9163" s="14" t="n">
        <v>115686.621916483</v>
      </c>
      <c r="C9163" s="15" t="n">
        <v>0.113057519578824</v>
      </c>
      <c r="D9163" s="14" t="n">
        <f aca="false">Summary!$B$5-B9163</f>
        <v>-15686.621916483</v>
      </c>
      <c r="E9163" s="15" t="n">
        <f aca="false">B9163/Summary!$B$5-1</f>
        <v>0.15686621916483</v>
      </c>
    </row>
    <row r="9164" customFormat="false" ht="15" hidden="false" customHeight="false" outlineLevel="0" collapsed="false">
      <c r="A9164" s="0" t="n">
        <v>9163</v>
      </c>
      <c r="B9164" s="14" t="n">
        <v>112316.256896061</v>
      </c>
      <c r="C9164" s="15" t="n">
        <v>0.0739615092598831</v>
      </c>
      <c r="D9164" s="14" t="n">
        <f aca="false">Summary!$B$5-B9164</f>
        <v>-12316.2568960608</v>
      </c>
      <c r="E9164" s="15" t="n">
        <f aca="false">B9164/Summary!$B$5-1</f>
        <v>0.123162568960608</v>
      </c>
    </row>
    <row r="9165" customFormat="false" ht="15" hidden="false" customHeight="false" outlineLevel="0" collapsed="false">
      <c r="A9165" s="0" t="n">
        <v>9164</v>
      </c>
      <c r="B9165" s="14" t="n">
        <v>119391.84492615</v>
      </c>
      <c r="C9165" s="15" t="n">
        <v>0.0842562373709932</v>
      </c>
      <c r="D9165" s="14" t="n">
        <f aca="false">Summary!$B$5-B9165</f>
        <v>-19391.8449261503</v>
      </c>
      <c r="E9165" s="15" t="n">
        <f aca="false">B9165/Summary!$B$5-1</f>
        <v>0.193918449261503</v>
      </c>
    </row>
    <row r="9166" customFormat="false" ht="15" hidden="false" customHeight="false" outlineLevel="0" collapsed="false">
      <c r="A9166" s="0" t="n">
        <v>9165</v>
      </c>
      <c r="B9166" s="14" t="n">
        <v>111645.982261584</v>
      </c>
      <c r="C9166" s="15" t="n">
        <v>0.0788644046895067</v>
      </c>
      <c r="D9166" s="14" t="n">
        <f aca="false">Summary!$B$5-B9166</f>
        <v>-11645.9822615838</v>
      </c>
      <c r="E9166" s="15" t="n">
        <f aca="false">B9166/Summary!$B$5-1</f>
        <v>0.116459822615838</v>
      </c>
    </row>
    <row r="9167" customFormat="false" ht="15" hidden="false" customHeight="false" outlineLevel="0" collapsed="false">
      <c r="A9167" s="0" t="n">
        <v>9166</v>
      </c>
      <c r="B9167" s="14" t="n">
        <v>110162.239301552</v>
      </c>
      <c r="C9167" s="15" t="n">
        <v>0.104538562760064</v>
      </c>
      <c r="D9167" s="14" t="n">
        <f aca="false">Summary!$B$5-B9167</f>
        <v>-10162.2393015523</v>
      </c>
      <c r="E9167" s="15" t="n">
        <f aca="false">B9167/Summary!$B$5-1</f>
        <v>0.101622393015523</v>
      </c>
    </row>
    <row r="9168" customFormat="false" ht="15" hidden="false" customHeight="false" outlineLevel="0" collapsed="false">
      <c r="A9168" s="0" t="n">
        <v>9167</v>
      </c>
      <c r="B9168" s="14" t="n">
        <v>102623.228938112</v>
      </c>
      <c r="C9168" s="15" t="n">
        <v>0.117439051221743</v>
      </c>
      <c r="D9168" s="14" t="n">
        <f aca="false">Summary!$B$5-B9168</f>
        <v>-2623.2289381122</v>
      </c>
      <c r="E9168" s="15" t="n">
        <f aca="false">B9168/Summary!$B$5-1</f>
        <v>0.026232289381122</v>
      </c>
    </row>
    <row r="9169" customFormat="false" ht="15" hidden="false" customHeight="false" outlineLevel="0" collapsed="false">
      <c r="A9169" s="0" t="n">
        <v>9168</v>
      </c>
      <c r="B9169" s="14" t="n">
        <v>102905.686149273</v>
      </c>
      <c r="C9169" s="15" t="n">
        <v>0.120363976071776</v>
      </c>
      <c r="D9169" s="14" t="n">
        <f aca="false">Summary!$B$5-B9169</f>
        <v>-2905.686149273</v>
      </c>
      <c r="E9169" s="15" t="n">
        <f aca="false">B9169/Summary!$B$5-1</f>
        <v>0.02905686149273</v>
      </c>
    </row>
    <row r="9170" customFormat="false" ht="15" hidden="false" customHeight="false" outlineLevel="0" collapsed="false">
      <c r="A9170" s="0" t="n">
        <v>9169</v>
      </c>
      <c r="B9170" s="14" t="n">
        <v>110658.957736753</v>
      </c>
      <c r="C9170" s="15" t="n">
        <v>0.0696959393817338</v>
      </c>
      <c r="D9170" s="14" t="n">
        <f aca="false">Summary!$B$5-B9170</f>
        <v>-10658.9577367531</v>
      </c>
      <c r="E9170" s="15" t="n">
        <f aca="false">B9170/Summary!$B$5-1</f>
        <v>0.106589577367531</v>
      </c>
    </row>
    <row r="9171" customFormat="false" ht="15" hidden="false" customHeight="false" outlineLevel="0" collapsed="false">
      <c r="A9171" s="0" t="n">
        <v>9170</v>
      </c>
      <c r="B9171" s="14" t="n">
        <v>88328.0608719595</v>
      </c>
      <c r="C9171" s="15" t="n">
        <v>0.146555085743644</v>
      </c>
      <c r="D9171" s="14" t="n">
        <f aca="false">Summary!$B$5-B9171</f>
        <v>11671.9391280405</v>
      </c>
      <c r="E9171" s="15" t="n">
        <f aca="false">B9171/Summary!$B$5-1</f>
        <v>-0.116719391280405</v>
      </c>
    </row>
    <row r="9172" customFormat="false" ht="15" hidden="false" customHeight="false" outlineLevel="0" collapsed="false">
      <c r="A9172" s="0" t="n">
        <v>9171</v>
      </c>
      <c r="B9172" s="14" t="n">
        <v>101863.398768503</v>
      </c>
      <c r="C9172" s="15" t="n">
        <v>0.0849786141262341</v>
      </c>
      <c r="D9172" s="14" t="n">
        <f aca="false">Summary!$B$5-B9172</f>
        <v>-1863.3987685028</v>
      </c>
      <c r="E9172" s="15" t="n">
        <f aca="false">B9172/Summary!$B$5-1</f>
        <v>0.0186339876850279</v>
      </c>
    </row>
    <row r="9173" customFormat="false" ht="15" hidden="false" customHeight="false" outlineLevel="0" collapsed="false">
      <c r="A9173" s="0" t="n">
        <v>9172</v>
      </c>
      <c r="B9173" s="14" t="n">
        <v>104177.634519808</v>
      </c>
      <c r="C9173" s="15" t="n">
        <v>0.0732287646103375</v>
      </c>
      <c r="D9173" s="14" t="n">
        <f aca="false">Summary!$B$5-B9173</f>
        <v>-4177.6345198081</v>
      </c>
      <c r="E9173" s="15" t="n">
        <f aca="false">B9173/Summary!$B$5-1</f>
        <v>0.041776345198081</v>
      </c>
    </row>
    <row r="9174" customFormat="false" ht="15" hidden="false" customHeight="false" outlineLevel="0" collapsed="false">
      <c r="A9174" s="0" t="n">
        <v>9173</v>
      </c>
      <c r="B9174" s="14" t="n">
        <v>92618.3773016405</v>
      </c>
      <c r="C9174" s="15" t="n">
        <v>0.114747613795249</v>
      </c>
      <c r="D9174" s="14" t="n">
        <f aca="false">Summary!$B$5-B9174</f>
        <v>7381.62269835954</v>
      </c>
      <c r="E9174" s="15" t="n">
        <f aca="false">B9174/Summary!$B$5-1</f>
        <v>-0.0738162269835954</v>
      </c>
    </row>
    <row r="9175" customFormat="false" ht="15" hidden="false" customHeight="false" outlineLevel="0" collapsed="false">
      <c r="A9175" s="0" t="n">
        <v>9174</v>
      </c>
      <c r="B9175" s="14" t="n">
        <v>97046.224341192</v>
      </c>
      <c r="C9175" s="15" t="n">
        <v>0.129833999719588</v>
      </c>
      <c r="D9175" s="14" t="n">
        <f aca="false">Summary!$B$5-B9175</f>
        <v>2953.77565880805</v>
      </c>
      <c r="E9175" s="15" t="n">
        <f aca="false">B9175/Summary!$B$5-1</f>
        <v>-0.0295377565880806</v>
      </c>
    </row>
    <row r="9176" customFormat="false" ht="15" hidden="false" customHeight="false" outlineLevel="0" collapsed="false">
      <c r="A9176" s="0" t="n">
        <v>9175</v>
      </c>
      <c r="B9176" s="14" t="n">
        <v>95657.6644144998</v>
      </c>
      <c r="C9176" s="15" t="n">
        <v>0.136479234020562</v>
      </c>
      <c r="D9176" s="14" t="n">
        <f aca="false">Summary!$B$5-B9176</f>
        <v>4342.33558550016</v>
      </c>
      <c r="E9176" s="15" t="n">
        <f aca="false">B9176/Summary!$B$5-1</f>
        <v>-0.0434233558550016</v>
      </c>
    </row>
    <row r="9177" customFormat="false" ht="15" hidden="false" customHeight="false" outlineLevel="0" collapsed="false">
      <c r="A9177" s="0" t="n">
        <v>9176</v>
      </c>
      <c r="B9177" s="14" t="n">
        <v>91472.707863853</v>
      </c>
      <c r="C9177" s="15" t="n">
        <v>0.137856675833795</v>
      </c>
      <c r="D9177" s="14" t="n">
        <f aca="false">Summary!$B$5-B9177</f>
        <v>8527.29213614705</v>
      </c>
      <c r="E9177" s="15" t="n">
        <f aca="false">B9177/Summary!$B$5-1</f>
        <v>-0.0852729213614705</v>
      </c>
    </row>
    <row r="9178" customFormat="false" ht="15" hidden="false" customHeight="false" outlineLevel="0" collapsed="false">
      <c r="A9178" s="0" t="n">
        <v>9177</v>
      </c>
      <c r="B9178" s="14" t="n">
        <v>107445.949499006</v>
      </c>
      <c r="C9178" s="15" t="n">
        <v>0.0583747608777299</v>
      </c>
      <c r="D9178" s="14" t="n">
        <f aca="false">Summary!$B$5-B9178</f>
        <v>-7445.9494990055</v>
      </c>
      <c r="E9178" s="15" t="n">
        <f aca="false">B9178/Summary!$B$5-1</f>
        <v>0.074459494990055</v>
      </c>
    </row>
    <row r="9179" customFormat="false" ht="15" hidden="false" customHeight="false" outlineLevel="0" collapsed="false">
      <c r="A9179" s="0" t="n">
        <v>9178</v>
      </c>
      <c r="B9179" s="14" t="n">
        <v>91096.4030360723</v>
      </c>
      <c r="C9179" s="15" t="n">
        <v>0.187601329387754</v>
      </c>
      <c r="D9179" s="14" t="n">
        <f aca="false">Summary!$B$5-B9179</f>
        <v>8903.59696392766</v>
      </c>
      <c r="E9179" s="15" t="n">
        <f aca="false">B9179/Summary!$B$5-1</f>
        <v>-0.0890359696392766</v>
      </c>
    </row>
    <row r="9180" customFormat="false" ht="15" hidden="false" customHeight="false" outlineLevel="0" collapsed="false">
      <c r="A9180" s="0" t="n">
        <v>9179</v>
      </c>
      <c r="B9180" s="14" t="n">
        <v>96299.7953301445</v>
      </c>
      <c r="C9180" s="15" t="n">
        <v>0.124602320524966</v>
      </c>
      <c r="D9180" s="14" t="n">
        <f aca="false">Summary!$B$5-B9180</f>
        <v>3700.20466985551</v>
      </c>
      <c r="E9180" s="15" t="n">
        <f aca="false">B9180/Summary!$B$5-1</f>
        <v>-0.0370020466985551</v>
      </c>
    </row>
    <row r="9181" customFormat="false" ht="15" hidden="false" customHeight="false" outlineLevel="0" collapsed="false">
      <c r="A9181" s="0" t="n">
        <v>9180</v>
      </c>
      <c r="B9181" s="14" t="n">
        <v>89678.2660450787</v>
      </c>
      <c r="C9181" s="15" t="n">
        <v>0.116600332782735</v>
      </c>
      <c r="D9181" s="14" t="n">
        <f aca="false">Summary!$B$5-B9181</f>
        <v>10321.7339549213</v>
      </c>
      <c r="E9181" s="15" t="n">
        <f aca="false">B9181/Summary!$B$5-1</f>
        <v>-0.103217339549213</v>
      </c>
    </row>
    <row r="9182" customFormat="false" ht="15" hidden="false" customHeight="false" outlineLevel="0" collapsed="false">
      <c r="A9182" s="0" t="n">
        <v>9181</v>
      </c>
      <c r="B9182" s="14" t="n">
        <v>100713.087964504</v>
      </c>
      <c r="C9182" s="15" t="n">
        <v>0.0844090597721224</v>
      </c>
      <c r="D9182" s="14" t="n">
        <f aca="false">Summary!$B$5-B9182</f>
        <v>-713.087964503502</v>
      </c>
      <c r="E9182" s="15" t="n">
        <f aca="false">B9182/Summary!$B$5-1</f>
        <v>0.00713087964503512</v>
      </c>
    </row>
    <row r="9183" customFormat="false" ht="15" hidden="false" customHeight="false" outlineLevel="0" collapsed="false">
      <c r="A9183" s="0" t="n">
        <v>9182</v>
      </c>
      <c r="B9183" s="14" t="n">
        <v>112411.530855589</v>
      </c>
      <c r="C9183" s="15" t="n">
        <v>0.0922839407500231</v>
      </c>
      <c r="D9183" s="14" t="n">
        <f aca="false">Summary!$B$5-B9183</f>
        <v>-12411.5308555889</v>
      </c>
      <c r="E9183" s="15" t="n">
        <f aca="false">B9183/Summary!$B$5-1</f>
        <v>0.124115308555889</v>
      </c>
    </row>
    <row r="9184" customFormat="false" ht="15" hidden="false" customHeight="false" outlineLevel="0" collapsed="false">
      <c r="A9184" s="0" t="n">
        <v>9183</v>
      </c>
      <c r="B9184" s="14" t="n">
        <v>103830.884685829</v>
      </c>
      <c r="C9184" s="15" t="n">
        <v>0.14181905703456</v>
      </c>
      <c r="D9184" s="14" t="n">
        <f aca="false">Summary!$B$5-B9184</f>
        <v>-3830.8846858288</v>
      </c>
      <c r="E9184" s="15" t="n">
        <f aca="false">B9184/Summary!$B$5-1</f>
        <v>0.038308846858288</v>
      </c>
    </row>
    <row r="9185" customFormat="false" ht="15" hidden="false" customHeight="false" outlineLevel="0" collapsed="false">
      <c r="A9185" s="0" t="n">
        <v>9184</v>
      </c>
      <c r="B9185" s="14" t="n">
        <v>133639.941139045</v>
      </c>
      <c r="C9185" s="15" t="n">
        <v>0.0625607233694815</v>
      </c>
      <c r="D9185" s="14" t="n">
        <f aca="false">Summary!$B$5-B9185</f>
        <v>-33639.9411390451</v>
      </c>
      <c r="E9185" s="15" t="n">
        <f aca="false">B9185/Summary!$B$5-1</f>
        <v>0.336399411390451</v>
      </c>
    </row>
    <row r="9186" customFormat="false" ht="15" hidden="false" customHeight="false" outlineLevel="0" collapsed="false">
      <c r="A9186" s="0" t="n">
        <v>9185</v>
      </c>
      <c r="B9186" s="14" t="n">
        <v>135615.546278848</v>
      </c>
      <c r="C9186" s="15" t="n">
        <v>0.0696244469018572</v>
      </c>
      <c r="D9186" s="14" t="n">
        <f aca="false">Summary!$B$5-B9186</f>
        <v>-35615.5462788484</v>
      </c>
      <c r="E9186" s="15" t="n">
        <f aca="false">B9186/Summary!$B$5-1</f>
        <v>0.356155462788484</v>
      </c>
    </row>
    <row r="9187" customFormat="false" ht="15" hidden="false" customHeight="false" outlineLevel="0" collapsed="false">
      <c r="A9187" s="0" t="n">
        <v>9186</v>
      </c>
      <c r="B9187" s="14" t="n">
        <v>112962.053465363</v>
      </c>
      <c r="C9187" s="15" t="n">
        <v>0.0695425026237215</v>
      </c>
      <c r="D9187" s="14" t="n">
        <f aca="false">Summary!$B$5-B9187</f>
        <v>-12962.0534653631</v>
      </c>
      <c r="E9187" s="15" t="n">
        <f aca="false">B9187/Summary!$B$5-1</f>
        <v>0.129620534653631</v>
      </c>
    </row>
    <row r="9188" customFormat="false" ht="15" hidden="false" customHeight="false" outlineLevel="0" collapsed="false">
      <c r="A9188" s="0" t="n">
        <v>9187</v>
      </c>
      <c r="B9188" s="14" t="n">
        <v>89745.9608856749</v>
      </c>
      <c r="C9188" s="15" t="n">
        <v>0.149249313172485</v>
      </c>
      <c r="D9188" s="14" t="n">
        <f aca="false">Summary!$B$5-B9188</f>
        <v>10254.0391143251</v>
      </c>
      <c r="E9188" s="15" t="n">
        <f aca="false">B9188/Summary!$B$5-1</f>
        <v>-0.102540391143251</v>
      </c>
    </row>
    <row r="9189" customFormat="false" ht="15" hidden="false" customHeight="false" outlineLevel="0" collapsed="false">
      <c r="A9189" s="0" t="n">
        <v>9188</v>
      </c>
      <c r="B9189" s="14" t="n">
        <v>126642.167829854</v>
      </c>
      <c r="C9189" s="15" t="n">
        <v>0.0814588126331368</v>
      </c>
      <c r="D9189" s="14" t="n">
        <f aca="false">Summary!$B$5-B9189</f>
        <v>-26642.1678298538</v>
      </c>
      <c r="E9189" s="15" t="n">
        <f aca="false">B9189/Summary!$B$5-1</f>
        <v>0.266421678298538</v>
      </c>
    </row>
    <row r="9190" customFormat="false" ht="15" hidden="false" customHeight="false" outlineLevel="0" collapsed="false">
      <c r="A9190" s="0" t="n">
        <v>9189</v>
      </c>
      <c r="B9190" s="14" t="n">
        <v>119284.650369459</v>
      </c>
      <c r="C9190" s="15" t="n">
        <v>0.0614745863523093</v>
      </c>
      <c r="D9190" s="14" t="n">
        <f aca="false">Summary!$B$5-B9190</f>
        <v>-19284.650369459</v>
      </c>
      <c r="E9190" s="15" t="n">
        <f aca="false">B9190/Summary!$B$5-1</f>
        <v>0.19284650369459</v>
      </c>
    </row>
    <row r="9191" customFormat="false" ht="15" hidden="false" customHeight="false" outlineLevel="0" collapsed="false">
      <c r="A9191" s="0" t="n">
        <v>9190</v>
      </c>
      <c r="B9191" s="14" t="n">
        <v>110865.812839667</v>
      </c>
      <c r="C9191" s="15" t="n">
        <v>0.071373112840709</v>
      </c>
      <c r="D9191" s="14" t="n">
        <f aca="false">Summary!$B$5-B9191</f>
        <v>-10865.8128396673</v>
      </c>
      <c r="E9191" s="15" t="n">
        <f aca="false">B9191/Summary!$B$5-1</f>
        <v>0.108658128396673</v>
      </c>
    </row>
    <row r="9192" customFormat="false" ht="15" hidden="false" customHeight="false" outlineLevel="0" collapsed="false">
      <c r="A9192" s="0" t="n">
        <v>9191</v>
      </c>
      <c r="B9192" s="14" t="n">
        <v>91821.3839195675</v>
      </c>
      <c r="C9192" s="15" t="n">
        <v>0.108035071542557</v>
      </c>
      <c r="D9192" s="14" t="n">
        <f aca="false">Summary!$B$5-B9192</f>
        <v>8178.61608043255</v>
      </c>
      <c r="E9192" s="15" t="n">
        <f aca="false">B9192/Summary!$B$5-1</f>
        <v>-0.0817861608043254</v>
      </c>
    </row>
    <row r="9193" customFormat="false" ht="15" hidden="false" customHeight="false" outlineLevel="0" collapsed="false">
      <c r="A9193" s="0" t="n">
        <v>9192</v>
      </c>
      <c r="B9193" s="14" t="n">
        <v>122484.106489936</v>
      </c>
      <c r="C9193" s="15" t="n">
        <v>0.0984981908819453</v>
      </c>
      <c r="D9193" s="14" t="n">
        <f aca="false">Summary!$B$5-B9193</f>
        <v>-22484.1064899359</v>
      </c>
      <c r="E9193" s="15" t="n">
        <f aca="false">B9193/Summary!$B$5-1</f>
        <v>0.224841064899359</v>
      </c>
    </row>
    <row r="9194" customFormat="false" ht="15" hidden="false" customHeight="false" outlineLevel="0" collapsed="false">
      <c r="A9194" s="0" t="n">
        <v>9193</v>
      </c>
      <c r="B9194" s="14" t="n">
        <v>122796.617896324</v>
      </c>
      <c r="C9194" s="15" t="n">
        <v>0.0604481785836466</v>
      </c>
      <c r="D9194" s="14" t="n">
        <f aca="false">Summary!$B$5-B9194</f>
        <v>-22796.6178963237</v>
      </c>
      <c r="E9194" s="15" t="n">
        <f aca="false">B9194/Summary!$B$5-1</f>
        <v>0.227966178963237</v>
      </c>
    </row>
    <row r="9195" customFormat="false" ht="15" hidden="false" customHeight="false" outlineLevel="0" collapsed="false">
      <c r="A9195" s="0" t="n">
        <v>9194</v>
      </c>
      <c r="B9195" s="14" t="n">
        <v>119565.871473394</v>
      </c>
      <c r="C9195" s="15" t="n">
        <v>0.0643711708354324</v>
      </c>
      <c r="D9195" s="14" t="n">
        <f aca="false">Summary!$B$5-B9195</f>
        <v>-19565.8714733938</v>
      </c>
      <c r="E9195" s="15" t="n">
        <f aca="false">B9195/Summary!$B$5-1</f>
        <v>0.195658714733938</v>
      </c>
    </row>
    <row r="9196" customFormat="false" ht="15" hidden="false" customHeight="false" outlineLevel="0" collapsed="false">
      <c r="A9196" s="0" t="n">
        <v>9195</v>
      </c>
      <c r="B9196" s="14" t="n">
        <v>108046.90903269</v>
      </c>
      <c r="C9196" s="15" t="n">
        <v>0.0749392576057711</v>
      </c>
      <c r="D9196" s="14" t="n">
        <f aca="false">Summary!$B$5-B9196</f>
        <v>-8046.9090326899</v>
      </c>
      <c r="E9196" s="15" t="n">
        <f aca="false">B9196/Summary!$B$5-1</f>
        <v>0.080469090326899</v>
      </c>
    </row>
    <row r="9197" customFormat="false" ht="15" hidden="false" customHeight="false" outlineLevel="0" collapsed="false">
      <c r="A9197" s="0" t="n">
        <v>9196</v>
      </c>
      <c r="B9197" s="14" t="n">
        <v>120533.264018748</v>
      </c>
      <c r="C9197" s="15" t="n">
        <v>0.0515377972356632</v>
      </c>
      <c r="D9197" s="14" t="n">
        <f aca="false">Summary!$B$5-B9197</f>
        <v>-20533.264018748</v>
      </c>
      <c r="E9197" s="15" t="n">
        <f aca="false">B9197/Summary!$B$5-1</f>
        <v>0.20533264018748</v>
      </c>
    </row>
    <row r="9198" customFormat="false" ht="15" hidden="false" customHeight="false" outlineLevel="0" collapsed="false">
      <c r="A9198" s="0" t="n">
        <v>9197</v>
      </c>
      <c r="B9198" s="14" t="n">
        <v>115775.987332275</v>
      </c>
      <c r="C9198" s="15" t="n">
        <v>0.0811276489222936</v>
      </c>
      <c r="D9198" s="14" t="n">
        <f aca="false">Summary!$B$5-B9198</f>
        <v>-15775.9873322751</v>
      </c>
      <c r="E9198" s="15" t="n">
        <f aca="false">B9198/Summary!$B$5-1</f>
        <v>0.157759873322751</v>
      </c>
    </row>
    <row r="9199" customFormat="false" ht="15" hidden="false" customHeight="false" outlineLevel="0" collapsed="false">
      <c r="A9199" s="0" t="n">
        <v>9198</v>
      </c>
      <c r="B9199" s="14" t="n">
        <v>95828.8699875216</v>
      </c>
      <c r="C9199" s="15" t="n">
        <v>0.100397884752544</v>
      </c>
      <c r="D9199" s="14" t="n">
        <f aca="false">Summary!$B$5-B9199</f>
        <v>4171.13001247836</v>
      </c>
      <c r="E9199" s="15" t="n">
        <f aca="false">B9199/Summary!$B$5-1</f>
        <v>-0.0417113001247836</v>
      </c>
    </row>
    <row r="9200" customFormat="false" ht="15" hidden="false" customHeight="false" outlineLevel="0" collapsed="false">
      <c r="A9200" s="0" t="n">
        <v>9199</v>
      </c>
      <c r="B9200" s="14" t="n">
        <v>104072.212329983</v>
      </c>
      <c r="C9200" s="15" t="n">
        <v>0.0699795640101254</v>
      </c>
      <c r="D9200" s="14" t="n">
        <f aca="false">Summary!$B$5-B9200</f>
        <v>-4072.21232998271</v>
      </c>
      <c r="E9200" s="15" t="n">
        <f aca="false">B9200/Summary!$B$5-1</f>
        <v>0.0407221232998272</v>
      </c>
    </row>
    <row r="9201" customFormat="false" ht="15" hidden="false" customHeight="false" outlineLevel="0" collapsed="false">
      <c r="A9201" s="0" t="n">
        <v>9200</v>
      </c>
      <c r="B9201" s="14" t="n">
        <v>98215.3612506072</v>
      </c>
      <c r="C9201" s="15" t="n">
        <v>0.116008804037074</v>
      </c>
      <c r="D9201" s="14" t="n">
        <f aca="false">Summary!$B$5-B9201</f>
        <v>1784.63874939279</v>
      </c>
      <c r="E9201" s="15" t="n">
        <f aca="false">B9201/Summary!$B$5-1</f>
        <v>-0.0178463874939279</v>
      </c>
    </row>
    <row r="9202" customFormat="false" ht="15" hidden="false" customHeight="false" outlineLevel="0" collapsed="false">
      <c r="A9202" s="0" t="n">
        <v>9201</v>
      </c>
      <c r="B9202" s="14" t="n">
        <v>96374.8704302983</v>
      </c>
      <c r="C9202" s="15" t="n">
        <v>0.0912214461299586</v>
      </c>
      <c r="D9202" s="14" t="n">
        <f aca="false">Summary!$B$5-B9202</f>
        <v>3625.12956970173</v>
      </c>
      <c r="E9202" s="15" t="n">
        <f aca="false">B9202/Summary!$B$5-1</f>
        <v>-0.0362512956970174</v>
      </c>
    </row>
    <row r="9203" customFormat="false" ht="15" hidden="false" customHeight="false" outlineLevel="0" collapsed="false">
      <c r="A9203" s="0" t="n">
        <v>9202</v>
      </c>
      <c r="B9203" s="14" t="n">
        <v>110944.8832058</v>
      </c>
      <c r="C9203" s="15" t="n">
        <v>0.0628977527161395</v>
      </c>
      <c r="D9203" s="14" t="n">
        <f aca="false">Summary!$B$5-B9203</f>
        <v>-10944.8832058003</v>
      </c>
      <c r="E9203" s="15" t="n">
        <f aca="false">B9203/Summary!$B$5-1</f>
        <v>0.109448832058003</v>
      </c>
    </row>
    <row r="9204" customFormat="false" ht="15" hidden="false" customHeight="false" outlineLevel="0" collapsed="false">
      <c r="A9204" s="0" t="n">
        <v>9203</v>
      </c>
      <c r="B9204" s="14" t="n">
        <v>102288.224623809</v>
      </c>
      <c r="C9204" s="15" t="n">
        <v>0.103925857155006</v>
      </c>
      <c r="D9204" s="14" t="n">
        <f aca="false">Summary!$B$5-B9204</f>
        <v>-2288.2246238089</v>
      </c>
      <c r="E9204" s="15" t="n">
        <f aca="false">B9204/Summary!$B$5-1</f>
        <v>0.0228822462380891</v>
      </c>
    </row>
    <row r="9205" customFormat="false" ht="15" hidden="false" customHeight="false" outlineLevel="0" collapsed="false">
      <c r="A9205" s="0" t="n">
        <v>9204</v>
      </c>
      <c r="B9205" s="14" t="n">
        <v>91829.0578701121</v>
      </c>
      <c r="C9205" s="15" t="n">
        <v>0.190176526897108</v>
      </c>
      <c r="D9205" s="14" t="n">
        <f aca="false">Summary!$B$5-B9205</f>
        <v>8170.94212988793</v>
      </c>
      <c r="E9205" s="15" t="n">
        <f aca="false">B9205/Summary!$B$5-1</f>
        <v>-0.0817094212988794</v>
      </c>
    </row>
    <row r="9206" customFormat="false" ht="15" hidden="false" customHeight="false" outlineLevel="0" collapsed="false">
      <c r="A9206" s="0" t="n">
        <v>9205</v>
      </c>
      <c r="B9206" s="14" t="n">
        <v>95302.7427443384</v>
      </c>
      <c r="C9206" s="15" t="n">
        <v>0.0885641859473836</v>
      </c>
      <c r="D9206" s="14" t="n">
        <f aca="false">Summary!$B$5-B9206</f>
        <v>4697.25725566159</v>
      </c>
      <c r="E9206" s="15" t="n">
        <f aca="false">B9206/Summary!$B$5-1</f>
        <v>-0.0469725725566159</v>
      </c>
    </row>
    <row r="9207" customFormat="false" ht="15" hidden="false" customHeight="false" outlineLevel="0" collapsed="false">
      <c r="A9207" s="0" t="n">
        <v>9206</v>
      </c>
      <c r="B9207" s="14" t="n">
        <v>95362.9401677011</v>
      </c>
      <c r="C9207" s="15" t="n">
        <v>0.0788622750067365</v>
      </c>
      <c r="D9207" s="14" t="n">
        <f aca="false">Summary!$B$5-B9207</f>
        <v>4637.05983229888</v>
      </c>
      <c r="E9207" s="15" t="n">
        <f aca="false">B9207/Summary!$B$5-1</f>
        <v>-0.0463705983229888</v>
      </c>
    </row>
    <row r="9208" customFormat="false" ht="15" hidden="false" customHeight="false" outlineLevel="0" collapsed="false">
      <c r="A9208" s="0" t="n">
        <v>9207</v>
      </c>
      <c r="B9208" s="14" t="n">
        <v>95323.9358079309</v>
      </c>
      <c r="C9208" s="15" t="n">
        <v>0.115608266681944</v>
      </c>
      <c r="D9208" s="14" t="n">
        <f aca="false">Summary!$B$5-B9208</f>
        <v>4676.0641920691</v>
      </c>
      <c r="E9208" s="15" t="n">
        <f aca="false">B9208/Summary!$B$5-1</f>
        <v>-0.046760641920691</v>
      </c>
    </row>
    <row r="9209" customFormat="false" ht="15" hidden="false" customHeight="false" outlineLevel="0" collapsed="false">
      <c r="A9209" s="0" t="n">
        <v>9208</v>
      </c>
      <c r="B9209" s="14" t="n">
        <v>113915.564130994</v>
      </c>
      <c r="C9209" s="15" t="n">
        <v>0.0754985458838937</v>
      </c>
      <c r="D9209" s="14" t="n">
        <f aca="false">Summary!$B$5-B9209</f>
        <v>-13915.5641309943</v>
      </c>
      <c r="E9209" s="15" t="n">
        <f aca="false">B9209/Summary!$B$5-1</f>
        <v>0.139155641309943</v>
      </c>
    </row>
    <row r="9210" customFormat="false" ht="15" hidden="false" customHeight="false" outlineLevel="0" collapsed="false">
      <c r="A9210" s="0" t="n">
        <v>9209</v>
      </c>
      <c r="B9210" s="14" t="n">
        <v>127857.690780209</v>
      </c>
      <c r="C9210" s="15" t="n">
        <v>0.0506470519037666</v>
      </c>
      <c r="D9210" s="14" t="n">
        <f aca="false">Summary!$B$5-B9210</f>
        <v>-27857.6907802089</v>
      </c>
      <c r="E9210" s="15" t="n">
        <f aca="false">B9210/Summary!$B$5-1</f>
        <v>0.278576907802089</v>
      </c>
    </row>
    <row r="9211" customFormat="false" ht="15" hidden="false" customHeight="false" outlineLevel="0" collapsed="false">
      <c r="A9211" s="0" t="n">
        <v>9210</v>
      </c>
      <c r="B9211" s="14" t="n">
        <v>118044.643088764</v>
      </c>
      <c r="C9211" s="15" t="n">
        <v>0.0811746792635522</v>
      </c>
      <c r="D9211" s="14" t="n">
        <f aca="false">Summary!$B$5-B9211</f>
        <v>-18044.6430887641</v>
      </c>
      <c r="E9211" s="15" t="n">
        <f aca="false">B9211/Summary!$B$5-1</f>
        <v>0.180446430887641</v>
      </c>
    </row>
    <row r="9212" customFormat="false" ht="15" hidden="false" customHeight="false" outlineLevel="0" collapsed="false">
      <c r="A9212" s="0" t="n">
        <v>9211</v>
      </c>
      <c r="B9212" s="14" t="n">
        <v>102011.555764025</v>
      </c>
      <c r="C9212" s="15" t="n">
        <v>0.106116330975126</v>
      </c>
      <c r="D9212" s="14" t="n">
        <f aca="false">Summary!$B$5-B9212</f>
        <v>-2011.5557640245</v>
      </c>
      <c r="E9212" s="15" t="n">
        <f aca="false">B9212/Summary!$B$5-1</f>
        <v>0.020115557640245</v>
      </c>
    </row>
    <row r="9213" customFormat="false" ht="15" hidden="false" customHeight="false" outlineLevel="0" collapsed="false">
      <c r="A9213" s="0" t="n">
        <v>9212</v>
      </c>
      <c r="B9213" s="14" t="n">
        <v>90521.3877455103</v>
      </c>
      <c r="C9213" s="15" t="n">
        <v>0.133269861408434</v>
      </c>
      <c r="D9213" s="14" t="n">
        <f aca="false">Summary!$B$5-B9213</f>
        <v>9478.61225448971</v>
      </c>
      <c r="E9213" s="15" t="n">
        <f aca="false">B9213/Summary!$B$5-1</f>
        <v>-0.094786122544897</v>
      </c>
    </row>
    <row r="9214" customFormat="false" ht="15" hidden="false" customHeight="false" outlineLevel="0" collapsed="false">
      <c r="A9214" s="0" t="n">
        <v>9213</v>
      </c>
      <c r="B9214" s="14" t="n">
        <v>132023.377567058</v>
      </c>
      <c r="C9214" s="15" t="n">
        <v>0.110104242898572</v>
      </c>
      <c r="D9214" s="14" t="n">
        <f aca="false">Summary!$B$5-B9214</f>
        <v>-32023.3775670581</v>
      </c>
      <c r="E9214" s="15" t="n">
        <f aca="false">B9214/Summary!$B$5-1</f>
        <v>0.320233775670581</v>
      </c>
    </row>
    <row r="9215" customFormat="false" ht="15" hidden="false" customHeight="false" outlineLevel="0" collapsed="false">
      <c r="A9215" s="0" t="n">
        <v>9214</v>
      </c>
      <c r="B9215" s="14" t="n">
        <v>95073.1053627212</v>
      </c>
      <c r="C9215" s="15" t="n">
        <v>0.109648761675794</v>
      </c>
      <c r="D9215" s="14" t="n">
        <f aca="false">Summary!$B$5-B9215</f>
        <v>4926.89463727881</v>
      </c>
      <c r="E9215" s="15" t="n">
        <f aca="false">B9215/Summary!$B$5-1</f>
        <v>-0.049268946372788</v>
      </c>
    </row>
    <row r="9216" customFormat="false" ht="15" hidden="false" customHeight="false" outlineLevel="0" collapsed="false">
      <c r="A9216" s="0" t="n">
        <v>9215</v>
      </c>
      <c r="B9216" s="14" t="n">
        <v>105815.814665451</v>
      </c>
      <c r="C9216" s="15" t="n">
        <v>0.164416062300095</v>
      </c>
      <c r="D9216" s="14" t="n">
        <f aca="false">Summary!$B$5-B9216</f>
        <v>-5815.8146654514</v>
      </c>
      <c r="E9216" s="15" t="n">
        <f aca="false">B9216/Summary!$B$5-1</f>
        <v>0.058158146654514</v>
      </c>
    </row>
    <row r="9217" customFormat="false" ht="15" hidden="false" customHeight="false" outlineLevel="0" collapsed="false">
      <c r="A9217" s="0" t="n">
        <v>9216</v>
      </c>
      <c r="B9217" s="14" t="n">
        <v>111231.416767511</v>
      </c>
      <c r="C9217" s="15" t="n">
        <v>0.0598011487569786</v>
      </c>
      <c r="D9217" s="14" t="n">
        <f aca="false">Summary!$B$5-B9217</f>
        <v>-11231.4167675114</v>
      </c>
      <c r="E9217" s="15" t="n">
        <f aca="false">B9217/Summary!$B$5-1</f>
        <v>0.112314167675114</v>
      </c>
    </row>
    <row r="9218" customFormat="false" ht="15" hidden="false" customHeight="false" outlineLevel="0" collapsed="false">
      <c r="A9218" s="0" t="n">
        <v>9217</v>
      </c>
      <c r="B9218" s="14" t="n">
        <v>105658.558438957</v>
      </c>
      <c r="C9218" s="15" t="n">
        <v>0.0711149811791039</v>
      </c>
      <c r="D9218" s="14" t="n">
        <f aca="false">Summary!$B$5-B9218</f>
        <v>-5658.55843895731</v>
      </c>
      <c r="E9218" s="15" t="n">
        <f aca="false">B9218/Summary!$B$5-1</f>
        <v>0.0565855843895731</v>
      </c>
    </row>
    <row r="9219" customFormat="false" ht="15" hidden="false" customHeight="false" outlineLevel="0" collapsed="false">
      <c r="A9219" s="0" t="n">
        <v>9218</v>
      </c>
      <c r="B9219" s="14" t="n">
        <v>108079.466476664</v>
      </c>
      <c r="C9219" s="15" t="n">
        <v>0.0953060847537885</v>
      </c>
      <c r="D9219" s="14" t="n">
        <f aca="false">Summary!$B$5-B9219</f>
        <v>-8079.4664766636</v>
      </c>
      <c r="E9219" s="15" t="n">
        <f aca="false">B9219/Summary!$B$5-1</f>
        <v>0.080794664766636</v>
      </c>
    </row>
    <row r="9220" customFormat="false" ht="15" hidden="false" customHeight="false" outlineLevel="0" collapsed="false">
      <c r="A9220" s="0" t="n">
        <v>9219</v>
      </c>
      <c r="B9220" s="14" t="n">
        <v>126988.257267546</v>
      </c>
      <c r="C9220" s="15" t="n">
        <v>0.0571107833357388</v>
      </c>
      <c r="D9220" s="14" t="n">
        <f aca="false">Summary!$B$5-B9220</f>
        <v>-26988.257267546</v>
      </c>
      <c r="E9220" s="15" t="n">
        <f aca="false">B9220/Summary!$B$5-1</f>
        <v>0.26988257267546</v>
      </c>
    </row>
    <row r="9221" customFormat="false" ht="15" hidden="false" customHeight="false" outlineLevel="0" collapsed="false">
      <c r="A9221" s="0" t="n">
        <v>9220</v>
      </c>
      <c r="B9221" s="14" t="n">
        <v>111318.182403741</v>
      </c>
      <c r="C9221" s="15" t="n">
        <v>0.0890118442547477</v>
      </c>
      <c r="D9221" s="14" t="n">
        <f aca="false">Summary!$B$5-B9221</f>
        <v>-11318.1824037408</v>
      </c>
      <c r="E9221" s="15" t="n">
        <f aca="false">B9221/Summary!$B$5-1</f>
        <v>0.113181824037408</v>
      </c>
    </row>
    <row r="9222" customFormat="false" ht="15" hidden="false" customHeight="false" outlineLevel="0" collapsed="false">
      <c r="A9222" s="0" t="n">
        <v>9221</v>
      </c>
      <c r="B9222" s="14" t="n">
        <v>98806.6302323199</v>
      </c>
      <c r="C9222" s="15" t="n">
        <v>0.124607877999482</v>
      </c>
      <c r="D9222" s="14" t="n">
        <f aca="false">Summary!$B$5-B9222</f>
        <v>1193.36976768011</v>
      </c>
      <c r="E9222" s="15" t="n">
        <f aca="false">B9222/Summary!$B$5-1</f>
        <v>-0.0119336976768011</v>
      </c>
    </row>
    <row r="9223" customFormat="false" ht="15" hidden="false" customHeight="false" outlineLevel="0" collapsed="false">
      <c r="A9223" s="0" t="n">
        <v>9222</v>
      </c>
      <c r="B9223" s="14" t="n">
        <v>103185.745342195</v>
      </c>
      <c r="C9223" s="15" t="n">
        <v>0.0715101328178651</v>
      </c>
      <c r="D9223" s="14" t="n">
        <f aca="false">Summary!$B$5-B9223</f>
        <v>-3185.7453421948</v>
      </c>
      <c r="E9223" s="15" t="n">
        <f aca="false">B9223/Summary!$B$5-1</f>
        <v>0.031857453421948</v>
      </c>
    </row>
    <row r="9224" customFormat="false" ht="15" hidden="false" customHeight="false" outlineLevel="0" collapsed="false">
      <c r="A9224" s="0" t="n">
        <v>9223</v>
      </c>
      <c r="B9224" s="14" t="n">
        <v>122222.634222099</v>
      </c>
      <c r="C9224" s="15" t="n">
        <v>0.099942513986062</v>
      </c>
      <c r="D9224" s="14" t="n">
        <f aca="false">Summary!$B$5-B9224</f>
        <v>-22222.6342220987</v>
      </c>
      <c r="E9224" s="15" t="n">
        <f aca="false">B9224/Summary!$B$5-1</f>
        <v>0.222226342220987</v>
      </c>
    </row>
    <row r="9225" customFormat="false" ht="15" hidden="false" customHeight="false" outlineLevel="0" collapsed="false">
      <c r="A9225" s="0" t="n">
        <v>9224</v>
      </c>
      <c r="B9225" s="14" t="n">
        <v>98364.3782774355</v>
      </c>
      <c r="C9225" s="15" t="n">
        <v>0.132268769361781</v>
      </c>
      <c r="D9225" s="14" t="n">
        <f aca="false">Summary!$B$5-B9225</f>
        <v>1635.62172256447</v>
      </c>
      <c r="E9225" s="15" t="n">
        <f aca="false">B9225/Summary!$B$5-1</f>
        <v>-0.0163562172256446</v>
      </c>
    </row>
    <row r="9226" customFormat="false" ht="15" hidden="false" customHeight="false" outlineLevel="0" collapsed="false">
      <c r="A9226" s="0" t="n">
        <v>9225</v>
      </c>
      <c r="B9226" s="14" t="n">
        <v>123876.240591797</v>
      </c>
      <c r="C9226" s="15" t="n">
        <v>0.0838245954700728</v>
      </c>
      <c r="D9226" s="14" t="n">
        <f aca="false">Summary!$B$5-B9226</f>
        <v>-23876.2405917974</v>
      </c>
      <c r="E9226" s="15" t="n">
        <f aca="false">B9226/Summary!$B$5-1</f>
        <v>0.238762405917974</v>
      </c>
    </row>
    <row r="9227" customFormat="false" ht="15" hidden="false" customHeight="false" outlineLevel="0" collapsed="false">
      <c r="A9227" s="0" t="n">
        <v>9226</v>
      </c>
      <c r="B9227" s="14" t="n">
        <v>126550.128524089</v>
      </c>
      <c r="C9227" s="15" t="n">
        <v>0.0832020729739604</v>
      </c>
      <c r="D9227" s="14" t="n">
        <f aca="false">Summary!$B$5-B9227</f>
        <v>-26550.1285240887</v>
      </c>
      <c r="E9227" s="15" t="n">
        <f aca="false">B9227/Summary!$B$5-1</f>
        <v>0.265501285240887</v>
      </c>
    </row>
    <row r="9228" customFormat="false" ht="15" hidden="false" customHeight="false" outlineLevel="0" collapsed="false">
      <c r="A9228" s="0" t="n">
        <v>9227</v>
      </c>
      <c r="B9228" s="14" t="n">
        <v>103672.202640412</v>
      </c>
      <c r="C9228" s="15" t="n">
        <v>0.0919636976685172</v>
      </c>
      <c r="D9228" s="14" t="n">
        <f aca="false">Summary!$B$5-B9228</f>
        <v>-3672.2026404121</v>
      </c>
      <c r="E9228" s="15" t="n">
        <f aca="false">B9228/Summary!$B$5-1</f>
        <v>0.036722026404121</v>
      </c>
    </row>
    <row r="9229" customFormat="false" ht="15" hidden="false" customHeight="false" outlineLevel="0" collapsed="false">
      <c r="A9229" s="0" t="n">
        <v>9228</v>
      </c>
      <c r="B9229" s="14" t="n">
        <v>106585.368190009</v>
      </c>
      <c r="C9229" s="15" t="n">
        <v>0.12138294518959</v>
      </c>
      <c r="D9229" s="14" t="n">
        <f aca="false">Summary!$B$5-B9229</f>
        <v>-6585.3681900088</v>
      </c>
      <c r="E9229" s="15" t="n">
        <f aca="false">B9229/Summary!$B$5-1</f>
        <v>0.0658536819000879</v>
      </c>
    </row>
    <row r="9230" customFormat="false" ht="15" hidden="false" customHeight="false" outlineLevel="0" collapsed="false">
      <c r="A9230" s="0" t="n">
        <v>9229</v>
      </c>
      <c r="B9230" s="14" t="n">
        <v>97820.0873358772</v>
      </c>
      <c r="C9230" s="15" t="n">
        <v>0.135142867196813</v>
      </c>
      <c r="D9230" s="14" t="n">
        <f aca="false">Summary!$B$5-B9230</f>
        <v>2179.91266412284</v>
      </c>
      <c r="E9230" s="15" t="n">
        <f aca="false">B9230/Summary!$B$5-1</f>
        <v>-0.0217991266412284</v>
      </c>
    </row>
    <row r="9231" customFormat="false" ht="15" hidden="false" customHeight="false" outlineLevel="0" collapsed="false">
      <c r="A9231" s="0" t="n">
        <v>9230</v>
      </c>
      <c r="B9231" s="14" t="n">
        <v>95953.1064788169</v>
      </c>
      <c r="C9231" s="15" t="n">
        <v>0.104994482489274</v>
      </c>
      <c r="D9231" s="14" t="n">
        <f aca="false">Summary!$B$5-B9231</f>
        <v>4046.89352118314</v>
      </c>
      <c r="E9231" s="15" t="n">
        <f aca="false">B9231/Summary!$B$5-1</f>
        <v>-0.0404689352118314</v>
      </c>
    </row>
    <row r="9232" customFormat="false" ht="15" hidden="false" customHeight="false" outlineLevel="0" collapsed="false">
      <c r="A9232" s="0" t="n">
        <v>9231</v>
      </c>
      <c r="B9232" s="14" t="n">
        <v>111189.886799832</v>
      </c>
      <c r="C9232" s="15" t="n">
        <v>0.0851111761616725</v>
      </c>
      <c r="D9232" s="14" t="n">
        <f aca="false">Summary!$B$5-B9232</f>
        <v>-11189.8867998317</v>
      </c>
      <c r="E9232" s="15" t="n">
        <f aca="false">B9232/Summary!$B$5-1</f>
        <v>0.111898867998317</v>
      </c>
    </row>
    <row r="9233" customFormat="false" ht="15" hidden="false" customHeight="false" outlineLevel="0" collapsed="false">
      <c r="A9233" s="0" t="n">
        <v>9232</v>
      </c>
      <c r="B9233" s="14" t="n">
        <v>95392.8144763329</v>
      </c>
      <c r="C9233" s="15" t="n">
        <v>0.0752542924008444</v>
      </c>
      <c r="D9233" s="14" t="n">
        <f aca="false">Summary!$B$5-B9233</f>
        <v>4607.18552366708</v>
      </c>
      <c r="E9233" s="15" t="n">
        <f aca="false">B9233/Summary!$B$5-1</f>
        <v>-0.0460718552366708</v>
      </c>
    </row>
    <row r="9234" customFormat="false" ht="15" hidden="false" customHeight="false" outlineLevel="0" collapsed="false">
      <c r="A9234" s="0" t="n">
        <v>9233</v>
      </c>
      <c r="B9234" s="14" t="n">
        <v>97577.8026675096</v>
      </c>
      <c r="C9234" s="15" t="n">
        <v>0.149066040139383</v>
      </c>
      <c r="D9234" s="14" t="n">
        <f aca="false">Summary!$B$5-B9234</f>
        <v>2422.19733249045</v>
      </c>
      <c r="E9234" s="15" t="n">
        <f aca="false">B9234/Summary!$B$5-1</f>
        <v>-0.0242219733249045</v>
      </c>
    </row>
    <row r="9235" customFormat="false" ht="15" hidden="false" customHeight="false" outlineLevel="0" collapsed="false">
      <c r="A9235" s="0" t="n">
        <v>9234</v>
      </c>
      <c r="B9235" s="14" t="n">
        <v>108786.260565066</v>
      </c>
      <c r="C9235" s="15" t="n">
        <v>0.0770067458537989</v>
      </c>
      <c r="D9235" s="14" t="n">
        <f aca="false">Summary!$B$5-B9235</f>
        <v>-8786.2605650655</v>
      </c>
      <c r="E9235" s="15" t="n">
        <f aca="false">B9235/Summary!$B$5-1</f>
        <v>0.0878626056506551</v>
      </c>
    </row>
    <row r="9236" customFormat="false" ht="15" hidden="false" customHeight="false" outlineLevel="0" collapsed="false">
      <c r="A9236" s="0" t="n">
        <v>9235</v>
      </c>
      <c r="B9236" s="14" t="n">
        <v>109249.792743438</v>
      </c>
      <c r="C9236" s="15" t="n">
        <v>0.0825759550463991</v>
      </c>
      <c r="D9236" s="14" t="n">
        <f aca="false">Summary!$B$5-B9236</f>
        <v>-9249.7927434375</v>
      </c>
      <c r="E9236" s="15" t="n">
        <f aca="false">B9236/Summary!$B$5-1</f>
        <v>0.0924979274343749</v>
      </c>
    </row>
    <row r="9237" customFormat="false" ht="15" hidden="false" customHeight="false" outlineLevel="0" collapsed="false">
      <c r="A9237" s="0" t="n">
        <v>9236</v>
      </c>
      <c r="B9237" s="14" t="n">
        <v>103005.853115601</v>
      </c>
      <c r="C9237" s="15" t="n">
        <v>0.0909348931251296</v>
      </c>
      <c r="D9237" s="14" t="n">
        <f aca="false">Summary!$B$5-B9237</f>
        <v>-3005.8531156009</v>
      </c>
      <c r="E9237" s="15" t="n">
        <f aca="false">B9237/Summary!$B$5-1</f>
        <v>0.0300585311560089</v>
      </c>
    </row>
    <row r="9238" customFormat="false" ht="15" hidden="false" customHeight="false" outlineLevel="0" collapsed="false">
      <c r="A9238" s="0" t="n">
        <v>9237</v>
      </c>
      <c r="B9238" s="14" t="n">
        <v>100731.249744211</v>
      </c>
      <c r="C9238" s="15" t="n">
        <v>0.137547451085614</v>
      </c>
      <c r="D9238" s="14" t="n">
        <f aca="false">Summary!$B$5-B9238</f>
        <v>-731.249744211207</v>
      </c>
      <c r="E9238" s="15" t="n">
        <f aca="false">B9238/Summary!$B$5-1</f>
        <v>0.00731249744211215</v>
      </c>
    </row>
    <row r="9239" customFormat="false" ht="15" hidden="false" customHeight="false" outlineLevel="0" collapsed="false">
      <c r="A9239" s="0" t="n">
        <v>9238</v>
      </c>
      <c r="B9239" s="14" t="n">
        <v>104295.092591899</v>
      </c>
      <c r="C9239" s="15" t="n">
        <v>0.0853962897767718</v>
      </c>
      <c r="D9239" s="14" t="n">
        <f aca="false">Summary!$B$5-B9239</f>
        <v>-4295.09259189889</v>
      </c>
      <c r="E9239" s="15" t="n">
        <f aca="false">B9239/Summary!$B$5-1</f>
        <v>0.0429509259189889</v>
      </c>
    </row>
    <row r="9240" customFormat="false" ht="15" hidden="false" customHeight="false" outlineLevel="0" collapsed="false">
      <c r="A9240" s="0" t="n">
        <v>9239</v>
      </c>
      <c r="B9240" s="14" t="n">
        <v>105754.804064249</v>
      </c>
      <c r="C9240" s="15" t="n">
        <v>0.0748889679846951</v>
      </c>
      <c r="D9240" s="14" t="n">
        <f aca="false">Summary!$B$5-B9240</f>
        <v>-5754.80406424881</v>
      </c>
      <c r="E9240" s="15" t="n">
        <f aca="false">B9240/Summary!$B$5-1</f>
        <v>0.057548040642488</v>
      </c>
    </row>
    <row r="9241" customFormat="false" ht="15" hidden="false" customHeight="false" outlineLevel="0" collapsed="false">
      <c r="A9241" s="0" t="n">
        <v>9240</v>
      </c>
      <c r="B9241" s="14" t="n">
        <v>121735.393252314</v>
      </c>
      <c r="C9241" s="15" t="n">
        <v>0.0841530316709374</v>
      </c>
      <c r="D9241" s="14" t="n">
        <f aca="false">Summary!$B$5-B9241</f>
        <v>-21735.3932523139</v>
      </c>
      <c r="E9241" s="15" t="n">
        <f aca="false">B9241/Summary!$B$5-1</f>
        <v>0.217353932523139</v>
      </c>
    </row>
    <row r="9242" customFormat="false" ht="15" hidden="false" customHeight="false" outlineLevel="0" collapsed="false">
      <c r="A9242" s="0" t="n">
        <v>9241</v>
      </c>
      <c r="B9242" s="14" t="n">
        <v>112604.616415298</v>
      </c>
      <c r="C9242" s="15" t="n">
        <v>0.0731223692138466</v>
      </c>
      <c r="D9242" s="14" t="n">
        <f aca="false">Summary!$B$5-B9242</f>
        <v>-12604.6164152981</v>
      </c>
      <c r="E9242" s="15" t="n">
        <f aca="false">B9242/Summary!$B$5-1</f>
        <v>0.126046164152981</v>
      </c>
    </row>
    <row r="9243" customFormat="false" ht="15" hidden="false" customHeight="false" outlineLevel="0" collapsed="false">
      <c r="A9243" s="0" t="n">
        <v>9242</v>
      </c>
      <c r="B9243" s="14" t="n">
        <v>105710.126817575</v>
      </c>
      <c r="C9243" s="15" t="n">
        <v>0.0826744580082873</v>
      </c>
      <c r="D9243" s="14" t="n">
        <f aca="false">Summary!$B$5-B9243</f>
        <v>-5710.12681757531</v>
      </c>
      <c r="E9243" s="15" t="n">
        <f aca="false">B9243/Summary!$B$5-1</f>
        <v>0.057101268175753</v>
      </c>
    </row>
    <row r="9244" customFormat="false" ht="15" hidden="false" customHeight="false" outlineLevel="0" collapsed="false">
      <c r="A9244" s="0" t="n">
        <v>9243</v>
      </c>
      <c r="B9244" s="14" t="n">
        <v>118563.704666459</v>
      </c>
      <c r="C9244" s="15" t="n">
        <v>0.0837869114071769</v>
      </c>
      <c r="D9244" s="14" t="n">
        <f aca="false">Summary!$B$5-B9244</f>
        <v>-18563.7046664591</v>
      </c>
      <c r="E9244" s="15" t="n">
        <f aca="false">B9244/Summary!$B$5-1</f>
        <v>0.185637046664591</v>
      </c>
    </row>
    <row r="9245" customFormat="false" ht="15" hidden="false" customHeight="false" outlineLevel="0" collapsed="false">
      <c r="A9245" s="0" t="n">
        <v>9244</v>
      </c>
      <c r="B9245" s="14" t="n">
        <v>112385.098205796</v>
      </c>
      <c r="C9245" s="15" t="n">
        <v>0.0619200672728212</v>
      </c>
      <c r="D9245" s="14" t="n">
        <f aca="false">Summary!$B$5-B9245</f>
        <v>-12385.0982057958</v>
      </c>
      <c r="E9245" s="15" t="n">
        <f aca="false">B9245/Summary!$B$5-1</f>
        <v>0.123850982057958</v>
      </c>
    </row>
    <row r="9246" customFormat="false" ht="15" hidden="false" customHeight="false" outlineLevel="0" collapsed="false">
      <c r="A9246" s="0" t="n">
        <v>9245</v>
      </c>
      <c r="B9246" s="14" t="n">
        <v>130952.1247468</v>
      </c>
      <c r="C9246" s="15" t="n">
        <v>0.0769838526209621</v>
      </c>
      <c r="D9246" s="14" t="n">
        <f aca="false">Summary!$B$5-B9246</f>
        <v>-30952.1247468004</v>
      </c>
      <c r="E9246" s="15" t="n">
        <f aca="false">B9246/Summary!$B$5-1</f>
        <v>0.309521247468004</v>
      </c>
    </row>
    <row r="9247" customFormat="false" ht="15" hidden="false" customHeight="false" outlineLevel="0" collapsed="false">
      <c r="A9247" s="0" t="n">
        <v>9246</v>
      </c>
      <c r="B9247" s="14" t="n">
        <v>107055.142202384</v>
      </c>
      <c r="C9247" s="15" t="n">
        <v>0.0606570980588174</v>
      </c>
      <c r="D9247" s="14" t="n">
        <f aca="false">Summary!$B$5-B9247</f>
        <v>-7055.14220238441</v>
      </c>
      <c r="E9247" s="15" t="n">
        <f aca="false">B9247/Summary!$B$5-1</f>
        <v>0.0705514220238441</v>
      </c>
    </row>
    <row r="9248" customFormat="false" ht="15" hidden="false" customHeight="false" outlineLevel="0" collapsed="false">
      <c r="A9248" s="0" t="n">
        <v>9247</v>
      </c>
      <c r="B9248" s="14" t="n">
        <v>90636.7412342831</v>
      </c>
      <c r="C9248" s="15" t="n">
        <v>0.170540735931404</v>
      </c>
      <c r="D9248" s="14" t="n">
        <f aca="false">Summary!$B$5-B9248</f>
        <v>9363.25876571689</v>
      </c>
      <c r="E9248" s="15" t="n">
        <f aca="false">B9248/Summary!$B$5-1</f>
        <v>-0.0936325876571689</v>
      </c>
    </row>
    <row r="9249" customFormat="false" ht="15" hidden="false" customHeight="false" outlineLevel="0" collapsed="false">
      <c r="A9249" s="0" t="n">
        <v>9248</v>
      </c>
      <c r="B9249" s="14" t="n">
        <v>101716.031150583</v>
      </c>
      <c r="C9249" s="15" t="n">
        <v>0.130728670979554</v>
      </c>
      <c r="D9249" s="14" t="n">
        <f aca="false">Summary!$B$5-B9249</f>
        <v>-1716.03115058311</v>
      </c>
      <c r="E9249" s="15" t="n">
        <f aca="false">B9249/Summary!$B$5-1</f>
        <v>0.017160311505831</v>
      </c>
    </row>
    <row r="9250" customFormat="false" ht="15" hidden="false" customHeight="false" outlineLevel="0" collapsed="false">
      <c r="A9250" s="0" t="n">
        <v>9249</v>
      </c>
      <c r="B9250" s="14" t="n">
        <v>133443.169658103</v>
      </c>
      <c r="C9250" s="15" t="n">
        <v>0.0578827754075947</v>
      </c>
      <c r="D9250" s="14" t="n">
        <f aca="false">Summary!$B$5-B9250</f>
        <v>-33443.1696581031</v>
      </c>
      <c r="E9250" s="15" t="n">
        <f aca="false">B9250/Summary!$B$5-1</f>
        <v>0.334431696581031</v>
      </c>
    </row>
    <row r="9251" customFormat="false" ht="15" hidden="false" customHeight="false" outlineLevel="0" collapsed="false">
      <c r="A9251" s="0" t="n">
        <v>9250</v>
      </c>
      <c r="B9251" s="14" t="n">
        <v>116400.006647957</v>
      </c>
      <c r="C9251" s="15" t="n">
        <v>0.0831702043048205</v>
      </c>
      <c r="D9251" s="14" t="n">
        <f aca="false">Summary!$B$5-B9251</f>
        <v>-16400.0066479573</v>
      </c>
      <c r="E9251" s="15" t="n">
        <f aca="false">B9251/Summary!$B$5-1</f>
        <v>0.164000066479573</v>
      </c>
    </row>
    <row r="9252" customFormat="false" ht="15" hidden="false" customHeight="false" outlineLevel="0" collapsed="false">
      <c r="A9252" s="0" t="n">
        <v>9251</v>
      </c>
      <c r="B9252" s="14" t="n">
        <v>112189.828939811</v>
      </c>
      <c r="C9252" s="15" t="n">
        <v>0.0826793082142358</v>
      </c>
      <c r="D9252" s="14" t="n">
        <f aca="false">Summary!$B$5-B9252</f>
        <v>-12189.8289398106</v>
      </c>
      <c r="E9252" s="15" t="n">
        <f aca="false">B9252/Summary!$B$5-1</f>
        <v>0.121898289398106</v>
      </c>
    </row>
    <row r="9253" customFormat="false" ht="15" hidden="false" customHeight="false" outlineLevel="0" collapsed="false">
      <c r="A9253" s="0" t="n">
        <v>9252</v>
      </c>
      <c r="B9253" s="14" t="n">
        <v>94912.3968454032</v>
      </c>
      <c r="C9253" s="15" t="n">
        <v>0.103961512733157</v>
      </c>
      <c r="D9253" s="14" t="n">
        <f aca="false">Summary!$B$5-B9253</f>
        <v>5087.60315459676</v>
      </c>
      <c r="E9253" s="15" t="n">
        <f aca="false">B9253/Summary!$B$5-1</f>
        <v>-0.0508760315459675</v>
      </c>
    </row>
    <row r="9254" customFormat="false" ht="15" hidden="false" customHeight="false" outlineLevel="0" collapsed="false">
      <c r="A9254" s="0" t="n">
        <v>9253</v>
      </c>
      <c r="B9254" s="14" t="n">
        <v>110607.114852948</v>
      </c>
      <c r="C9254" s="15" t="n">
        <v>0.131385581689629</v>
      </c>
      <c r="D9254" s="14" t="n">
        <f aca="false">Summary!$B$5-B9254</f>
        <v>-10607.1148529483</v>
      </c>
      <c r="E9254" s="15" t="n">
        <f aca="false">B9254/Summary!$B$5-1</f>
        <v>0.106071148529483</v>
      </c>
    </row>
    <row r="9255" customFormat="false" ht="15" hidden="false" customHeight="false" outlineLevel="0" collapsed="false">
      <c r="A9255" s="0" t="n">
        <v>9254</v>
      </c>
      <c r="B9255" s="14" t="n">
        <v>117394.217832289</v>
      </c>
      <c r="C9255" s="15" t="n">
        <v>0.0426296382853704</v>
      </c>
      <c r="D9255" s="14" t="n">
        <f aca="false">Summary!$B$5-B9255</f>
        <v>-17394.2178322889</v>
      </c>
      <c r="E9255" s="15" t="n">
        <f aca="false">B9255/Summary!$B$5-1</f>
        <v>0.173942178322889</v>
      </c>
    </row>
    <row r="9256" customFormat="false" ht="15" hidden="false" customHeight="false" outlineLevel="0" collapsed="false">
      <c r="A9256" s="0" t="n">
        <v>9255</v>
      </c>
      <c r="B9256" s="14" t="n">
        <v>124670.337739035</v>
      </c>
      <c r="C9256" s="15" t="n">
        <v>0.0911697013752084</v>
      </c>
      <c r="D9256" s="14" t="n">
        <f aca="false">Summary!$B$5-B9256</f>
        <v>-24670.3377390345</v>
      </c>
      <c r="E9256" s="15" t="n">
        <f aca="false">B9256/Summary!$B$5-1</f>
        <v>0.246703377390345</v>
      </c>
    </row>
    <row r="9257" customFormat="false" ht="15" hidden="false" customHeight="false" outlineLevel="0" collapsed="false">
      <c r="A9257" s="0" t="n">
        <v>9256</v>
      </c>
      <c r="B9257" s="14" t="n">
        <v>111279.777672533</v>
      </c>
      <c r="C9257" s="15" t="n">
        <v>0.105299395206887</v>
      </c>
      <c r="D9257" s="14" t="n">
        <f aca="false">Summary!$B$5-B9257</f>
        <v>-11279.7776725325</v>
      </c>
      <c r="E9257" s="15" t="n">
        <f aca="false">B9257/Summary!$B$5-1</f>
        <v>0.112797776725325</v>
      </c>
    </row>
    <row r="9258" customFormat="false" ht="15" hidden="false" customHeight="false" outlineLevel="0" collapsed="false">
      <c r="A9258" s="0" t="n">
        <v>9257</v>
      </c>
      <c r="B9258" s="14" t="n">
        <v>96233.8463010594</v>
      </c>
      <c r="C9258" s="15" t="n">
        <v>0.153177915857473</v>
      </c>
      <c r="D9258" s="14" t="n">
        <f aca="false">Summary!$B$5-B9258</f>
        <v>3766.15369894062</v>
      </c>
      <c r="E9258" s="15" t="n">
        <f aca="false">B9258/Summary!$B$5-1</f>
        <v>-0.0376615369894061</v>
      </c>
    </row>
    <row r="9259" customFormat="false" ht="15" hidden="false" customHeight="false" outlineLevel="0" collapsed="false">
      <c r="A9259" s="0" t="n">
        <v>9258</v>
      </c>
      <c r="B9259" s="14" t="n">
        <v>94192.7809102998</v>
      </c>
      <c r="C9259" s="15" t="n">
        <v>0.137663851782562</v>
      </c>
      <c r="D9259" s="14" t="n">
        <f aca="false">Summary!$B$5-B9259</f>
        <v>5807.21908970019</v>
      </c>
      <c r="E9259" s="15" t="n">
        <f aca="false">B9259/Summary!$B$5-1</f>
        <v>-0.0580721908970019</v>
      </c>
    </row>
    <row r="9260" customFormat="false" ht="15" hidden="false" customHeight="false" outlineLevel="0" collapsed="false">
      <c r="A9260" s="0" t="n">
        <v>9259</v>
      </c>
      <c r="B9260" s="14" t="n">
        <v>114655.095968371</v>
      </c>
      <c r="C9260" s="15" t="n">
        <v>0.0851975055538675</v>
      </c>
      <c r="D9260" s="14" t="n">
        <f aca="false">Summary!$B$5-B9260</f>
        <v>-14655.095968371</v>
      </c>
      <c r="E9260" s="15" t="n">
        <f aca="false">B9260/Summary!$B$5-1</f>
        <v>0.14655095968371</v>
      </c>
    </row>
    <row r="9261" customFormat="false" ht="15" hidden="false" customHeight="false" outlineLevel="0" collapsed="false">
      <c r="A9261" s="0" t="n">
        <v>9260</v>
      </c>
      <c r="B9261" s="14" t="n">
        <v>126361.699112018</v>
      </c>
      <c r="C9261" s="15" t="n">
        <v>0.10162004307182</v>
      </c>
      <c r="D9261" s="14" t="n">
        <f aca="false">Summary!$B$5-B9261</f>
        <v>-26361.6991120179</v>
      </c>
      <c r="E9261" s="15" t="n">
        <f aca="false">B9261/Summary!$B$5-1</f>
        <v>0.263616991120179</v>
      </c>
    </row>
    <row r="9262" customFormat="false" ht="15" hidden="false" customHeight="false" outlineLevel="0" collapsed="false">
      <c r="A9262" s="0" t="n">
        <v>9261</v>
      </c>
      <c r="B9262" s="14" t="n">
        <v>85147.8376321852</v>
      </c>
      <c r="C9262" s="15" t="n">
        <v>0.179217261822386</v>
      </c>
      <c r="D9262" s="14" t="n">
        <f aca="false">Summary!$B$5-B9262</f>
        <v>14852.1623678148</v>
      </c>
      <c r="E9262" s="15" t="n">
        <f aca="false">B9262/Summary!$B$5-1</f>
        <v>-0.148521623678148</v>
      </c>
    </row>
    <row r="9263" customFormat="false" ht="15" hidden="false" customHeight="false" outlineLevel="0" collapsed="false">
      <c r="A9263" s="0" t="n">
        <v>9262</v>
      </c>
      <c r="B9263" s="14" t="n">
        <v>101152.91902711</v>
      </c>
      <c r="C9263" s="15" t="n">
        <v>0.0680044232358246</v>
      </c>
      <c r="D9263" s="14" t="n">
        <f aca="false">Summary!$B$5-B9263</f>
        <v>-1152.91902710999</v>
      </c>
      <c r="E9263" s="15" t="n">
        <f aca="false">B9263/Summary!$B$5-1</f>
        <v>0.0115291902710999</v>
      </c>
    </row>
    <row r="9264" customFormat="false" ht="15" hidden="false" customHeight="false" outlineLevel="0" collapsed="false">
      <c r="A9264" s="0" t="n">
        <v>9263</v>
      </c>
      <c r="B9264" s="14" t="n">
        <v>120089.84921687</v>
      </c>
      <c r="C9264" s="15" t="n">
        <v>0.0486768726916844</v>
      </c>
      <c r="D9264" s="14" t="n">
        <f aca="false">Summary!$B$5-B9264</f>
        <v>-20089.8492168704</v>
      </c>
      <c r="E9264" s="15" t="n">
        <f aca="false">B9264/Summary!$B$5-1</f>
        <v>0.200898492168704</v>
      </c>
    </row>
    <row r="9265" customFormat="false" ht="15" hidden="false" customHeight="false" outlineLevel="0" collapsed="false">
      <c r="A9265" s="0" t="n">
        <v>9264</v>
      </c>
      <c r="B9265" s="14" t="n">
        <v>121331.821431525</v>
      </c>
      <c r="C9265" s="15" t="n">
        <v>0.100730759021104</v>
      </c>
      <c r="D9265" s="14" t="n">
        <f aca="false">Summary!$B$5-B9265</f>
        <v>-21331.8214315251</v>
      </c>
      <c r="E9265" s="15" t="n">
        <f aca="false">B9265/Summary!$B$5-1</f>
        <v>0.213318214315251</v>
      </c>
    </row>
    <row r="9266" customFormat="false" ht="15" hidden="false" customHeight="false" outlineLevel="0" collapsed="false">
      <c r="A9266" s="0" t="n">
        <v>9265</v>
      </c>
      <c r="B9266" s="14" t="n">
        <v>93270.7912422426</v>
      </c>
      <c r="C9266" s="15" t="n">
        <v>0.0861025792682395</v>
      </c>
      <c r="D9266" s="14" t="n">
        <f aca="false">Summary!$B$5-B9266</f>
        <v>6729.20875775741</v>
      </c>
      <c r="E9266" s="15" t="n">
        <f aca="false">B9266/Summary!$B$5-1</f>
        <v>-0.0672920875775741</v>
      </c>
    </row>
    <row r="9267" customFormat="false" ht="15" hidden="false" customHeight="false" outlineLevel="0" collapsed="false">
      <c r="A9267" s="0" t="n">
        <v>9266</v>
      </c>
      <c r="B9267" s="14" t="n">
        <v>106927.241501495</v>
      </c>
      <c r="C9267" s="15" t="n">
        <v>0.091586358895786</v>
      </c>
      <c r="D9267" s="14" t="n">
        <f aca="false">Summary!$B$5-B9267</f>
        <v>-6927.24150149481</v>
      </c>
      <c r="E9267" s="15" t="n">
        <f aca="false">B9267/Summary!$B$5-1</f>
        <v>0.069272415014948</v>
      </c>
    </row>
    <row r="9268" customFormat="false" ht="15" hidden="false" customHeight="false" outlineLevel="0" collapsed="false">
      <c r="A9268" s="0" t="n">
        <v>9267</v>
      </c>
      <c r="B9268" s="14" t="n">
        <v>119153.123277205</v>
      </c>
      <c r="C9268" s="15" t="n">
        <v>0.0896087817655262</v>
      </c>
      <c r="D9268" s="14" t="n">
        <f aca="false">Summary!$B$5-B9268</f>
        <v>-19153.123277205</v>
      </c>
      <c r="E9268" s="15" t="n">
        <f aca="false">B9268/Summary!$B$5-1</f>
        <v>0.19153123277205</v>
      </c>
    </row>
    <row r="9269" customFormat="false" ht="15" hidden="false" customHeight="false" outlineLevel="0" collapsed="false">
      <c r="A9269" s="0" t="n">
        <v>9268</v>
      </c>
      <c r="B9269" s="14" t="n">
        <v>105732.668779236</v>
      </c>
      <c r="C9269" s="15" t="n">
        <v>0.0608431476193435</v>
      </c>
      <c r="D9269" s="14" t="n">
        <f aca="false">Summary!$B$5-B9269</f>
        <v>-5732.66877923629</v>
      </c>
      <c r="E9269" s="15" t="n">
        <f aca="false">B9269/Summary!$B$5-1</f>
        <v>0.0573266877923628</v>
      </c>
    </row>
    <row r="9270" customFormat="false" ht="15" hidden="false" customHeight="false" outlineLevel="0" collapsed="false">
      <c r="A9270" s="0" t="n">
        <v>9269</v>
      </c>
      <c r="B9270" s="14" t="n">
        <v>117776.875879135</v>
      </c>
      <c r="C9270" s="15" t="n">
        <v>0.0644052579241055</v>
      </c>
      <c r="D9270" s="14" t="n">
        <f aca="false">Summary!$B$5-B9270</f>
        <v>-17776.8758791347</v>
      </c>
      <c r="E9270" s="15" t="n">
        <f aca="false">B9270/Summary!$B$5-1</f>
        <v>0.177768758791347</v>
      </c>
    </row>
    <row r="9271" customFormat="false" ht="15" hidden="false" customHeight="false" outlineLevel="0" collapsed="false">
      <c r="A9271" s="0" t="n">
        <v>9270</v>
      </c>
      <c r="B9271" s="14" t="n">
        <v>112582.81776322</v>
      </c>
      <c r="C9271" s="15" t="n">
        <v>0.0750256236562416</v>
      </c>
      <c r="D9271" s="14" t="n">
        <f aca="false">Summary!$B$5-B9271</f>
        <v>-12582.8177632199</v>
      </c>
      <c r="E9271" s="15" t="n">
        <f aca="false">B9271/Summary!$B$5-1</f>
        <v>0.125828177632199</v>
      </c>
    </row>
    <row r="9272" customFormat="false" ht="15" hidden="false" customHeight="false" outlineLevel="0" collapsed="false">
      <c r="A9272" s="0" t="n">
        <v>9271</v>
      </c>
      <c r="B9272" s="14" t="n">
        <v>107254.148439442</v>
      </c>
      <c r="C9272" s="15" t="n">
        <v>0.0483182489491054</v>
      </c>
      <c r="D9272" s="14" t="n">
        <f aca="false">Summary!$B$5-B9272</f>
        <v>-7254.1484394419</v>
      </c>
      <c r="E9272" s="15" t="n">
        <f aca="false">B9272/Summary!$B$5-1</f>
        <v>0.072541484394419</v>
      </c>
    </row>
    <row r="9273" customFormat="false" ht="15" hidden="false" customHeight="false" outlineLevel="0" collapsed="false">
      <c r="A9273" s="0" t="n">
        <v>9272</v>
      </c>
      <c r="B9273" s="14" t="n">
        <v>102549.206107493</v>
      </c>
      <c r="C9273" s="15" t="n">
        <v>0.0850621381998058</v>
      </c>
      <c r="D9273" s="14" t="n">
        <f aca="false">Summary!$B$5-B9273</f>
        <v>-2549.206107493</v>
      </c>
      <c r="E9273" s="15" t="n">
        <f aca="false">B9273/Summary!$B$5-1</f>
        <v>0.0254920610749299</v>
      </c>
    </row>
    <row r="9274" customFormat="false" ht="15" hidden="false" customHeight="false" outlineLevel="0" collapsed="false">
      <c r="A9274" s="0" t="n">
        <v>9273</v>
      </c>
      <c r="B9274" s="14" t="n">
        <v>113750.54248589</v>
      </c>
      <c r="C9274" s="15" t="n">
        <v>0.0887812114068132</v>
      </c>
      <c r="D9274" s="14" t="n">
        <f aca="false">Summary!$B$5-B9274</f>
        <v>-13750.5424858902</v>
      </c>
      <c r="E9274" s="15" t="n">
        <f aca="false">B9274/Summary!$B$5-1</f>
        <v>0.137505424858902</v>
      </c>
    </row>
    <row r="9275" customFormat="false" ht="15" hidden="false" customHeight="false" outlineLevel="0" collapsed="false">
      <c r="A9275" s="0" t="n">
        <v>9274</v>
      </c>
      <c r="B9275" s="14" t="n">
        <v>79041.3820623663</v>
      </c>
      <c r="C9275" s="15" t="n">
        <v>0.267010082626145</v>
      </c>
      <c r="D9275" s="14" t="n">
        <f aca="false">Summary!$B$5-B9275</f>
        <v>20958.6179376337</v>
      </c>
      <c r="E9275" s="15" t="n">
        <f aca="false">B9275/Summary!$B$5-1</f>
        <v>-0.209586179376337</v>
      </c>
    </row>
    <row r="9276" customFormat="false" ht="15" hidden="false" customHeight="false" outlineLevel="0" collapsed="false">
      <c r="A9276" s="0" t="n">
        <v>9275</v>
      </c>
      <c r="B9276" s="14" t="n">
        <v>99598.6247860535</v>
      </c>
      <c r="C9276" s="15" t="n">
        <v>0.0783057445753879</v>
      </c>
      <c r="D9276" s="14" t="n">
        <f aca="false">Summary!$B$5-B9276</f>
        <v>401.375213946507</v>
      </c>
      <c r="E9276" s="15" t="n">
        <f aca="false">B9276/Summary!$B$5-1</f>
        <v>-0.00401375213946509</v>
      </c>
    </row>
    <row r="9277" customFormat="false" ht="15" hidden="false" customHeight="false" outlineLevel="0" collapsed="false">
      <c r="A9277" s="0" t="n">
        <v>9276</v>
      </c>
      <c r="B9277" s="14" t="n">
        <v>105143.291019333</v>
      </c>
      <c r="C9277" s="15" t="n">
        <v>0.171162101791584</v>
      </c>
      <c r="D9277" s="14" t="n">
        <f aca="false">Summary!$B$5-B9277</f>
        <v>-5143.2910193326</v>
      </c>
      <c r="E9277" s="15" t="n">
        <f aca="false">B9277/Summary!$B$5-1</f>
        <v>0.051432910193326</v>
      </c>
    </row>
    <row r="9278" customFormat="false" ht="15" hidden="false" customHeight="false" outlineLevel="0" collapsed="false">
      <c r="A9278" s="0" t="n">
        <v>9277</v>
      </c>
      <c r="B9278" s="14" t="n">
        <v>113849.716419363</v>
      </c>
      <c r="C9278" s="15" t="n">
        <v>0.0722007077224761</v>
      </c>
      <c r="D9278" s="14" t="n">
        <f aca="false">Summary!$B$5-B9278</f>
        <v>-13849.7164193629</v>
      </c>
      <c r="E9278" s="15" t="n">
        <f aca="false">B9278/Summary!$B$5-1</f>
        <v>0.138497164193629</v>
      </c>
    </row>
    <row r="9279" customFormat="false" ht="15" hidden="false" customHeight="false" outlineLevel="0" collapsed="false">
      <c r="A9279" s="0" t="n">
        <v>9278</v>
      </c>
      <c r="B9279" s="14" t="n">
        <v>107905.830436546</v>
      </c>
      <c r="C9279" s="15" t="n">
        <v>0.112089287947061</v>
      </c>
      <c r="D9279" s="14" t="n">
        <f aca="false">Summary!$B$5-B9279</f>
        <v>-7905.8304365464</v>
      </c>
      <c r="E9279" s="15" t="n">
        <f aca="false">B9279/Summary!$B$5-1</f>
        <v>0.079058304365464</v>
      </c>
    </row>
    <row r="9280" customFormat="false" ht="15" hidden="false" customHeight="false" outlineLevel="0" collapsed="false">
      <c r="A9280" s="0" t="n">
        <v>9279</v>
      </c>
      <c r="B9280" s="14" t="n">
        <v>102983.748754733</v>
      </c>
      <c r="C9280" s="15" t="n">
        <v>0.124004122031879</v>
      </c>
      <c r="D9280" s="14" t="n">
        <f aca="false">Summary!$B$5-B9280</f>
        <v>-2983.7487547332</v>
      </c>
      <c r="E9280" s="15" t="n">
        <f aca="false">B9280/Summary!$B$5-1</f>
        <v>0.029837487547332</v>
      </c>
    </row>
    <row r="9281" customFormat="false" ht="15" hidden="false" customHeight="false" outlineLevel="0" collapsed="false">
      <c r="A9281" s="0" t="n">
        <v>9280</v>
      </c>
      <c r="B9281" s="14" t="n">
        <v>114972.262128778</v>
      </c>
      <c r="C9281" s="15" t="n">
        <v>0.0811597402055228</v>
      </c>
      <c r="D9281" s="14" t="n">
        <f aca="false">Summary!$B$5-B9281</f>
        <v>-14972.2621287779</v>
      </c>
      <c r="E9281" s="15" t="n">
        <f aca="false">B9281/Summary!$B$5-1</f>
        <v>0.149722621287779</v>
      </c>
    </row>
    <row r="9282" customFormat="false" ht="15" hidden="false" customHeight="false" outlineLevel="0" collapsed="false">
      <c r="A9282" s="0" t="n">
        <v>9281</v>
      </c>
      <c r="B9282" s="14" t="n">
        <v>94826.4585818835</v>
      </c>
      <c r="C9282" s="15" t="n">
        <v>0.13440306900003</v>
      </c>
      <c r="D9282" s="14" t="n">
        <f aca="false">Summary!$B$5-B9282</f>
        <v>5173.5414181165</v>
      </c>
      <c r="E9282" s="15" t="n">
        <f aca="false">B9282/Summary!$B$5-1</f>
        <v>-0.051735414181165</v>
      </c>
    </row>
    <row r="9283" customFormat="false" ht="15" hidden="false" customHeight="false" outlineLevel="0" collapsed="false">
      <c r="A9283" s="0" t="n">
        <v>9282</v>
      </c>
      <c r="B9283" s="14" t="n">
        <v>96480.3778471066</v>
      </c>
      <c r="C9283" s="15" t="n">
        <v>0.127739339757015</v>
      </c>
      <c r="D9283" s="14" t="n">
        <f aca="false">Summary!$B$5-B9283</f>
        <v>3519.6221528934</v>
      </c>
      <c r="E9283" s="15" t="n">
        <f aca="false">B9283/Summary!$B$5-1</f>
        <v>-0.035196221528934</v>
      </c>
    </row>
    <row r="9284" customFormat="false" ht="15" hidden="false" customHeight="false" outlineLevel="0" collapsed="false">
      <c r="A9284" s="0" t="n">
        <v>9283</v>
      </c>
      <c r="B9284" s="14" t="n">
        <v>121062.66455306</v>
      </c>
      <c r="C9284" s="15" t="n">
        <v>0.0864928848569728</v>
      </c>
      <c r="D9284" s="14" t="n">
        <f aca="false">Summary!$B$5-B9284</f>
        <v>-21062.6645530596</v>
      </c>
      <c r="E9284" s="15" t="n">
        <f aca="false">B9284/Summary!$B$5-1</f>
        <v>0.210626645530596</v>
      </c>
    </row>
    <row r="9285" customFormat="false" ht="15" hidden="false" customHeight="false" outlineLevel="0" collapsed="false">
      <c r="A9285" s="0" t="n">
        <v>9284</v>
      </c>
      <c r="B9285" s="14" t="n">
        <v>85078.4232925214</v>
      </c>
      <c r="C9285" s="15" t="n">
        <v>0.162873886641205</v>
      </c>
      <c r="D9285" s="14" t="n">
        <f aca="false">Summary!$B$5-B9285</f>
        <v>14921.5767074786</v>
      </c>
      <c r="E9285" s="15" t="n">
        <f aca="false">B9285/Summary!$B$5-1</f>
        <v>-0.149215767074786</v>
      </c>
    </row>
    <row r="9286" customFormat="false" ht="15" hidden="false" customHeight="false" outlineLevel="0" collapsed="false">
      <c r="A9286" s="0" t="n">
        <v>9285</v>
      </c>
      <c r="B9286" s="14" t="n">
        <v>126227.056021268</v>
      </c>
      <c r="C9286" s="15" t="n">
        <v>0.101853854378818</v>
      </c>
      <c r="D9286" s="14" t="n">
        <f aca="false">Summary!$B$5-B9286</f>
        <v>-26227.056021268</v>
      </c>
      <c r="E9286" s="15" t="n">
        <f aca="false">B9286/Summary!$B$5-1</f>
        <v>0.26227056021268</v>
      </c>
    </row>
    <row r="9287" customFormat="false" ht="15" hidden="false" customHeight="false" outlineLevel="0" collapsed="false">
      <c r="A9287" s="0" t="n">
        <v>9286</v>
      </c>
      <c r="B9287" s="14" t="n">
        <v>100457.296426814</v>
      </c>
      <c r="C9287" s="15" t="n">
        <v>0.0625918746824835</v>
      </c>
      <c r="D9287" s="14" t="n">
        <f aca="false">Summary!$B$5-B9287</f>
        <v>-457.296426814006</v>
      </c>
      <c r="E9287" s="15" t="n">
        <f aca="false">B9287/Summary!$B$5-1</f>
        <v>0.00457296426814002</v>
      </c>
    </row>
    <row r="9288" customFormat="false" ht="15" hidden="false" customHeight="false" outlineLevel="0" collapsed="false">
      <c r="A9288" s="0" t="n">
        <v>9287</v>
      </c>
      <c r="B9288" s="14" t="n">
        <v>109472.792472565</v>
      </c>
      <c r="C9288" s="15" t="n">
        <v>0.0666635597926802</v>
      </c>
      <c r="D9288" s="14" t="n">
        <f aca="false">Summary!$B$5-B9288</f>
        <v>-9472.7924725654</v>
      </c>
      <c r="E9288" s="15" t="n">
        <f aca="false">B9288/Summary!$B$5-1</f>
        <v>0.0947279247256541</v>
      </c>
    </row>
    <row r="9289" customFormat="false" ht="15" hidden="false" customHeight="false" outlineLevel="0" collapsed="false">
      <c r="A9289" s="0" t="n">
        <v>9288</v>
      </c>
      <c r="B9289" s="14" t="n">
        <v>81874.9210994858</v>
      </c>
      <c r="C9289" s="15" t="n">
        <v>0.18243496133681</v>
      </c>
      <c r="D9289" s="14" t="n">
        <f aca="false">Summary!$B$5-B9289</f>
        <v>18125.0789005142</v>
      </c>
      <c r="E9289" s="15" t="n">
        <f aca="false">B9289/Summary!$B$5-1</f>
        <v>-0.181250789005142</v>
      </c>
    </row>
    <row r="9290" customFormat="false" ht="15" hidden="false" customHeight="false" outlineLevel="0" collapsed="false">
      <c r="A9290" s="0" t="n">
        <v>9289</v>
      </c>
      <c r="B9290" s="14" t="n">
        <v>121540.715312124</v>
      </c>
      <c r="C9290" s="15" t="n">
        <v>0.0847869079796151</v>
      </c>
      <c r="D9290" s="14" t="n">
        <f aca="false">Summary!$B$5-B9290</f>
        <v>-21540.715312124</v>
      </c>
      <c r="E9290" s="15" t="n">
        <f aca="false">B9290/Summary!$B$5-1</f>
        <v>0.21540715312124</v>
      </c>
    </row>
    <row r="9291" customFormat="false" ht="15" hidden="false" customHeight="false" outlineLevel="0" collapsed="false">
      <c r="A9291" s="0" t="n">
        <v>9290</v>
      </c>
      <c r="B9291" s="14" t="n">
        <v>102022.294367322</v>
      </c>
      <c r="C9291" s="15" t="n">
        <v>0.0786677903150542</v>
      </c>
      <c r="D9291" s="14" t="n">
        <f aca="false">Summary!$B$5-B9291</f>
        <v>-2022.2943673222</v>
      </c>
      <c r="E9291" s="15" t="n">
        <f aca="false">B9291/Summary!$B$5-1</f>
        <v>0.020222943673222</v>
      </c>
    </row>
    <row r="9292" customFormat="false" ht="15" hidden="false" customHeight="false" outlineLevel="0" collapsed="false">
      <c r="A9292" s="0" t="n">
        <v>9291</v>
      </c>
      <c r="B9292" s="14" t="n">
        <v>141781.450053025</v>
      </c>
      <c r="C9292" s="15" t="n">
        <v>0.0428288147174674</v>
      </c>
      <c r="D9292" s="14" t="n">
        <f aca="false">Summary!$B$5-B9292</f>
        <v>-41781.4500530249</v>
      </c>
      <c r="E9292" s="15" t="n">
        <f aca="false">B9292/Summary!$B$5-1</f>
        <v>0.417814500530249</v>
      </c>
    </row>
    <row r="9293" customFormat="false" ht="15" hidden="false" customHeight="false" outlineLevel="0" collapsed="false">
      <c r="A9293" s="0" t="n">
        <v>9292</v>
      </c>
      <c r="B9293" s="14" t="n">
        <v>109040.490505623</v>
      </c>
      <c r="C9293" s="15" t="n">
        <v>0.0700707311313811</v>
      </c>
      <c r="D9293" s="14" t="n">
        <f aca="false">Summary!$B$5-B9293</f>
        <v>-9040.4905056228</v>
      </c>
      <c r="E9293" s="15" t="n">
        <f aca="false">B9293/Summary!$B$5-1</f>
        <v>0.0904049050562281</v>
      </c>
    </row>
    <row r="9294" customFormat="false" ht="15" hidden="false" customHeight="false" outlineLevel="0" collapsed="false">
      <c r="A9294" s="0" t="n">
        <v>9293</v>
      </c>
      <c r="B9294" s="14" t="n">
        <v>106612.90984929</v>
      </c>
      <c r="C9294" s="15" t="n">
        <v>0.0752446258634805</v>
      </c>
      <c r="D9294" s="14" t="n">
        <f aca="false">Summary!$B$5-B9294</f>
        <v>-6612.9098492897</v>
      </c>
      <c r="E9294" s="15" t="n">
        <f aca="false">B9294/Summary!$B$5-1</f>
        <v>0.0661290984928971</v>
      </c>
    </row>
    <row r="9295" customFormat="false" ht="15" hidden="false" customHeight="false" outlineLevel="0" collapsed="false">
      <c r="A9295" s="0" t="n">
        <v>9294</v>
      </c>
      <c r="B9295" s="14" t="n">
        <v>118383.890607367</v>
      </c>
      <c r="C9295" s="15" t="n">
        <v>0.075220860120966</v>
      </c>
      <c r="D9295" s="14" t="n">
        <f aca="false">Summary!$B$5-B9295</f>
        <v>-18383.8906073668</v>
      </c>
      <c r="E9295" s="15" t="n">
        <f aca="false">B9295/Summary!$B$5-1</f>
        <v>0.183838906073668</v>
      </c>
    </row>
    <row r="9296" customFormat="false" ht="15" hidden="false" customHeight="false" outlineLevel="0" collapsed="false">
      <c r="A9296" s="0" t="n">
        <v>9295</v>
      </c>
      <c r="B9296" s="14" t="n">
        <v>115487.782485409</v>
      </c>
      <c r="C9296" s="15" t="n">
        <v>0.0793380405309024</v>
      </c>
      <c r="D9296" s="14" t="n">
        <f aca="false">Summary!$B$5-B9296</f>
        <v>-15487.7824854089</v>
      </c>
      <c r="E9296" s="15" t="n">
        <f aca="false">B9296/Summary!$B$5-1</f>
        <v>0.154877824854089</v>
      </c>
    </row>
    <row r="9297" customFormat="false" ht="15" hidden="false" customHeight="false" outlineLevel="0" collapsed="false">
      <c r="A9297" s="0" t="n">
        <v>9296</v>
      </c>
      <c r="B9297" s="14" t="n">
        <v>125964.509883615</v>
      </c>
      <c r="C9297" s="15" t="n">
        <v>0.0726335585372111</v>
      </c>
      <c r="D9297" s="14" t="n">
        <f aca="false">Summary!$B$5-B9297</f>
        <v>-25964.5098836151</v>
      </c>
      <c r="E9297" s="15" t="n">
        <f aca="false">B9297/Summary!$B$5-1</f>
        <v>0.259645098836151</v>
      </c>
    </row>
    <row r="9298" customFormat="false" ht="15" hidden="false" customHeight="false" outlineLevel="0" collapsed="false">
      <c r="A9298" s="0" t="n">
        <v>9297</v>
      </c>
      <c r="B9298" s="14" t="n">
        <v>95599.7196640825</v>
      </c>
      <c r="C9298" s="15" t="n">
        <v>0.165856547166691</v>
      </c>
      <c r="D9298" s="14" t="n">
        <f aca="false">Summary!$B$5-B9298</f>
        <v>4400.28033591753</v>
      </c>
      <c r="E9298" s="15" t="n">
        <f aca="false">B9298/Summary!$B$5-1</f>
        <v>-0.0440028033591753</v>
      </c>
    </row>
    <row r="9299" customFormat="false" ht="15" hidden="false" customHeight="false" outlineLevel="0" collapsed="false">
      <c r="A9299" s="0" t="n">
        <v>9298</v>
      </c>
      <c r="B9299" s="14" t="n">
        <v>105583.164821666</v>
      </c>
      <c r="C9299" s="15" t="n">
        <v>0.0942834818527165</v>
      </c>
      <c r="D9299" s="14" t="n">
        <f aca="false">Summary!$B$5-B9299</f>
        <v>-5583.1648216661</v>
      </c>
      <c r="E9299" s="15" t="n">
        <f aca="false">B9299/Summary!$B$5-1</f>
        <v>0.055831648216661</v>
      </c>
    </row>
    <row r="9300" customFormat="false" ht="15" hidden="false" customHeight="false" outlineLevel="0" collapsed="false">
      <c r="A9300" s="0" t="n">
        <v>9299</v>
      </c>
      <c r="B9300" s="14" t="n">
        <v>94204.5746468862</v>
      </c>
      <c r="C9300" s="15" t="n">
        <v>0.116884740075028</v>
      </c>
      <c r="D9300" s="14" t="n">
        <f aca="false">Summary!$B$5-B9300</f>
        <v>5795.42535311382</v>
      </c>
      <c r="E9300" s="15" t="n">
        <f aca="false">B9300/Summary!$B$5-1</f>
        <v>-0.0579542535311383</v>
      </c>
    </row>
    <row r="9301" customFormat="false" ht="15" hidden="false" customHeight="false" outlineLevel="0" collapsed="false">
      <c r="A9301" s="0" t="n">
        <v>9300</v>
      </c>
      <c r="B9301" s="14" t="n">
        <v>145249.355589645</v>
      </c>
      <c r="C9301" s="15" t="n">
        <v>0.0894952890344177</v>
      </c>
      <c r="D9301" s="14" t="n">
        <f aca="false">Summary!$B$5-B9301</f>
        <v>-45249.355589645</v>
      </c>
      <c r="E9301" s="15" t="n">
        <f aca="false">B9301/Summary!$B$5-1</f>
        <v>0.45249355589645</v>
      </c>
    </row>
    <row r="9302" customFormat="false" ht="15" hidden="false" customHeight="false" outlineLevel="0" collapsed="false">
      <c r="A9302" s="0" t="n">
        <v>9301</v>
      </c>
      <c r="B9302" s="14" t="n">
        <v>123191.139149894</v>
      </c>
      <c r="C9302" s="15" t="n">
        <v>0.0926090651181699</v>
      </c>
      <c r="D9302" s="14" t="n">
        <f aca="false">Summary!$B$5-B9302</f>
        <v>-23191.1391498938</v>
      </c>
      <c r="E9302" s="15" t="n">
        <f aca="false">B9302/Summary!$B$5-1</f>
        <v>0.231911391498938</v>
      </c>
    </row>
    <row r="9303" customFormat="false" ht="15" hidden="false" customHeight="false" outlineLevel="0" collapsed="false">
      <c r="A9303" s="0" t="n">
        <v>9302</v>
      </c>
      <c r="B9303" s="14" t="n">
        <v>120943.190921626</v>
      </c>
      <c r="C9303" s="15" t="n">
        <v>0.0491713127027765</v>
      </c>
      <c r="D9303" s="14" t="n">
        <f aca="false">Summary!$B$5-B9303</f>
        <v>-20943.1909216258</v>
      </c>
      <c r="E9303" s="15" t="n">
        <f aca="false">B9303/Summary!$B$5-1</f>
        <v>0.209431909216258</v>
      </c>
    </row>
    <row r="9304" customFormat="false" ht="15" hidden="false" customHeight="false" outlineLevel="0" collapsed="false">
      <c r="A9304" s="0" t="n">
        <v>9303</v>
      </c>
      <c r="B9304" s="14" t="n">
        <v>109963.236086614</v>
      </c>
      <c r="C9304" s="15" t="n">
        <v>0.0953260155860717</v>
      </c>
      <c r="D9304" s="14" t="n">
        <f aca="false">Summary!$B$5-B9304</f>
        <v>-9963.2360866141</v>
      </c>
      <c r="E9304" s="15" t="n">
        <f aca="false">B9304/Summary!$B$5-1</f>
        <v>0.0996323608661409</v>
      </c>
    </row>
    <row r="9305" customFormat="false" ht="15" hidden="false" customHeight="false" outlineLevel="0" collapsed="false">
      <c r="A9305" s="0" t="n">
        <v>9304</v>
      </c>
      <c r="B9305" s="14" t="n">
        <v>106267.446181843</v>
      </c>
      <c r="C9305" s="15" t="n">
        <v>0.101954822303582</v>
      </c>
      <c r="D9305" s="14" t="n">
        <f aca="false">Summary!$B$5-B9305</f>
        <v>-6267.44618184261</v>
      </c>
      <c r="E9305" s="15" t="n">
        <f aca="false">B9305/Summary!$B$5-1</f>
        <v>0.0626744618184261</v>
      </c>
    </row>
    <row r="9306" customFormat="false" ht="15" hidden="false" customHeight="false" outlineLevel="0" collapsed="false">
      <c r="A9306" s="0" t="n">
        <v>9305</v>
      </c>
      <c r="B9306" s="14" t="n">
        <v>99969.6452356156</v>
      </c>
      <c r="C9306" s="15" t="n">
        <v>0.135616055606576</v>
      </c>
      <c r="D9306" s="14" t="n">
        <f aca="false">Summary!$B$5-B9306</f>
        <v>30.3547643844213</v>
      </c>
      <c r="E9306" s="15" t="n">
        <f aca="false">B9306/Summary!$B$5-1</f>
        <v>-0.000303547643844215</v>
      </c>
    </row>
    <row r="9307" customFormat="false" ht="15" hidden="false" customHeight="false" outlineLevel="0" collapsed="false">
      <c r="A9307" s="0" t="n">
        <v>9306</v>
      </c>
      <c r="B9307" s="14" t="n">
        <v>107472.393559985</v>
      </c>
      <c r="C9307" s="15" t="n">
        <v>0.109429544047752</v>
      </c>
      <c r="D9307" s="14" t="n">
        <f aca="false">Summary!$B$5-B9307</f>
        <v>-7472.39355998499</v>
      </c>
      <c r="E9307" s="15" t="n">
        <f aca="false">B9307/Summary!$B$5-1</f>
        <v>0.0747239355998499</v>
      </c>
    </row>
    <row r="9308" customFormat="false" ht="15" hidden="false" customHeight="false" outlineLevel="0" collapsed="false">
      <c r="A9308" s="0" t="n">
        <v>9307</v>
      </c>
      <c r="B9308" s="14" t="n">
        <v>102936.155368224</v>
      </c>
      <c r="C9308" s="15" t="n">
        <v>0.0951059493320734</v>
      </c>
      <c r="D9308" s="14" t="n">
        <f aca="false">Summary!$B$5-B9308</f>
        <v>-2936.1553682239</v>
      </c>
      <c r="E9308" s="15" t="n">
        <f aca="false">B9308/Summary!$B$5-1</f>
        <v>0.0293615536822389</v>
      </c>
    </row>
    <row r="9309" customFormat="false" ht="15" hidden="false" customHeight="false" outlineLevel="0" collapsed="false">
      <c r="A9309" s="0" t="n">
        <v>9308</v>
      </c>
      <c r="B9309" s="14" t="n">
        <v>101348.356022911</v>
      </c>
      <c r="C9309" s="15" t="n">
        <v>0.08354318894323</v>
      </c>
      <c r="D9309" s="14" t="n">
        <f aca="false">Summary!$B$5-B9309</f>
        <v>-1348.35602291059</v>
      </c>
      <c r="E9309" s="15" t="n">
        <f aca="false">B9309/Summary!$B$5-1</f>
        <v>0.0134835602291059</v>
      </c>
    </row>
    <row r="9310" customFormat="false" ht="15" hidden="false" customHeight="false" outlineLevel="0" collapsed="false">
      <c r="A9310" s="0" t="n">
        <v>9309</v>
      </c>
      <c r="B9310" s="14" t="n">
        <v>129239.616782903</v>
      </c>
      <c r="C9310" s="15" t="n">
        <v>0.0747818611712596</v>
      </c>
      <c r="D9310" s="14" t="n">
        <f aca="false">Summary!$B$5-B9310</f>
        <v>-29239.6167829027</v>
      </c>
      <c r="E9310" s="15" t="n">
        <f aca="false">B9310/Summary!$B$5-1</f>
        <v>0.292396167829027</v>
      </c>
    </row>
    <row r="9311" customFormat="false" ht="15" hidden="false" customHeight="false" outlineLevel="0" collapsed="false">
      <c r="A9311" s="0" t="n">
        <v>9310</v>
      </c>
      <c r="B9311" s="14" t="n">
        <v>89635.2774229927</v>
      </c>
      <c r="C9311" s="15" t="n">
        <v>0.179958493443293</v>
      </c>
      <c r="D9311" s="14" t="n">
        <f aca="false">Summary!$B$5-B9311</f>
        <v>10364.7225770073</v>
      </c>
      <c r="E9311" s="15" t="n">
        <f aca="false">B9311/Summary!$B$5-1</f>
        <v>-0.103647225770073</v>
      </c>
    </row>
    <row r="9312" customFormat="false" ht="15" hidden="false" customHeight="false" outlineLevel="0" collapsed="false">
      <c r="A9312" s="0" t="n">
        <v>9311</v>
      </c>
      <c r="B9312" s="14" t="n">
        <v>117451.845561523</v>
      </c>
      <c r="C9312" s="15" t="n">
        <v>0.0615643604831128</v>
      </c>
      <c r="D9312" s="14" t="n">
        <f aca="false">Summary!$B$5-B9312</f>
        <v>-17451.8455615232</v>
      </c>
      <c r="E9312" s="15" t="n">
        <f aca="false">B9312/Summary!$B$5-1</f>
        <v>0.174518455615232</v>
      </c>
    </row>
    <row r="9313" customFormat="false" ht="15" hidden="false" customHeight="false" outlineLevel="0" collapsed="false">
      <c r="A9313" s="0" t="n">
        <v>9312</v>
      </c>
      <c r="B9313" s="14" t="n">
        <v>139860.998899671</v>
      </c>
      <c r="C9313" s="15" t="n">
        <v>0.0476575138305244</v>
      </c>
      <c r="D9313" s="14" t="n">
        <f aca="false">Summary!$B$5-B9313</f>
        <v>-39860.9988996707</v>
      </c>
      <c r="E9313" s="15" t="n">
        <f aca="false">B9313/Summary!$B$5-1</f>
        <v>0.398609988996707</v>
      </c>
    </row>
    <row r="9314" customFormat="false" ht="15" hidden="false" customHeight="false" outlineLevel="0" collapsed="false">
      <c r="A9314" s="0" t="n">
        <v>9313</v>
      </c>
      <c r="B9314" s="14" t="n">
        <v>102229.294447586</v>
      </c>
      <c r="C9314" s="15" t="n">
        <v>0.0870842550946949</v>
      </c>
      <c r="D9314" s="14" t="n">
        <f aca="false">Summary!$B$5-B9314</f>
        <v>-2229.2944475862</v>
      </c>
      <c r="E9314" s="15" t="n">
        <f aca="false">B9314/Summary!$B$5-1</f>
        <v>0.0222929444758619</v>
      </c>
    </row>
    <row r="9315" customFormat="false" ht="15" hidden="false" customHeight="false" outlineLevel="0" collapsed="false">
      <c r="A9315" s="0" t="n">
        <v>9314</v>
      </c>
      <c r="B9315" s="14" t="n">
        <v>129528.230867704</v>
      </c>
      <c r="C9315" s="15" t="n">
        <v>0.0778214023088995</v>
      </c>
      <c r="D9315" s="14" t="n">
        <f aca="false">Summary!$B$5-B9315</f>
        <v>-29528.2308677044</v>
      </c>
      <c r="E9315" s="15" t="n">
        <f aca="false">B9315/Summary!$B$5-1</f>
        <v>0.295282308677044</v>
      </c>
    </row>
    <row r="9316" customFormat="false" ht="15" hidden="false" customHeight="false" outlineLevel="0" collapsed="false">
      <c r="A9316" s="0" t="n">
        <v>9315</v>
      </c>
      <c r="B9316" s="14" t="n">
        <v>104053.304346296</v>
      </c>
      <c r="C9316" s="15" t="n">
        <v>0.0587408457233499</v>
      </c>
      <c r="D9316" s="14" t="n">
        <f aca="false">Summary!$B$5-B9316</f>
        <v>-4053.3043462964</v>
      </c>
      <c r="E9316" s="15" t="n">
        <f aca="false">B9316/Summary!$B$5-1</f>
        <v>0.0405330434629641</v>
      </c>
    </row>
    <row r="9317" customFormat="false" ht="15" hidden="false" customHeight="false" outlineLevel="0" collapsed="false">
      <c r="A9317" s="0" t="n">
        <v>9316</v>
      </c>
      <c r="B9317" s="14" t="n">
        <v>105349.651741383</v>
      </c>
      <c r="C9317" s="15" t="n">
        <v>0.0946678552190123</v>
      </c>
      <c r="D9317" s="14" t="n">
        <f aca="false">Summary!$B$5-B9317</f>
        <v>-5349.6517413828</v>
      </c>
      <c r="E9317" s="15" t="n">
        <f aca="false">B9317/Summary!$B$5-1</f>
        <v>0.053496517413828</v>
      </c>
    </row>
    <row r="9318" customFormat="false" ht="15" hidden="false" customHeight="false" outlineLevel="0" collapsed="false">
      <c r="A9318" s="0" t="n">
        <v>9317</v>
      </c>
      <c r="B9318" s="14" t="n">
        <v>113452.203275346</v>
      </c>
      <c r="C9318" s="15" t="n">
        <v>0.0672452202323273</v>
      </c>
      <c r="D9318" s="14" t="n">
        <f aca="false">Summary!$B$5-B9318</f>
        <v>-13452.2032753457</v>
      </c>
      <c r="E9318" s="15" t="n">
        <f aca="false">B9318/Summary!$B$5-1</f>
        <v>0.134522032753457</v>
      </c>
    </row>
    <row r="9319" customFormat="false" ht="15" hidden="false" customHeight="false" outlineLevel="0" collapsed="false">
      <c r="A9319" s="0" t="n">
        <v>9318</v>
      </c>
      <c r="B9319" s="14" t="n">
        <v>138905.608969883</v>
      </c>
      <c r="C9319" s="15" t="n">
        <v>0.0551050454227321</v>
      </c>
      <c r="D9319" s="14" t="n">
        <f aca="false">Summary!$B$5-B9319</f>
        <v>-38905.6089698826</v>
      </c>
      <c r="E9319" s="15" t="n">
        <f aca="false">B9319/Summary!$B$5-1</f>
        <v>0.389056089698826</v>
      </c>
    </row>
    <row r="9320" customFormat="false" ht="15" hidden="false" customHeight="false" outlineLevel="0" collapsed="false">
      <c r="A9320" s="0" t="n">
        <v>9319</v>
      </c>
      <c r="B9320" s="14" t="n">
        <v>93582.0387517742</v>
      </c>
      <c r="C9320" s="15" t="n">
        <v>0.118430100959497</v>
      </c>
      <c r="D9320" s="14" t="n">
        <f aca="false">Summary!$B$5-B9320</f>
        <v>6417.96124822582</v>
      </c>
      <c r="E9320" s="15" t="n">
        <f aca="false">B9320/Summary!$B$5-1</f>
        <v>-0.0641796124822582</v>
      </c>
    </row>
    <row r="9321" customFormat="false" ht="15" hidden="false" customHeight="false" outlineLevel="0" collapsed="false">
      <c r="A9321" s="0" t="n">
        <v>9320</v>
      </c>
      <c r="B9321" s="14" t="n">
        <v>121266.924668372</v>
      </c>
      <c r="C9321" s="15" t="n">
        <v>0.0991514405372145</v>
      </c>
      <c r="D9321" s="14" t="n">
        <f aca="false">Summary!$B$5-B9321</f>
        <v>-21266.9246683716</v>
      </c>
      <c r="E9321" s="15" t="n">
        <f aca="false">B9321/Summary!$B$5-1</f>
        <v>0.212669246683716</v>
      </c>
    </row>
    <row r="9322" customFormat="false" ht="15" hidden="false" customHeight="false" outlineLevel="0" collapsed="false">
      <c r="A9322" s="0" t="n">
        <v>9321</v>
      </c>
      <c r="B9322" s="14" t="n">
        <v>126279.310512319</v>
      </c>
      <c r="C9322" s="15" t="n">
        <v>0.0802440849044869</v>
      </c>
      <c r="D9322" s="14" t="n">
        <f aca="false">Summary!$B$5-B9322</f>
        <v>-26279.3105123194</v>
      </c>
      <c r="E9322" s="15" t="n">
        <f aca="false">B9322/Summary!$B$5-1</f>
        <v>0.262793105123194</v>
      </c>
    </row>
    <row r="9323" customFormat="false" ht="15" hidden="false" customHeight="false" outlineLevel="0" collapsed="false">
      <c r="A9323" s="0" t="n">
        <v>9322</v>
      </c>
      <c r="B9323" s="14" t="n">
        <v>105158.776468962</v>
      </c>
      <c r="C9323" s="15" t="n">
        <v>0.0683057289580684</v>
      </c>
      <c r="D9323" s="14" t="n">
        <f aca="false">Summary!$B$5-B9323</f>
        <v>-5158.7764689615</v>
      </c>
      <c r="E9323" s="15" t="n">
        <f aca="false">B9323/Summary!$B$5-1</f>
        <v>0.051587764689615</v>
      </c>
    </row>
    <row r="9324" customFormat="false" ht="15" hidden="false" customHeight="false" outlineLevel="0" collapsed="false">
      <c r="A9324" s="0" t="n">
        <v>9323</v>
      </c>
      <c r="B9324" s="14" t="n">
        <v>118945.037141216</v>
      </c>
      <c r="C9324" s="15" t="n">
        <v>0.0926022108217502</v>
      </c>
      <c r="D9324" s="14" t="n">
        <f aca="false">Summary!$B$5-B9324</f>
        <v>-18945.037141216</v>
      </c>
      <c r="E9324" s="15" t="n">
        <f aca="false">B9324/Summary!$B$5-1</f>
        <v>0.18945037141216</v>
      </c>
    </row>
    <row r="9325" customFormat="false" ht="15" hidden="false" customHeight="false" outlineLevel="0" collapsed="false">
      <c r="A9325" s="0" t="n">
        <v>9324</v>
      </c>
      <c r="B9325" s="14" t="n">
        <v>94311.7862166709</v>
      </c>
      <c r="C9325" s="15" t="n">
        <v>0.172817987063137</v>
      </c>
      <c r="D9325" s="14" t="n">
        <f aca="false">Summary!$B$5-B9325</f>
        <v>5688.21378332913</v>
      </c>
      <c r="E9325" s="15" t="n">
        <f aca="false">B9325/Summary!$B$5-1</f>
        <v>-0.0568821378332913</v>
      </c>
    </row>
    <row r="9326" customFormat="false" ht="15" hidden="false" customHeight="false" outlineLevel="0" collapsed="false">
      <c r="A9326" s="0" t="n">
        <v>9325</v>
      </c>
      <c r="B9326" s="14" t="n">
        <v>113863.301903948</v>
      </c>
      <c r="C9326" s="15" t="n">
        <v>0.0715002619983998</v>
      </c>
      <c r="D9326" s="14" t="n">
        <f aca="false">Summary!$B$5-B9326</f>
        <v>-13863.3019039477</v>
      </c>
      <c r="E9326" s="15" t="n">
        <f aca="false">B9326/Summary!$B$5-1</f>
        <v>0.138633019039477</v>
      </c>
    </row>
    <row r="9327" customFormat="false" ht="15" hidden="false" customHeight="false" outlineLevel="0" collapsed="false">
      <c r="A9327" s="0" t="n">
        <v>9326</v>
      </c>
      <c r="B9327" s="14" t="n">
        <v>98377.1451083709</v>
      </c>
      <c r="C9327" s="15" t="n">
        <v>0.173243545197495</v>
      </c>
      <c r="D9327" s="14" t="n">
        <f aca="false">Summary!$B$5-B9327</f>
        <v>1622.85489162913</v>
      </c>
      <c r="E9327" s="15" t="n">
        <f aca="false">B9327/Summary!$B$5-1</f>
        <v>-0.0162285489162913</v>
      </c>
    </row>
    <row r="9328" customFormat="false" ht="15" hidden="false" customHeight="false" outlineLevel="0" collapsed="false">
      <c r="A9328" s="0" t="n">
        <v>9327</v>
      </c>
      <c r="B9328" s="14" t="n">
        <v>95633.1239625017</v>
      </c>
      <c r="C9328" s="15" t="n">
        <v>0.148224633128294</v>
      </c>
      <c r="D9328" s="14" t="n">
        <f aca="false">Summary!$B$5-B9328</f>
        <v>4366.87603749833</v>
      </c>
      <c r="E9328" s="15" t="n">
        <f aca="false">B9328/Summary!$B$5-1</f>
        <v>-0.0436687603749832</v>
      </c>
    </row>
    <row r="9329" customFormat="false" ht="15" hidden="false" customHeight="false" outlineLevel="0" collapsed="false">
      <c r="A9329" s="0" t="n">
        <v>9328</v>
      </c>
      <c r="B9329" s="14" t="n">
        <v>126206.465607209</v>
      </c>
      <c r="C9329" s="15" t="n">
        <v>0.0512864281292875</v>
      </c>
      <c r="D9329" s="14" t="n">
        <f aca="false">Summary!$B$5-B9329</f>
        <v>-26206.4656072089</v>
      </c>
      <c r="E9329" s="15" t="n">
        <f aca="false">B9329/Summary!$B$5-1</f>
        <v>0.262064656072089</v>
      </c>
    </row>
    <row r="9330" customFormat="false" ht="15" hidden="false" customHeight="false" outlineLevel="0" collapsed="false">
      <c r="A9330" s="0" t="n">
        <v>9329</v>
      </c>
      <c r="B9330" s="14" t="n">
        <v>120263.235878526</v>
      </c>
      <c r="C9330" s="15" t="n">
        <v>0.0534773056224513</v>
      </c>
      <c r="D9330" s="14" t="n">
        <f aca="false">Summary!$B$5-B9330</f>
        <v>-20263.2358785259</v>
      </c>
      <c r="E9330" s="15" t="n">
        <f aca="false">B9330/Summary!$B$5-1</f>
        <v>0.202632358785259</v>
      </c>
    </row>
    <row r="9331" customFormat="false" ht="15" hidden="false" customHeight="false" outlineLevel="0" collapsed="false">
      <c r="A9331" s="0" t="n">
        <v>9330</v>
      </c>
      <c r="B9331" s="14" t="n">
        <v>93147.5294911472</v>
      </c>
      <c r="C9331" s="15" t="n">
        <v>0.116742758585158</v>
      </c>
      <c r="D9331" s="14" t="n">
        <f aca="false">Summary!$B$5-B9331</f>
        <v>6852.4705088528</v>
      </c>
      <c r="E9331" s="15" t="n">
        <f aca="false">B9331/Summary!$B$5-1</f>
        <v>-0.068524705088528</v>
      </c>
    </row>
    <row r="9332" customFormat="false" ht="15" hidden="false" customHeight="false" outlineLevel="0" collapsed="false">
      <c r="A9332" s="0" t="n">
        <v>9331</v>
      </c>
      <c r="B9332" s="14" t="n">
        <v>125245.215446418</v>
      </c>
      <c r="C9332" s="15" t="n">
        <v>0.058413628282085</v>
      </c>
      <c r="D9332" s="14" t="n">
        <f aca="false">Summary!$B$5-B9332</f>
        <v>-25245.2154464177</v>
      </c>
      <c r="E9332" s="15" t="n">
        <f aca="false">B9332/Summary!$B$5-1</f>
        <v>0.252452154464177</v>
      </c>
    </row>
    <row r="9333" customFormat="false" ht="15" hidden="false" customHeight="false" outlineLevel="0" collapsed="false">
      <c r="A9333" s="0" t="n">
        <v>9332</v>
      </c>
      <c r="B9333" s="14" t="n">
        <v>109479.674632576</v>
      </c>
      <c r="C9333" s="15" t="n">
        <v>0.128403396628483</v>
      </c>
      <c r="D9333" s="14" t="n">
        <f aca="false">Summary!$B$5-B9333</f>
        <v>-9479.67463257549</v>
      </c>
      <c r="E9333" s="15" t="n">
        <f aca="false">B9333/Summary!$B$5-1</f>
        <v>0.0947967463257549</v>
      </c>
    </row>
    <row r="9334" customFormat="false" ht="15" hidden="false" customHeight="false" outlineLevel="0" collapsed="false">
      <c r="A9334" s="0" t="n">
        <v>9333</v>
      </c>
      <c r="B9334" s="14" t="n">
        <v>98320.8615405453</v>
      </c>
      <c r="C9334" s="15" t="n">
        <v>0.0844048224282968</v>
      </c>
      <c r="D9334" s="14" t="n">
        <f aca="false">Summary!$B$5-B9334</f>
        <v>1679.13845945467</v>
      </c>
      <c r="E9334" s="15" t="n">
        <f aca="false">B9334/Summary!$B$5-1</f>
        <v>-0.0167913845945467</v>
      </c>
    </row>
    <row r="9335" customFormat="false" ht="15" hidden="false" customHeight="false" outlineLevel="0" collapsed="false">
      <c r="A9335" s="0" t="n">
        <v>9334</v>
      </c>
      <c r="B9335" s="14" t="n">
        <v>107248.974905616</v>
      </c>
      <c r="C9335" s="15" t="n">
        <v>0.0864189598385686</v>
      </c>
      <c r="D9335" s="14" t="n">
        <f aca="false">Summary!$B$5-B9335</f>
        <v>-7248.9749056155</v>
      </c>
      <c r="E9335" s="15" t="n">
        <f aca="false">B9335/Summary!$B$5-1</f>
        <v>0.0724897490561549</v>
      </c>
    </row>
    <row r="9336" customFormat="false" ht="15" hidden="false" customHeight="false" outlineLevel="0" collapsed="false">
      <c r="A9336" s="0" t="n">
        <v>9335</v>
      </c>
      <c r="B9336" s="14" t="n">
        <v>98966.5527804534</v>
      </c>
      <c r="C9336" s="15" t="n">
        <v>0.161866408762469</v>
      </c>
      <c r="D9336" s="14" t="n">
        <f aca="false">Summary!$B$5-B9336</f>
        <v>1033.44721954656</v>
      </c>
      <c r="E9336" s="15" t="n">
        <f aca="false">B9336/Summary!$B$5-1</f>
        <v>-0.0103344721954657</v>
      </c>
    </row>
    <row r="9337" customFormat="false" ht="15" hidden="false" customHeight="false" outlineLevel="0" collapsed="false">
      <c r="A9337" s="0" t="n">
        <v>9336</v>
      </c>
      <c r="B9337" s="14" t="n">
        <v>122691.068632525</v>
      </c>
      <c r="C9337" s="15" t="n">
        <v>0.0581139320447831</v>
      </c>
      <c r="D9337" s="14" t="n">
        <f aca="false">Summary!$B$5-B9337</f>
        <v>-22691.0686325251</v>
      </c>
      <c r="E9337" s="15" t="n">
        <f aca="false">B9337/Summary!$B$5-1</f>
        <v>0.226910686325251</v>
      </c>
    </row>
    <row r="9338" customFormat="false" ht="15" hidden="false" customHeight="false" outlineLevel="0" collapsed="false">
      <c r="A9338" s="0" t="n">
        <v>9337</v>
      </c>
      <c r="B9338" s="14" t="n">
        <v>110394.496494621</v>
      </c>
      <c r="C9338" s="15" t="n">
        <v>0.0991942584714419</v>
      </c>
      <c r="D9338" s="14" t="n">
        <f aca="false">Summary!$B$5-B9338</f>
        <v>-10394.4964946213</v>
      </c>
      <c r="E9338" s="15" t="n">
        <f aca="false">B9338/Summary!$B$5-1</f>
        <v>0.103944964946213</v>
      </c>
    </row>
    <row r="9339" customFormat="false" ht="15" hidden="false" customHeight="false" outlineLevel="0" collapsed="false">
      <c r="A9339" s="0" t="n">
        <v>9338</v>
      </c>
      <c r="B9339" s="14" t="n">
        <v>143840.260188875</v>
      </c>
      <c r="C9339" s="15" t="n">
        <v>0.0678091449219814</v>
      </c>
      <c r="D9339" s="14" t="n">
        <f aca="false">Summary!$B$5-B9339</f>
        <v>-43840.2601888748</v>
      </c>
      <c r="E9339" s="15" t="n">
        <f aca="false">B9339/Summary!$B$5-1</f>
        <v>0.438402601888748</v>
      </c>
    </row>
    <row r="9340" customFormat="false" ht="15" hidden="false" customHeight="false" outlineLevel="0" collapsed="false">
      <c r="A9340" s="0" t="n">
        <v>9339</v>
      </c>
      <c r="B9340" s="14" t="n">
        <v>108729.825159442</v>
      </c>
      <c r="C9340" s="15" t="n">
        <v>0.144194313953365</v>
      </c>
      <c r="D9340" s="14" t="n">
        <f aca="false">Summary!$B$5-B9340</f>
        <v>-8729.82515944161</v>
      </c>
      <c r="E9340" s="15" t="n">
        <f aca="false">B9340/Summary!$B$5-1</f>
        <v>0.0872982515944161</v>
      </c>
    </row>
    <row r="9341" customFormat="false" ht="15" hidden="false" customHeight="false" outlineLevel="0" collapsed="false">
      <c r="A9341" s="0" t="n">
        <v>9340</v>
      </c>
      <c r="B9341" s="14" t="n">
        <v>93851.7471925279</v>
      </c>
      <c r="C9341" s="15" t="n">
        <v>0.189961325694608</v>
      </c>
      <c r="D9341" s="14" t="n">
        <f aca="false">Summary!$B$5-B9341</f>
        <v>6148.25280747211</v>
      </c>
      <c r="E9341" s="15" t="n">
        <f aca="false">B9341/Summary!$B$5-1</f>
        <v>-0.0614825280747211</v>
      </c>
    </row>
    <row r="9342" customFormat="false" ht="15" hidden="false" customHeight="false" outlineLevel="0" collapsed="false">
      <c r="A9342" s="0" t="n">
        <v>9341</v>
      </c>
      <c r="B9342" s="14" t="n">
        <v>108707.460441431</v>
      </c>
      <c r="C9342" s="15" t="n">
        <v>0.0940338365390389</v>
      </c>
      <c r="D9342" s="14" t="n">
        <f aca="false">Summary!$B$5-B9342</f>
        <v>-8707.46044143121</v>
      </c>
      <c r="E9342" s="15" t="n">
        <f aca="false">B9342/Summary!$B$5-1</f>
        <v>0.087074604414312</v>
      </c>
    </row>
    <row r="9343" customFormat="false" ht="15" hidden="false" customHeight="false" outlineLevel="0" collapsed="false">
      <c r="A9343" s="0" t="n">
        <v>9342</v>
      </c>
      <c r="B9343" s="14" t="n">
        <v>111720.25980431</v>
      </c>
      <c r="C9343" s="15" t="n">
        <v>0.106604845838501</v>
      </c>
      <c r="D9343" s="14" t="n">
        <f aca="false">Summary!$B$5-B9343</f>
        <v>-11720.2598043099</v>
      </c>
      <c r="E9343" s="15" t="n">
        <f aca="false">B9343/Summary!$B$5-1</f>
        <v>0.117202598043099</v>
      </c>
    </row>
    <row r="9344" customFormat="false" ht="15" hidden="false" customHeight="false" outlineLevel="0" collapsed="false">
      <c r="A9344" s="0" t="n">
        <v>9343</v>
      </c>
      <c r="B9344" s="14" t="n">
        <v>107285.12235879</v>
      </c>
      <c r="C9344" s="15" t="n">
        <v>0.0628205362971026</v>
      </c>
      <c r="D9344" s="14" t="n">
        <f aca="false">Summary!$B$5-B9344</f>
        <v>-7285.1223587904</v>
      </c>
      <c r="E9344" s="15" t="n">
        <f aca="false">B9344/Summary!$B$5-1</f>
        <v>0.072851223587904</v>
      </c>
    </row>
    <row r="9345" customFormat="false" ht="15" hidden="false" customHeight="false" outlineLevel="0" collapsed="false">
      <c r="A9345" s="0" t="n">
        <v>9344</v>
      </c>
      <c r="B9345" s="14" t="n">
        <v>111931.436876144</v>
      </c>
      <c r="C9345" s="15" t="n">
        <v>0.113343155944112</v>
      </c>
      <c r="D9345" s="14" t="n">
        <f aca="false">Summary!$B$5-B9345</f>
        <v>-11931.4368761441</v>
      </c>
      <c r="E9345" s="15" t="n">
        <f aca="false">B9345/Summary!$B$5-1</f>
        <v>0.119314368761441</v>
      </c>
    </row>
    <row r="9346" customFormat="false" ht="15" hidden="false" customHeight="false" outlineLevel="0" collapsed="false">
      <c r="A9346" s="0" t="n">
        <v>9345</v>
      </c>
      <c r="B9346" s="14" t="n">
        <v>97090.8659457735</v>
      </c>
      <c r="C9346" s="15" t="n">
        <v>0.119064850934064</v>
      </c>
      <c r="D9346" s="14" t="n">
        <f aca="false">Summary!$B$5-B9346</f>
        <v>2909.13405422654</v>
      </c>
      <c r="E9346" s="15" t="n">
        <f aca="false">B9346/Summary!$B$5-1</f>
        <v>-0.0290913405422654</v>
      </c>
    </row>
    <row r="9347" customFormat="false" ht="15" hidden="false" customHeight="false" outlineLevel="0" collapsed="false">
      <c r="A9347" s="0" t="n">
        <v>9346</v>
      </c>
      <c r="B9347" s="14" t="n">
        <v>101353.903868187</v>
      </c>
      <c r="C9347" s="15" t="n">
        <v>0.112236371310956</v>
      </c>
      <c r="D9347" s="14" t="n">
        <f aca="false">Summary!$B$5-B9347</f>
        <v>-1353.9038681868</v>
      </c>
      <c r="E9347" s="15" t="n">
        <f aca="false">B9347/Summary!$B$5-1</f>
        <v>0.0135390386818679</v>
      </c>
    </row>
    <row r="9348" customFormat="false" ht="15" hidden="false" customHeight="false" outlineLevel="0" collapsed="false">
      <c r="A9348" s="0" t="n">
        <v>9347</v>
      </c>
      <c r="B9348" s="14" t="n">
        <v>107915.77751689</v>
      </c>
      <c r="C9348" s="15" t="n">
        <v>0.109121773907187</v>
      </c>
      <c r="D9348" s="14" t="n">
        <f aca="false">Summary!$B$5-B9348</f>
        <v>-7915.7775168899</v>
      </c>
      <c r="E9348" s="15" t="n">
        <f aca="false">B9348/Summary!$B$5-1</f>
        <v>0.079157775168899</v>
      </c>
    </row>
    <row r="9349" customFormat="false" ht="15" hidden="false" customHeight="false" outlineLevel="0" collapsed="false">
      <c r="A9349" s="0" t="n">
        <v>9348</v>
      </c>
      <c r="B9349" s="14" t="n">
        <v>123340.160225916</v>
      </c>
      <c r="C9349" s="15" t="n">
        <v>0.0770584625056058</v>
      </c>
      <c r="D9349" s="14" t="n">
        <f aca="false">Summary!$B$5-B9349</f>
        <v>-23340.1602259163</v>
      </c>
      <c r="E9349" s="15" t="n">
        <f aca="false">B9349/Summary!$B$5-1</f>
        <v>0.233401602259163</v>
      </c>
    </row>
    <row r="9350" customFormat="false" ht="15" hidden="false" customHeight="false" outlineLevel="0" collapsed="false">
      <c r="A9350" s="0" t="n">
        <v>9349</v>
      </c>
      <c r="B9350" s="14" t="n">
        <v>124436.903277047</v>
      </c>
      <c r="C9350" s="15" t="n">
        <v>0.0771461134580322</v>
      </c>
      <c r="D9350" s="14" t="n">
        <f aca="false">Summary!$B$5-B9350</f>
        <v>-24436.9032770469</v>
      </c>
      <c r="E9350" s="15" t="n">
        <f aca="false">B9350/Summary!$B$5-1</f>
        <v>0.244369032770469</v>
      </c>
    </row>
    <row r="9351" customFormat="false" ht="15" hidden="false" customHeight="false" outlineLevel="0" collapsed="false">
      <c r="A9351" s="0" t="n">
        <v>9350</v>
      </c>
      <c r="B9351" s="14" t="n">
        <v>124714.977715472</v>
      </c>
      <c r="C9351" s="15" t="n">
        <v>0.0609050887621568</v>
      </c>
      <c r="D9351" s="14" t="n">
        <f aca="false">Summary!$B$5-B9351</f>
        <v>-24714.9777154724</v>
      </c>
      <c r="E9351" s="15" t="n">
        <f aca="false">B9351/Summary!$B$5-1</f>
        <v>0.247149777154724</v>
      </c>
    </row>
    <row r="9352" customFormat="false" ht="15" hidden="false" customHeight="false" outlineLevel="0" collapsed="false">
      <c r="A9352" s="0" t="n">
        <v>9351</v>
      </c>
      <c r="B9352" s="14" t="n">
        <v>128991.06254891</v>
      </c>
      <c r="C9352" s="15" t="n">
        <v>0.0507435136587282</v>
      </c>
      <c r="D9352" s="14" t="n">
        <f aca="false">Summary!$B$5-B9352</f>
        <v>-28991.0625489102</v>
      </c>
      <c r="E9352" s="15" t="n">
        <f aca="false">B9352/Summary!$B$5-1</f>
        <v>0.289910625489102</v>
      </c>
    </row>
    <row r="9353" customFormat="false" ht="15" hidden="false" customHeight="false" outlineLevel="0" collapsed="false">
      <c r="A9353" s="0" t="n">
        <v>9352</v>
      </c>
      <c r="B9353" s="14" t="n">
        <v>128944.284985823</v>
      </c>
      <c r="C9353" s="15" t="n">
        <v>0.066637742885306</v>
      </c>
      <c r="D9353" s="14" t="n">
        <f aca="false">Summary!$B$5-B9353</f>
        <v>-28944.2849858226</v>
      </c>
      <c r="E9353" s="15" t="n">
        <f aca="false">B9353/Summary!$B$5-1</f>
        <v>0.289442849858226</v>
      </c>
    </row>
    <row r="9354" customFormat="false" ht="15" hidden="false" customHeight="false" outlineLevel="0" collapsed="false">
      <c r="A9354" s="0" t="n">
        <v>9353</v>
      </c>
      <c r="B9354" s="14" t="n">
        <v>97700.2604345267</v>
      </c>
      <c r="C9354" s="15" t="n">
        <v>0.122236641429579</v>
      </c>
      <c r="D9354" s="14" t="n">
        <f aca="false">Summary!$B$5-B9354</f>
        <v>2299.73956547334</v>
      </c>
      <c r="E9354" s="15" t="n">
        <f aca="false">B9354/Summary!$B$5-1</f>
        <v>-0.0229973956547334</v>
      </c>
    </row>
    <row r="9355" customFormat="false" ht="15" hidden="false" customHeight="false" outlineLevel="0" collapsed="false">
      <c r="A9355" s="0" t="n">
        <v>9354</v>
      </c>
      <c r="B9355" s="14" t="n">
        <v>104902.274334786</v>
      </c>
      <c r="C9355" s="15" t="n">
        <v>0.0816091275923084</v>
      </c>
      <c r="D9355" s="14" t="n">
        <f aca="false">Summary!$B$5-B9355</f>
        <v>-4902.2743347861</v>
      </c>
      <c r="E9355" s="15" t="n">
        <f aca="false">B9355/Summary!$B$5-1</f>
        <v>0.0490227433478609</v>
      </c>
    </row>
    <row r="9356" customFormat="false" ht="15" hidden="false" customHeight="false" outlineLevel="0" collapsed="false">
      <c r="A9356" s="0" t="n">
        <v>9355</v>
      </c>
      <c r="B9356" s="14" t="n">
        <v>109036.700153736</v>
      </c>
      <c r="C9356" s="15" t="n">
        <v>0.0815445805106145</v>
      </c>
      <c r="D9356" s="14" t="n">
        <f aca="false">Summary!$B$5-B9356</f>
        <v>-9036.7001537357</v>
      </c>
      <c r="E9356" s="15" t="n">
        <f aca="false">B9356/Summary!$B$5-1</f>
        <v>0.090367001537357</v>
      </c>
    </row>
    <row r="9357" customFormat="false" ht="15" hidden="false" customHeight="false" outlineLevel="0" collapsed="false">
      <c r="A9357" s="0" t="n">
        <v>9356</v>
      </c>
      <c r="B9357" s="14" t="n">
        <v>110356.470281108</v>
      </c>
      <c r="C9357" s="15" t="n">
        <v>0.0728557827593134</v>
      </c>
      <c r="D9357" s="14" t="n">
        <f aca="false">Summary!$B$5-B9357</f>
        <v>-10356.470281108</v>
      </c>
      <c r="E9357" s="15" t="n">
        <f aca="false">B9357/Summary!$B$5-1</f>
        <v>0.10356470281108</v>
      </c>
    </row>
    <row r="9358" customFormat="false" ht="15" hidden="false" customHeight="false" outlineLevel="0" collapsed="false">
      <c r="A9358" s="0" t="n">
        <v>9357</v>
      </c>
      <c r="B9358" s="14" t="n">
        <v>93000.323929448</v>
      </c>
      <c r="C9358" s="15" t="n">
        <v>0.104517370241646</v>
      </c>
      <c r="D9358" s="14" t="n">
        <f aca="false">Summary!$B$5-B9358</f>
        <v>6999.67607055196</v>
      </c>
      <c r="E9358" s="15" t="n">
        <f aca="false">B9358/Summary!$B$5-1</f>
        <v>-0.0699967607055195</v>
      </c>
    </row>
    <row r="9359" customFormat="false" ht="15" hidden="false" customHeight="false" outlineLevel="0" collapsed="false">
      <c r="A9359" s="0" t="n">
        <v>9358</v>
      </c>
      <c r="B9359" s="14" t="n">
        <v>116522.952029504</v>
      </c>
      <c r="C9359" s="15" t="n">
        <v>0.0625608333618617</v>
      </c>
      <c r="D9359" s="14" t="n">
        <f aca="false">Summary!$B$5-B9359</f>
        <v>-16522.952029504</v>
      </c>
      <c r="E9359" s="15" t="n">
        <f aca="false">B9359/Summary!$B$5-1</f>
        <v>0.16522952029504</v>
      </c>
    </row>
    <row r="9360" customFormat="false" ht="15" hidden="false" customHeight="false" outlineLevel="0" collapsed="false">
      <c r="A9360" s="0" t="n">
        <v>9359</v>
      </c>
      <c r="B9360" s="14" t="n">
        <v>129450.209099191</v>
      </c>
      <c r="C9360" s="15" t="n">
        <v>0.0578636596699392</v>
      </c>
      <c r="D9360" s="14" t="n">
        <f aca="false">Summary!$B$5-B9360</f>
        <v>-29450.2090991913</v>
      </c>
      <c r="E9360" s="15" t="n">
        <f aca="false">B9360/Summary!$B$5-1</f>
        <v>0.294502090991913</v>
      </c>
    </row>
    <row r="9361" customFormat="false" ht="15" hidden="false" customHeight="false" outlineLevel="0" collapsed="false">
      <c r="A9361" s="0" t="n">
        <v>9360</v>
      </c>
      <c r="B9361" s="14" t="n">
        <v>90695.0707614268</v>
      </c>
      <c r="C9361" s="15" t="n">
        <v>0.150588816255353</v>
      </c>
      <c r="D9361" s="14" t="n">
        <f aca="false">Summary!$B$5-B9361</f>
        <v>9304.92923857321</v>
      </c>
      <c r="E9361" s="15" t="n">
        <f aca="false">B9361/Summary!$B$5-1</f>
        <v>-0.0930492923857321</v>
      </c>
    </row>
    <row r="9362" customFormat="false" ht="15" hidden="false" customHeight="false" outlineLevel="0" collapsed="false">
      <c r="A9362" s="0" t="n">
        <v>9361</v>
      </c>
      <c r="B9362" s="14" t="n">
        <v>89873.5429662462</v>
      </c>
      <c r="C9362" s="15" t="n">
        <v>0.178561907819343</v>
      </c>
      <c r="D9362" s="14" t="n">
        <f aca="false">Summary!$B$5-B9362</f>
        <v>10126.4570337538</v>
      </c>
      <c r="E9362" s="15" t="n">
        <f aca="false">B9362/Summary!$B$5-1</f>
        <v>-0.101264570337538</v>
      </c>
    </row>
    <row r="9363" customFormat="false" ht="15" hidden="false" customHeight="false" outlineLevel="0" collapsed="false">
      <c r="A9363" s="0" t="n">
        <v>9362</v>
      </c>
      <c r="B9363" s="14" t="n">
        <v>99531.745970725</v>
      </c>
      <c r="C9363" s="15" t="n">
        <v>0.179796691973682</v>
      </c>
      <c r="D9363" s="14" t="n">
        <f aca="false">Summary!$B$5-B9363</f>
        <v>468.254029274976</v>
      </c>
      <c r="E9363" s="15" t="n">
        <f aca="false">B9363/Summary!$B$5-1</f>
        <v>-0.00468254029274973</v>
      </c>
    </row>
    <row r="9364" customFormat="false" ht="15" hidden="false" customHeight="false" outlineLevel="0" collapsed="false">
      <c r="A9364" s="0" t="n">
        <v>9363</v>
      </c>
      <c r="B9364" s="14" t="n">
        <v>112296.736756667</v>
      </c>
      <c r="C9364" s="15" t="n">
        <v>0.0806554467432891</v>
      </c>
      <c r="D9364" s="14" t="n">
        <f aca="false">Summary!$B$5-B9364</f>
        <v>-12296.7367566669</v>
      </c>
      <c r="E9364" s="15" t="n">
        <f aca="false">B9364/Summary!$B$5-1</f>
        <v>0.122967367566669</v>
      </c>
    </row>
    <row r="9365" customFormat="false" ht="15" hidden="false" customHeight="false" outlineLevel="0" collapsed="false">
      <c r="A9365" s="0" t="n">
        <v>9364</v>
      </c>
      <c r="B9365" s="14" t="n">
        <v>94849.4733204419</v>
      </c>
      <c r="C9365" s="15" t="n">
        <v>0.179349487829344</v>
      </c>
      <c r="D9365" s="14" t="n">
        <f aca="false">Summary!$B$5-B9365</f>
        <v>5150.52667955813</v>
      </c>
      <c r="E9365" s="15" t="n">
        <f aca="false">B9365/Summary!$B$5-1</f>
        <v>-0.0515052667955813</v>
      </c>
    </row>
    <row r="9366" customFormat="false" ht="15" hidden="false" customHeight="false" outlineLevel="0" collapsed="false">
      <c r="A9366" s="0" t="n">
        <v>9365</v>
      </c>
      <c r="B9366" s="14" t="n">
        <v>133736.260332599</v>
      </c>
      <c r="C9366" s="15" t="n">
        <v>0.046570516127355</v>
      </c>
      <c r="D9366" s="14" t="n">
        <f aca="false">Summary!$B$5-B9366</f>
        <v>-33736.260332599</v>
      </c>
      <c r="E9366" s="15" t="n">
        <f aca="false">B9366/Summary!$B$5-1</f>
        <v>0.33736260332599</v>
      </c>
    </row>
    <row r="9367" customFormat="false" ht="15" hidden="false" customHeight="false" outlineLevel="0" collapsed="false">
      <c r="A9367" s="0" t="n">
        <v>9366</v>
      </c>
      <c r="B9367" s="14" t="n">
        <v>100400.835125124</v>
      </c>
      <c r="C9367" s="15" t="n">
        <v>0.162295778124322</v>
      </c>
      <c r="D9367" s="14" t="n">
        <f aca="false">Summary!$B$5-B9367</f>
        <v>-400.8351251235</v>
      </c>
      <c r="E9367" s="15" t="n">
        <f aca="false">B9367/Summary!$B$5-1</f>
        <v>0.004008351251235</v>
      </c>
    </row>
    <row r="9368" customFormat="false" ht="15" hidden="false" customHeight="false" outlineLevel="0" collapsed="false">
      <c r="A9368" s="0" t="n">
        <v>9367</v>
      </c>
      <c r="B9368" s="14" t="n">
        <v>111177.915076023</v>
      </c>
      <c r="C9368" s="15" t="n">
        <v>0.0690162733371498</v>
      </c>
      <c r="D9368" s="14" t="n">
        <f aca="false">Summary!$B$5-B9368</f>
        <v>-11177.9150760225</v>
      </c>
      <c r="E9368" s="15" t="n">
        <f aca="false">B9368/Summary!$B$5-1</f>
        <v>0.111779150760225</v>
      </c>
    </row>
    <row r="9369" customFormat="false" ht="15" hidden="false" customHeight="false" outlineLevel="0" collapsed="false">
      <c r="A9369" s="0" t="n">
        <v>9368</v>
      </c>
      <c r="B9369" s="14" t="n">
        <v>98991.3413626486</v>
      </c>
      <c r="C9369" s="15" t="n">
        <v>0.10711038888247</v>
      </c>
      <c r="D9369" s="14" t="n">
        <f aca="false">Summary!$B$5-B9369</f>
        <v>1008.65863735143</v>
      </c>
      <c r="E9369" s="15" t="n">
        <f aca="false">B9369/Summary!$B$5-1</f>
        <v>-0.0100865863735143</v>
      </c>
    </row>
    <row r="9370" customFormat="false" ht="15" hidden="false" customHeight="false" outlineLevel="0" collapsed="false">
      <c r="A9370" s="0" t="n">
        <v>9369</v>
      </c>
      <c r="B9370" s="14" t="n">
        <v>91826.0061806639</v>
      </c>
      <c r="C9370" s="15" t="n">
        <v>0.105468491965735</v>
      </c>
      <c r="D9370" s="14" t="n">
        <f aca="false">Summary!$B$5-B9370</f>
        <v>8173.99381933613</v>
      </c>
      <c r="E9370" s="15" t="n">
        <f aca="false">B9370/Summary!$B$5-1</f>
        <v>-0.0817399381933613</v>
      </c>
    </row>
    <row r="9371" customFormat="false" ht="15" hidden="false" customHeight="false" outlineLevel="0" collapsed="false">
      <c r="A9371" s="0" t="n">
        <v>9370</v>
      </c>
      <c r="B9371" s="14" t="n">
        <v>113940.526062499</v>
      </c>
      <c r="C9371" s="15" t="n">
        <v>0.0784649087655596</v>
      </c>
      <c r="D9371" s="14" t="n">
        <f aca="false">Summary!$B$5-B9371</f>
        <v>-13940.5260624988</v>
      </c>
      <c r="E9371" s="15" t="n">
        <f aca="false">B9371/Summary!$B$5-1</f>
        <v>0.139405260624988</v>
      </c>
    </row>
    <row r="9372" customFormat="false" ht="15" hidden="false" customHeight="false" outlineLevel="0" collapsed="false">
      <c r="A9372" s="0" t="n">
        <v>9371</v>
      </c>
      <c r="B9372" s="14" t="n">
        <v>90006.532772481</v>
      </c>
      <c r="C9372" s="15" t="n">
        <v>0.130869813127332</v>
      </c>
      <c r="D9372" s="14" t="n">
        <f aca="false">Summary!$B$5-B9372</f>
        <v>9993.46722751905</v>
      </c>
      <c r="E9372" s="15" t="n">
        <f aca="false">B9372/Summary!$B$5-1</f>
        <v>-0.0999346722751905</v>
      </c>
    </row>
    <row r="9373" customFormat="false" ht="15" hidden="false" customHeight="false" outlineLevel="0" collapsed="false">
      <c r="A9373" s="0" t="n">
        <v>9372</v>
      </c>
      <c r="B9373" s="14" t="n">
        <v>100045.414513689</v>
      </c>
      <c r="C9373" s="15" t="n">
        <v>0.119552878732752</v>
      </c>
      <c r="D9373" s="14" t="n">
        <f aca="false">Summary!$B$5-B9373</f>
        <v>-45.4145136885054</v>
      </c>
      <c r="E9373" s="15" t="n">
        <f aca="false">B9373/Summary!$B$5-1</f>
        <v>0.000454145136885131</v>
      </c>
    </row>
    <row r="9374" customFormat="false" ht="15" hidden="false" customHeight="false" outlineLevel="0" collapsed="false">
      <c r="A9374" s="0" t="n">
        <v>9373</v>
      </c>
      <c r="B9374" s="14" t="n">
        <v>103229.331963981</v>
      </c>
      <c r="C9374" s="15" t="n">
        <v>0.112368009894744</v>
      </c>
      <c r="D9374" s="14" t="n">
        <f aca="false">Summary!$B$5-B9374</f>
        <v>-3229.33196398109</v>
      </c>
      <c r="E9374" s="15" t="n">
        <f aca="false">B9374/Summary!$B$5-1</f>
        <v>0.032293319639811</v>
      </c>
    </row>
    <row r="9375" customFormat="false" ht="15" hidden="false" customHeight="false" outlineLevel="0" collapsed="false">
      <c r="A9375" s="0" t="n">
        <v>9374</v>
      </c>
      <c r="B9375" s="14" t="n">
        <v>104457.177095934</v>
      </c>
      <c r="C9375" s="15" t="n">
        <v>0.0651189730963353</v>
      </c>
      <c r="D9375" s="14" t="n">
        <f aca="false">Summary!$B$5-B9375</f>
        <v>-4457.1770959338</v>
      </c>
      <c r="E9375" s="15" t="n">
        <f aca="false">B9375/Summary!$B$5-1</f>
        <v>0.0445717709593381</v>
      </c>
    </row>
    <row r="9376" customFormat="false" ht="15" hidden="false" customHeight="false" outlineLevel="0" collapsed="false">
      <c r="A9376" s="0" t="n">
        <v>9375</v>
      </c>
      <c r="B9376" s="14" t="n">
        <v>113785.996509901</v>
      </c>
      <c r="C9376" s="15" t="n">
        <v>0.0713972612730413</v>
      </c>
      <c r="D9376" s="14" t="n">
        <f aca="false">Summary!$B$5-B9376</f>
        <v>-13785.9965099012</v>
      </c>
      <c r="E9376" s="15" t="n">
        <f aca="false">B9376/Summary!$B$5-1</f>
        <v>0.137859965099012</v>
      </c>
    </row>
    <row r="9377" customFormat="false" ht="15" hidden="false" customHeight="false" outlineLevel="0" collapsed="false">
      <c r="A9377" s="0" t="n">
        <v>9376</v>
      </c>
      <c r="B9377" s="14" t="n">
        <v>120079.085839538</v>
      </c>
      <c r="C9377" s="15" t="n">
        <v>0.0739644895951741</v>
      </c>
      <c r="D9377" s="14" t="n">
        <f aca="false">Summary!$B$5-B9377</f>
        <v>-20079.0858395379</v>
      </c>
      <c r="E9377" s="15" t="n">
        <f aca="false">B9377/Summary!$B$5-1</f>
        <v>0.200790858395379</v>
      </c>
    </row>
    <row r="9378" customFormat="false" ht="15" hidden="false" customHeight="false" outlineLevel="0" collapsed="false">
      <c r="A9378" s="0" t="n">
        <v>9377</v>
      </c>
      <c r="B9378" s="14" t="n">
        <v>102796.396049456</v>
      </c>
      <c r="C9378" s="15" t="n">
        <v>0.138874248411377</v>
      </c>
      <c r="D9378" s="14" t="n">
        <f aca="false">Summary!$B$5-B9378</f>
        <v>-2796.396049456</v>
      </c>
      <c r="E9378" s="15" t="n">
        <f aca="false">B9378/Summary!$B$5-1</f>
        <v>0.0279639604945601</v>
      </c>
    </row>
    <row r="9379" customFormat="false" ht="15" hidden="false" customHeight="false" outlineLevel="0" collapsed="false">
      <c r="A9379" s="0" t="n">
        <v>9378</v>
      </c>
      <c r="B9379" s="14" t="n">
        <v>110725.015280338</v>
      </c>
      <c r="C9379" s="15" t="n">
        <v>0.0815632299066181</v>
      </c>
      <c r="D9379" s="14" t="n">
        <f aca="false">Summary!$B$5-B9379</f>
        <v>-10725.0152803381</v>
      </c>
      <c r="E9379" s="15" t="n">
        <f aca="false">B9379/Summary!$B$5-1</f>
        <v>0.107250152803381</v>
      </c>
    </row>
    <row r="9380" customFormat="false" ht="15" hidden="false" customHeight="false" outlineLevel="0" collapsed="false">
      <c r="A9380" s="0" t="n">
        <v>9379</v>
      </c>
      <c r="B9380" s="14" t="n">
        <v>103934.784722517</v>
      </c>
      <c r="C9380" s="15" t="n">
        <v>0.108365481581042</v>
      </c>
      <c r="D9380" s="14" t="n">
        <f aca="false">Summary!$B$5-B9380</f>
        <v>-3934.784722517</v>
      </c>
      <c r="E9380" s="15" t="n">
        <f aca="false">B9380/Summary!$B$5-1</f>
        <v>0.03934784722517</v>
      </c>
    </row>
    <row r="9381" customFormat="false" ht="15" hidden="false" customHeight="false" outlineLevel="0" collapsed="false">
      <c r="A9381" s="0" t="n">
        <v>9380</v>
      </c>
      <c r="B9381" s="14" t="n">
        <v>108116.515742865</v>
      </c>
      <c r="C9381" s="15" t="n">
        <v>0.0929902986750674</v>
      </c>
      <c r="D9381" s="14" t="n">
        <f aca="false">Summary!$B$5-B9381</f>
        <v>-8116.51574286541</v>
      </c>
      <c r="E9381" s="15" t="n">
        <f aca="false">B9381/Summary!$B$5-1</f>
        <v>0.081165157428654</v>
      </c>
    </row>
    <row r="9382" customFormat="false" ht="15" hidden="false" customHeight="false" outlineLevel="0" collapsed="false">
      <c r="A9382" s="0" t="n">
        <v>9381</v>
      </c>
      <c r="B9382" s="14" t="n">
        <v>78979.3759511375</v>
      </c>
      <c r="C9382" s="15" t="n">
        <v>0.240482577324085</v>
      </c>
      <c r="D9382" s="14" t="n">
        <f aca="false">Summary!$B$5-B9382</f>
        <v>21020.6240488625</v>
      </c>
      <c r="E9382" s="15" t="n">
        <f aca="false">B9382/Summary!$B$5-1</f>
        <v>-0.210206240488625</v>
      </c>
    </row>
    <row r="9383" customFormat="false" ht="15" hidden="false" customHeight="false" outlineLevel="0" collapsed="false">
      <c r="A9383" s="0" t="n">
        <v>9382</v>
      </c>
      <c r="B9383" s="14" t="n">
        <v>97956.3241962985</v>
      </c>
      <c r="C9383" s="15" t="n">
        <v>0.0751711624459703</v>
      </c>
      <c r="D9383" s="14" t="n">
        <f aca="false">Summary!$B$5-B9383</f>
        <v>2043.67580370151</v>
      </c>
      <c r="E9383" s="15" t="n">
        <f aca="false">B9383/Summary!$B$5-1</f>
        <v>-0.0204367580370151</v>
      </c>
    </row>
    <row r="9384" customFormat="false" ht="15" hidden="false" customHeight="false" outlineLevel="0" collapsed="false">
      <c r="A9384" s="0" t="n">
        <v>9383</v>
      </c>
      <c r="B9384" s="14" t="n">
        <v>94814.3906531857</v>
      </c>
      <c r="C9384" s="15" t="n">
        <v>0.17633033426976</v>
      </c>
      <c r="D9384" s="14" t="n">
        <f aca="false">Summary!$B$5-B9384</f>
        <v>5185.60934681434</v>
      </c>
      <c r="E9384" s="15" t="n">
        <f aca="false">B9384/Summary!$B$5-1</f>
        <v>-0.0518560934681434</v>
      </c>
    </row>
    <row r="9385" customFormat="false" ht="15" hidden="false" customHeight="false" outlineLevel="0" collapsed="false">
      <c r="A9385" s="0" t="n">
        <v>9384</v>
      </c>
      <c r="B9385" s="14" t="n">
        <v>106320.487879875</v>
      </c>
      <c r="C9385" s="15" t="n">
        <v>0.125493234503781</v>
      </c>
      <c r="D9385" s="14" t="n">
        <f aca="false">Summary!$B$5-B9385</f>
        <v>-6320.4878798751</v>
      </c>
      <c r="E9385" s="15" t="n">
        <f aca="false">B9385/Summary!$B$5-1</f>
        <v>0.0632048787987509</v>
      </c>
    </row>
    <row r="9386" customFormat="false" ht="15" hidden="false" customHeight="false" outlineLevel="0" collapsed="false">
      <c r="A9386" s="0" t="n">
        <v>9385</v>
      </c>
      <c r="B9386" s="14" t="n">
        <v>106510.312041749</v>
      </c>
      <c r="C9386" s="15" t="n">
        <v>0.0815300880997155</v>
      </c>
      <c r="D9386" s="14" t="n">
        <f aca="false">Summary!$B$5-B9386</f>
        <v>-6510.31204174931</v>
      </c>
      <c r="E9386" s="15" t="n">
        <f aca="false">B9386/Summary!$B$5-1</f>
        <v>0.065103120417493</v>
      </c>
    </row>
    <row r="9387" customFormat="false" ht="15" hidden="false" customHeight="false" outlineLevel="0" collapsed="false">
      <c r="A9387" s="0" t="n">
        <v>9386</v>
      </c>
      <c r="B9387" s="14" t="n">
        <v>113857.909983003</v>
      </c>
      <c r="C9387" s="15" t="n">
        <v>0.117443701868723</v>
      </c>
      <c r="D9387" s="14" t="n">
        <f aca="false">Summary!$B$5-B9387</f>
        <v>-13857.9099830027</v>
      </c>
      <c r="E9387" s="15" t="n">
        <f aca="false">B9387/Summary!$B$5-1</f>
        <v>0.138579099830027</v>
      </c>
    </row>
    <row r="9388" customFormat="false" ht="15" hidden="false" customHeight="false" outlineLevel="0" collapsed="false">
      <c r="A9388" s="0" t="n">
        <v>9387</v>
      </c>
      <c r="B9388" s="14" t="n">
        <v>111443.897722455</v>
      </c>
      <c r="C9388" s="15" t="n">
        <v>0.1569801926891</v>
      </c>
      <c r="D9388" s="14" t="n">
        <f aca="false">Summary!$B$5-B9388</f>
        <v>-11443.8977224553</v>
      </c>
      <c r="E9388" s="15" t="n">
        <f aca="false">B9388/Summary!$B$5-1</f>
        <v>0.114438977224553</v>
      </c>
    </row>
    <row r="9389" customFormat="false" ht="15" hidden="false" customHeight="false" outlineLevel="0" collapsed="false">
      <c r="A9389" s="0" t="n">
        <v>9388</v>
      </c>
      <c r="B9389" s="14" t="n">
        <v>91957.0918727543</v>
      </c>
      <c r="C9389" s="15" t="n">
        <v>0.211048464621869</v>
      </c>
      <c r="D9389" s="14" t="n">
        <f aca="false">Summary!$B$5-B9389</f>
        <v>8042.9081272457</v>
      </c>
      <c r="E9389" s="15" t="n">
        <f aca="false">B9389/Summary!$B$5-1</f>
        <v>-0.080429081272457</v>
      </c>
    </row>
    <row r="9390" customFormat="false" ht="15" hidden="false" customHeight="false" outlineLevel="0" collapsed="false">
      <c r="A9390" s="0" t="n">
        <v>9389</v>
      </c>
      <c r="B9390" s="14" t="n">
        <v>121259.071724658</v>
      </c>
      <c r="C9390" s="15" t="n">
        <v>0.0530871953053766</v>
      </c>
      <c r="D9390" s="14" t="n">
        <f aca="false">Summary!$B$5-B9390</f>
        <v>-21259.0717246576</v>
      </c>
      <c r="E9390" s="15" t="n">
        <f aca="false">B9390/Summary!$B$5-1</f>
        <v>0.212590717246576</v>
      </c>
    </row>
    <row r="9391" customFormat="false" ht="15" hidden="false" customHeight="false" outlineLevel="0" collapsed="false">
      <c r="A9391" s="0" t="n">
        <v>9390</v>
      </c>
      <c r="B9391" s="14" t="n">
        <v>106255.323670977</v>
      </c>
      <c r="C9391" s="15" t="n">
        <v>0.0851510832138256</v>
      </c>
      <c r="D9391" s="14" t="n">
        <f aca="false">Summary!$B$5-B9391</f>
        <v>-6255.3236709772</v>
      </c>
      <c r="E9391" s="15" t="n">
        <f aca="false">B9391/Summary!$B$5-1</f>
        <v>0.0625532367097721</v>
      </c>
    </row>
    <row r="9392" customFormat="false" ht="15" hidden="false" customHeight="false" outlineLevel="0" collapsed="false">
      <c r="A9392" s="0" t="n">
        <v>9391</v>
      </c>
      <c r="B9392" s="14" t="n">
        <v>94061.7558800875</v>
      </c>
      <c r="C9392" s="15" t="n">
        <v>0.120639620040075</v>
      </c>
      <c r="D9392" s="14" t="n">
        <f aca="false">Summary!$B$5-B9392</f>
        <v>5938.24411991247</v>
      </c>
      <c r="E9392" s="15" t="n">
        <f aca="false">B9392/Summary!$B$5-1</f>
        <v>-0.0593824411991247</v>
      </c>
    </row>
    <row r="9393" customFormat="false" ht="15" hidden="false" customHeight="false" outlineLevel="0" collapsed="false">
      <c r="A9393" s="0" t="n">
        <v>9392</v>
      </c>
      <c r="B9393" s="14" t="n">
        <v>110851.531103829</v>
      </c>
      <c r="C9393" s="15" t="n">
        <v>0.0715098740920149</v>
      </c>
      <c r="D9393" s="14" t="n">
        <f aca="false">Summary!$B$5-B9393</f>
        <v>-10851.531103829</v>
      </c>
      <c r="E9393" s="15" t="n">
        <f aca="false">B9393/Summary!$B$5-1</f>
        <v>0.10851531103829</v>
      </c>
    </row>
    <row r="9394" customFormat="false" ht="15" hidden="false" customHeight="false" outlineLevel="0" collapsed="false">
      <c r="A9394" s="0" t="n">
        <v>9393</v>
      </c>
      <c r="B9394" s="14" t="n">
        <v>107774.724973576</v>
      </c>
      <c r="C9394" s="15" t="n">
        <v>0.0845609866227309</v>
      </c>
      <c r="D9394" s="14" t="n">
        <f aca="false">Summary!$B$5-B9394</f>
        <v>-7774.7249735762</v>
      </c>
      <c r="E9394" s="15" t="n">
        <f aca="false">B9394/Summary!$B$5-1</f>
        <v>0.0777472497357621</v>
      </c>
    </row>
    <row r="9395" customFormat="false" ht="15" hidden="false" customHeight="false" outlineLevel="0" collapsed="false">
      <c r="A9395" s="0" t="n">
        <v>9394</v>
      </c>
      <c r="B9395" s="14" t="n">
        <v>132784.997589514</v>
      </c>
      <c r="C9395" s="15" t="n">
        <v>0.0701938707085836</v>
      </c>
      <c r="D9395" s="14" t="n">
        <f aca="false">Summary!$B$5-B9395</f>
        <v>-32784.9975895142</v>
      </c>
      <c r="E9395" s="15" t="n">
        <f aca="false">B9395/Summary!$B$5-1</f>
        <v>0.327849975895142</v>
      </c>
    </row>
    <row r="9396" customFormat="false" ht="15" hidden="false" customHeight="false" outlineLevel="0" collapsed="false">
      <c r="A9396" s="0" t="n">
        <v>9395</v>
      </c>
      <c r="B9396" s="14" t="n">
        <v>103477.279258363</v>
      </c>
      <c r="C9396" s="15" t="n">
        <v>0.129497966115582</v>
      </c>
      <c r="D9396" s="14" t="n">
        <f aca="false">Summary!$B$5-B9396</f>
        <v>-3477.27925836301</v>
      </c>
      <c r="E9396" s="15" t="n">
        <f aca="false">B9396/Summary!$B$5-1</f>
        <v>0.0347727925836301</v>
      </c>
    </row>
    <row r="9397" customFormat="false" ht="15" hidden="false" customHeight="false" outlineLevel="0" collapsed="false">
      <c r="A9397" s="0" t="n">
        <v>9396</v>
      </c>
      <c r="B9397" s="14" t="n">
        <v>114531.169503706</v>
      </c>
      <c r="C9397" s="15" t="n">
        <v>0.0525792244991875</v>
      </c>
      <c r="D9397" s="14" t="n">
        <f aca="false">Summary!$B$5-B9397</f>
        <v>-14531.1695037059</v>
      </c>
      <c r="E9397" s="15" t="n">
        <f aca="false">B9397/Summary!$B$5-1</f>
        <v>0.145311695037059</v>
      </c>
    </row>
    <row r="9398" customFormat="false" ht="15" hidden="false" customHeight="false" outlineLevel="0" collapsed="false">
      <c r="A9398" s="0" t="n">
        <v>9397</v>
      </c>
      <c r="B9398" s="14" t="n">
        <v>116895.196138412</v>
      </c>
      <c r="C9398" s="15" t="n">
        <v>0.0937689206165016</v>
      </c>
      <c r="D9398" s="14" t="n">
        <f aca="false">Summary!$B$5-B9398</f>
        <v>-16895.1961384118</v>
      </c>
      <c r="E9398" s="15" t="n">
        <f aca="false">B9398/Summary!$B$5-1</f>
        <v>0.168951961384118</v>
      </c>
    </row>
    <row r="9399" customFormat="false" ht="15" hidden="false" customHeight="false" outlineLevel="0" collapsed="false">
      <c r="A9399" s="0" t="n">
        <v>9398</v>
      </c>
      <c r="B9399" s="14" t="n">
        <v>116736.932998068</v>
      </c>
      <c r="C9399" s="15" t="n">
        <v>0.124533233398932</v>
      </c>
      <c r="D9399" s="14" t="n">
        <f aca="false">Summary!$B$5-B9399</f>
        <v>-16736.9329980677</v>
      </c>
      <c r="E9399" s="15" t="n">
        <f aca="false">B9399/Summary!$B$5-1</f>
        <v>0.167369329980677</v>
      </c>
    </row>
    <row r="9400" customFormat="false" ht="15" hidden="false" customHeight="false" outlineLevel="0" collapsed="false">
      <c r="A9400" s="0" t="n">
        <v>9399</v>
      </c>
      <c r="B9400" s="14" t="n">
        <v>102954.453119511</v>
      </c>
      <c r="C9400" s="15" t="n">
        <v>0.101825236946513</v>
      </c>
      <c r="D9400" s="14" t="n">
        <f aca="false">Summary!$B$5-B9400</f>
        <v>-2954.4531195107</v>
      </c>
      <c r="E9400" s="15" t="n">
        <f aca="false">B9400/Summary!$B$5-1</f>
        <v>0.029544531195107</v>
      </c>
    </row>
    <row r="9401" customFormat="false" ht="15" hidden="false" customHeight="false" outlineLevel="0" collapsed="false">
      <c r="A9401" s="0" t="n">
        <v>9400</v>
      </c>
      <c r="B9401" s="14" t="n">
        <v>115472.180563985</v>
      </c>
      <c r="C9401" s="15" t="n">
        <v>0.0581237321932744</v>
      </c>
      <c r="D9401" s="14" t="n">
        <f aca="false">Summary!$B$5-B9401</f>
        <v>-15472.1805639853</v>
      </c>
      <c r="E9401" s="15" t="n">
        <f aca="false">B9401/Summary!$B$5-1</f>
        <v>0.154721805639853</v>
      </c>
    </row>
    <row r="9402" customFormat="false" ht="15" hidden="false" customHeight="false" outlineLevel="0" collapsed="false">
      <c r="A9402" s="0" t="n">
        <v>9401</v>
      </c>
      <c r="B9402" s="14" t="n">
        <v>97817.9674747516</v>
      </c>
      <c r="C9402" s="15" t="n">
        <v>0.081269482652426</v>
      </c>
      <c r="D9402" s="14" t="n">
        <f aca="false">Summary!$B$5-B9402</f>
        <v>2182.03252524836</v>
      </c>
      <c r="E9402" s="15" t="n">
        <f aca="false">B9402/Summary!$B$5-1</f>
        <v>-0.0218203252524836</v>
      </c>
    </row>
    <row r="9403" customFormat="false" ht="15" hidden="false" customHeight="false" outlineLevel="0" collapsed="false">
      <c r="A9403" s="0" t="n">
        <v>9402</v>
      </c>
      <c r="B9403" s="14" t="n">
        <v>120617.246806392</v>
      </c>
      <c r="C9403" s="15" t="n">
        <v>0.0989362065094229</v>
      </c>
      <c r="D9403" s="14" t="n">
        <f aca="false">Summary!$B$5-B9403</f>
        <v>-20617.2468063921</v>
      </c>
      <c r="E9403" s="15" t="n">
        <f aca="false">B9403/Summary!$B$5-1</f>
        <v>0.206172468063921</v>
      </c>
    </row>
    <row r="9404" customFormat="false" ht="15" hidden="false" customHeight="false" outlineLevel="0" collapsed="false">
      <c r="A9404" s="0" t="n">
        <v>9403</v>
      </c>
      <c r="B9404" s="14" t="n">
        <v>103013.5470927</v>
      </c>
      <c r="C9404" s="15" t="n">
        <v>0.079240175728305</v>
      </c>
      <c r="D9404" s="14" t="n">
        <f aca="false">Summary!$B$5-B9404</f>
        <v>-3013.5470927001</v>
      </c>
      <c r="E9404" s="15" t="n">
        <f aca="false">B9404/Summary!$B$5-1</f>
        <v>0.030135470927001</v>
      </c>
    </row>
    <row r="9405" customFormat="false" ht="15" hidden="false" customHeight="false" outlineLevel="0" collapsed="false">
      <c r="A9405" s="0" t="n">
        <v>9404</v>
      </c>
      <c r="B9405" s="14" t="n">
        <v>120575.176284645</v>
      </c>
      <c r="C9405" s="15" t="n">
        <v>0.103684178215675</v>
      </c>
      <c r="D9405" s="14" t="n">
        <f aca="false">Summary!$B$5-B9405</f>
        <v>-20575.1762846452</v>
      </c>
      <c r="E9405" s="15" t="n">
        <f aca="false">B9405/Summary!$B$5-1</f>
        <v>0.205751762846452</v>
      </c>
    </row>
    <row r="9406" customFormat="false" ht="15" hidden="false" customHeight="false" outlineLevel="0" collapsed="false">
      <c r="A9406" s="0" t="n">
        <v>9405</v>
      </c>
      <c r="B9406" s="14" t="n">
        <v>123733.648949095</v>
      </c>
      <c r="C9406" s="15" t="n">
        <v>0.0544640781111876</v>
      </c>
      <c r="D9406" s="14" t="n">
        <f aca="false">Summary!$B$5-B9406</f>
        <v>-23733.6489490946</v>
      </c>
      <c r="E9406" s="15" t="n">
        <f aca="false">B9406/Summary!$B$5-1</f>
        <v>0.237336489490946</v>
      </c>
    </row>
    <row r="9407" customFormat="false" ht="15" hidden="false" customHeight="false" outlineLevel="0" collapsed="false">
      <c r="A9407" s="0" t="n">
        <v>9406</v>
      </c>
      <c r="B9407" s="14" t="n">
        <v>107405.724730289</v>
      </c>
      <c r="C9407" s="15" t="n">
        <v>0.0940867889424942</v>
      </c>
      <c r="D9407" s="14" t="n">
        <f aca="false">Summary!$B$5-B9407</f>
        <v>-7405.7247302888</v>
      </c>
      <c r="E9407" s="15" t="n">
        <f aca="false">B9407/Summary!$B$5-1</f>
        <v>0.074057247302888</v>
      </c>
    </row>
    <row r="9408" customFormat="false" ht="15" hidden="false" customHeight="false" outlineLevel="0" collapsed="false">
      <c r="A9408" s="0" t="n">
        <v>9407</v>
      </c>
      <c r="B9408" s="14" t="n">
        <v>106643.316086947</v>
      </c>
      <c r="C9408" s="15" t="n">
        <v>0.0713183957726588</v>
      </c>
      <c r="D9408" s="14" t="n">
        <f aca="false">Summary!$B$5-B9408</f>
        <v>-6643.3160869469</v>
      </c>
      <c r="E9408" s="15" t="n">
        <f aca="false">B9408/Summary!$B$5-1</f>
        <v>0.066433160869469</v>
      </c>
    </row>
    <row r="9409" customFormat="false" ht="15" hidden="false" customHeight="false" outlineLevel="0" collapsed="false">
      <c r="A9409" s="0" t="n">
        <v>9408</v>
      </c>
      <c r="B9409" s="14" t="n">
        <v>92972.4206670469</v>
      </c>
      <c r="C9409" s="15" t="n">
        <v>0.117720053225641</v>
      </c>
      <c r="D9409" s="14" t="n">
        <f aca="false">Summary!$B$5-B9409</f>
        <v>7027.57933295307</v>
      </c>
      <c r="E9409" s="15" t="n">
        <f aca="false">B9409/Summary!$B$5-1</f>
        <v>-0.0702757933295307</v>
      </c>
    </row>
    <row r="9410" customFormat="false" ht="15" hidden="false" customHeight="false" outlineLevel="0" collapsed="false">
      <c r="A9410" s="0" t="n">
        <v>9409</v>
      </c>
      <c r="B9410" s="14" t="n">
        <v>93160.3350104057</v>
      </c>
      <c r="C9410" s="15" t="n">
        <v>0.167502936468818</v>
      </c>
      <c r="D9410" s="14" t="n">
        <f aca="false">Summary!$B$5-B9410</f>
        <v>6839.66498959433</v>
      </c>
      <c r="E9410" s="15" t="n">
        <f aca="false">B9410/Summary!$B$5-1</f>
        <v>-0.0683966498959433</v>
      </c>
    </row>
    <row r="9411" customFormat="false" ht="15" hidden="false" customHeight="false" outlineLevel="0" collapsed="false">
      <c r="A9411" s="0" t="n">
        <v>9410</v>
      </c>
      <c r="B9411" s="14" t="n">
        <v>135816.038545233</v>
      </c>
      <c r="C9411" s="15" t="n">
        <v>0.0556712769747115</v>
      </c>
      <c r="D9411" s="14" t="n">
        <f aca="false">Summary!$B$5-B9411</f>
        <v>-35816.0385452328</v>
      </c>
      <c r="E9411" s="15" t="n">
        <f aca="false">B9411/Summary!$B$5-1</f>
        <v>0.358160385452328</v>
      </c>
    </row>
    <row r="9412" customFormat="false" ht="15" hidden="false" customHeight="false" outlineLevel="0" collapsed="false">
      <c r="A9412" s="0" t="n">
        <v>9411</v>
      </c>
      <c r="B9412" s="14" t="n">
        <v>118988.374196563</v>
      </c>
      <c r="C9412" s="15" t="n">
        <v>0.0534542027197197</v>
      </c>
      <c r="D9412" s="14" t="n">
        <f aca="false">Summary!$B$5-B9412</f>
        <v>-18988.3741965633</v>
      </c>
      <c r="E9412" s="15" t="n">
        <f aca="false">B9412/Summary!$B$5-1</f>
        <v>0.189883741965633</v>
      </c>
    </row>
    <row r="9413" customFormat="false" ht="15" hidden="false" customHeight="false" outlineLevel="0" collapsed="false">
      <c r="A9413" s="0" t="n">
        <v>9412</v>
      </c>
      <c r="B9413" s="14" t="n">
        <v>119891.913131499</v>
      </c>
      <c r="C9413" s="15" t="n">
        <v>0.0864126527504241</v>
      </c>
      <c r="D9413" s="14" t="n">
        <f aca="false">Summary!$B$5-B9413</f>
        <v>-19891.9131314992</v>
      </c>
      <c r="E9413" s="15" t="n">
        <f aca="false">B9413/Summary!$B$5-1</f>
        <v>0.198919131314992</v>
      </c>
    </row>
    <row r="9414" customFormat="false" ht="15" hidden="false" customHeight="false" outlineLevel="0" collapsed="false">
      <c r="A9414" s="0" t="n">
        <v>9413</v>
      </c>
      <c r="B9414" s="14" t="n">
        <v>97459.0269602031</v>
      </c>
      <c r="C9414" s="15" t="n">
        <v>0.156820761928193</v>
      </c>
      <c r="D9414" s="14" t="n">
        <f aca="false">Summary!$B$5-B9414</f>
        <v>2540.97303979695</v>
      </c>
      <c r="E9414" s="15" t="n">
        <f aca="false">B9414/Summary!$B$5-1</f>
        <v>-0.0254097303979696</v>
      </c>
    </row>
    <row r="9415" customFormat="false" ht="15" hidden="false" customHeight="false" outlineLevel="0" collapsed="false">
      <c r="A9415" s="0" t="n">
        <v>9414</v>
      </c>
      <c r="B9415" s="14" t="n">
        <v>116709.586237994</v>
      </c>
      <c r="C9415" s="15" t="n">
        <v>0.054989684783878</v>
      </c>
      <c r="D9415" s="14" t="n">
        <f aca="false">Summary!$B$5-B9415</f>
        <v>-16709.5862379938</v>
      </c>
      <c r="E9415" s="15" t="n">
        <f aca="false">B9415/Summary!$B$5-1</f>
        <v>0.167095862379938</v>
      </c>
    </row>
    <row r="9416" customFormat="false" ht="15" hidden="false" customHeight="false" outlineLevel="0" collapsed="false">
      <c r="A9416" s="0" t="n">
        <v>9415</v>
      </c>
      <c r="B9416" s="14" t="n">
        <v>124063.846912342</v>
      </c>
      <c r="C9416" s="15" t="n">
        <v>0.08960832173162</v>
      </c>
      <c r="D9416" s="14" t="n">
        <f aca="false">Summary!$B$5-B9416</f>
        <v>-24063.8469123415</v>
      </c>
      <c r="E9416" s="15" t="n">
        <f aca="false">B9416/Summary!$B$5-1</f>
        <v>0.240638469123415</v>
      </c>
    </row>
    <row r="9417" customFormat="false" ht="15" hidden="false" customHeight="false" outlineLevel="0" collapsed="false">
      <c r="A9417" s="0" t="n">
        <v>9416</v>
      </c>
      <c r="B9417" s="14" t="n">
        <v>113095.322342582</v>
      </c>
      <c r="C9417" s="15" t="n">
        <v>0.0794166913783706</v>
      </c>
      <c r="D9417" s="14" t="n">
        <f aca="false">Summary!$B$5-B9417</f>
        <v>-13095.3223425821</v>
      </c>
      <c r="E9417" s="15" t="n">
        <f aca="false">B9417/Summary!$B$5-1</f>
        <v>0.130953223425821</v>
      </c>
    </row>
    <row r="9418" customFormat="false" ht="15" hidden="false" customHeight="false" outlineLevel="0" collapsed="false">
      <c r="A9418" s="0" t="n">
        <v>9417</v>
      </c>
      <c r="B9418" s="14" t="n">
        <v>119084.826205197</v>
      </c>
      <c r="C9418" s="15" t="n">
        <v>0.0434571811457537</v>
      </c>
      <c r="D9418" s="14" t="n">
        <f aca="false">Summary!$B$5-B9418</f>
        <v>-19084.8262051973</v>
      </c>
      <c r="E9418" s="15" t="n">
        <f aca="false">B9418/Summary!$B$5-1</f>
        <v>0.190848262051973</v>
      </c>
    </row>
    <row r="9419" customFormat="false" ht="15" hidden="false" customHeight="false" outlineLevel="0" collapsed="false">
      <c r="A9419" s="0" t="n">
        <v>9418</v>
      </c>
      <c r="B9419" s="14" t="n">
        <v>134008.206792045</v>
      </c>
      <c r="C9419" s="15" t="n">
        <v>0.0692250928626469</v>
      </c>
      <c r="D9419" s="14" t="n">
        <f aca="false">Summary!$B$5-B9419</f>
        <v>-34008.2067920448</v>
      </c>
      <c r="E9419" s="15" t="n">
        <f aca="false">B9419/Summary!$B$5-1</f>
        <v>0.340082067920448</v>
      </c>
    </row>
    <row r="9420" customFormat="false" ht="15" hidden="false" customHeight="false" outlineLevel="0" collapsed="false">
      <c r="A9420" s="0" t="n">
        <v>9419</v>
      </c>
      <c r="B9420" s="14" t="n">
        <v>126040.434498588</v>
      </c>
      <c r="C9420" s="15" t="n">
        <v>0.104600511501491</v>
      </c>
      <c r="D9420" s="14" t="n">
        <f aca="false">Summary!$B$5-B9420</f>
        <v>-26040.4344985882</v>
      </c>
      <c r="E9420" s="15" t="n">
        <f aca="false">B9420/Summary!$B$5-1</f>
        <v>0.260404344985882</v>
      </c>
    </row>
    <row r="9421" customFormat="false" ht="15" hidden="false" customHeight="false" outlineLevel="0" collapsed="false">
      <c r="A9421" s="0" t="n">
        <v>9420</v>
      </c>
      <c r="B9421" s="14" t="n">
        <v>104641.551764226</v>
      </c>
      <c r="C9421" s="15" t="n">
        <v>0.0665690015772272</v>
      </c>
      <c r="D9421" s="14" t="n">
        <f aca="false">Summary!$B$5-B9421</f>
        <v>-4641.5517642264</v>
      </c>
      <c r="E9421" s="15" t="n">
        <f aca="false">B9421/Summary!$B$5-1</f>
        <v>0.046415517642264</v>
      </c>
    </row>
    <row r="9422" customFormat="false" ht="15" hidden="false" customHeight="false" outlineLevel="0" collapsed="false">
      <c r="A9422" s="0" t="n">
        <v>9421</v>
      </c>
      <c r="B9422" s="14" t="n">
        <v>90470.0844895691</v>
      </c>
      <c r="C9422" s="15" t="n">
        <v>0.155347241656906</v>
      </c>
      <c r="D9422" s="14" t="n">
        <f aca="false">Summary!$B$5-B9422</f>
        <v>9529.91551043087</v>
      </c>
      <c r="E9422" s="15" t="n">
        <f aca="false">B9422/Summary!$B$5-1</f>
        <v>-0.0952991551043088</v>
      </c>
    </row>
    <row r="9423" customFormat="false" ht="15" hidden="false" customHeight="false" outlineLevel="0" collapsed="false">
      <c r="A9423" s="0" t="n">
        <v>9422</v>
      </c>
      <c r="B9423" s="14" t="n">
        <v>118174.466269985</v>
      </c>
      <c r="C9423" s="15" t="n">
        <v>0.0828106063928195</v>
      </c>
      <c r="D9423" s="14" t="n">
        <f aca="false">Summary!$B$5-B9423</f>
        <v>-18174.466269985</v>
      </c>
      <c r="E9423" s="15" t="n">
        <f aca="false">B9423/Summary!$B$5-1</f>
        <v>0.18174466269985</v>
      </c>
    </row>
    <row r="9424" customFormat="false" ht="15" hidden="false" customHeight="false" outlineLevel="0" collapsed="false">
      <c r="A9424" s="0" t="n">
        <v>9423</v>
      </c>
      <c r="B9424" s="14" t="n">
        <v>101109.203437856</v>
      </c>
      <c r="C9424" s="15" t="n">
        <v>0.0858425874588654</v>
      </c>
      <c r="D9424" s="14" t="n">
        <f aca="false">Summary!$B$5-B9424</f>
        <v>-1109.2034378563</v>
      </c>
      <c r="E9424" s="15" t="n">
        <f aca="false">B9424/Summary!$B$5-1</f>
        <v>0.011092034378563</v>
      </c>
    </row>
    <row r="9425" customFormat="false" ht="15" hidden="false" customHeight="false" outlineLevel="0" collapsed="false">
      <c r="A9425" s="0" t="n">
        <v>9424</v>
      </c>
      <c r="B9425" s="14" t="n">
        <v>106828.844568053</v>
      </c>
      <c r="C9425" s="15" t="n">
        <v>0.0999072041273875</v>
      </c>
      <c r="D9425" s="14" t="n">
        <f aca="false">Summary!$B$5-B9425</f>
        <v>-6828.844568053</v>
      </c>
      <c r="E9425" s="15" t="n">
        <f aca="false">B9425/Summary!$B$5-1</f>
        <v>0.0682884456805299</v>
      </c>
    </row>
    <row r="9426" customFormat="false" ht="15" hidden="false" customHeight="false" outlineLevel="0" collapsed="false">
      <c r="A9426" s="0" t="n">
        <v>9425</v>
      </c>
      <c r="B9426" s="14" t="n">
        <v>136660.797277777</v>
      </c>
      <c r="C9426" s="15" t="n">
        <v>0.0479596276066919</v>
      </c>
      <c r="D9426" s="14" t="n">
        <f aca="false">Summary!$B$5-B9426</f>
        <v>-36660.797277777</v>
      </c>
      <c r="E9426" s="15" t="n">
        <f aca="false">B9426/Summary!$B$5-1</f>
        <v>0.36660797277777</v>
      </c>
    </row>
    <row r="9427" customFormat="false" ht="15" hidden="false" customHeight="false" outlineLevel="0" collapsed="false">
      <c r="A9427" s="0" t="n">
        <v>9426</v>
      </c>
      <c r="B9427" s="14" t="n">
        <v>103004.454993804</v>
      </c>
      <c r="C9427" s="15" t="n">
        <v>0.151466580969782</v>
      </c>
      <c r="D9427" s="14" t="n">
        <f aca="false">Summary!$B$5-B9427</f>
        <v>-3004.4549938042</v>
      </c>
      <c r="E9427" s="15" t="n">
        <f aca="false">B9427/Summary!$B$5-1</f>
        <v>0.030044549938042</v>
      </c>
    </row>
    <row r="9428" customFormat="false" ht="15" hidden="false" customHeight="false" outlineLevel="0" collapsed="false">
      <c r="A9428" s="0" t="n">
        <v>9427</v>
      </c>
      <c r="B9428" s="14" t="n">
        <v>117204.527981193</v>
      </c>
      <c r="C9428" s="15" t="n">
        <v>0.0518724291542313</v>
      </c>
      <c r="D9428" s="14" t="n">
        <f aca="false">Summary!$B$5-B9428</f>
        <v>-17204.5279811928</v>
      </c>
      <c r="E9428" s="15" t="n">
        <f aca="false">B9428/Summary!$B$5-1</f>
        <v>0.172045279811928</v>
      </c>
    </row>
    <row r="9429" customFormat="false" ht="15" hidden="false" customHeight="false" outlineLevel="0" collapsed="false">
      <c r="A9429" s="0" t="n">
        <v>9428</v>
      </c>
      <c r="B9429" s="14" t="n">
        <v>121014.66031514</v>
      </c>
      <c r="C9429" s="15" t="n">
        <v>0.0569550661579852</v>
      </c>
      <c r="D9429" s="14" t="n">
        <f aca="false">Summary!$B$5-B9429</f>
        <v>-21014.6603151402</v>
      </c>
      <c r="E9429" s="15" t="n">
        <f aca="false">B9429/Summary!$B$5-1</f>
        <v>0.210146603151402</v>
      </c>
    </row>
    <row r="9430" customFormat="false" ht="15" hidden="false" customHeight="false" outlineLevel="0" collapsed="false">
      <c r="A9430" s="0" t="n">
        <v>9429</v>
      </c>
      <c r="B9430" s="14" t="n">
        <v>93119.1087142805</v>
      </c>
      <c r="C9430" s="15" t="n">
        <v>0.126280421254872</v>
      </c>
      <c r="D9430" s="14" t="n">
        <f aca="false">Summary!$B$5-B9430</f>
        <v>6880.89128571955</v>
      </c>
      <c r="E9430" s="15" t="n">
        <f aca="false">B9430/Summary!$B$5-1</f>
        <v>-0.0688089128571956</v>
      </c>
    </row>
    <row r="9431" customFormat="false" ht="15" hidden="false" customHeight="false" outlineLevel="0" collapsed="false">
      <c r="A9431" s="0" t="n">
        <v>9430</v>
      </c>
      <c r="B9431" s="14" t="n">
        <v>119296.546448148</v>
      </c>
      <c r="C9431" s="15" t="n">
        <v>0.0675251503080385</v>
      </c>
      <c r="D9431" s="14" t="n">
        <f aca="false">Summary!$B$5-B9431</f>
        <v>-19296.5464481475</v>
      </c>
      <c r="E9431" s="15" t="n">
        <f aca="false">B9431/Summary!$B$5-1</f>
        <v>0.192965464481475</v>
      </c>
    </row>
    <row r="9432" customFormat="false" ht="15" hidden="false" customHeight="false" outlineLevel="0" collapsed="false">
      <c r="A9432" s="0" t="n">
        <v>9431</v>
      </c>
      <c r="B9432" s="14" t="n">
        <v>113624.59291363</v>
      </c>
      <c r="C9432" s="15" t="n">
        <v>0.0874015663018656</v>
      </c>
      <c r="D9432" s="14" t="n">
        <f aca="false">Summary!$B$5-B9432</f>
        <v>-13624.5929136297</v>
      </c>
      <c r="E9432" s="15" t="n">
        <f aca="false">B9432/Summary!$B$5-1</f>
        <v>0.136245929136297</v>
      </c>
    </row>
    <row r="9433" customFormat="false" ht="15" hidden="false" customHeight="false" outlineLevel="0" collapsed="false">
      <c r="A9433" s="0" t="n">
        <v>9432</v>
      </c>
      <c r="B9433" s="14" t="n">
        <v>101936.804839037</v>
      </c>
      <c r="C9433" s="15" t="n">
        <v>0.0890705606109442</v>
      </c>
      <c r="D9433" s="14" t="n">
        <f aca="false">Summary!$B$5-B9433</f>
        <v>-1936.8048390367</v>
      </c>
      <c r="E9433" s="15" t="n">
        <f aca="false">B9433/Summary!$B$5-1</f>
        <v>0.0193680483903671</v>
      </c>
    </row>
    <row r="9434" customFormat="false" ht="15" hidden="false" customHeight="false" outlineLevel="0" collapsed="false">
      <c r="A9434" s="0" t="n">
        <v>9433</v>
      </c>
      <c r="B9434" s="14" t="n">
        <v>101824.626060485</v>
      </c>
      <c r="C9434" s="15" t="n">
        <v>0.135045548544725</v>
      </c>
      <c r="D9434" s="14" t="n">
        <f aca="false">Summary!$B$5-B9434</f>
        <v>-1824.6260604846</v>
      </c>
      <c r="E9434" s="15" t="n">
        <f aca="false">B9434/Summary!$B$5-1</f>
        <v>0.0182462606048461</v>
      </c>
    </row>
    <row r="9435" customFormat="false" ht="15" hidden="false" customHeight="false" outlineLevel="0" collapsed="false">
      <c r="A9435" s="0" t="n">
        <v>9434</v>
      </c>
      <c r="B9435" s="14" t="n">
        <v>92480.795995017</v>
      </c>
      <c r="C9435" s="15" t="n">
        <v>0.14622232469869</v>
      </c>
      <c r="D9435" s="14" t="n">
        <f aca="false">Summary!$B$5-B9435</f>
        <v>7519.20400498305</v>
      </c>
      <c r="E9435" s="15" t="n">
        <f aca="false">B9435/Summary!$B$5-1</f>
        <v>-0.0751920400498305</v>
      </c>
    </row>
    <row r="9436" customFormat="false" ht="15" hidden="false" customHeight="false" outlineLevel="0" collapsed="false">
      <c r="A9436" s="0" t="n">
        <v>9435</v>
      </c>
      <c r="B9436" s="14" t="n">
        <v>85090.9717450243</v>
      </c>
      <c r="C9436" s="15" t="n">
        <v>0.160438007295907</v>
      </c>
      <c r="D9436" s="14" t="n">
        <f aca="false">Summary!$B$5-B9436</f>
        <v>14909.0282549757</v>
      </c>
      <c r="E9436" s="15" t="n">
        <f aca="false">B9436/Summary!$B$5-1</f>
        <v>-0.149090282549757</v>
      </c>
    </row>
    <row r="9437" customFormat="false" ht="15" hidden="false" customHeight="false" outlineLevel="0" collapsed="false">
      <c r="A9437" s="0" t="n">
        <v>9436</v>
      </c>
      <c r="B9437" s="14" t="n">
        <v>101716.044529682</v>
      </c>
      <c r="C9437" s="15" t="n">
        <v>0.134536148362788</v>
      </c>
      <c r="D9437" s="14" t="n">
        <f aca="false">Summary!$B$5-B9437</f>
        <v>-1716.04452968189</v>
      </c>
      <c r="E9437" s="15" t="n">
        <f aca="false">B9437/Summary!$B$5-1</f>
        <v>0.017160445296819</v>
      </c>
    </row>
    <row r="9438" customFormat="false" ht="15" hidden="false" customHeight="false" outlineLevel="0" collapsed="false">
      <c r="A9438" s="0" t="n">
        <v>9437</v>
      </c>
      <c r="B9438" s="14" t="n">
        <v>122526.253653776</v>
      </c>
      <c r="C9438" s="15" t="n">
        <v>0.133832578796718</v>
      </c>
      <c r="D9438" s="14" t="n">
        <f aca="false">Summary!$B$5-B9438</f>
        <v>-22526.2536537763</v>
      </c>
      <c r="E9438" s="15" t="n">
        <f aca="false">B9438/Summary!$B$5-1</f>
        <v>0.225262536537763</v>
      </c>
    </row>
    <row r="9439" customFormat="false" ht="15" hidden="false" customHeight="false" outlineLevel="0" collapsed="false">
      <c r="A9439" s="0" t="n">
        <v>9438</v>
      </c>
      <c r="B9439" s="14" t="n">
        <v>97312.1207879026</v>
      </c>
      <c r="C9439" s="15" t="n">
        <v>0.140144214368194</v>
      </c>
      <c r="D9439" s="14" t="n">
        <f aca="false">Summary!$B$5-B9439</f>
        <v>2687.87921209744</v>
      </c>
      <c r="E9439" s="15" t="n">
        <f aca="false">B9439/Summary!$B$5-1</f>
        <v>-0.0268787921209744</v>
      </c>
    </row>
    <row r="9440" customFormat="false" ht="15" hidden="false" customHeight="false" outlineLevel="0" collapsed="false">
      <c r="A9440" s="0" t="n">
        <v>9439</v>
      </c>
      <c r="B9440" s="14" t="n">
        <v>123074.181441052</v>
      </c>
      <c r="C9440" s="15" t="n">
        <v>0.0879518535497935</v>
      </c>
      <c r="D9440" s="14" t="n">
        <f aca="false">Summary!$B$5-B9440</f>
        <v>-23074.1814410519</v>
      </c>
      <c r="E9440" s="15" t="n">
        <f aca="false">B9440/Summary!$B$5-1</f>
        <v>0.230741814410519</v>
      </c>
    </row>
    <row r="9441" customFormat="false" ht="15" hidden="false" customHeight="false" outlineLevel="0" collapsed="false">
      <c r="A9441" s="0" t="n">
        <v>9440</v>
      </c>
      <c r="B9441" s="14" t="n">
        <v>109126.18593746</v>
      </c>
      <c r="C9441" s="15" t="n">
        <v>0.0689751215297735</v>
      </c>
      <c r="D9441" s="14" t="n">
        <f aca="false">Summary!$B$5-B9441</f>
        <v>-9126.1859374599</v>
      </c>
      <c r="E9441" s="15" t="n">
        <f aca="false">B9441/Summary!$B$5-1</f>
        <v>0.0912618593745991</v>
      </c>
    </row>
    <row r="9442" customFormat="false" ht="15" hidden="false" customHeight="false" outlineLevel="0" collapsed="false">
      <c r="A9442" s="0" t="n">
        <v>9441</v>
      </c>
      <c r="B9442" s="14" t="n">
        <v>105873.08647708</v>
      </c>
      <c r="C9442" s="15" t="n">
        <v>0.0778251365665601</v>
      </c>
      <c r="D9442" s="14" t="n">
        <f aca="false">Summary!$B$5-B9442</f>
        <v>-5873.08647707971</v>
      </c>
      <c r="E9442" s="15" t="n">
        <f aca="false">B9442/Summary!$B$5-1</f>
        <v>0.0587308647707971</v>
      </c>
    </row>
    <row r="9443" customFormat="false" ht="15" hidden="false" customHeight="false" outlineLevel="0" collapsed="false">
      <c r="A9443" s="0" t="n">
        <v>9442</v>
      </c>
      <c r="B9443" s="14" t="n">
        <v>94105.5627273652</v>
      </c>
      <c r="C9443" s="15" t="n">
        <v>0.126539173590415</v>
      </c>
      <c r="D9443" s="14" t="n">
        <f aca="false">Summary!$B$5-B9443</f>
        <v>5894.43727263477</v>
      </c>
      <c r="E9443" s="15" t="n">
        <f aca="false">B9443/Summary!$B$5-1</f>
        <v>-0.0589443727263477</v>
      </c>
    </row>
    <row r="9444" customFormat="false" ht="15" hidden="false" customHeight="false" outlineLevel="0" collapsed="false">
      <c r="A9444" s="0" t="n">
        <v>9443</v>
      </c>
      <c r="B9444" s="14" t="n">
        <v>117831.781677332</v>
      </c>
      <c r="C9444" s="15" t="n">
        <v>0.0876481177713305</v>
      </c>
      <c r="D9444" s="14" t="n">
        <f aca="false">Summary!$B$5-B9444</f>
        <v>-17831.7816773322</v>
      </c>
      <c r="E9444" s="15" t="n">
        <f aca="false">B9444/Summary!$B$5-1</f>
        <v>0.178317816773322</v>
      </c>
    </row>
    <row r="9445" customFormat="false" ht="15" hidden="false" customHeight="false" outlineLevel="0" collapsed="false">
      <c r="A9445" s="0" t="n">
        <v>9444</v>
      </c>
      <c r="B9445" s="14" t="n">
        <v>92432.8809319787</v>
      </c>
      <c r="C9445" s="15" t="n">
        <v>0.176409024200401</v>
      </c>
      <c r="D9445" s="14" t="n">
        <f aca="false">Summary!$B$5-B9445</f>
        <v>7567.11906802126</v>
      </c>
      <c r="E9445" s="15" t="n">
        <f aca="false">B9445/Summary!$B$5-1</f>
        <v>-0.0756711906802126</v>
      </c>
    </row>
    <row r="9446" customFormat="false" ht="15" hidden="false" customHeight="false" outlineLevel="0" collapsed="false">
      <c r="A9446" s="0" t="n">
        <v>9445</v>
      </c>
      <c r="B9446" s="14" t="n">
        <v>109328.358481019</v>
      </c>
      <c r="C9446" s="15" t="n">
        <v>0.0906407640832598</v>
      </c>
      <c r="D9446" s="14" t="n">
        <f aca="false">Summary!$B$5-B9446</f>
        <v>-9328.3584810194</v>
      </c>
      <c r="E9446" s="15" t="n">
        <f aca="false">B9446/Summary!$B$5-1</f>
        <v>0.0932835848101941</v>
      </c>
    </row>
    <row r="9447" customFormat="false" ht="15" hidden="false" customHeight="false" outlineLevel="0" collapsed="false">
      <c r="A9447" s="0" t="n">
        <v>9446</v>
      </c>
      <c r="B9447" s="14" t="n">
        <v>112495.076602177</v>
      </c>
      <c r="C9447" s="15" t="n">
        <v>0.0682204214376192</v>
      </c>
      <c r="D9447" s="14" t="n">
        <f aca="false">Summary!$B$5-B9447</f>
        <v>-12495.0766021769</v>
      </c>
      <c r="E9447" s="15" t="n">
        <f aca="false">B9447/Summary!$B$5-1</f>
        <v>0.124950766021769</v>
      </c>
    </row>
    <row r="9448" customFormat="false" ht="15" hidden="false" customHeight="false" outlineLevel="0" collapsed="false">
      <c r="A9448" s="0" t="n">
        <v>9447</v>
      </c>
      <c r="B9448" s="14" t="n">
        <v>118586.49829199</v>
      </c>
      <c r="C9448" s="15" t="n">
        <v>0.0913288640978068</v>
      </c>
      <c r="D9448" s="14" t="n">
        <f aca="false">Summary!$B$5-B9448</f>
        <v>-18586.4982919897</v>
      </c>
      <c r="E9448" s="15" t="n">
        <f aca="false">B9448/Summary!$B$5-1</f>
        <v>0.185864982919897</v>
      </c>
    </row>
    <row r="9449" customFormat="false" ht="15" hidden="false" customHeight="false" outlineLevel="0" collapsed="false">
      <c r="A9449" s="0" t="n">
        <v>9448</v>
      </c>
      <c r="B9449" s="14" t="n">
        <v>124848.306795032</v>
      </c>
      <c r="C9449" s="15" t="n">
        <v>0.11499722937321</v>
      </c>
      <c r="D9449" s="14" t="n">
        <f aca="false">Summary!$B$5-B9449</f>
        <v>-24848.3067950322</v>
      </c>
      <c r="E9449" s="15" t="n">
        <f aca="false">B9449/Summary!$B$5-1</f>
        <v>0.248483067950322</v>
      </c>
    </row>
    <row r="9450" customFormat="false" ht="15" hidden="false" customHeight="false" outlineLevel="0" collapsed="false">
      <c r="A9450" s="0" t="n">
        <v>9449</v>
      </c>
      <c r="B9450" s="14" t="n">
        <v>96663.7433710225</v>
      </c>
      <c r="C9450" s="15" t="n">
        <v>0.144279608466359</v>
      </c>
      <c r="D9450" s="14" t="n">
        <f aca="false">Summary!$B$5-B9450</f>
        <v>3336.25662897748</v>
      </c>
      <c r="E9450" s="15" t="n">
        <f aca="false">B9450/Summary!$B$5-1</f>
        <v>-0.0333625662897749</v>
      </c>
    </row>
    <row r="9451" customFormat="false" ht="15" hidden="false" customHeight="false" outlineLevel="0" collapsed="false">
      <c r="A9451" s="0" t="n">
        <v>9450</v>
      </c>
      <c r="B9451" s="14" t="n">
        <v>109065.411680854</v>
      </c>
      <c r="C9451" s="15" t="n">
        <v>0.0805721747805969</v>
      </c>
      <c r="D9451" s="14" t="n">
        <f aca="false">Summary!$B$5-B9451</f>
        <v>-9065.41168085361</v>
      </c>
      <c r="E9451" s="15" t="n">
        <f aca="false">B9451/Summary!$B$5-1</f>
        <v>0.090654116808536</v>
      </c>
    </row>
    <row r="9452" customFormat="false" ht="15" hidden="false" customHeight="false" outlineLevel="0" collapsed="false">
      <c r="A9452" s="0" t="n">
        <v>9451</v>
      </c>
      <c r="B9452" s="14" t="n">
        <v>99481.1265988743</v>
      </c>
      <c r="C9452" s="15" t="n">
        <v>0.161712286856605</v>
      </c>
      <c r="D9452" s="14" t="n">
        <f aca="false">Summary!$B$5-B9452</f>
        <v>518.873401125718</v>
      </c>
      <c r="E9452" s="15" t="n">
        <f aca="false">B9452/Summary!$B$5-1</f>
        <v>-0.00518873401125719</v>
      </c>
    </row>
    <row r="9453" customFormat="false" ht="15" hidden="false" customHeight="false" outlineLevel="0" collapsed="false">
      <c r="A9453" s="0" t="n">
        <v>9452</v>
      </c>
      <c r="B9453" s="14" t="n">
        <v>111425.053112842</v>
      </c>
      <c r="C9453" s="15" t="n">
        <v>0.097949015876743</v>
      </c>
      <c r="D9453" s="14" t="n">
        <f aca="false">Summary!$B$5-B9453</f>
        <v>-11425.0531128421</v>
      </c>
      <c r="E9453" s="15" t="n">
        <f aca="false">B9453/Summary!$B$5-1</f>
        <v>0.114250531128421</v>
      </c>
    </row>
    <row r="9454" customFormat="false" ht="15" hidden="false" customHeight="false" outlineLevel="0" collapsed="false">
      <c r="A9454" s="0" t="n">
        <v>9453</v>
      </c>
      <c r="B9454" s="14" t="n">
        <v>135600.830992103</v>
      </c>
      <c r="C9454" s="15" t="n">
        <v>0.0578554652411047</v>
      </c>
      <c r="D9454" s="14" t="n">
        <f aca="false">Summary!$B$5-B9454</f>
        <v>-35600.8309921031</v>
      </c>
      <c r="E9454" s="15" t="n">
        <f aca="false">B9454/Summary!$B$5-1</f>
        <v>0.356008309921031</v>
      </c>
    </row>
    <row r="9455" customFormat="false" ht="15" hidden="false" customHeight="false" outlineLevel="0" collapsed="false">
      <c r="A9455" s="0" t="n">
        <v>9454</v>
      </c>
      <c r="B9455" s="14" t="n">
        <v>92509.504452879</v>
      </c>
      <c r="C9455" s="15" t="n">
        <v>0.106004971350284</v>
      </c>
      <c r="D9455" s="14" t="n">
        <f aca="false">Summary!$B$5-B9455</f>
        <v>7490.49554712101</v>
      </c>
      <c r="E9455" s="15" t="n">
        <f aca="false">B9455/Summary!$B$5-1</f>
        <v>-0.0749049554712101</v>
      </c>
    </row>
    <row r="9456" customFormat="false" ht="15" hidden="false" customHeight="false" outlineLevel="0" collapsed="false">
      <c r="A9456" s="0" t="n">
        <v>9455</v>
      </c>
      <c r="B9456" s="14" t="n">
        <v>99983.2985711258</v>
      </c>
      <c r="C9456" s="15" t="n">
        <v>0.16590549727761</v>
      </c>
      <c r="D9456" s="14" t="n">
        <f aca="false">Summary!$B$5-B9456</f>
        <v>16.701428874163</v>
      </c>
      <c r="E9456" s="15" t="n">
        <f aca="false">B9456/Summary!$B$5-1</f>
        <v>-0.000167014288741663</v>
      </c>
    </row>
    <row r="9457" customFormat="false" ht="15" hidden="false" customHeight="false" outlineLevel="0" collapsed="false">
      <c r="A9457" s="0" t="n">
        <v>9456</v>
      </c>
      <c r="B9457" s="14" t="n">
        <v>92077.34392575</v>
      </c>
      <c r="C9457" s="15" t="n">
        <v>0.157769966427778</v>
      </c>
      <c r="D9457" s="14" t="n">
        <f aca="false">Summary!$B$5-B9457</f>
        <v>7922.65607424997</v>
      </c>
      <c r="E9457" s="15" t="n">
        <f aca="false">B9457/Summary!$B$5-1</f>
        <v>-0.0792265607424997</v>
      </c>
    </row>
    <row r="9458" customFormat="false" ht="15" hidden="false" customHeight="false" outlineLevel="0" collapsed="false">
      <c r="A9458" s="0" t="n">
        <v>9457</v>
      </c>
      <c r="B9458" s="14" t="n">
        <v>121091.769234623</v>
      </c>
      <c r="C9458" s="15" t="n">
        <v>0.0933393340474197</v>
      </c>
      <c r="D9458" s="14" t="n">
        <f aca="false">Summary!$B$5-B9458</f>
        <v>-21091.7692346232</v>
      </c>
      <c r="E9458" s="15" t="n">
        <f aca="false">B9458/Summary!$B$5-1</f>
        <v>0.210917692346232</v>
      </c>
    </row>
    <row r="9459" customFormat="false" ht="15" hidden="false" customHeight="false" outlineLevel="0" collapsed="false">
      <c r="A9459" s="0" t="n">
        <v>9458</v>
      </c>
      <c r="B9459" s="14" t="n">
        <v>102236.979883016</v>
      </c>
      <c r="C9459" s="15" t="n">
        <v>0.0795872357446147</v>
      </c>
      <c r="D9459" s="14" t="n">
        <f aca="false">Summary!$B$5-B9459</f>
        <v>-2236.97988301569</v>
      </c>
      <c r="E9459" s="15" t="n">
        <f aca="false">B9459/Summary!$B$5-1</f>
        <v>0.022369798830157</v>
      </c>
    </row>
    <row r="9460" customFormat="false" ht="15" hidden="false" customHeight="false" outlineLevel="0" collapsed="false">
      <c r="A9460" s="0" t="n">
        <v>9459</v>
      </c>
      <c r="B9460" s="14" t="n">
        <v>93252.0520670621</v>
      </c>
      <c r="C9460" s="15" t="n">
        <v>0.128641760823019</v>
      </c>
      <c r="D9460" s="14" t="n">
        <f aca="false">Summary!$B$5-B9460</f>
        <v>6747.94793293794</v>
      </c>
      <c r="E9460" s="15" t="n">
        <f aca="false">B9460/Summary!$B$5-1</f>
        <v>-0.0674794793293794</v>
      </c>
    </row>
    <row r="9461" customFormat="false" ht="15" hidden="false" customHeight="false" outlineLevel="0" collapsed="false">
      <c r="A9461" s="0" t="n">
        <v>9460</v>
      </c>
      <c r="B9461" s="14" t="n">
        <v>114875.9787896</v>
      </c>
      <c r="C9461" s="15" t="n">
        <v>0.0757375687962847</v>
      </c>
      <c r="D9461" s="14" t="n">
        <f aca="false">Summary!$B$5-B9461</f>
        <v>-14875.9787896</v>
      </c>
      <c r="E9461" s="15" t="n">
        <f aca="false">B9461/Summary!$B$5-1</f>
        <v>0.148759787896</v>
      </c>
    </row>
    <row r="9462" customFormat="false" ht="15" hidden="false" customHeight="false" outlineLevel="0" collapsed="false">
      <c r="A9462" s="0" t="n">
        <v>9461</v>
      </c>
      <c r="B9462" s="14" t="n">
        <v>110740.273465514</v>
      </c>
      <c r="C9462" s="15" t="n">
        <v>0.109653722888087</v>
      </c>
      <c r="D9462" s="14" t="n">
        <f aca="false">Summary!$B$5-B9462</f>
        <v>-10740.2734655144</v>
      </c>
      <c r="E9462" s="15" t="n">
        <f aca="false">B9462/Summary!$B$5-1</f>
        <v>0.107402734655144</v>
      </c>
    </row>
    <row r="9463" customFormat="false" ht="15" hidden="false" customHeight="false" outlineLevel="0" collapsed="false">
      <c r="A9463" s="0" t="n">
        <v>9462</v>
      </c>
      <c r="B9463" s="14" t="n">
        <v>117494.891836645</v>
      </c>
      <c r="C9463" s="15" t="n">
        <v>0.092194072269027</v>
      </c>
      <c r="D9463" s="14" t="n">
        <f aca="false">Summary!$B$5-B9463</f>
        <v>-17494.8918366445</v>
      </c>
      <c r="E9463" s="15" t="n">
        <f aca="false">B9463/Summary!$B$5-1</f>
        <v>0.174948918366445</v>
      </c>
    </row>
    <row r="9464" customFormat="false" ht="15" hidden="false" customHeight="false" outlineLevel="0" collapsed="false">
      <c r="A9464" s="0" t="n">
        <v>9463</v>
      </c>
      <c r="B9464" s="14" t="n">
        <v>100469.941795053</v>
      </c>
      <c r="C9464" s="15" t="n">
        <v>0.116039114514841</v>
      </c>
      <c r="D9464" s="14" t="n">
        <f aca="false">Summary!$B$5-B9464</f>
        <v>-469.941795052902</v>
      </c>
      <c r="E9464" s="15" t="n">
        <f aca="false">B9464/Summary!$B$5-1</f>
        <v>0.00469941795052908</v>
      </c>
    </row>
    <row r="9465" customFormat="false" ht="15" hidden="false" customHeight="false" outlineLevel="0" collapsed="false">
      <c r="A9465" s="0" t="n">
        <v>9464</v>
      </c>
      <c r="B9465" s="14" t="n">
        <v>96605.3359843495</v>
      </c>
      <c r="C9465" s="15" t="n">
        <v>0.10430276055406</v>
      </c>
      <c r="D9465" s="14" t="n">
        <f aca="false">Summary!$B$5-B9465</f>
        <v>3394.66401565046</v>
      </c>
      <c r="E9465" s="15" t="n">
        <f aca="false">B9465/Summary!$B$5-1</f>
        <v>-0.0339466401565046</v>
      </c>
    </row>
    <row r="9466" customFormat="false" ht="15" hidden="false" customHeight="false" outlineLevel="0" collapsed="false">
      <c r="A9466" s="0" t="n">
        <v>9465</v>
      </c>
      <c r="B9466" s="14" t="n">
        <v>94941.8170926294</v>
      </c>
      <c r="C9466" s="15" t="n">
        <v>0.12770840839934</v>
      </c>
      <c r="D9466" s="14" t="n">
        <f aca="false">Summary!$B$5-B9466</f>
        <v>5058.18290737056</v>
      </c>
      <c r="E9466" s="15" t="n">
        <f aca="false">B9466/Summary!$B$5-1</f>
        <v>-0.0505818290737056</v>
      </c>
    </row>
    <row r="9467" customFormat="false" ht="15" hidden="false" customHeight="false" outlineLevel="0" collapsed="false">
      <c r="A9467" s="0" t="n">
        <v>9466</v>
      </c>
      <c r="B9467" s="14" t="n">
        <v>105870.069116997</v>
      </c>
      <c r="C9467" s="15" t="n">
        <v>0.0805255329540633</v>
      </c>
      <c r="D9467" s="14" t="n">
        <f aca="false">Summary!$B$5-B9467</f>
        <v>-5870.0691169972</v>
      </c>
      <c r="E9467" s="15" t="n">
        <f aca="false">B9467/Summary!$B$5-1</f>
        <v>0.0587006911699719</v>
      </c>
    </row>
    <row r="9468" customFormat="false" ht="15" hidden="false" customHeight="false" outlineLevel="0" collapsed="false">
      <c r="A9468" s="0" t="n">
        <v>9467</v>
      </c>
      <c r="B9468" s="14" t="n">
        <v>111559.179958518</v>
      </c>
      <c r="C9468" s="15" t="n">
        <v>0.0709497023694905</v>
      </c>
      <c r="D9468" s="14" t="n">
        <f aca="false">Summary!$B$5-B9468</f>
        <v>-11559.1799585177</v>
      </c>
      <c r="E9468" s="15" t="n">
        <f aca="false">B9468/Summary!$B$5-1</f>
        <v>0.115591799585177</v>
      </c>
    </row>
    <row r="9469" customFormat="false" ht="15" hidden="false" customHeight="false" outlineLevel="0" collapsed="false">
      <c r="A9469" s="0" t="n">
        <v>9468</v>
      </c>
      <c r="B9469" s="14" t="n">
        <v>117198.666912243</v>
      </c>
      <c r="C9469" s="15" t="n">
        <v>0.0666803334764605</v>
      </c>
      <c r="D9469" s="14" t="n">
        <f aca="false">Summary!$B$5-B9469</f>
        <v>-17198.6669122426</v>
      </c>
      <c r="E9469" s="15" t="n">
        <f aca="false">B9469/Summary!$B$5-1</f>
        <v>0.171986669122426</v>
      </c>
    </row>
    <row r="9470" customFormat="false" ht="15" hidden="false" customHeight="false" outlineLevel="0" collapsed="false">
      <c r="A9470" s="0" t="n">
        <v>9469</v>
      </c>
      <c r="B9470" s="14" t="n">
        <v>117016.552504689</v>
      </c>
      <c r="C9470" s="15" t="n">
        <v>0.0981490261191309</v>
      </c>
      <c r="D9470" s="14" t="n">
        <f aca="false">Summary!$B$5-B9470</f>
        <v>-17016.5525046892</v>
      </c>
      <c r="E9470" s="15" t="n">
        <f aca="false">B9470/Summary!$B$5-1</f>
        <v>0.170165525046892</v>
      </c>
    </row>
    <row r="9471" customFormat="false" ht="15" hidden="false" customHeight="false" outlineLevel="0" collapsed="false">
      <c r="A9471" s="0" t="n">
        <v>9470</v>
      </c>
      <c r="B9471" s="14" t="n">
        <v>101950.332427776</v>
      </c>
      <c r="C9471" s="15" t="n">
        <v>0.115897783024735</v>
      </c>
      <c r="D9471" s="14" t="n">
        <f aca="false">Summary!$B$5-B9471</f>
        <v>-1950.3324277756</v>
      </c>
      <c r="E9471" s="15" t="n">
        <f aca="false">B9471/Summary!$B$5-1</f>
        <v>0.019503324277756</v>
      </c>
    </row>
    <row r="9472" customFormat="false" ht="15" hidden="false" customHeight="false" outlineLevel="0" collapsed="false">
      <c r="A9472" s="0" t="n">
        <v>9471</v>
      </c>
      <c r="B9472" s="14" t="n">
        <v>108947.329757271</v>
      </c>
      <c r="C9472" s="15" t="n">
        <v>0.0824156712459389</v>
      </c>
      <c r="D9472" s="14" t="n">
        <f aca="false">Summary!$B$5-B9472</f>
        <v>-8947.32975727051</v>
      </c>
      <c r="E9472" s="15" t="n">
        <f aca="false">B9472/Summary!$B$5-1</f>
        <v>0.0894732975727051</v>
      </c>
    </row>
    <row r="9473" customFormat="false" ht="15" hidden="false" customHeight="false" outlineLevel="0" collapsed="false">
      <c r="A9473" s="0" t="n">
        <v>9472</v>
      </c>
      <c r="B9473" s="14" t="n">
        <v>110584.473063302</v>
      </c>
      <c r="C9473" s="15" t="n">
        <v>0.0725236081029491</v>
      </c>
      <c r="D9473" s="14" t="n">
        <f aca="false">Summary!$B$5-B9473</f>
        <v>-10584.4730633022</v>
      </c>
      <c r="E9473" s="15" t="n">
        <f aca="false">B9473/Summary!$B$5-1</f>
        <v>0.105844730633022</v>
      </c>
    </row>
    <row r="9474" customFormat="false" ht="15" hidden="false" customHeight="false" outlineLevel="0" collapsed="false">
      <c r="A9474" s="0" t="n">
        <v>9473</v>
      </c>
      <c r="B9474" s="14" t="n">
        <v>127231.36919757</v>
      </c>
      <c r="C9474" s="15" t="n">
        <v>0.0595929486277563</v>
      </c>
      <c r="D9474" s="14" t="n">
        <f aca="false">Summary!$B$5-B9474</f>
        <v>-27231.3691975704</v>
      </c>
      <c r="E9474" s="15" t="n">
        <f aca="false">B9474/Summary!$B$5-1</f>
        <v>0.272313691975704</v>
      </c>
    </row>
    <row r="9475" customFormat="false" ht="15" hidden="false" customHeight="false" outlineLevel="0" collapsed="false">
      <c r="A9475" s="0" t="n">
        <v>9474</v>
      </c>
      <c r="B9475" s="14" t="n">
        <v>98337.4773958877</v>
      </c>
      <c r="C9475" s="15" t="n">
        <v>0.131306798644345</v>
      </c>
      <c r="D9475" s="14" t="n">
        <f aca="false">Summary!$B$5-B9475</f>
        <v>1662.52260411231</v>
      </c>
      <c r="E9475" s="15" t="n">
        <f aca="false">B9475/Summary!$B$5-1</f>
        <v>-0.016625226041123</v>
      </c>
    </row>
    <row r="9476" customFormat="false" ht="15" hidden="false" customHeight="false" outlineLevel="0" collapsed="false">
      <c r="A9476" s="0" t="n">
        <v>9475</v>
      </c>
      <c r="B9476" s="14" t="n">
        <v>100813.145088259</v>
      </c>
      <c r="C9476" s="15" t="n">
        <v>0.1013612317392</v>
      </c>
      <c r="D9476" s="14" t="n">
        <f aca="false">Summary!$B$5-B9476</f>
        <v>-813.145088258796</v>
      </c>
      <c r="E9476" s="15" t="n">
        <f aca="false">B9476/Summary!$B$5-1</f>
        <v>0.00813145088258804</v>
      </c>
    </row>
    <row r="9477" customFormat="false" ht="15" hidden="false" customHeight="false" outlineLevel="0" collapsed="false">
      <c r="A9477" s="0" t="n">
        <v>9476</v>
      </c>
      <c r="B9477" s="14" t="n">
        <v>97562.9541485615</v>
      </c>
      <c r="C9477" s="15" t="n">
        <v>0.0999115287116011</v>
      </c>
      <c r="D9477" s="14" t="n">
        <f aca="false">Summary!$B$5-B9477</f>
        <v>2437.04585143851</v>
      </c>
      <c r="E9477" s="15" t="n">
        <f aca="false">B9477/Summary!$B$5-1</f>
        <v>-0.0243704585143851</v>
      </c>
    </row>
    <row r="9478" customFormat="false" ht="15" hidden="false" customHeight="false" outlineLevel="0" collapsed="false">
      <c r="A9478" s="0" t="n">
        <v>9477</v>
      </c>
      <c r="B9478" s="14" t="n">
        <v>126889.488844961</v>
      </c>
      <c r="C9478" s="15" t="n">
        <v>0.0842382024222931</v>
      </c>
      <c r="D9478" s="14" t="n">
        <f aca="false">Summary!$B$5-B9478</f>
        <v>-26889.4888449609</v>
      </c>
      <c r="E9478" s="15" t="n">
        <f aca="false">B9478/Summary!$B$5-1</f>
        <v>0.268894888449609</v>
      </c>
    </row>
    <row r="9479" customFormat="false" ht="15" hidden="false" customHeight="false" outlineLevel="0" collapsed="false">
      <c r="A9479" s="0" t="n">
        <v>9478</v>
      </c>
      <c r="B9479" s="14" t="n">
        <v>108934.116557531</v>
      </c>
      <c r="C9479" s="15" t="n">
        <v>0.111073015518442</v>
      </c>
      <c r="D9479" s="14" t="n">
        <f aca="false">Summary!$B$5-B9479</f>
        <v>-8934.1165575311</v>
      </c>
      <c r="E9479" s="15" t="n">
        <f aca="false">B9479/Summary!$B$5-1</f>
        <v>0.0893411655753111</v>
      </c>
    </row>
    <row r="9480" customFormat="false" ht="15" hidden="false" customHeight="false" outlineLevel="0" collapsed="false">
      <c r="A9480" s="0" t="n">
        <v>9479</v>
      </c>
      <c r="B9480" s="14" t="n">
        <v>114126.815474539</v>
      </c>
      <c r="C9480" s="15" t="n">
        <v>0.0660224343577429</v>
      </c>
      <c r="D9480" s="14" t="n">
        <f aca="false">Summary!$B$5-B9480</f>
        <v>-14126.8154745391</v>
      </c>
      <c r="E9480" s="15" t="n">
        <f aca="false">B9480/Summary!$B$5-1</f>
        <v>0.141268154745391</v>
      </c>
    </row>
    <row r="9481" customFormat="false" ht="15" hidden="false" customHeight="false" outlineLevel="0" collapsed="false">
      <c r="A9481" s="0" t="n">
        <v>9480</v>
      </c>
      <c r="B9481" s="14" t="n">
        <v>87217.3933170958</v>
      </c>
      <c r="C9481" s="15" t="n">
        <v>0.128026865386272</v>
      </c>
      <c r="D9481" s="14" t="n">
        <f aca="false">Summary!$B$5-B9481</f>
        <v>12782.6066829042</v>
      </c>
      <c r="E9481" s="15" t="n">
        <f aca="false">B9481/Summary!$B$5-1</f>
        <v>-0.127826066829042</v>
      </c>
    </row>
    <row r="9482" customFormat="false" ht="15" hidden="false" customHeight="false" outlineLevel="0" collapsed="false">
      <c r="A9482" s="0" t="n">
        <v>9481</v>
      </c>
      <c r="B9482" s="14" t="n">
        <v>108732.975719566</v>
      </c>
      <c r="C9482" s="15" t="n">
        <v>0.0555072933387021</v>
      </c>
      <c r="D9482" s="14" t="n">
        <f aca="false">Summary!$B$5-B9482</f>
        <v>-8732.9757195658</v>
      </c>
      <c r="E9482" s="15" t="n">
        <f aca="false">B9482/Summary!$B$5-1</f>
        <v>0.0873297571956579</v>
      </c>
    </row>
    <row r="9483" customFormat="false" ht="15" hidden="false" customHeight="false" outlineLevel="0" collapsed="false">
      <c r="A9483" s="0" t="n">
        <v>9482</v>
      </c>
      <c r="B9483" s="14" t="n">
        <v>91756.8311146758</v>
      </c>
      <c r="C9483" s="15" t="n">
        <v>0.127912794595326</v>
      </c>
      <c r="D9483" s="14" t="n">
        <f aca="false">Summary!$B$5-B9483</f>
        <v>8243.16888532417</v>
      </c>
      <c r="E9483" s="15" t="n">
        <f aca="false">B9483/Summary!$B$5-1</f>
        <v>-0.0824316888532417</v>
      </c>
    </row>
    <row r="9484" customFormat="false" ht="15" hidden="false" customHeight="false" outlineLevel="0" collapsed="false">
      <c r="A9484" s="0" t="n">
        <v>9483</v>
      </c>
      <c r="B9484" s="14" t="n">
        <v>83249.3835857144</v>
      </c>
      <c r="C9484" s="15" t="n">
        <v>0.18890966175295</v>
      </c>
      <c r="D9484" s="14" t="n">
        <f aca="false">Summary!$B$5-B9484</f>
        <v>16750.6164142856</v>
      </c>
      <c r="E9484" s="15" t="n">
        <f aca="false">B9484/Summary!$B$5-1</f>
        <v>-0.167506164142856</v>
      </c>
    </row>
    <row r="9485" customFormat="false" ht="15" hidden="false" customHeight="false" outlineLevel="0" collapsed="false">
      <c r="A9485" s="0" t="n">
        <v>9484</v>
      </c>
      <c r="B9485" s="14" t="n">
        <v>115745.105222809</v>
      </c>
      <c r="C9485" s="15" t="n">
        <v>0.057909626461933</v>
      </c>
      <c r="D9485" s="14" t="n">
        <f aca="false">Summary!$B$5-B9485</f>
        <v>-15745.1052228092</v>
      </c>
      <c r="E9485" s="15" t="n">
        <f aca="false">B9485/Summary!$B$5-1</f>
        <v>0.157451052228092</v>
      </c>
    </row>
    <row r="9486" customFormat="false" ht="15" hidden="false" customHeight="false" outlineLevel="0" collapsed="false">
      <c r="A9486" s="0" t="n">
        <v>9485</v>
      </c>
      <c r="B9486" s="14" t="n">
        <v>123256.029216587</v>
      </c>
      <c r="C9486" s="15" t="n">
        <v>0.094628595791238</v>
      </c>
      <c r="D9486" s="14" t="n">
        <f aca="false">Summary!$B$5-B9486</f>
        <v>-23256.0292165874</v>
      </c>
      <c r="E9486" s="15" t="n">
        <f aca="false">B9486/Summary!$B$5-1</f>
        <v>0.232560292165874</v>
      </c>
    </row>
    <row r="9487" customFormat="false" ht="15" hidden="false" customHeight="false" outlineLevel="0" collapsed="false">
      <c r="A9487" s="0" t="n">
        <v>9486</v>
      </c>
      <c r="B9487" s="14" t="n">
        <v>135200.654028437</v>
      </c>
      <c r="C9487" s="15" t="n">
        <v>0.0394739869946567</v>
      </c>
      <c r="D9487" s="14" t="n">
        <f aca="false">Summary!$B$5-B9487</f>
        <v>-35200.654028437</v>
      </c>
      <c r="E9487" s="15" t="n">
        <f aca="false">B9487/Summary!$B$5-1</f>
        <v>0.35200654028437</v>
      </c>
    </row>
    <row r="9488" customFormat="false" ht="15" hidden="false" customHeight="false" outlineLevel="0" collapsed="false">
      <c r="A9488" s="0" t="n">
        <v>9487</v>
      </c>
      <c r="B9488" s="14" t="n">
        <v>105630.951609405</v>
      </c>
      <c r="C9488" s="15" t="n">
        <v>0.0986929516743739</v>
      </c>
      <c r="D9488" s="14" t="n">
        <f aca="false">Summary!$B$5-B9488</f>
        <v>-5630.9516094049</v>
      </c>
      <c r="E9488" s="15" t="n">
        <f aca="false">B9488/Summary!$B$5-1</f>
        <v>0.056309516094049</v>
      </c>
    </row>
    <row r="9489" customFormat="false" ht="15" hidden="false" customHeight="false" outlineLevel="0" collapsed="false">
      <c r="A9489" s="0" t="n">
        <v>9488</v>
      </c>
      <c r="B9489" s="14" t="n">
        <v>117461.144531622</v>
      </c>
      <c r="C9489" s="15" t="n">
        <v>0.0683493605727089</v>
      </c>
      <c r="D9489" s="14" t="n">
        <f aca="false">Summary!$B$5-B9489</f>
        <v>-17461.1445316215</v>
      </c>
      <c r="E9489" s="15" t="n">
        <f aca="false">B9489/Summary!$B$5-1</f>
        <v>0.174611445316215</v>
      </c>
    </row>
    <row r="9490" customFormat="false" ht="15" hidden="false" customHeight="false" outlineLevel="0" collapsed="false">
      <c r="A9490" s="0" t="n">
        <v>9489</v>
      </c>
      <c r="B9490" s="14" t="n">
        <v>96785.1958721601</v>
      </c>
      <c r="C9490" s="15" t="n">
        <v>0.0804087693456494</v>
      </c>
      <c r="D9490" s="14" t="n">
        <f aca="false">Summary!$B$5-B9490</f>
        <v>3214.80412783992</v>
      </c>
      <c r="E9490" s="15" t="n">
        <f aca="false">B9490/Summary!$B$5-1</f>
        <v>-0.0321480412783992</v>
      </c>
    </row>
    <row r="9491" customFormat="false" ht="15" hidden="false" customHeight="false" outlineLevel="0" collapsed="false">
      <c r="A9491" s="0" t="n">
        <v>9490</v>
      </c>
      <c r="B9491" s="14" t="n">
        <v>90973.1301856752</v>
      </c>
      <c r="C9491" s="15" t="n">
        <v>0.137707000473605</v>
      </c>
      <c r="D9491" s="14" t="n">
        <f aca="false">Summary!$B$5-B9491</f>
        <v>9026.8698143248</v>
      </c>
      <c r="E9491" s="15" t="n">
        <f aca="false">B9491/Summary!$B$5-1</f>
        <v>-0.090268698143248</v>
      </c>
    </row>
    <row r="9492" customFormat="false" ht="15" hidden="false" customHeight="false" outlineLevel="0" collapsed="false">
      <c r="A9492" s="0" t="n">
        <v>9491</v>
      </c>
      <c r="B9492" s="14" t="n">
        <v>112911.700982061</v>
      </c>
      <c r="C9492" s="15" t="n">
        <v>0.0932976725700295</v>
      </c>
      <c r="D9492" s="14" t="n">
        <f aca="false">Summary!$B$5-B9492</f>
        <v>-12911.7009820607</v>
      </c>
      <c r="E9492" s="15" t="n">
        <f aca="false">B9492/Summary!$B$5-1</f>
        <v>0.129117009820607</v>
      </c>
    </row>
    <row r="9493" customFormat="false" ht="15" hidden="false" customHeight="false" outlineLevel="0" collapsed="false">
      <c r="A9493" s="0" t="n">
        <v>9492</v>
      </c>
      <c r="B9493" s="14" t="n">
        <v>101306.467598241</v>
      </c>
      <c r="C9493" s="15" t="n">
        <v>0.0803035704954559</v>
      </c>
      <c r="D9493" s="14" t="n">
        <f aca="false">Summary!$B$5-B9493</f>
        <v>-1306.4675982406</v>
      </c>
      <c r="E9493" s="15" t="n">
        <f aca="false">B9493/Summary!$B$5-1</f>
        <v>0.013064675982406</v>
      </c>
    </row>
    <row r="9494" customFormat="false" ht="15" hidden="false" customHeight="false" outlineLevel="0" collapsed="false">
      <c r="A9494" s="0" t="n">
        <v>9493</v>
      </c>
      <c r="B9494" s="14" t="n">
        <v>94854.385136987</v>
      </c>
      <c r="C9494" s="15" t="n">
        <v>0.209923486949857</v>
      </c>
      <c r="D9494" s="14" t="n">
        <f aca="false">Summary!$B$5-B9494</f>
        <v>5145.61486301301</v>
      </c>
      <c r="E9494" s="15" t="n">
        <f aca="false">B9494/Summary!$B$5-1</f>
        <v>-0.05145614863013</v>
      </c>
    </row>
    <row r="9495" customFormat="false" ht="15" hidden="false" customHeight="false" outlineLevel="0" collapsed="false">
      <c r="A9495" s="0" t="n">
        <v>9494</v>
      </c>
      <c r="B9495" s="14" t="n">
        <v>95058.6523709966</v>
      </c>
      <c r="C9495" s="15" t="n">
        <v>0.123017375155605</v>
      </c>
      <c r="D9495" s="14" t="n">
        <f aca="false">Summary!$B$5-B9495</f>
        <v>4941.34762900343</v>
      </c>
      <c r="E9495" s="15" t="n">
        <f aca="false">B9495/Summary!$B$5-1</f>
        <v>-0.0494134762900343</v>
      </c>
    </row>
    <row r="9496" customFormat="false" ht="15" hidden="false" customHeight="false" outlineLevel="0" collapsed="false">
      <c r="A9496" s="0" t="n">
        <v>9495</v>
      </c>
      <c r="B9496" s="14" t="n">
        <v>116527.275620366</v>
      </c>
      <c r="C9496" s="15" t="n">
        <v>0.0600237485819909</v>
      </c>
      <c r="D9496" s="14" t="n">
        <f aca="false">Summary!$B$5-B9496</f>
        <v>-16527.275620366</v>
      </c>
      <c r="E9496" s="15" t="n">
        <f aca="false">B9496/Summary!$B$5-1</f>
        <v>0.16527275620366</v>
      </c>
    </row>
    <row r="9497" customFormat="false" ht="15" hidden="false" customHeight="false" outlineLevel="0" collapsed="false">
      <c r="A9497" s="0" t="n">
        <v>9496</v>
      </c>
      <c r="B9497" s="14" t="n">
        <v>91373.6307133355</v>
      </c>
      <c r="C9497" s="15" t="n">
        <v>0.148250202547488</v>
      </c>
      <c r="D9497" s="14" t="n">
        <f aca="false">Summary!$B$5-B9497</f>
        <v>8626.36928666453</v>
      </c>
      <c r="E9497" s="15" t="n">
        <f aca="false">B9497/Summary!$B$5-1</f>
        <v>-0.0862636928666453</v>
      </c>
    </row>
    <row r="9498" customFormat="false" ht="15" hidden="false" customHeight="false" outlineLevel="0" collapsed="false">
      <c r="A9498" s="0" t="n">
        <v>9497</v>
      </c>
      <c r="B9498" s="14" t="n">
        <v>93839.738948147</v>
      </c>
      <c r="C9498" s="15" t="n">
        <v>0.145803600413949</v>
      </c>
      <c r="D9498" s="14" t="n">
        <f aca="false">Summary!$B$5-B9498</f>
        <v>6160.26105185298</v>
      </c>
      <c r="E9498" s="15" t="n">
        <f aca="false">B9498/Summary!$B$5-1</f>
        <v>-0.0616026105185299</v>
      </c>
    </row>
    <row r="9499" customFormat="false" ht="15" hidden="false" customHeight="false" outlineLevel="0" collapsed="false">
      <c r="A9499" s="0" t="n">
        <v>9498</v>
      </c>
      <c r="B9499" s="14" t="n">
        <v>86348.360026096</v>
      </c>
      <c r="C9499" s="15" t="n">
        <v>0.165437018516131</v>
      </c>
      <c r="D9499" s="14" t="n">
        <f aca="false">Summary!$B$5-B9499</f>
        <v>13651.639973904</v>
      </c>
      <c r="E9499" s="15" t="n">
        <f aca="false">B9499/Summary!$B$5-1</f>
        <v>-0.13651639973904</v>
      </c>
    </row>
    <row r="9500" customFormat="false" ht="15" hidden="false" customHeight="false" outlineLevel="0" collapsed="false">
      <c r="A9500" s="0" t="n">
        <v>9499</v>
      </c>
      <c r="B9500" s="14" t="n">
        <v>113512.242648726</v>
      </c>
      <c r="C9500" s="15" t="n">
        <v>0.100163457917837</v>
      </c>
      <c r="D9500" s="14" t="n">
        <f aca="false">Summary!$B$5-B9500</f>
        <v>-13512.242648726</v>
      </c>
      <c r="E9500" s="15" t="n">
        <f aca="false">B9500/Summary!$B$5-1</f>
        <v>0.13512242648726</v>
      </c>
    </row>
    <row r="9501" customFormat="false" ht="15" hidden="false" customHeight="false" outlineLevel="0" collapsed="false">
      <c r="A9501" s="0" t="n">
        <v>9500</v>
      </c>
      <c r="B9501" s="14" t="n">
        <v>99400.1703329827</v>
      </c>
      <c r="C9501" s="15" t="n">
        <v>0.130973629738702</v>
      </c>
      <c r="D9501" s="14" t="n">
        <f aca="false">Summary!$B$5-B9501</f>
        <v>599.829667017271</v>
      </c>
      <c r="E9501" s="15" t="n">
        <f aca="false">B9501/Summary!$B$5-1</f>
        <v>-0.00599829667017271</v>
      </c>
    </row>
    <row r="9502" customFormat="false" ht="15" hidden="false" customHeight="false" outlineLevel="0" collapsed="false">
      <c r="A9502" s="0" t="n">
        <v>9501</v>
      </c>
      <c r="B9502" s="14" t="n">
        <v>83433.4535678701</v>
      </c>
      <c r="C9502" s="15" t="n">
        <v>0.201203110578629</v>
      </c>
      <c r="D9502" s="14" t="n">
        <f aca="false">Summary!$B$5-B9502</f>
        <v>16566.5464321299</v>
      </c>
      <c r="E9502" s="15" t="n">
        <f aca="false">B9502/Summary!$B$5-1</f>
        <v>-0.165665464321299</v>
      </c>
    </row>
    <row r="9503" customFormat="false" ht="15" hidden="false" customHeight="false" outlineLevel="0" collapsed="false">
      <c r="A9503" s="0" t="n">
        <v>9502</v>
      </c>
      <c r="B9503" s="14" t="n">
        <v>102131.861349353</v>
      </c>
      <c r="C9503" s="15" t="n">
        <v>0.0700039604738956</v>
      </c>
      <c r="D9503" s="14" t="n">
        <f aca="false">Summary!$B$5-B9503</f>
        <v>-2131.8613493528</v>
      </c>
      <c r="E9503" s="15" t="n">
        <f aca="false">B9503/Summary!$B$5-1</f>
        <v>0.0213186134935279</v>
      </c>
    </row>
    <row r="9504" customFormat="false" ht="15" hidden="false" customHeight="false" outlineLevel="0" collapsed="false">
      <c r="A9504" s="0" t="n">
        <v>9503</v>
      </c>
      <c r="B9504" s="14" t="n">
        <v>105765.250201842</v>
      </c>
      <c r="C9504" s="15" t="n">
        <v>0.0928112421104049</v>
      </c>
      <c r="D9504" s="14" t="n">
        <f aca="false">Summary!$B$5-B9504</f>
        <v>-5765.2502018419</v>
      </c>
      <c r="E9504" s="15" t="n">
        <f aca="false">B9504/Summary!$B$5-1</f>
        <v>0.0576525020184191</v>
      </c>
    </row>
    <row r="9505" customFormat="false" ht="15" hidden="false" customHeight="false" outlineLevel="0" collapsed="false">
      <c r="A9505" s="0" t="n">
        <v>9504</v>
      </c>
      <c r="B9505" s="14" t="n">
        <v>136445.361123721</v>
      </c>
      <c r="C9505" s="15" t="n">
        <v>0.0620037761513468</v>
      </c>
      <c r="D9505" s="14" t="n">
        <f aca="false">Summary!$B$5-B9505</f>
        <v>-36445.3611237206</v>
      </c>
      <c r="E9505" s="15" t="n">
        <f aca="false">B9505/Summary!$B$5-1</f>
        <v>0.364453611237206</v>
      </c>
    </row>
    <row r="9506" customFormat="false" ht="15" hidden="false" customHeight="false" outlineLevel="0" collapsed="false">
      <c r="A9506" s="0" t="n">
        <v>9505</v>
      </c>
      <c r="B9506" s="14" t="n">
        <v>95632.7776303352</v>
      </c>
      <c r="C9506" s="15" t="n">
        <v>0.124360417560476</v>
      </c>
      <c r="D9506" s="14" t="n">
        <f aca="false">Summary!$B$5-B9506</f>
        <v>4367.22236966484</v>
      </c>
      <c r="E9506" s="15" t="n">
        <f aca="false">B9506/Summary!$B$5-1</f>
        <v>-0.0436722236966485</v>
      </c>
    </row>
    <row r="9507" customFormat="false" ht="15" hidden="false" customHeight="false" outlineLevel="0" collapsed="false">
      <c r="A9507" s="0" t="n">
        <v>9506</v>
      </c>
      <c r="B9507" s="14" t="n">
        <v>130415.959471909</v>
      </c>
      <c r="C9507" s="15" t="n">
        <v>0.0592431853834197</v>
      </c>
      <c r="D9507" s="14" t="n">
        <f aca="false">Summary!$B$5-B9507</f>
        <v>-30415.9594719091</v>
      </c>
      <c r="E9507" s="15" t="n">
        <f aca="false">B9507/Summary!$B$5-1</f>
        <v>0.304159594719091</v>
      </c>
    </row>
    <row r="9508" customFormat="false" ht="15" hidden="false" customHeight="false" outlineLevel="0" collapsed="false">
      <c r="A9508" s="0" t="n">
        <v>9507</v>
      </c>
      <c r="B9508" s="14" t="n">
        <v>112218.133665418</v>
      </c>
      <c r="C9508" s="15" t="n">
        <v>0.0800224399833965</v>
      </c>
      <c r="D9508" s="14" t="n">
        <f aca="false">Summary!$B$5-B9508</f>
        <v>-12218.1336654176</v>
      </c>
      <c r="E9508" s="15" t="n">
        <f aca="false">B9508/Summary!$B$5-1</f>
        <v>0.122181336654176</v>
      </c>
    </row>
    <row r="9509" customFormat="false" ht="15" hidden="false" customHeight="false" outlineLevel="0" collapsed="false">
      <c r="A9509" s="0" t="n">
        <v>9508</v>
      </c>
      <c r="B9509" s="14" t="n">
        <v>105007.482728003</v>
      </c>
      <c r="C9509" s="15" t="n">
        <v>0.109752351012332</v>
      </c>
      <c r="D9509" s="14" t="n">
        <f aca="false">Summary!$B$5-B9509</f>
        <v>-5007.4827280028</v>
      </c>
      <c r="E9509" s="15" t="n">
        <f aca="false">B9509/Summary!$B$5-1</f>
        <v>0.050074827280028</v>
      </c>
    </row>
    <row r="9510" customFormat="false" ht="15" hidden="false" customHeight="false" outlineLevel="0" collapsed="false">
      <c r="A9510" s="0" t="n">
        <v>9509</v>
      </c>
      <c r="B9510" s="14" t="n">
        <v>100754.679457961</v>
      </c>
      <c r="C9510" s="15" t="n">
        <v>0.0927098856866453</v>
      </c>
      <c r="D9510" s="14" t="n">
        <f aca="false">Summary!$B$5-B9510</f>
        <v>-754.679457961</v>
      </c>
      <c r="E9510" s="15" t="n">
        <f aca="false">B9510/Summary!$B$5-1</f>
        <v>0.00754679457960994</v>
      </c>
    </row>
    <row r="9511" customFormat="false" ht="15" hidden="false" customHeight="false" outlineLevel="0" collapsed="false">
      <c r="A9511" s="0" t="n">
        <v>9510</v>
      </c>
      <c r="B9511" s="14" t="n">
        <v>115990.453220054</v>
      </c>
      <c r="C9511" s="15" t="n">
        <v>0.0655637319665855</v>
      </c>
      <c r="D9511" s="14" t="n">
        <f aca="false">Summary!$B$5-B9511</f>
        <v>-15990.4532200544</v>
      </c>
      <c r="E9511" s="15" t="n">
        <f aca="false">B9511/Summary!$B$5-1</f>
        <v>0.159904532200544</v>
      </c>
    </row>
    <row r="9512" customFormat="false" ht="15" hidden="false" customHeight="false" outlineLevel="0" collapsed="false">
      <c r="A9512" s="0" t="n">
        <v>9511</v>
      </c>
      <c r="B9512" s="14" t="n">
        <v>142322.231476262</v>
      </c>
      <c r="C9512" s="15" t="n">
        <v>0.0488998182729056</v>
      </c>
      <c r="D9512" s="14" t="n">
        <f aca="false">Summary!$B$5-B9512</f>
        <v>-42322.2314762617</v>
      </c>
      <c r="E9512" s="15" t="n">
        <f aca="false">B9512/Summary!$B$5-1</f>
        <v>0.423222314762617</v>
      </c>
    </row>
    <row r="9513" customFormat="false" ht="15" hidden="false" customHeight="false" outlineLevel="0" collapsed="false">
      <c r="A9513" s="0" t="n">
        <v>9512</v>
      </c>
      <c r="B9513" s="14" t="n">
        <v>118826.306376537</v>
      </c>
      <c r="C9513" s="15" t="n">
        <v>0.0917143870428109</v>
      </c>
      <c r="D9513" s="14" t="n">
        <f aca="false">Summary!$B$5-B9513</f>
        <v>-18826.3063765366</v>
      </c>
      <c r="E9513" s="15" t="n">
        <f aca="false">B9513/Summary!$B$5-1</f>
        <v>0.188263063765366</v>
      </c>
    </row>
    <row r="9514" customFormat="false" ht="15" hidden="false" customHeight="false" outlineLevel="0" collapsed="false">
      <c r="A9514" s="0" t="n">
        <v>9513</v>
      </c>
      <c r="B9514" s="14" t="n">
        <v>118640.744017527</v>
      </c>
      <c r="C9514" s="15" t="n">
        <v>0.0716103481189877</v>
      </c>
      <c r="D9514" s="14" t="n">
        <f aca="false">Summary!$B$5-B9514</f>
        <v>-18640.7440175265</v>
      </c>
      <c r="E9514" s="15" t="n">
        <f aca="false">B9514/Summary!$B$5-1</f>
        <v>0.186407440175265</v>
      </c>
    </row>
    <row r="9515" customFormat="false" ht="15" hidden="false" customHeight="false" outlineLevel="0" collapsed="false">
      <c r="A9515" s="0" t="n">
        <v>9514</v>
      </c>
      <c r="B9515" s="14" t="n">
        <v>128546.126418866</v>
      </c>
      <c r="C9515" s="15" t="n">
        <v>0.0520487687571344</v>
      </c>
      <c r="D9515" s="14" t="n">
        <f aca="false">Summary!$B$5-B9515</f>
        <v>-28546.1264188657</v>
      </c>
      <c r="E9515" s="15" t="n">
        <f aca="false">B9515/Summary!$B$5-1</f>
        <v>0.285461264188657</v>
      </c>
    </row>
    <row r="9516" customFormat="false" ht="15" hidden="false" customHeight="false" outlineLevel="0" collapsed="false">
      <c r="A9516" s="0" t="n">
        <v>9515</v>
      </c>
      <c r="B9516" s="14" t="n">
        <v>92686.3203864178</v>
      </c>
      <c r="C9516" s="15" t="n">
        <v>0.173621708643216</v>
      </c>
      <c r="D9516" s="14" t="n">
        <f aca="false">Summary!$B$5-B9516</f>
        <v>7313.67961358218</v>
      </c>
      <c r="E9516" s="15" t="n">
        <f aca="false">B9516/Summary!$B$5-1</f>
        <v>-0.0731367961358218</v>
      </c>
    </row>
    <row r="9517" customFormat="false" ht="15" hidden="false" customHeight="false" outlineLevel="0" collapsed="false">
      <c r="A9517" s="0" t="n">
        <v>9516</v>
      </c>
      <c r="B9517" s="14" t="n">
        <v>121094.898882557</v>
      </c>
      <c r="C9517" s="15" t="n">
        <v>0.0794493448045124</v>
      </c>
      <c r="D9517" s="14" t="n">
        <f aca="false">Summary!$B$5-B9517</f>
        <v>-21094.898882557</v>
      </c>
      <c r="E9517" s="15" t="n">
        <f aca="false">B9517/Summary!$B$5-1</f>
        <v>0.21094898882557</v>
      </c>
    </row>
    <row r="9518" customFormat="false" ht="15" hidden="false" customHeight="false" outlineLevel="0" collapsed="false">
      <c r="A9518" s="0" t="n">
        <v>9517</v>
      </c>
      <c r="B9518" s="14" t="n">
        <v>119577.931581141</v>
      </c>
      <c r="C9518" s="15" t="n">
        <v>0.0527380631668123</v>
      </c>
      <c r="D9518" s="14" t="n">
        <f aca="false">Summary!$B$5-B9518</f>
        <v>-19577.9315811414</v>
      </c>
      <c r="E9518" s="15" t="n">
        <f aca="false">B9518/Summary!$B$5-1</f>
        <v>0.195779315811414</v>
      </c>
    </row>
    <row r="9519" customFormat="false" ht="15" hidden="false" customHeight="false" outlineLevel="0" collapsed="false">
      <c r="A9519" s="0" t="n">
        <v>9518</v>
      </c>
      <c r="B9519" s="14" t="n">
        <v>127125.747566645</v>
      </c>
      <c r="C9519" s="15" t="n">
        <v>0.0784028113988485</v>
      </c>
      <c r="D9519" s="14" t="n">
        <f aca="false">Summary!$B$5-B9519</f>
        <v>-27125.7475666453</v>
      </c>
      <c r="E9519" s="15" t="n">
        <f aca="false">B9519/Summary!$B$5-1</f>
        <v>0.271257475666453</v>
      </c>
    </row>
    <row r="9520" customFormat="false" ht="15" hidden="false" customHeight="false" outlineLevel="0" collapsed="false">
      <c r="A9520" s="0" t="n">
        <v>9519</v>
      </c>
      <c r="B9520" s="14" t="n">
        <v>109364.104920077</v>
      </c>
      <c r="C9520" s="15" t="n">
        <v>0.0849459475253301</v>
      </c>
      <c r="D9520" s="14" t="n">
        <f aca="false">Summary!$B$5-B9520</f>
        <v>-9364.10492007701</v>
      </c>
      <c r="E9520" s="15" t="n">
        <f aca="false">B9520/Summary!$B$5-1</f>
        <v>0.09364104920077</v>
      </c>
    </row>
    <row r="9521" customFormat="false" ht="15" hidden="false" customHeight="false" outlineLevel="0" collapsed="false">
      <c r="A9521" s="0" t="n">
        <v>9520</v>
      </c>
      <c r="B9521" s="14" t="n">
        <v>90377.4024077542</v>
      </c>
      <c r="C9521" s="15" t="n">
        <v>0.15840189203575</v>
      </c>
      <c r="D9521" s="14" t="n">
        <f aca="false">Summary!$B$5-B9521</f>
        <v>9622.59759224582</v>
      </c>
      <c r="E9521" s="15" t="n">
        <f aca="false">B9521/Summary!$B$5-1</f>
        <v>-0.0962259759224582</v>
      </c>
    </row>
    <row r="9522" customFormat="false" ht="15" hidden="false" customHeight="false" outlineLevel="0" collapsed="false">
      <c r="A9522" s="0" t="n">
        <v>9521</v>
      </c>
      <c r="B9522" s="14" t="n">
        <v>111172.024173192</v>
      </c>
      <c r="C9522" s="15" t="n">
        <v>0.15596289659833</v>
      </c>
      <c r="D9522" s="14" t="n">
        <f aca="false">Summary!$B$5-B9522</f>
        <v>-11172.0241731922</v>
      </c>
      <c r="E9522" s="15" t="n">
        <f aca="false">B9522/Summary!$B$5-1</f>
        <v>0.111720241731922</v>
      </c>
    </row>
    <row r="9523" customFormat="false" ht="15" hidden="false" customHeight="false" outlineLevel="0" collapsed="false">
      <c r="A9523" s="0" t="n">
        <v>9522</v>
      </c>
      <c r="B9523" s="14" t="n">
        <v>94915.9225931352</v>
      </c>
      <c r="C9523" s="15" t="n">
        <v>0.103522355820748</v>
      </c>
      <c r="D9523" s="14" t="n">
        <f aca="false">Summary!$B$5-B9523</f>
        <v>5084.07740686477</v>
      </c>
      <c r="E9523" s="15" t="n">
        <f aca="false">B9523/Summary!$B$5-1</f>
        <v>-0.0508407740686477</v>
      </c>
    </row>
    <row r="9524" customFormat="false" ht="15" hidden="false" customHeight="false" outlineLevel="0" collapsed="false">
      <c r="A9524" s="0" t="n">
        <v>9523</v>
      </c>
      <c r="B9524" s="14" t="n">
        <v>118151.394953633</v>
      </c>
      <c r="C9524" s="15" t="n">
        <v>0.0659524212660066</v>
      </c>
      <c r="D9524" s="14" t="n">
        <f aca="false">Summary!$B$5-B9524</f>
        <v>-18151.3949536326</v>
      </c>
      <c r="E9524" s="15" t="n">
        <f aca="false">B9524/Summary!$B$5-1</f>
        <v>0.181513949536326</v>
      </c>
    </row>
    <row r="9525" customFormat="false" ht="15" hidden="false" customHeight="false" outlineLevel="0" collapsed="false">
      <c r="A9525" s="0" t="n">
        <v>9524</v>
      </c>
      <c r="B9525" s="14" t="n">
        <v>91673.1637208554</v>
      </c>
      <c r="C9525" s="15" t="n">
        <v>0.130533286336142</v>
      </c>
      <c r="D9525" s="14" t="n">
        <f aca="false">Summary!$B$5-B9525</f>
        <v>8326.8362791446</v>
      </c>
      <c r="E9525" s="15" t="n">
        <f aca="false">B9525/Summary!$B$5-1</f>
        <v>-0.083268362791446</v>
      </c>
    </row>
    <row r="9526" customFormat="false" ht="15" hidden="false" customHeight="false" outlineLevel="0" collapsed="false">
      <c r="A9526" s="0" t="n">
        <v>9525</v>
      </c>
      <c r="B9526" s="14" t="n">
        <v>100377.364652709</v>
      </c>
      <c r="C9526" s="15" t="n">
        <v>0.168258966108974</v>
      </c>
      <c r="D9526" s="14" t="n">
        <f aca="false">Summary!$B$5-B9526</f>
        <v>-377.364652709104</v>
      </c>
      <c r="E9526" s="15" t="n">
        <f aca="false">B9526/Summary!$B$5-1</f>
        <v>0.003773646527091</v>
      </c>
    </row>
    <row r="9527" customFormat="false" ht="15" hidden="false" customHeight="false" outlineLevel="0" collapsed="false">
      <c r="A9527" s="0" t="n">
        <v>9526</v>
      </c>
      <c r="B9527" s="14" t="n">
        <v>126075.477258706</v>
      </c>
      <c r="C9527" s="15" t="n">
        <v>0.0593293999105934</v>
      </c>
      <c r="D9527" s="14" t="n">
        <f aca="false">Summary!$B$5-B9527</f>
        <v>-26075.4772587055</v>
      </c>
      <c r="E9527" s="15" t="n">
        <f aca="false">B9527/Summary!$B$5-1</f>
        <v>0.260754772587055</v>
      </c>
    </row>
    <row r="9528" customFormat="false" ht="15" hidden="false" customHeight="false" outlineLevel="0" collapsed="false">
      <c r="A9528" s="0" t="n">
        <v>9527</v>
      </c>
      <c r="B9528" s="14" t="n">
        <v>116012.431094417</v>
      </c>
      <c r="C9528" s="15" t="n">
        <v>0.0940094660871206</v>
      </c>
      <c r="D9528" s="14" t="n">
        <f aca="false">Summary!$B$5-B9528</f>
        <v>-16012.4310944173</v>
      </c>
      <c r="E9528" s="15" t="n">
        <f aca="false">B9528/Summary!$B$5-1</f>
        <v>0.160124310944173</v>
      </c>
    </row>
    <row r="9529" customFormat="false" ht="15" hidden="false" customHeight="false" outlineLevel="0" collapsed="false">
      <c r="A9529" s="0" t="n">
        <v>9528</v>
      </c>
      <c r="B9529" s="14" t="n">
        <v>94508.3552977738</v>
      </c>
      <c r="C9529" s="15" t="n">
        <v>0.128486886768379</v>
      </c>
      <c r="D9529" s="14" t="n">
        <f aca="false">Summary!$B$5-B9529</f>
        <v>5491.64470222622</v>
      </c>
      <c r="E9529" s="15" t="n">
        <f aca="false">B9529/Summary!$B$5-1</f>
        <v>-0.0549164470222622</v>
      </c>
    </row>
    <row r="9530" customFormat="false" ht="15" hidden="false" customHeight="false" outlineLevel="0" collapsed="false">
      <c r="A9530" s="0" t="n">
        <v>9529</v>
      </c>
      <c r="B9530" s="14" t="n">
        <v>101795.223307461</v>
      </c>
      <c r="C9530" s="15" t="n">
        <v>0.0824127623447561</v>
      </c>
      <c r="D9530" s="14" t="n">
        <f aca="false">Summary!$B$5-B9530</f>
        <v>-1795.2233074605</v>
      </c>
      <c r="E9530" s="15" t="n">
        <f aca="false">B9530/Summary!$B$5-1</f>
        <v>0.0179522330746049</v>
      </c>
    </row>
    <row r="9531" customFormat="false" ht="15" hidden="false" customHeight="false" outlineLevel="0" collapsed="false">
      <c r="A9531" s="0" t="n">
        <v>9530</v>
      </c>
      <c r="B9531" s="14" t="n">
        <v>111098.370578448</v>
      </c>
      <c r="C9531" s="15" t="n">
        <v>0.0810675737646829</v>
      </c>
      <c r="D9531" s="14" t="n">
        <f aca="false">Summary!$B$5-B9531</f>
        <v>-11098.3705784483</v>
      </c>
      <c r="E9531" s="15" t="n">
        <f aca="false">B9531/Summary!$B$5-1</f>
        <v>0.110983705784483</v>
      </c>
    </row>
    <row r="9532" customFormat="false" ht="15" hidden="false" customHeight="false" outlineLevel="0" collapsed="false">
      <c r="A9532" s="0" t="n">
        <v>9531</v>
      </c>
      <c r="B9532" s="14" t="n">
        <v>99495.6906297309</v>
      </c>
      <c r="C9532" s="15" t="n">
        <v>0.108097752533987</v>
      </c>
      <c r="D9532" s="14" t="n">
        <f aca="false">Summary!$B$5-B9532</f>
        <v>504.309370269068</v>
      </c>
      <c r="E9532" s="15" t="n">
        <f aca="false">B9532/Summary!$B$5-1</f>
        <v>-0.00504309370269063</v>
      </c>
    </row>
    <row r="9533" customFormat="false" ht="15" hidden="false" customHeight="false" outlineLevel="0" collapsed="false">
      <c r="A9533" s="0" t="n">
        <v>9532</v>
      </c>
      <c r="B9533" s="14" t="n">
        <v>90637.8832900731</v>
      </c>
      <c r="C9533" s="15" t="n">
        <v>0.153851647825454</v>
      </c>
      <c r="D9533" s="14" t="n">
        <f aca="false">Summary!$B$5-B9533</f>
        <v>9362.11670992689</v>
      </c>
      <c r="E9533" s="15" t="n">
        <f aca="false">B9533/Summary!$B$5-1</f>
        <v>-0.0936211670992689</v>
      </c>
    </row>
    <row r="9534" customFormat="false" ht="15" hidden="false" customHeight="false" outlineLevel="0" collapsed="false">
      <c r="A9534" s="0" t="n">
        <v>9533</v>
      </c>
      <c r="B9534" s="14" t="n">
        <v>110675.231705587</v>
      </c>
      <c r="C9534" s="15" t="n">
        <v>0.0694852514300098</v>
      </c>
      <c r="D9534" s="14" t="n">
        <f aca="false">Summary!$B$5-B9534</f>
        <v>-10675.2317055869</v>
      </c>
      <c r="E9534" s="15" t="n">
        <f aca="false">B9534/Summary!$B$5-1</f>
        <v>0.106752317055869</v>
      </c>
    </row>
    <row r="9535" customFormat="false" ht="15" hidden="false" customHeight="false" outlineLevel="0" collapsed="false">
      <c r="A9535" s="0" t="n">
        <v>9534</v>
      </c>
      <c r="B9535" s="14" t="n">
        <v>106985.948186964</v>
      </c>
      <c r="C9535" s="15" t="n">
        <v>0.0829357480634946</v>
      </c>
      <c r="D9535" s="14" t="n">
        <f aca="false">Summary!$B$5-B9535</f>
        <v>-6985.9481869639</v>
      </c>
      <c r="E9535" s="15" t="n">
        <f aca="false">B9535/Summary!$B$5-1</f>
        <v>0.069859481869639</v>
      </c>
    </row>
    <row r="9536" customFormat="false" ht="15" hidden="false" customHeight="false" outlineLevel="0" collapsed="false">
      <c r="A9536" s="0" t="n">
        <v>9535</v>
      </c>
      <c r="B9536" s="14" t="n">
        <v>98552.9720712439</v>
      </c>
      <c r="C9536" s="15" t="n">
        <v>0.110461454813246</v>
      </c>
      <c r="D9536" s="14" t="n">
        <f aca="false">Summary!$B$5-B9536</f>
        <v>1447.02792875608</v>
      </c>
      <c r="E9536" s="15" t="n">
        <f aca="false">B9536/Summary!$B$5-1</f>
        <v>-0.0144702792875608</v>
      </c>
    </row>
    <row r="9537" customFormat="false" ht="15" hidden="false" customHeight="false" outlineLevel="0" collapsed="false">
      <c r="A9537" s="0" t="n">
        <v>9536</v>
      </c>
      <c r="B9537" s="14" t="n">
        <v>106769.314729838</v>
      </c>
      <c r="C9537" s="15" t="n">
        <v>0.114840404369438</v>
      </c>
      <c r="D9537" s="14" t="n">
        <f aca="false">Summary!$B$5-B9537</f>
        <v>-6769.3147298378</v>
      </c>
      <c r="E9537" s="15" t="n">
        <f aca="false">B9537/Summary!$B$5-1</f>
        <v>0.0676931472983779</v>
      </c>
    </row>
    <row r="9538" customFormat="false" ht="15" hidden="false" customHeight="false" outlineLevel="0" collapsed="false">
      <c r="A9538" s="0" t="n">
        <v>9537</v>
      </c>
      <c r="B9538" s="14" t="n">
        <v>97893.568042856</v>
      </c>
      <c r="C9538" s="15" t="n">
        <v>0.169695631919734</v>
      </c>
      <c r="D9538" s="14" t="n">
        <f aca="false">Summary!$B$5-B9538</f>
        <v>2106.43195714397</v>
      </c>
      <c r="E9538" s="15" t="n">
        <f aca="false">B9538/Summary!$B$5-1</f>
        <v>-0.0210643195714397</v>
      </c>
    </row>
    <row r="9539" customFormat="false" ht="15" hidden="false" customHeight="false" outlineLevel="0" collapsed="false">
      <c r="A9539" s="0" t="n">
        <v>9538</v>
      </c>
      <c r="B9539" s="14" t="n">
        <v>111444.910635441</v>
      </c>
      <c r="C9539" s="15" t="n">
        <v>0.0958960276796401</v>
      </c>
      <c r="D9539" s="14" t="n">
        <f aca="false">Summary!$B$5-B9539</f>
        <v>-11444.9106354414</v>
      </c>
      <c r="E9539" s="15" t="n">
        <f aca="false">B9539/Summary!$B$5-1</f>
        <v>0.114449106354414</v>
      </c>
    </row>
    <row r="9540" customFormat="false" ht="15" hidden="false" customHeight="false" outlineLevel="0" collapsed="false">
      <c r="A9540" s="0" t="n">
        <v>9539</v>
      </c>
      <c r="B9540" s="14" t="n">
        <v>95674.4927476416</v>
      </c>
      <c r="C9540" s="15" t="n">
        <v>0.103222479146023</v>
      </c>
      <c r="D9540" s="14" t="n">
        <f aca="false">Summary!$B$5-B9540</f>
        <v>4325.50725235841</v>
      </c>
      <c r="E9540" s="15" t="n">
        <f aca="false">B9540/Summary!$B$5-1</f>
        <v>-0.0432550725235841</v>
      </c>
    </row>
    <row r="9541" customFormat="false" ht="15" hidden="false" customHeight="false" outlineLevel="0" collapsed="false">
      <c r="A9541" s="0" t="n">
        <v>9540</v>
      </c>
      <c r="B9541" s="14" t="n">
        <v>99939.2135631309</v>
      </c>
      <c r="C9541" s="15" t="n">
        <v>0.0962931371930802</v>
      </c>
      <c r="D9541" s="14" t="n">
        <f aca="false">Summary!$B$5-B9541</f>
        <v>60.7864368690935</v>
      </c>
      <c r="E9541" s="15" t="n">
        <f aca="false">B9541/Summary!$B$5-1</f>
        <v>-0.00060786436869098</v>
      </c>
    </row>
    <row r="9542" customFormat="false" ht="15" hidden="false" customHeight="false" outlineLevel="0" collapsed="false">
      <c r="A9542" s="0" t="n">
        <v>9541</v>
      </c>
      <c r="B9542" s="14" t="n">
        <v>93698.1591701252</v>
      </c>
      <c r="C9542" s="15" t="n">
        <v>0.109048752599804</v>
      </c>
      <c r="D9542" s="14" t="n">
        <f aca="false">Summary!$B$5-B9542</f>
        <v>6301.84082987483</v>
      </c>
      <c r="E9542" s="15" t="n">
        <f aca="false">B9542/Summary!$B$5-1</f>
        <v>-0.0630184082987483</v>
      </c>
    </row>
    <row r="9543" customFormat="false" ht="15" hidden="false" customHeight="false" outlineLevel="0" collapsed="false">
      <c r="A9543" s="0" t="n">
        <v>9542</v>
      </c>
      <c r="B9543" s="14" t="n">
        <v>127162.589584435</v>
      </c>
      <c r="C9543" s="15" t="n">
        <v>0.080005743047192</v>
      </c>
      <c r="D9543" s="14" t="n">
        <f aca="false">Summary!$B$5-B9543</f>
        <v>-27162.5895844349</v>
      </c>
      <c r="E9543" s="15" t="n">
        <f aca="false">B9543/Summary!$B$5-1</f>
        <v>0.271625895844349</v>
      </c>
    </row>
    <row r="9544" customFormat="false" ht="15" hidden="false" customHeight="false" outlineLevel="0" collapsed="false">
      <c r="A9544" s="0" t="n">
        <v>9543</v>
      </c>
      <c r="B9544" s="14" t="n">
        <v>91811.2235914469</v>
      </c>
      <c r="C9544" s="15" t="n">
        <v>0.186771661992602</v>
      </c>
      <c r="D9544" s="14" t="n">
        <f aca="false">Summary!$B$5-B9544</f>
        <v>8188.77640855315</v>
      </c>
      <c r="E9544" s="15" t="n">
        <f aca="false">B9544/Summary!$B$5-1</f>
        <v>-0.0818877640855316</v>
      </c>
    </row>
    <row r="9545" customFormat="false" ht="15" hidden="false" customHeight="false" outlineLevel="0" collapsed="false">
      <c r="A9545" s="0" t="n">
        <v>9544</v>
      </c>
      <c r="B9545" s="14" t="n">
        <v>98334.7427588237</v>
      </c>
      <c r="C9545" s="15" t="n">
        <v>0.105446899610042</v>
      </c>
      <c r="D9545" s="14" t="n">
        <f aca="false">Summary!$B$5-B9545</f>
        <v>1665.25724117627</v>
      </c>
      <c r="E9545" s="15" t="n">
        <f aca="false">B9545/Summary!$B$5-1</f>
        <v>-0.0166525724117627</v>
      </c>
    </row>
    <row r="9546" customFormat="false" ht="15" hidden="false" customHeight="false" outlineLevel="0" collapsed="false">
      <c r="A9546" s="0" t="n">
        <v>9545</v>
      </c>
      <c r="B9546" s="14" t="n">
        <v>114539.535338016</v>
      </c>
      <c r="C9546" s="15" t="n">
        <v>0.0801453511888011</v>
      </c>
      <c r="D9546" s="14" t="n">
        <f aca="false">Summary!$B$5-B9546</f>
        <v>-14539.5353380164</v>
      </c>
      <c r="E9546" s="15" t="n">
        <f aca="false">B9546/Summary!$B$5-1</f>
        <v>0.145395353380164</v>
      </c>
    </row>
    <row r="9547" customFormat="false" ht="15" hidden="false" customHeight="false" outlineLevel="0" collapsed="false">
      <c r="A9547" s="0" t="n">
        <v>9546</v>
      </c>
      <c r="B9547" s="14" t="n">
        <v>85814.0203550523</v>
      </c>
      <c r="C9547" s="15" t="n">
        <v>0.191129804419037</v>
      </c>
      <c r="D9547" s="14" t="n">
        <f aca="false">Summary!$B$5-B9547</f>
        <v>14185.9796449477</v>
      </c>
      <c r="E9547" s="15" t="n">
        <f aca="false">B9547/Summary!$B$5-1</f>
        <v>-0.141859796449477</v>
      </c>
    </row>
    <row r="9548" customFormat="false" ht="15" hidden="false" customHeight="false" outlineLevel="0" collapsed="false">
      <c r="A9548" s="0" t="n">
        <v>9547</v>
      </c>
      <c r="B9548" s="14" t="n">
        <v>100471.973312966</v>
      </c>
      <c r="C9548" s="15" t="n">
        <v>0.0600363087478686</v>
      </c>
      <c r="D9548" s="14" t="n">
        <f aca="false">Summary!$B$5-B9548</f>
        <v>-471.973312965594</v>
      </c>
      <c r="E9548" s="15" t="n">
        <f aca="false">B9548/Summary!$B$5-1</f>
        <v>0.00471973312965601</v>
      </c>
    </row>
    <row r="9549" customFormat="false" ht="15" hidden="false" customHeight="false" outlineLevel="0" collapsed="false">
      <c r="A9549" s="0" t="n">
        <v>9548</v>
      </c>
      <c r="B9549" s="14" t="n">
        <v>125037.425708852</v>
      </c>
      <c r="C9549" s="15" t="n">
        <v>0.0554520975390695</v>
      </c>
      <c r="D9549" s="14" t="n">
        <f aca="false">Summary!$B$5-B9549</f>
        <v>-25037.4257088522</v>
      </c>
      <c r="E9549" s="15" t="n">
        <f aca="false">B9549/Summary!$B$5-1</f>
        <v>0.250374257088522</v>
      </c>
    </row>
    <row r="9550" customFormat="false" ht="15" hidden="false" customHeight="false" outlineLevel="0" collapsed="false">
      <c r="A9550" s="0" t="n">
        <v>9549</v>
      </c>
      <c r="B9550" s="14" t="n">
        <v>109915.1417388</v>
      </c>
      <c r="C9550" s="15" t="n">
        <v>0.131633597624658</v>
      </c>
      <c r="D9550" s="14" t="n">
        <f aca="false">Summary!$B$5-B9550</f>
        <v>-9915.14173879979</v>
      </c>
      <c r="E9550" s="15" t="n">
        <f aca="false">B9550/Summary!$B$5-1</f>
        <v>0.0991514173879979</v>
      </c>
    </row>
    <row r="9551" customFormat="false" ht="15" hidden="false" customHeight="false" outlineLevel="0" collapsed="false">
      <c r="A9551" s="0" t="n">
        <v>9550</v>
      </c>
      <c r="B9551" s="14" t="n">
        <v>88437.9325360205</v>
      </c>
      <c r="C9551" s="15" t="n">
        <v>0.170585595028829</v>
      </c>
      <c r="D9551" s="14" t="n">
        <f aca="false">Summary!$B$5-B9551</f>
        <v>11562.0674639795</v>
      </c>
      <c r="E9551" s="15" t="n">
        <f aca="false">B9551/Summary!$B$5-1</f>
        <v>-0.115620674639795</v>
      </c>
    </row>
    <row r="9552" customFormat="false" ht="15" hidden="false" customHeight="false" outlineLevel="0" collapsed="false">
      <c r="A9552" s="0" t="n">
        <v>9551</v>
      </c>
      <c r="B9552" s="14" t="n">
        <v>94447.4340693221</v>
      </c>
      <c r="C9552" s="15" t="n">
        <v>0.157017386344263</v>
      </c>
      <c r="D9552" s="14" t="n">
        <f aca="false">Summary!$B$5-B9552</f>
        <v>5552.56593067788</v>
      </c>
      <c r="E9552" s="15" t="n">
        <f aca="false">B9552/Summary!$B$5-1</f>
        <v>-0.0555256593067789</v>
      </c>
    </row>
    <row r="9553" customFormat="false" ht="15" hidden="false" customHeight="false" outlineLevel="0" collapsed="false">
      <c r="A9553" s="0" t="n">
        <v>9552</v>
      </c>
      <c r="B9553" s="14" t="n">
        <v>104664.953741747</v>
      </c>
      <c r="C9553" s="15" t="n">
        <v>0.111825137542309</v>
      </c>
      <c r="D9553" s="14" t="n">
        <f aca="false">Summary!$B$5-B9553</f>
        <v>-4664.9537417468</v>
      </c>
      <c r="E9553" s="15" t="n">
        <f aca="false">B9553/Summary!$B$5-1</f>
        <v>0.046649537417468</v>
      </c>
    </row>
    <row r="9554" customFormat="false" ht="15" hidden="false" customHeight="false" outlineLevel="0" collapsed="false">
      <c r="A9554" s="0" t="n">
        <v>9553</v>
      </c>
      <c r="B9554" s="14" t="n">
        <v>114185.126304644</v>
      </c>
      <c r="C9554" s="15" t="n">
        <v>0.0736737305554879</v>
      </c>
      <c r="D9554" s="14" t="n">
        <f aca="false">Summary!$B$5-B9554</f>
        <v>-14185.1263046438</v>
      </c>
      <c r="E9554" s="15" t="n">
        <f aca="false">B9554/Summary!$B$5-1</f>
        <v>0.141851263046438</v>
      </c>
    </row>
    <row r="9555" customFormat="false" ht="15" hidden="false" customHeight="false" outlineLevel="0" collapsed="false">
      <c r="A9555" s="0" t="n">
        <v>9554</v>
      </c>
      <c r="B9555" s="14" t="n">
        <v>125801.024782903</v>
      </c>
      <c r="C9555" s="15" t="n">
        <v>0.0955044235318945</v>
      </c>
      <c r="D9555" s="14" t="n">
        <f aca="false">Summary!$B$5-B9555</f>
        <v>-25801.0247829029</v>
      </c>
      <c r="E9555" s="15" t="n">
        <f aca="false">B9555/Summary!$B$5-1</f>
        <v>0.258010247829029</v>
      </c>
    </row>
    <row r="9556" customFormat="false" ht="15" hidden="false" customHeight="false" outlineLevel="0" collapsed="false">
      <c r="A9556" s="0" t="n">
        <v>9555</v>
      </c>
      <c r="B9556" s="14" t="n">
        <v>113300.632351418</v>
      </c>
      <c r="C9556" s="15" t="n">
        <v>0.111968128594972</v>
      </c>
      <c r="D9556" s="14" t="n">
        <f aca="false">Summary!$B$5-B9556</f>
        <v>-13300.6323514183</v>
      </c>
      <c r="E9556" s="15" t="n">
        <f aca="false">B9556/Summary!$B$5-1</f>
        <v>0.133006323514183</v>
      </c>
    </row>
    <row r="9557" customFormat="false" ht="15" hidden="false" customHeight="false" outlineLevel="0" collapsed="false">
      <c r="A9557" s="0" t="n">
        <v>9556</v>
      </c>
      <c r="B9557" s="14" t="n">
        <v>103102.657293233</v>
      </c>
      <c r="C9557" s="15" t="n">
        <v>0.0891824956728129</v>
      </c>
      <c r="D9557" s="14" t="n">
        <f aca="false">Summary!$B$5-B9557</f>
        <v>-3102.65729323339</v>
      </c>
      <c r="E9557" s="15" t="n">
        <f aca="false">B9557/Summary!$B$5-1</f>
        <v>0.031026572932334</v>
      </c>
    </row>
    <row r="9558" customFormat="false" ht="15" hidden="false" customHeight="false" outlineLevel="0" collapsed="false">
      <c r="A9558" s="0" t="n">
        <v>9557</v>
      </c>
      <c r="B9558" s="14" t="n">
        <v>111165.361572033</v>
      </c>
      <c r="C9558" s="15" t="n">
        <v>0.0744946650482407</v>
      </c>
      <c r="D9558" s="14" t="n">
        <f aca="false">Summary!$B$5-B9558</f>
        <v>-11165.3615720326</v>
      </c>
      <c r="E9558" s="15" t="n">
        <f aca="false">B9558/Summary!$B$5-1</f>
        <v>0.111653615720326</v>
      </c>
    </row>
    <row r="9559" customFormat="false" ht="15" hidden="false" customHeight="false" outlineLevel="0" collapsed="false">
      <c r="A9559" s="0" t="n">
        <v>9558</v>
      </c>
      <c r="B9559" s="14" t="n">
        <v>123386.285786802</v>
      </c>
      <c r="C9559" s="15" t="n">
        <v>0.0769447536375771</v>
      </c>
      <c r="D9559" s="14" t="n">
        <f aca="false">Summary!$B$5-B9559</f>
        <v>-23386.2857868016</v>
      </c>
      <c r="E9559" s="15" t="n">
        <f aca="false">B9559/Summary!$B$5-1</f>
        <v>0.233862857868016</v>
      </c>
    </row>
    <row r="9560" customFormat="false" ht="15" hidden="false" customHeight="false" outlineLevel="0" collapsed="false">
      <c r="A9560" s="0" t="n">
        <v>9559</v>
      </c>
      <c r="B9560" s="14" t="n">
        <v>94041.6399473924</v>
      </c>
      <c r="C9560" s="15" t="n">
        <v>0.141240690920151</v>
      </c>
      <c r="D9560" s="14" t="n">
        <f aca="false">Summary!$B$5-B9560</f>
        <v>5958.3600526076</v>
      </c>
      <c r="E9560" s="15" t="n">
        <f aca="false">B9560/Summary!$B$5-1</f>
        <v>-0.059583600526076</v>
      </c>
    </row>
    <row r="9561" customFormat="false" ht="15" hidden="false" customHeight="false" outlineLevel="0" collapsed="false">
      <c r="A9561" s="0" t="n">
        <v>9560</v>
      </c>
      <c r="B9561" s="14" t="n">
        <v>144630.094389914</v>
      </c>
      <c r="C9561" s="15" t="n">
        <v>0.0426690892170546</v>
      </c>
      <c r="D9561" s="14" t="n">
        <f aca="false">Summary!$B$5-B9561</f>
        <v>-44630.0943899144</v>
      </c>
      <c r="E9561" s="15" t="n">
        <f aca="false">B9561/Summary!$B$5-1</f>
        <v>0.446300943899144</v>
      </c>
    </row>
    <row r="9562" customFormat="false" ht="15" hidden="false" customHeight="false" outlineLevel="0" collapsed="false">
      <c r="A9562" s="0" t="n">
        <v>9561</v>
      </c>
      <c r="B9562" s="14" t="n">
        <v>102350.546930199</v>
      </c>
      <c r="C9562" s="15" t="n">
        <v>0.107049735149117</v>
      </c>
      <c r="D9562" s="14" t="n">
        <f aca="false">Summary!$B$5-B9562</f>
        <v>-2350.54693019891</v>
      </c>
      <c r="E9562" s="15" t="n">
        <f aca="false">B9562/Summary!$B$5-1</f>
        <v>0.0235054693019892</v>
      </c>
    </row>
    <row r="9563" customFormat="false" ht="15" hidden="false" customHeight="false" outlineLevel="0" collapsed="false">
      <c r="A9563" s="0" t="n">
        <v>9562</v>
      </c>
      <c r="B9563" s="14" t="n">
        <v>129689.876313691</v>
      </c>
      <c r="C9563" s="15" t="n">
        <v>0.0630374925163534</v>
      </c>
      <c r="D9563" s="14" t="n">
        <f aca="false">Summary!$B$5-B9563</f>
        <v>-29689.8763136914</v>
      </c>
      <c r="E9563" s="15" t="n">
        <f aca="false">B9563/Summary!$B$5-1</f>
        <v>0.296898763136914</v>
      </c>
    </row>
    <row r="9564" customFormat="false" ht="15" hidden="false" customHeight="false" outlineLevel="0" collapsed="false">
      <c r="A9564" s="0" t="n">
        <v>9563</v>
      </c>
      <c r="B9564" s="14" t="n">
        <v>120420.778730218</v>
      </c>
      <c r="C9564" s="15" t="n">
        <v>0.0860033288093772</v>
      </c>
      <c r="D9564" s="14" t="n">
        <f aca="false">Summary!$B$5-B9564</f>
        <v>-20420.7787302182</v>
      </c>
      <c r="E9564" s="15" t="n">
        <f aca="false">B9564/Summary!$B$5-1</f>
        <v>0.204207787302182</v>
      </c>
    </row>
    <row r="9565" customFormat="false" ht="15" hidden="false" customHeight="false" outlineLevel="0" collapsed="false">
      <c r="A9565" s="0" t="n">
        <v>9564</v>
      </c>
      <c r="B9565" s="14" t="n">
        <v>115986.546827238</v>
      </c>
      <c r="C9565" s="15" t="n">
        <v>0.173597454082614</v>
      </c>
      <c r="D9565" s="14" t="n">
        <f aca="false">Summary!$B$5-B9565</f>
        <v>-15986.5468272377</v>
      </c>
      <c r="E9565" s="15" t="n">
        <f aca="false">B9565/Summary!$B$5-1</f>
        <v>0.159865468272377</v>
      </c>
    </row>
    <row r="9566" customFormat="false" ht="15" hidden="false" customHeight="false" outlineLevel="0" collapsed="false">
      <c r="A9566" s="0" t="n">
        <v>9565</v>
      </c>
      <c r="B9566" s="14" t="n">
        <v>102993.975013428</v>
      </c>
      <c r="C9566" s="15" t="n">
        <v>0.0775200687101594</v>
      </c>
      <c r="D9566" s="14" t="n">
        <f aca="false">Summary!$B$5-B9566</f>
        <v>-2993.975013428</v>
      </c>
      <c r="E9566" s="15" t="n">
        <f aca="false">B9566/Summary!$B$5-1</f>
        <v>0.02993975013428</v>
      </c>
    </row>
    <row r="9567" customFormat="false" ht="15" hidden="false" customHeight="false" outlineLevel="0" collapsed="false">
      <c r="A9567" s="0" t="n">
        <v>9566</v>
      </c>
      <c r="B9567" s="14" t="n">
        <v>107834.285310254</v>
      </c>
      <c r="C9567" s="15" t="n">
        <v>0.0928709584603386</v>
      </c>
      <c r="D9567" s="14" t="n">
        <f aca="false">Summary!$B$5-B9567</f>
        <v>-7834.2853102544</v>
      </c>
      <c r="E9567" s="15" t="n">
        <f aca="false">B9567/Summary!$B$5-1</f>
        <v>0.0783428531025441</v>
      </c>
    </row>
    <row r="9568" customFormat="false" ht="15" hidden="false" customHeight="false" outlineLevel="0" collapsed="false">
      <c r="A9568" s="0" t="n">
        <v>9567</v>
      </c>
      <c r="B9568" s="14" t="n">
        <v>126217.158555921</v>
      </c>
      <c r="C9568" s="15" t="n">
        <v>0.0645738446440879</v>
      </c>
      <c r="D9568" s="14" t="n">
        <f aca="false">Summary!$B$5-B9568</f>
        <v>-26217.1585559208</v>
      </c>
      <c r="E9568" s="15" t="n">
        <f aca="false">B9568/Summary!$B$5-1</f>
        <v>0.262171585559208</v>
      </c>
    </row>
    <row r="9569" customFormat="false" ht="15" hidden="false" customHeight="false" outlineLevel="0" collapsed="false">
      <c r="A9569" s="0" t="n">
        <v>9568</v>
      </c>
      <c r="B9569" s="14" t="n">
        <v>108229.388782123</v>
      </c>
      <c r="C9569" s="15" t="n">
        <v>0.14917874934513</v>
      </c>
      <c r="D9569" s="14" t="n">
        <f aca="false">Summary!$B$5-B9569</f>
        <v>-8229.38878212321</v>
      </c>
      <c r="E9569" s="15" t="n">
        <f aca="false">B9569/Summary!$B$5-1</f>
        <v>0.082293887821232</v>
      </c>
    </row>
    <row r="9570" customFormat="false" ht="15" hidden="false" customHeight="false" outlineLevel="0" collapsed="false">
      <c r="A9570" s="0" t="n">
        <v>9569</v>
      </c>
      <c r="B9570" s="14" t="n">
        <v>96791.7175825006</v>
      </c>
      <c r="C9570" s="15" t="n">
        <v>0.111757869208578</v>
      </c>
      <c r="D9570" s="14" t="n">
        <f aca="false">Summary!$B$5-B9570</f>
        <v>3208.28241749943</v>
      </c>
      <c r="E9570" s="15" t="n">
        <f aca="false">B9570/Summary!$B$5-1</f>
        <v>-0.0320828241749943</v>
      </c>
    </row>
    <row r="9571" customFormat="false" ht="15" hidden="false" customHeight="false" outlineLevel="0" collapsed="false">
      <c r="A9571" s="0" t="n">
        <v>9570</v>
      </c>
      <c r="B9571" s="14" t="n">
        <v>137756.240122255</v>
      </c>
      <c r="C9571" s="15" t="n">
        <v>0.0534415706039724</v>
      </c>
      <c r="D9571" s="14" t="n">
        <f aca="false">Summary!$B$5-B9571</f>
        <v>-37756.2401222552</v>
      </c>
      <c r="E9571" s="15" t="n">
        <f aca="false">B9571/Summary!$B$5-1</f>
        <v>0.377562401222552</v>
      </c>
    </row>
    <row r="9572" customFormat="false" ht="15" hidden="false" customHeight="false" outlineLevel="0" collapsed="false">
      <c r="A9572" s="0" t="n">
        <v>9571</v>
      </c>
      <c r="B9572" s="14" t="n">
        <v>111002.938921999</v>
      </c>
      <c r="C9572" s="15" t="n">
        <v>0.129206966301699</v>
      </c>
      <c r="D9572" s="14" t="n">
        <f aca="false">Summary!$B$5-B9572</f>
        <v>-11002.9389219988</v>
      </c>
      <c r="E9572" s="15" t="n">
        <f aca="false">B9572/Summary!$B$5-1</f>
        <v>0.110029389219988</v>
      </c>
    </row>
    <row r="9573" customFormat="false" ht="15" hidden="false" customHeight="false" outlineLevel="0" collapsed="false">
      <c r="A9573" s="0" t="n">
        <v>9572</v>
      </c>
      <c r="B9573" s="14" t="n">
        <v>102809.907410246</v>
      </c>
      <c r="C9573" s="15" t="n">
        <v>0.111657531745114</v>
      </c>
      <c r="D9573" s="14" t="n">
        <f aca="false">Summary!$B$5-B9573</f>
        <v>-2809.90741024639</v>
      </c>
      <c r="E9573" s="15" t="n">
        <f aca="false">B9573/Summary!$B$5-1</f>
        <v>0.028099074102464</v>
      </c>
    </row>
    <row r="9574" customFormat="false" ht="15" hidden="false" customHeight="false" outlineLevel="0" collapsed="false">
      <c r="A9574" s="0" t="n">
        <v>9573</v>
      </c>
      <c r="B9574" s="14" t="n">
        <v>112185.785529905</v>
      </c>
      <c r="C9574" s="15" t="n">
        <v>0.106069407171248</v>
      </c>
      <c r="D9574" s="14" t="n">
        <f aca="false">Summary!$B$5-B9574</f>
        <v>-12185.7855299047</v>
      </c>
      <c r="E9574" s="15" t="n">
        <f aca="false">B9574/Summary!$B$5-1</f>
        <v>0.121857855299047</v>
      </c>
    </row>
    <row r="9575" customFormat="false" ht="15" hidden="false" customHeight="false" outlineLevel="0" collapsed="false">
      <c r="A9575" s="0" t="n">
        <v>9574</v>
      </c>
      <c r="B9575" s="14" t="n">
        <v>125621.63159756</v>
      </c>
      <c r="C9575" s="15" t="n">
        <v>0.0893683458371168</v>
      </c>
      <c r="D9575" s="14" t="n">
        <f aca="false">Summary!$B$5-B9575</f>
        <v>-25621.6315975597</v>
      </c>
      <c r="E9575" s="15" t="n">
        <f aca="false">B9575/Summary!$B$5-1</f>
        <v>0.256216315975597</v>
      </c>
    </row>
    <row r="9576" customFormat="false" ht="15" hidden="false" customHeight="false" outlineLevel="0" collapsed="false">
      <c r="A9576" s="0" t="n">
        <v>9575</v>
      </c>
      <c r="B9576" s="14" t="n">
        <v>124360.382127781</v>
      </c>
      <c r="C9576" s="15" t="n">
        <v>0.0944068849403887</v>
      </c>
      <c r="D9576" s="14" t="n">
        <f aca="false">Summary!$B$5-B9576</f>
        <v>-24360.3821277808</v>
      </c>
      <c r="E9576" s="15" t="n">
        <f aca="false">B9576/Summary!$B$5-1</f>
        <v>0.243603821277808</v>
      </c>
    </row>
    <row r="9577" customFormat="false" ht="15" hidden="false" customHeight="false" outlineLevel="0" collapsed="false">
      <c r="A9577" s="0" t="n">
        <v>9576</v>
      </c>
      <c r="B9577" s="14" t="n">
        <v>112172.064896504</v>
      </c>
      <c r="C9577" s="15" t="n">
        <v>0.0734576596258996</v>
      </c>
      <c r="D9577" s="14" t="n">
        <f aca="false">Summary!$B$5-B9577</f>
        <v>-12172.0648965041</v>
      </c>
      <c r="E9577" s="15" t="n">
        <f aca="false">B9577/Summary!$B$5-1</f>
        <v>0.121720648965041</v>
      </c>
    </row>
    <row r="9578" customFormat="false" ht="15" hidden="false" customHeight="false" outlineLevel="0" collapsed="false">
      <c r="A9578" s="0" t="n">
        <v>9577</v>
      </c>
      <c r="B9578" s="14" t="n">
        <v>101635.589004619</v>
      </c>
      <c r="C9578" s="15" t="n">
        <v>0.155135833924443</v>
      </c>
      <c r="D9578" s="14" t="n">
        <f aca="false">Summary!$B$5-B9578</f>
        <v>-1635.58900461921</v>
      </c>
      <c r="E9578" s="15" t="n">
        <f aca="false">B9578/Summary!$B$5-1</f>
        <v>0.016355890046192</v>
      </c>
    </row>
    <row r="9579" customFormat="false" ht="15" hidden="false" customHeight="false" outlineLevel="0" collapsed="false">
      <c r="A9579" s="0" t="n">
        <v>9578</v>
      </c>
      <c r="B9579" s="14" t="n">
        <v>113155.133515733</v>
      </c>
      <c r="C9579" s="15" t="n">
        <v>0.0514645516573329</v>
      </c>
      <c r="D9579" s="14" t="n">
        <f aca="false">Summary!$B$5-B9579</f>
        <v>-13155.1335157334</v>
      </c>
      <c r="E9579" s="15" t="n">
        <f aca="false">B9579/Summary!$B$5-1</f>
        <v>0.131551335157334</v>
      </c>
    </row>
    <row r="9580" customFormat="false" ht="15" hidden="false" customHeight="false" outlineLevel="0" collapsed="false">
      <c r="A9580" s="0" t="n">
        <v>9579</v>
      </c>
      <c r="B9580" s="14" t="n">
        <v>110284.354535649</v>
      </c>
      <c r="C9580" s="15" t="n">
        <v>0.0672100581493207</v>
      </c>
      <c r="D9580" s="14" t="n">
        <f aca="false">Summary!$B$5-B9580</f>
        <v>-10284.3545356488</v>
      </c>
      <c r="E9580" s="15" t="n">
        <f aca="false">B9580/Summary!$B$5-1</f>
        <v>0.102843545356488</v>
      </c>
    </row>
    <row r="9581" customFormat="false" ht="15" hidden="false" customHeight="false" outlineLevel="0" collapsed="false">
      <c r="A9581" s="0" t="n">
        <v>9580</v>
      </c>
      <c r="B9581" s="14" t="n">
        <v>106831.793802643</v>
      </c>
      <c r="C9581" s="15" t="n">
        <v>0.0841377681916322</v>
      </c>
      <c r="D9581" s="14" t="n">
        <f aca="false">Summary!$B$5-B9581</f>
        <v>-6831.7938026427</v>
      </c>
      <c r="E9581" s="15" t="n">
        <f aca="false">B9581/Summary!$B$5-1</f>
        <v>0.0683179380264269</v>
      </c>
    </row>
    <row r="9582" customFormat="false" ht="15" hidden="false" customHeight="false" outlineLevel="0" collapsed="false">
      <c r="A9582" s="0" t="n">
        <v>9581</v>
      </c>
      <c r="B9582" s="14" t="n">
        <v>111974.126669044</v>
      </c>
      <c r="C9582" s="15" t="n">
        <v>0.0613660382179716</v>
      </c>
      <c r="D9582" s="14" t="n">
        <f aca="false">Summary!$B$5-B9582</f>
        <v>-11974.1266690441</v>
      </c>
      <c r="E9582" s="15" t="n">
        <f aca="false">B9582/Summary!$B$5-1</f>
        <v>0.119741266690441</v>
      </c>
    </row>
    <row r="9583" customFormat="false" ht="15" hidden="false" customHeight="false" outlineLevel="0" collapsed="false">
      <c r="A9583" s="0" t="n">
        <v>9582</v>
      </c>
      <c r="B9583" s="14" t="n">
        <v>120886.345629751</v>
      </c>
      <c r="C9583" s="15" t="n">
        <v>0.126433833364748</v>
      </c>
      <c r="D9583" s="14" t="n">
        <f aca="false">Summary!$B$5-B9583</f>
        <v>-20886.3456297511</v>
      </c>
      <c r="E9583" s="15" t="n">
        <f aca="false">B9583/Summary!$B$5-1</f>
        <v>0.208863456297511</v>
      </c>
    </row>
    <row r="9584" customFormat="false" ht="15" hidden="false" customHeight="false" outlineLevel="0" collapsed="false">
      <c r="A9584" s="0" t="n">
        <v>9583</v>
      </c>
      <c r="B9584" s="14" t="n">
        <v>119165.825623154</v>
      </c>
      <c r="C9584" s="15" t="n">
        <v>0.0781023592523451</v>
      </c>
      <c r="D9584" s="14" t="n">
        <f aca="false">Summary!$B$5-B9584</f>
        <v>-19165.8256231539</v>
      </c>
      <c r="E9584" s="15" t="n">
        <f aca="false">B9584/Summary!$B$5-1</f>
        <v>0.191658256231539</v>
      </c>
    </row>
    <row r="9585" customFormat="false" ht="15" hidden="false" customHeight="false" outlineLevel="0" collapsed="false">
      <c r="A9585" s="0" t="n">
        <v>9584</v>
      </c>
      <c r="B9585" s="14" t="n">
        <v>111329.949122498</v>
      </c>
      <c r="C9585" s="15" t="n">
        <v>0.148919028744286</v>
      </c>
      <c r="D9585" s="14" t="n">
        <f aca="false">Summary!$B$5-B9585</f>
        <v>-11329.949122498</v>
      </c>
      <c r="E9585" s="15" t="n">
        <f aca="false">B9585/Summary!$B$5-1</f>
        <v>0.11329949122498</v>
      </c>
    </row>
    <row r="9586" customFormat="false" ht="15" hidden="false" customHeight="false" outlineLevel="0" collapsed="false">
      <c r="A9586" s="0" t="n">
        <v>9585</v>
      </c>
      <c r="B9586" s="14" t="n">
        <v>114567.77792921</v>
      </c>
      <c r="C9586" s="15" t="n">
        <v>0.116580627793193</v>
      </c>
      <c r="D9586" s="14" t="n">
        <f aca="false">Summary!$B$5-B9586</f>
        <v>-14567.7779292095</v>
      </c>
      <c r="E9586" s="15" t="n">
        <f aca="false">B9586/Summary!$B$5-1</f>
        <v>0.145677779292095</v>
      </c>
    </row>
    <row r="9587" customFormat="false" ht="15" hidden="false" customHeight="false" outlineLevel="0" collapsed="false">
      <c r="A9587" s="0" t="n">
        <v>9586</v>
      </c>
      <c r="B9587" s="14" t="n">
        <v>118749.968893421</v>
      </c>
      <c r="C9587" s="15" t="n">
        <v>0.0521032097816724</v>
      </c>
      <c r="D9587" s="14" t="n">
        <f aca="false">Summary!$B$5-B9587</f>
        <v>-18749.9688934213</v>
      </c>
      <c r="E9587" s="15" t="n">
        <f aca="false">B9587/Summary!$B$5-1</f>
        <v>0.187499688934213</v>
      </c>
    </row>
    <row r="9588" customFormat="false" ht="15" hidden="false" customHeight="false" outlineLevel="0" collapsed="false">
      <c r="A9588" s="0" t="n">
        <v>9587</v>
      </c>
      <c r="B9588" s="14" t="n">
        <v>117064.235892196</v>
      </c>
      <c r="C9588" s="15" t="n">
        <v>0.0871560668951084</v>
      </c>
      <c r="D9588" s="14" t="n">
        <f aca="false">Summary!$B$5-B9588</f>
        <v>-17064.2358921962</v>
      </c>
      <c r="E9588" s="15" t="n">
        <f aca="false">B9588/Summary!$B$5-1</f>
        <v>0.170642358921962</v>
      </c>
    </row>
    <row r="9589" customFormat="false" ht="15" hidden="false" customHeight="false" outlineLevel="0" collapsed="false">
      <c r="A9589" s="0" t="n">
        <v>9588</v>
      </c>
      <c r="B9589" s="14" t="n">
        <v>112117.448957661</v>
      </c>
      <c r="C9589" s="15" t="n">
        <v>0.121179667866068</v>
      </c>
      <c r="D9589" s="14" t="n">
        <f aca="false">Summary!$B$5-B9589</f>
        <v>-12117.4489576611</v>
      </c>
      <c r="E9589" s="15" t="n">
        <f aca="false">B9589/Summary!$B$5-1</f>
        <v>0.121174489576611</v>
      </c>
    </row>
    <row r="9590" customFormat="false" ht="15" hidden="false" customHeight="false" outlineLevel="0" collapsed="false">
      <c r="A9590" s="0" t="n">
        <v>9589</v>
      </c>
      <c r="B9590" s="14" t="n">
        <v>112368.982739243</v>
      </c>
      <c r="C9590" s="15" t="n">
        <v>0.0751704364372618</v>
      </c>
      <c r="D9590" s="14" t="n">
        <f aca="false">Summary!$B$5-B9590</f>
        <v>-12368.9827392426</v>
      </c>
      <c r="E9590" s="15" t="n">
        <f aca="false">B9590/Summary!$B$5-1</f>
        <v>0.123689827392426</v>
      </c>
    </row>
    <row r="9591" customFormat="false" ht="15" hidden="false" customHeight="false" outlineLevel="0" collapsed="false">
      <c r="A9591" s="0" t="n">
        <v>9590</v>
      </c>
      <c r="B9591" s="14" t="n">
        <v>102400.934008483</v>
      </c>
      <c r="C9591" s="15" t="n">
        <v>0.113126681357735</v>
      </c>
      <c r="D9591" s="14" t="n">
        <f aca="false">Summary!$B$5-B9591</f>
        <v>-2400.93400848319</v>
      </c>
      <c r="E9591" s="15" t="n">
        <f aca="false">B9591/Summary!$B$5-1</f>
        <v>0.024009340084832</v>
      </c>
    </row>
    <row r="9592" customFormat="false" ht="15" hidden="false" customHeight="false" outlineLevel="0" collapsed="false">
      <c r="A9592" s="0" t="n">
        <v>9591</v>
      </c>
      <c r="B9592" s="14" t="n">
        <v>125638.50781325</v>
      </c>
      <c r="C9592" s="15" t="n">
        <v>0.0373184738018821</v>
      </c>
      <c r="D9592" s="14" t="n">
        <f aca="false">Summary!$B$5-B9592</f>
        <v>-25638.5078132495</v>
      </c>
      <c r="E9592" s="15" t="n">
        <f aca="false">B9592/Summary!$B$5-1</f>
        <v>0.256385078132495</v>
      </c>
    </row>
    <row r="9593" customFormat="false" ht="15" hidden="false" customHeight="false" outlineLevel="0" collapsed="false">
      <c r="A9593" s="0" t="n">
        <v>9592</v>
      </c>
      <c r="B9593" s="14" t="n">
        <v>98003.3856253532</v>
      </c>
      <c r="C9593" s="15" t="n">
        <v>0.0721818301370355</v>
      </c>
      <c r="D9593" s="14" t="n">
        <f aca="false">Summary!$B$5-B9593</f>
        <v>1996.61437464683</v>
      </c>
      <c r="E9593" s="15" t="n">
        <f aca="false">B9593/Summary!$B$5-1</f>
        <v>-0.0199661437464683</v>
      </c>
    </row>
    <row r="9594" customFormat="false" ht="15" hidden="false" customHeight="false" outlineLevel="0" collapsed="false">
      <c r="A9594" s="0" t="n">
        <v>9593</v>
      </c>
      <c r="B9594" s="14" t="n">
        <v>112857.528001049</v>
      </c>
      <c r="C9594" s="15" t="n">
        <v>0.108136499566614</v>
      </c>
      <c r="D9594" s="14" t="n">
        <f aca="false">Summary!$B$5-B9594</f>
        <v>-12857.5280010486</v>
      </c>
      <c r="E9594" s="15" t="n">
        <f aca="false">B9594/Summary!$B$5-1</f>
        <v>0.128575280010486</v>
      </c>
    </row>
    <row r="9595" customFormat="false" ht="15" hidden="false" customHeight="false" outlineLevel="0" collapsed="false">
      <c r="A9595" s="0" t="n">
        <v>9594</v>
      </c>
      <c r="B9595" s="14" t="n">
        <v>102858.864862944</v>
      </c>
      <c r="C9595" s="15" t="n">
        <v>0.143303907559548</v>
      </c>
      <c r="D9595" s="14" t="n">
        <f aca="false">Summary!$B$5-B9595</f>
        <v>-2858.8648629439</v>
      </c>
      <c r="E9595" s="15" t="n">
        <f aca="false">B9595/Summary!$B$5-1</f>
        <v>0.0285886486294389</v>
      </c>
    </row>
    <row r="9596" customFormat="false" ht="15" hidden="false" customHeight="false" outlineLevel="0" collapsed="false">
      <c r="A9596" s="0" t="n">
        <v>9595</v>
      </c>
      <c r="B9596" s="14" t="n">
        <v>105942.082062978</v>
      </c>
      <c r="C9596" s="15" t="n">
        <v>0.0667979465934576</v>
      </c>
      <c r="D9596" s="14" t="n">
        <f aca="false">Summary!$B$5-B9596</f>
        <v>-5942.0820629778</v>
      </c>
      <c r="E9596" s="15" t="n">
        <f aca="false">B9596/Summary!$B$5-1</f>
        <v>0.0594208206297779</v>
      </c>
    </row>
    <row r="9597" customFormat="false" ht="15" hidden="false" customHeight="false" outlineLevel="0" collapsed="false">
      <c r="A9597" s="0" t="n">
        <v>9596</v>
      </c>
      <c r="B9597" s="14" t="n">
        <v>108203.357626847</v>
      </c>
      <c r="C9597" s="15" t="n">
        <v>0.0756152079642827</v>
      </c>
      <c r="D9597" s="14" t="n">
        <f aca="false">Summary!$B$5-B9597</f>
        <v>-8203.3576268473</v>
      </c>
      <c r="E9597" s="15" t="n">
        <f aca="false">B9597/Summary!$B$5-1</f>
        <v>0.082033576268473</v>
      </c>
    </row>
    <row r="9598" customFormat="false" ht="15" hidden="false" customHeight="false" outlineLevel="0" collapsed="false">
      <c r="A9598" s="0" t="n">
        <v>9597</v>
      </c>
      <c r="B9598" s="14" t="n">
        <v>102384.145433409</v>
      </c>
      <c r="C9598" s="15" t="n">
        <v>0.0935884554379631</v>
      </c>
      <c r="D9598" s="14" t="n">
        <f aca="false">Summary!$B$5-B9598</f>
        <v>-2384.1454334094</v>
      </c>
      <c r="E9598" s="15" t="n">
        <f aca="false">B9598/Summary!$B$5-1</f>
        <v>0.0238414543340941</v>
      </c>
    </row>
    <row r="9599" customFormat="false" ht="15" hidden="false" customHeight="false" outlineLevel="0" collapsed="false">
      <c r="A9599" s="0" t="n">
        <v>9598</v>
      </c>
      <c r="B9599" s="14" t="n">
        <v>112033.576379716</v>
      </c>
      <c r="C9599" s="15" t="n">
        <v>0.0817417046497758</v>
      </c>
      <c r="D9599" s="14" t="n">
        <f aca="false">Summary!$B$5-B9599</f>
        <v>-12033.5763797163</v>
      </c>
      <c r="E9599" s="15" t="n">
        <f aca="false">B9599/Summary!$B$5-1</f>
        <v>0.120335763797163</v>
      </c>
    </row>
    <row r="9600" customFormat="false" ht="15" hidden="false" customHeight="false" outlineLevel="0" collapsed="false">
      <c r="A9600" s="0" t="n">
        <v>9599</v>
      </c>
      <c r="B9600" s="14" t="n">
        <v>93169.4183152441</v>
      </c>
      <c r="C9600" s="15" t="n">
        <v>0.110220292810277</v>
      </c>
      <c r="D9600" s="14" t="n">
        <f aca="false">Summary!$B$5-B9600</f>
        <v>6830.58168475595</v>
      </c>
      <c r="E9600" s="15" t="n">
        <f aca="false">B9600/Summary!$B$5-1</f>
        <v>-0.0683058168475594</v>
      </c>
    </row>
    <row r="9601" customFormat="false" ht="15" hidden="false" customHeight="false" outlineLevel="0" collapsed="false">
      <c r="A9601" s="0" t="n">
        <v>9600</v>
      </c>
      <c r="B9601" s="14" t="n">
        <v>95167.847895258</v>
      </c>
      <c r="C9601" s="15" t="n">
        <v>0.152726027343019</v>
      </c>
      <c r="D9601" s="14" t="n">
        <f aca="false">Summary!$B$5-B9601</f>
        <v>4832.15210474203</v>
      </c>
      <c r="E9601" s="15" t="n">
        <f aca="false">B9601/Summary!$B$5-1</f>
        <v>-0.0483215210474203</v>
      </c>
    </row>
    <row r="9602" customFormat="false" ht="15" hidden="false" customHeight="false" outlineLevel="0" collapsed="false">
      <c r="A9602" s="0" t="n">
        <v>9601</v>
      </c>
      <c r="B9602" s="14" t="n">
        <v>90796.1923300132</v>
      </c>
      <c r="C9602" s="15" t="n">
        <v>0.18425118615686</v>
      </c>
      <c r="D9602" s="14" t="n">
        <f aca="false">Summary!$B$5-B9602</f>
        <v>9203.80766998683</v>
      </c>
      <c r="E9602" s="15" t="n">
        <f aca="false">B9602/Summary!$B$5-1</f>
        <v>-0.0920380766998683</v>
      </c>
    </row>
    <row r="9603" customFormat="false" ht="15" hidden="false" customHeight="false" outlineLevel="0" collapsed="false">
      <c r="A9603" s="0" t="n">
        <v>9602</v>
      </c>
      <c r="B9603" s="14" t="n">
        <v>106693.857629651</v>
      </c>
      <c r="C9603" s="15" t="n">
        <v>0.0939685795480225</v>
      </c>
      <c r="D9603" s="14" t="n">
        <f aca="false">Summary!$B$5-B9603</f>
        <v>-6693.85762965139</v>
      </c>
      <c r="E9603" s="15" t="n">
        <f aca="false">B9603/Summary!$B$5-1</f>
        <v>0.066938576296514</v>
      </c>
    </row>
    <row r="9604" customFormat="false" ht="15" hidden="false" customHeight="false" outlineLevel="0" collapsed="false">
      <c r="A9604" s="0" t="n">
        <v>9603</v>
      </c>
      <c r="B9604" s="14" t="n">
        <v>130707.769459627</v>
      </c>
      <c r="C9604" s="15" t="n">
        <v>0.0630554261888946</v>
      </c>
      <c r="D9604" s="14" t="n">
        <f aca="false">Summary!$B$5-B9604</f>
        <v>-30707.7694596266</v>
      </c>
      <c r="E9604" s="15" t="n">
        <f aca="false">B9604/Summary!$B$5-1</f>
        <v>0.307077694596266</v>
      </c>
    </row>
    <row r="9605" customFormat="false" ht="15" hidden="false" customHeight="false" outlineLevel="0" collapsed="false">
      <c r="A9605" s="0" t="n">
        <v>9604</v>
      </c>
      <c r="B9605" s="14" t="n">
        <v>112096.019136947</v>
      </c>
      <c r="C9605" s="15" t="n">
        <v>0.112115106047931</v>
      </c>
      <c r="D9605" s="14" t="n">
        <f aca="false">Summary!$B$5-B9605</f>
        <v>-12096.0191369469</v>
      </c>
      <c r="E9605" s="15" t="n">
        <f aca="false">B9605/Summary!$B$5-1</f>
        <v>0.120960191369469</v>
      </c>
    </row>
    <row r="9606" customFormat="false" ht="15" hidden="false" customHeight="false" outlineLevel="0" collapsed="false">
      <c r="A9606" s="0" t="n">
        <v>9605</v>
      </c>
      <c r="B9606" s="14" t="n">
        <v>99654.2271302351</v>
      </c>
      <c r="C9606" s="15" t="n">
        <v>0.134772630679739</v>
      </c>
      <c r="D9606" s="14" t="n">
        <f aca="false">Summary!$B$5-B9606</f>
        <v>345.772869764944</v>
      </c>
      <c r="E9606" s="15" t="n">
        <f aca="false">B9606/Summary!$B$5-1</f>
        <v>-0.00345772869764949</v>
      </c>
    </row>
    <row r="9607" customFormat="false" ht="15" hidden="false" customHeight="false" outlineLevel="0" collapsed="false">
      <c r="A9607" s="0" t="n">
        <v>9606</v>
      </c>
      <c r="B9607" s="14" t="n">
        <v>107768.144758933</v>
      </c>
      <c r="C9607" s="15" t="n">
        <v>0.0780304561422148</v>
      </c>
      <c r="D9607" s="14" t="n">
        <f aca="false">Summary!$B$5-B9607</f>
        <v>-7768.1447589326</v>
      </c>
      <c r="E9607" s="15" t="n">
        <f aca="false">B9607/Summary!$B$5-1</f>
        <v>0.0776814475893259</v>
      </c>
    </row>
    <row r="9608" customFormat="false" ht="15" hidden="false" customHeight="false" outlineLevel="0" collapsed="false">
      <c r="A9608" s="0" t="n">
        <v>9607</v>
      </c>
      <c r="B9608" s="14" t="n">
        <v>116971.479394269</v>
      </c>
      <c r="C9608" s="15" t="n">
        <v>0.0651792649631034</v>
      </c>
      <c r="D9608" s="14" t="n">
        <f aca="false">Summary!$B$5-B9608</f>
        <v>-16971.479394269</v>
      </c>
      <c r="E9608" s="15" t="n">
        <f aca="false">B9608/Summary!$B$5-1</f>
        <v>0.16971479394269</v>
      </c>
    </row>
    <row r="9609" customFormat="false" ht="15" hidden="false" customHeight="false" outlineLevel="0" collapsed="false">
      <c r="A9609" s="0" t="n">
        <v>9608</v>
      </c>
      <c r="B9609" s="14" t="n">
        <v>87137.7080594022</v>
      </c>
      <c r="C9609" s="15" t="n">
        <v>0.171081552431957</v>
      </c>
      <c r="D9609" s="14" t="n">
        <f aca="false">Summary!$B$5-B9609</f>
        <v>12862.2919405978</v>
      </c>
      <c r="E9609" s="15" t="n">
        <f aca="false">B9609/Summary!$B$5-1</f>
        <v>-0.128622919405978</v>
      </c>
    </row>
    <row r="9610" customFormat="false" ht="15" hidden="false" customHeight="false" outlineLevel="0" collapsed="false">
      <c r="A9610" s="0" t="n">
        <v>9609</v>
      </c>
      <c r="B9610" s="14" t="n">
        <v>117695.776804415</v>
      </c>
      <c r="C9610" s="15" t="n">
        <v>0.0492874057838858</v>
      </c>
      <c r="D9610" s="14" t="n">
        <f aca="false">Summary!$B$5-B9610</f>
        <v>-17695.7768044148</v>
      </c>
      <c r="E9610" s="15" t="n">
        <f aca="false">B9610/Summary!$B$5-1</f>
        <v>0.176957768044148</v>
      </c>
    </row>
    <row r="9611" customFormat="false" ht="15" hidden="false" customHeight="false" outlineLevel="0" collapsed="false">
      <c r="A9611" s="0" t="n">
        <v>9610</v>
      </c>
      <c r="B9611" s="14" t="n">
        <v>93728.1543316742</v>
      </c>
      <c r="C9611" s="15" t="n">
        <v>0.117203017702872</v>
      </c>
      <c r="D9611" s="14" t="n">
        <f aca="false">Summary!$B$5-B9611</f>
        <v>6271.84566832578</v>
      </c>
      <c r="E9611" s="15" t="n">
        <f aca="false">B9611/Summary!$B$5-1</f>
        <v>-0.0627184566832578</v>
      </c>
    </row>
    <row r="9612" customFormat="false" ht="15" hidden="false" customHeight="false" outlineLevel="0" collapsed="false">
      <c r="A9612" s="0" t="n">
        <v>9611</v>
      </c>
      <c r="B9612" s="14" t="n">
        <v>116362.639848208</v>
      </c>
      <c r="C9612" s="15" t="n">
        <v>0.0609752375306009</v>
      </c>
      <c r="D9612" s="14" t="n">
        <f aca="false">Summary!$B$5-B9612</f>
        <v>-16362.6398482077</v>
      </c>
      <c r="E9612" s="15" t="n">
        <f aca="false">B9612/Summary!$B$5-1</f>
        <v>0.163626398482077</v>
      </c>
    </row>
    <row r="9613" customFormat="false" ht="15" hidden="false" customHeight="false" outlineLevel="0" collapsed="false">
      <c r="A9613" s="0" t="n">
        <v>9612</v>
      </c>
      <c r="B9613" s="14" t="n">
        <v>98425.0624532437</v>
      </c>
      <c r="C9613" s="15" t="n">
        <v>0.0929618540842623</v>
      </c>
      <c r="D9613" s="14" t="n">
        <f aca="false">Summary!$B$5-B9613</f>
        <v>1574.93754675632</v>
      </c>
      <c r="E9613" s="15" t="n">
        <f aca="false">B9613/Summary!$B$5-1</f>
        <v>-0.0157493754675633</v>
      </c>
    </row>
    <row r="9614" customFormat="false" ht="15" hidden="false" customHeight="false" outlineLevel="0" collapsed="false">
      <c r="A9614" s="0" t="n">
        <v>9613</v>
      </c>
      <c r="B9614" s="14" t="n">
        <v>91152.2249266429</v>
      </c>
      <c r="C9614" s="15" t="n">
        <v>0.149074079990705</v>
      </c>
      <c r="D9614" s="14" t="n">
        <f aca="false">Summary!$B$5-B9614</f>
        <v>8847.77507335707</v>
      </c>
      <c r="E9614" s="15" t="n">
        <f aca="false">B9614/Summary!$B$5-1</f>
        <v>-0.0884777507335707</v>
      </c>
    </row>
    <row r="9615" customFormat="false" ht="15" hidden="false" customHeight="false" outlineLevel="0" collapsed="false">
      <c r="A9615" s="0" t="n">
        <v>9614</v>
      </c>
      <c r="B9615" s="14" t="n">
        <v>107411.639689934</v>
      </c>
      <c r="C9615" s="15" t="n">
        <v>0.0809050385536587</v>
      </c>
      <c r="D9615" s="14" t="n">
        <f aca="false">Summary!$B$5-B9615</f>
        <v>-7411.63968993349</v>
      </c>
      <c r="E9615" s="15" t="n">
        <f aca="false">B9615/Summary!$B$5-1</f>
        <v>0.074116396899335</v>
      </c>
    </row>
    <row r="9616" customFormat="false" ht="15" hidden="false" customHeight="false" outlineLevel="0" collapsed="false">
      <c r="A9616" s="0" t="n">
        <v>9615</v>
      </c>
      <c r="B9616" s="14" t="n">
        <v>96268.7966306925</v>
      </c>
      <c r="C9616" s="15" t="n">
        <v>0.127011399142232</v>
      </c>
      <c r="D9616" s="14" t="n">
        <f aca="false">Summary!$B$5-B9616</f>
        <v>3731.20336930752</v>
      </c>
      <c r="E9616" s="15" t="n">
        <f aca="false">B9616/Summary!$B$5-1</f>
        <v>-0.0373120336930752</v>
      </c>
    </row>
    <row r="9617" customFormat="false" ht="15" hidden="false" customHeight="false" outlineLevel="0" collapsed="false">
      <c r="A9617" s="0" t="n">
        <v>9616</v>
      </c>
      <c r="B9617" s="14" t="n">
        <v>124494.488904047</v>
      </c>
      <c r="C9617" s="15" t="n">
        <v>0.0573989746516823</v>
      </c>
      <c r="D9617" s="14" t="n">
        <f aca="false">Summary!$B$5-B9617</f>
        <v>-24494.4889040465</v>
      </c>
      <c r="E9617" s="15" t="n">
        <f aca="false">B9617/Summary!$B$5-1</f>
        <v>0.244944889040465</v>
      </c>
    </row>
    <row r="9618" customFormat="false" ht="15" hidden="false" customHeight="false" outlineLevel="0" collapsed="false">
      <c r="A9618" s="0" t="n">
        <v>9617</v>
      </c>
      <c r="B9618" s="14" t="n">
        <v>120112.288847618</v>
      </c>
      <c r="C9618" s="15" t="n">
        <v>0.0853400189479848</v>
      </c>
      <c r="D9618" s="14" t="n">
        <f aca="false">Summary!$B$5-B9618</f>
        <v>-20112.2888476177</v>
      </c>
      <c r="E9618" s="15" t="n">
        <f aca="false">B9618/Summary!$B$5-1</f>
        <v>0.201122888476177</v>
      </c>
    </row>
    <row r="9619" customFormat="false" ht="15" hidden="false" customHeight="false" outlineLevel="0" collapsed="false">
      <c r="A9619" s="0" t="n">
        <v>9618</v>
      </c>
      <c r="B9619" s="14" t="n">
        <v>135792.889628538</v>
      </c>
      <c r="C9619" s="15" t="n">
        <v>0.055080420104543</v>
      </c>
      <c r="D9619" s="14" t="n">
        <f aca="false">Summary!$B$5-B9619</f>
        <v>-35792.8896285378</v>
      </c>
      <c r="E9619" s="15" t="n">
        <f aca="false">B9619/Summary!$B$5-1</f>
        <v>0.357928896285378</v>
      </c>
    </row>
    <row r="9620" customFormat="false" ht="15" hidden="false" customHeight="false" outlineLevel="0" collapsed="false">
      <c r="A9620" s="0" t="n">
        <v>9619</v>
      </c>
      <c r="B9620" s="14" t="n">
        <v>93576.006234107</v>
      </c>
      <c r="C9620" s="15" t="n">
        <v>0.162671117229397</v>
      </c>
      <c r="D9620" s="14" t="n">
        <f aca="false">Summary!$B$5-B9620</f>
        <v>6423.99376589296</v>
      </c>
      <c r="E9620" s="15" t="n">
        <f aca="false">B9620/Summary!$B$5-1</f>
        <v>-0.0642399376589296</v>
      </c>
    </row>
    <row r="9621" customFormat="false" ht="15" hidden="false" customHeight="false" outlineLevel="0" collapsed="false">
      <c r="A9621" s="0" t="n">
        <v>9620</v>
      </c>
      <c r="B9621" s="14" t="n">
        <v>101905.454580405</v>
      </c>
      <c r="C9621" s="15" t="n">
        <v>0.125888399776026</v>
      </c>
      <c r="D9621" s="14" t="n">
        <f aca="false">Summary!$B$5-B9621</f>
        <v>-1905.4545804048</v>
      </c>
      <c r="E9621" s="15" t="n">
        <f aca="false">B9621/Summary!$B$5-1</f>
        <v>0.0190545458040479</v>
      </c>
    </row>
    <row r="9622" customFormat="false" ht="15" hidden="false" customHeight="false" outlineLevel="0" collapsed="false">
      <c r="A9622" s="0" t="n">
        <v>9621</v>
      </c>
      <c r="B9622" s="14" t="n">
        <v>117747.739614388</v>
      </c>
      <c r="C9622" s="15" t="n">
        <v>0.0882099207587914</v>
      </c>
      <c r="D9622" s="14" t="n">
        <f aca="false">Summary!$B$5-B9622</f>
        <v>-17747.7396143876</v>
      </c>
      <c r="E9622" s="15" t="n">
        <f aca="false">B9622/Summary!$B$5-1</f>
        <v>0.177477396143876</v>
      </c>
    </row>
    <row r="9623" customFormat="false" ht="15" hidden="false" customHeight="false" outlineLevel="0" collapsed="false">
      <c r="A9623" s="0" t="n">
        <v>9622</v>
      </c>
      <c r="B9623" s="14" t="n">
        <v>100817.094358678</v>
      </c>
      <c r="C9623" s="15" t="n">
        <v>0.100839966195809</v>
      </c>
      <c r="D9623" s="14" t="n">
        <f aca="false">Summary!$B$5-B9623</f>
        <v>-817.094358678296</v>
      </c>
      <c r="E9623" s="15" t="n">
        <f aca="false">B9623/Summary!$B$5-1</f>
        <v>0.00817094358678294</v>
      </c>
    </row>
    <row r="9624" customFormat="false" ht="15" hidden="false" customHeight="false" outlineLevel="0" collapsed="false">
      <c r="A9624" s="0" t="n">
        <v>9623</v>
      </c>
      <c r="B9624" s="14" t="n">
        <v>111517.677107642</v>
      </c>
      <c r="C9624" s="15" t="n">
        <v>0.0788590555381123</v>
      </c>
      <c r="D9624" s="14" t="n">
        <f aca="false">Summary!$B$5-B9624</f>
        <v>-11517.6771076424</v>
      </c>
      <c r="E9624" s="15" t="n">
        <f aca="false">B9624/Summary!$B$5-1</f>
        <v>0.115176771076424</v>
      </c>
    </row>
    <row r="9625" customFormat="false" ht="15" hidden="false" customHeight="false" outlineLevel="0" collapsed="false">
      <c r="A9625" s="0" t="n">
        <v>9624</v>
      </c>
      <c r="B9625" s="14" t="n">
        <v>128837.491770232</v>
      </c>
      <c r="C9625" s="15" t="n">
        <v>0.094961727347131</v>
      </c>
      <c r="D9625" s="14" t="n">
        <f aca="false">Summary!$B$5-B9625</f>
        <v>-28837.491770232</v>
      </c>
      <c r="E9625" s="15" t="n">
        <f aca="false">B9625/Summary!$B$5-1</f>
        <v>0.28837491770232</v>
      </c>
    </row>
    <row r="9626" customFormat="false" ht="15" hidden="false" customHeight="false" outlineLevel="0" collapsed="false">
      <c r="A9626" s="0" t="n">
        <v>9625</v>
      </c>
      <c r="B9626" s="14" t="n">
        <v>109319.093009783</v>
      </c>
      <c r="C9626" s="15" t="n">
        <v>0.074996176136069</v>
      </c>
      <c r="D9626" s="14" t="n">
        <f aca="false">Summary!$B$5-B9626</f>
        <v>-9319.0930097829</v>
      </c>
      <c r="E9626" s="15" t="n">
        <f aca="false">B9626/Summary!$B$5-1</f>
        <v>0.0931909300978289</v>
      </c>
    </row>
    <row r="9627" customFormat="false" ht="15" hidden="false" customHeight="false" outlineLevel="0" collapsed="false">
      <c r="A9627" s="0" t="n">
        <v>9626</v>
      </c>
      <c r="B9627" s="14" t="n">
        <v>111171.871531558</v>
      </c>
      <c r="C9627" s="15" t="n">
        <v>0.0907841030286934</v>
      </c>
      <c r="D9627" s="14" t="n">
        <f aca="false">Summary!$B$5-B9627</f>
        <v>-11171.8715315581</v>
      </c>
      <c r="E9627" s="15" t="n">
        <f aca="false">B9627/Summary!$B$5-1</f>
        <v>0.111718715315581</v>
      </c>
    </row>
    <row r="9628" customFormat="false" ht="15" hidden="false" customHeight="false" outlineLevel="0" collapsed="false">
      <c r="A9628" s="0" t="n">
        <v>9627</v>
      </c>
      <c r="B9628" s="14" t="n">
        <v>98914.3817029438</v>
      </c>
      <c r="C9628" s="15" t="n">
        <v>0.0860354801776198</v>
      </c>
      <c r="D9628" s="14" t="n">
        <f aca="false">Summary!$B$5-B9628</f>
        <v>1085.61829705621</v>
      </c>
      <c r="E9628" s="15" t="n">
        <f aca="false">B9628/Summary!$B$5-1</f>
        <v>-0.0108561829705621</v>
      </c>
    </row>
    <row r="9629" customFormat="false" ht="15" hidden="false" customHeight="false" outlineLevel="0" collapsed="false">
      <c r="A9629" s="0" t="n">
        <v>9628</v>
      </c>
      <c r="B9629" s="14" t="n">
        <v>105528.683784249</v>
      </c>
      <c r="C9629" s="15" t="n">
        <v>0.0908743809556646</v>
      </c>
      <c r="D9629" s="14" t="n">
        <f aca="false">Summary!$B$5-B9629</f>
        <v>-5528.6837842493</v>
      </c>
      <c r="E9629" s="15" t="n">
        <f aca="false">B9629/Summary!$B$5-1</f>
        <v>0.0552868378424929</v>
      </c>
    </row>
    <row r="9630" customFormat="false" ht="15" hidden="false" customHeight="false" outlineLevel="0" collapsed="false">
      <c r="A9630" s="0" t="n">
        <v>9629</v>
      </c>
      <c r="B9630" s="14" t="n">
        <v>117303.345356841</v>
      </c>
      <c r="C9630" s="15" t="n">
        <v>0.0489953494661055</v>
      </c>
      <c r="D9630" s="14" t="n">
        <f aca="false">Summary!$B$5-B9630</f>
        <v>-17303.345356841</v>
      </c>
      <c r="E9630" s="15" t="n">
        <f aca="false">B9630/Summary!$B$5-1</f>
        <v>0.17303345356841</v>
      </c>
    </row>
    <row r="9631" customFormat="false" ht="15" hidden="false" customHeight="false" outlineLevel="0" collapsed="false">
      <c r="A9631" s="0" t="n">
        <v>9630</v>
      </c>
      <c r="B9631" s="14" t="n">
        <v>123165.465702171</v>
      </c>
      <c r="C9631" s="15" t="n">
        <v>0.0560946100501362</v>
      </c>
      <c r="D9631" s="14" t="n">
        <f aca="false">Summary!$B$5-B9631</f>
        <v>-23165.4657021714</v>
      </c>
      <c r="E9631" s="15" t="n">
        <f aca="false">B9631/Summary!$B$5-1</f>
        <v>0.231654657021714</v>
      </c>
    </row>
    <row r="9632" customFormat="false" ht="15" hidden="false" customHeight="false" outlineLevel="0" collapsed="false">
      <c r="A9632" s="0" t="n">
        <v>9631</v>
      </c>
      <c r="B9632" s="14" t="n">
        <v>105531.117573159</v>
      </c>
      <c r="C9632" s="15" t="n">
        <v>0.0914137415646679</v>
      </c>
      <c r="D9632" s="14" t="n">
        <f aca="false">Summary!$B$5-B9632</f>
        <v>-5531.1175731589</v>
      </c>
      <c r="E9632" s="15" t="n">
        <f aca="false">B9632/Summary!$B$5-1</f>
        <v>0.0553111757315889</v>
      </c>
    </row>
    <row r="9633" customFormat="false" ht="15" hidden="false" customHeight="false" outlineLevel="0" collapsed="false">
      <c r="A9633" s="0" t="n">
        <v>9632</v>
      </c>
      <c r="B9633" s="14" t="n">
        <v>110811.088555008</v>
      </c>
      <c r="C9633" s="15" t="n">
        <v>0.0603478195172109</v>
      </c>
      <c r="D9633" s="14" t="n">
        <f aca="false">Summary!$B$5-B9633</f>
        <v>-10811.0885550079</v>
      </c>
      <c r="E9633" s="15" t="n">
        <f aca="false">B9633/Summary!$B$5-1</f>
        <v>0.108110885550079</v>
      </c>
    </row>
    <row r="9634" customFormat="false" ht="15" hidden="false" customHeight="false" outlineLevel="0" collapsed="false">
      <c r="A9634" s="0" t="n">
        <v>9633</v>
      </c>
      <c r="B9634" s="14" t="n">
        <v>99515.0962986565</v>
      </c>
      <c r="C9634" s="15" t="n">
        <v>0.145427565206136</v>
      </c>
      <c r="D9634" s="14" t="n">
        <f aca="false">Summary!$B$5-B9634</f>
        <v>484.903701343501</v>
      </c>
      <c r="E9634" s="15" t="n">
        <f aca="false">B9634/Summary!$B$5-1</f>
        <v>-0.00484903701343498</v>
      </c>
    </row>
    <row r="9635" customFormat="false" ht="15" hidden="false" customHeight="false" outlineLevel="0" collapsed="false">
      <c r="A9635" s="0" t="n">
        <v>9634</v>
      </c>
      <c r="B9635" s="14" t="n">
        <v>109326.220201321</v>
      </c>
      <c r="C9635" s="15" t="n">
        <v>0.10248610596527</v>
      </c>
      <c r="D9635" s="14" t="n">
        <f aca="false">Summary!$B$5-B9635</f>
        <v>-9326.2202013213</v>
      </c>
      <c r="E9635" s="15" t="n">
        <f aca="false">B9635/Summary!$B$5-1</f>
        <v>0.093262202013213</v>
      </c>
    </row>
    <row r="9636" customFormat="false" ht="15" hidden="false" customHeight="false" outlineLevel="0" collapsed="false">
      <c r="A9636" s="0" t="n">
        <v>9635</v>
      </c>
      <c r="B9636" s="14" t="n">
        <v>99972.4372860652</v>
      </c>
      <c r="C9636" s="15" t="n">
        <v>0.10437371835937</v>
      </c>
      <c r="D9636" s="14" t="n">
        <f aca="false">Summary!$B$5-B9636</f>
        <v>27.562713934778</v>
      </c>
      <c r="E9636" s="15" t="n">
        <f aca="false">B9636/Summary!$B$5-1</f>
        <v>-0.000275627139347812</v>
      </c>
    </row>
    <row r="9637" customFormat="false" ht="15" hidden="false" customHeight="false" outlineLevel="0" collapsed="false">
      <c r="A9637" s="0" t="n">
        <v>9636</v>
      </c>
      <c r="B9637" s="14" t="n">
        <v>149869.618496485</v>
      </c>
      <c r="C9637" s="15" t="n">
        <v>0.0839485594540596</v>
      </c>
      <c r="D9637" s="14" t="n">
        <f aca="false">Summary!$B$5-B9637</f>
        <v>-49869.6184964853</v>
      </c>
      <c r="E9637" s="15" t="n">
        <f aca="false">B9637/Summary!$B$5-1</f>
        <v>0.498696184964853</v>
      </c>
    </row>
    <row r="9638" customFormat="false" ht="15" hidden="false" customHeight="false" outlineLevel="0" collapsed="false">
      <c r="A9638" s="0" t="n">
        <v>9637</v>
      </c>
      <c r="B9638" s="14" t="n">
        <v>123099.723030232</v>
      </c>
      <c r="C9638" s="15" t="n">
        <v>0.066739936022839</v>
      </c>
      <c r="D9638" s="14" t="n">
        <f aca="false">Summary!$B$5-B9638</f>
        <v>-23099.7230302321</v>
      </c>
      <c r="E9638" s="15" t="n">
        <f aca="false">B9638/Summary!$B$5-1</f>
        <v>0.230997230302321</v>
      </c>
    </row>
    <row r="9639" customFormat="false" ht="15" hidden="false" customHeight="false" outlineLevel="0" collapsed="false">
      <c r="A9639" s="0" t="n">
        <v>9638</v>
      </c>
      <c r="B9639" s="14" t="n">
        <v>106670.214327999</v>
      </c>
      <c r="C9639" s="15" t="n">
        <v>0.105922476532584</v>
      </c>
      <c r="D9639" s="14" t="n">
        <f aca="false">Summary!$B$5-B9639</f>
        <v>-6670.21432799871</v>
      </c>
      <c r="E9639" s="15" t="n">
        <f aca="false">B9639/Summary!$B$5-1</f>
        <v>0.066702143279987</v>
      </c>
    </row>
    <row r="9640" customFormat="false" ht="15" hidden="false" customHeight="false" outlineLevel="0" collapsed="false">
      <c r="A9640" s="0" t="n">
        <v>9639</v>
      </c>
      <c r="B9640" s="14" t="n">
        <v>105299.641983313</v>
      </c>
      <c r="C9640" s="15" t="n">
        <v>0.129151286227826</v>
      </c>
      <c r="D9640" s="14" t="n">
        <f aca="false">Summary!$B$5-B9640</f>
        <v>-5299.6419833133</v>
      </c>
      <c r="E9640" s="15" t="n">
        <f aca="false">B9640/Summary!$B$5-1</f>
        <v>0.052996419833133</v>
      </c>
    </row>
    <row r="9641" customFormat="false" ht="15" hidden="false" customHeight="false" outlineLevel="0" collapsed="false">
      <c r="A9641" s="0" t="n">
        <v>9640</v>
      </c>
      <c r="B9641" s="14" t="n">
        <v>113948.466375623</v>
      </c>
      <c r="C9641" s="15" t="n">
        <v>0.0813170389430697</v>
      </c>
      <c r="D9641" s="14" t="n">
        <f aca="false">Summary!$B$5-B9641</f>
        <v>-13948.4663756227</v>
      </c>
      <c r="E9641" s="15" t="n">
        <f aca="false">B9641/Summary!$B$5-1</f>
        <v>0.139484663756227</v>
      </c>
    </row>
    <row r="9642" customFormat="false" ht="15" hidden="false" customHeight="false" outlineLevel="0" collapsed="false">
      <c r="A9642" s="0" t="n">
        <v>9641</v>
      </c>
      <c r="B9642" s="14" t="n">
        <v>130343.975475382</v>
      </c>
      <c r="C9642" s="15" t="n">
        <v>0.0597008391379982</v>
      </c>
      <c r="D9642" s="14" t="n">
        <f aca="false">Summary!$B$5-B9642</f>
        <v>-30343.9754753824</v>
      </c>
      <c r="E9642" s="15" t="n">
        <f aca="false">B9642/Summary!$B$5-1</f>
        <v>0.303439754753824</v>
      </c>
    </row>
    <row r="9643" customFormat="false" ht="15" hidden="false" customHeight="false" outlineLevel="0" collapsed="false">
      <c r="A9643" s="0" t="n">
        <v>9642</v>
      </c>
      <c r="B9643" s="14" t="n">
        <v>103231.006075643</v>
      </c>
      <c r="C9643" s="15" t="n">
        <v>0.0736753352755472</v>
      </c>
      <c r="D9643" s="14" t="n">
        <f aca="false">Summary!$B$5-B9643</f>
        <v>-3231.0060756429</v>
      </c>
      <c r="E9643" s="15" t="n">
        <f aca="false">B9643/Summary!$B$5-1</f>
        <v>0.0323100607564291</v>
      </c>
    </row>
    <row r="9644" customFormat="false" ht="15" hidden="false" customHeight="false" outlineLevel="0" collapsed="false">
      <c r="A9644" s="0" t="n">
        <v>9643</v>
      </c>
      <c r="B9644" s="14" t="n">
        <v>129219.564158121</v>
      </c>
      <c r="C9644" s="15" t="n">
        <v>0.0397035979150966</v>
      </c>
      <c r="D9644" s="14" t="n">
        <f aca="false">Summary!$B$5-B9644</f>
        <v>-29219.5641581212</v>
      </c>
      <c r="E9644" s="15" t="n">
        <f aca="false">B9644/Summary!$B$5-1</f>
        <v>0.292195641581212</v>
      </c>
    </row>
    <row r="9645" customFormat="false" ht="15" hidden="false" customHeight="false" outlineLevel="0" collapsed="false">
      <c r="A9645" s="0" t="n">
        <v>9644</v>
      </c>
      <c r="B9645" s="14" t="n">
        <v>121298.820123147</v>
      </c>
      <c r="C9645" s="15" t="n">
        <v>0.0831119186537441</v>
      </c>
      <c r="D9645" s="14" t="n">
        <f aca="false">Summary!$B$5-B9645</f>
        <v>-21298.820123147</v>
      </c>
      <c r="E9645" s="15" t="n">
        <f aca="false">B9645/Summary!$B$5-1</f>
        <v>0.21298820123147</v>
      </c>
    </row>
    <row r="9646" customFormat="false" ht="15" hidden="false" customHeight="false" outlineLevel="0" collapsed="false">
      <c r="A9646" s="0" t="n">
        <v>9645</v>
      </c>
      <c r="B9646" s="14" t="n">
        <v>102042.79982067</v>
      </c>
      <c r="C9646" s="15" t="n">
        <v>0.115782944864965</v>
      </c>
      <c r="D9646" s="14" t="n">
        <f aca="false">Summary!$B$5-B9646</f>
        <v>-2042.79982067031</v>
      </c>
      <c r="E9646" s="15" t="n">
        <f aca="false">B9646/Summary!$B$5-1</f>
        <v>0.020427998206703</v>
      </c>
    </row>
    <row r="9647" customFormat="false" ht="15" hidden="false" customHeight="false" outlineLevel="0" collapsed="false">
      <c r="A9647" s="0" t="n">
        <v>9646</v>
      </c>
      <c r="B9647" s="14" t="n">
        <v>100555.573234499</v>
      </c>
      <c r="C9647" s="15" t="n">
        <v>0.111764480954216</v>
      </c>
      <c r="D9647" s="14" t="n">
        <f aca="false">Summary!$B$5-B9647</f>
        <v>-555.573234499403</v>
      </c>
      <c r="E9647" s="15" t="n">
        <f aca="false">B9647/Summary!$B$5-1</f>
        <v>0.00555573234499396</v>
      </c>
    </row>
    <row r="9648" customFormat="false" ht="15" hidden="false" customHeight="false" outlineLevel="0" collapsed="false">
      <c r="A9648" s="0" t="n">
        <v>9647</v>
      </c>
      <c r="B9648" s="14" t="n">
        <v>101483.516441835</v>
      </c>
      <c r="C9648" s="15" t="n">
        <v>0.0987840274524807</v>
      </c>
      <c r="D9648" s="14" t="n">
        <f aca="false">Summary!$B$5-B9648</f>
        <v>-1483.5164418348</v>
      </c>
      <c r="E9648" s="15" t="n">
        <f aca="false">B9648/Summary!$B$5-1</f>
        <v>0.014835164418348</v>
      </c>
    </row>
    <row r="9649" customFormat="false" ht="15" hidden="false" customHeight="false" outlineLevel="0" collapsed="false">
      <c r="A9649" s="0" t="n">
        <v>9648</v>
      </c>
      <c r="B9649" s="14" t="n">
        <v>96918.3819096884</v>
      </c>
      <c r="C9649" s="15" t="n">
        <v>0.112474450869912</v>
      </c>
      <c r="D9649" s="14" t="n">
        <f aca="false">Summary!$B$5-B9649</f>
        <v>3081.61809031165</v>
      </c>
      <c r="E9649" s="15" t="n">
        <f aca="false">B9649/Summary!$B$5-1</f>
        <v>-0.0308161809031164</v>
      </c>
    </row>
    <row r="9650" customFormat="false" ht="15" hidden="false" customHeight="false" outlineLevel="0" collapsed="false">
      <c r="A9650" s="0" t="n">
        <v>9649</v>
      </c>
      <c r="B9650" s="14" t="n">
        <v>98029.6585077608</v>
      </c>
      <c r="C9650" s="15" t="n">
        <v>0.117882778762366</v>
      </c>
      <c r="D9650" s="14" t="n">
        <f aca="false">Summary!$B$5-B9650</f>
        <v>1970.34149223918</v>
      </c>
      <c r="E9650" s="15" t="n">
        <f aca="false">B9650/Summary!$B$5-1</f>
        <v>-0.0197034149223918</v>
      </c>
    </row>
    <row r="9651" customFormat="false" ht="15" hidden="false" customHeight="false" outlineLevel="0" collapsed="false">
      <c r="A9651" s="0" t="n">
        <v>9650</v>
      </c>
      <c r="B9651" s="14" t="n">
        <v>85931.0918196622</v>
      </c>
      <c r="C9651" s="15" t="n">
        <v>0.179967891213402</v>
      </c>
      <c r="D9651" s="14" t="n">
        <f aca="false">Summary!$B$5-B9651</f>
        <v>14068.9081803378</v>
      </c>
      <c r="E9651" s="15" t="n">
        <f aca="false">B9651/Summary!$B$5-1</f>
        <v>-0.140689081803378</v>
      </c>
    </row>
    <row r="9652" customFormat="false" ht="15" hidden="false" customHeight="false" outlineLevel="0" collapsed="false">
      <c r="A9652" s="0" t="n">
        <v>9651</v>
      </c>
      <c r="B9652" s="14" t="n">
        <v>121103.874064036</v>
      </c>
      <c r="C9652" s="15" t="n">
        <v>0.0699805688813547</v>
      </c>
      <c r="D9652" s="14" t="n">
        <f aca="false">Summary!$B$5-B9652</f>
        <v>-21103.8740640357</v>
      </c>
      <c r="E9652" s="15" t="n">
        <f aca="false">B9652/Summary!$B$5-1</f>
        <v>0.211038740640357</v>
      </c>
    </row>
    <row r="9653" customFormat="false" ht="15" hidden="false" customHeight="false" outlineLevel="0" collapsed="false">
      <c r="A9653" s="0" t="n">
        <v>9652</v>
      </c>
      <c r="B9653" s="14" t="n">
        <v>118320.916271435</v>
      </c>
      <c r="C9653" s="15" t="n">
        <v>0.0629950922860724</v>
      </c>
      <c r="D9653" s="14" t="n">
        <f aca="false">Summary!$B$5-B9653</f>
        <v>-18320.9162714348</v>
      </c>
      <c r="E9653" s="15" t="n">
        <f aca="false">B9653/Summary!$B$5-1</f>
        <v>0.183209162714348</v>
      </c>
    </row>
    <row r="9654" customFormat="false" ht="15" hidden="false" customHeight="false" outlineLevel="0" collapsed="false">
      <c r="A9654" s="0" t="n">
        <v>9653</v>
      </c>
      <c r="B9654" s="14" t="n">
        <v>97068.8023394251</v>
      </c>
      <c r="C9654" s="15" t="n">
        <v>0.135411546098726</v>
      </c>
      <c r="D9654" s="14" t="n">
        <f aca="false">Summary!$B$5-B9654</f>
        <v>2931.19766057495</v>
      </c>
      <c r="E9654" s="15" t="n">
        <f aca="false">B9654/Summary!$B$5-1</f>
        <v>-0.0293119766057495</v>
      </c>
    </row>
    <row r="9655" customFormat="false" ht="15" hidden="false" customHeight="false" outlineLevel="0" collapsed="false">
      <c r="A9655" s="0" t="n">
        <v>9654</v>
      </c>
      <c r="B9655" s="14" t="n">
        <v>116971.480558733</v>
      </c>
      <c r="C9655" s="15" t="n">
        <v>0.0646377228318628</v>
      </c>
      <c r="D9655" s="14" t="n">
        <f aca="false">Summary!$B$5-B9655</f>
        <v>-16971.4805587326</v>
      </c>
      <c r="E9655" s="15" t="n">
        <f aca="false">B9655/Summary!$B$5-1</f>
        <v>0.169714805587326</v>
      </c>
    </row>
    <row r="9656" customFormat="false" ht="15" hidden="false" customHeight="false" outlineLevel="0" collapsed="false">
      <c r="A9656" s="0" t="n">
        <v>9655</v>
      </c>
      <c r="B9656" s="14" t="n">
        <v>103129.914246457</v>
      </c>
      <c r="C9656" s="15" t="n">
        <v>0.0724224218049717</v>
      </c>
      <c r="D9656" s="14" t="n">
        <f aca="false">Summary!$B$5-B9656</f>
        <v>-3129.91424645711</v>
      </c>
      <c r="E9656" s="15" t="n">
        <f aca="false">B9656/Summary!$B$5-1</f>
        <v>0.031299142464571</v>
      </c>
    </row>
    <row r="9657" customFormat="false" ht="15" hidden="false" customHeight="false" outlineLevel="0" collapsed="false">
      <c r="A9657" s="0" t="n">
        <v>9656</v>
      </c>
      <c r="B9657" s="14" t="n">
        <v>109318.508042529</v>
      </c>
      <c r="C9657" s="15" t="n">
        <v>0.119039802232388</v>
      </c>
      <c r="D9657" s="14" t="n">
        <f aca="false">Summary!$B$5-B9657</f>
        <v>-9318.5080425287</v>
      </c>
      <c r="E9657" s="15" t="n">
        <f aca="false">B9657/Summary!$B$5-1</f>
        <v>0.093185080425287</v>
      </c>
    </row>
    <row r="9658" customFormat="false" ht="15" hidden="false" customHeight="false" outlineLevel="0" collapsed="false">
      <c r="A9658" s="0" t="n">
        <v>9657</v>
      </c>
      <c r="B9658" s="14" t="n">
        <v>105141.961443269</v>
      </c>
      <c r="C9658" s="15" t="n">
        <v>0.0619023601813483</v>
      </c>
      <c r="D9658" s="14" t="n">
        <f aca="false">Summary!$B$5-B9658</f>
        <v>-5141.9614432692</v>
      </c>
      <c r="E9658" s="15" t="n">
        <f aca="false">B9658/Summary!$B$5-1</f>
        <v>0.0514196144326919</v>
      </c>
    </row>
    <row r="9659" customFormat="false" ht="15" hidden="false" customHeight="false" outlineLevel="0" collapsed="false">
      <c r="A9659" s="0" t="n">
        <v>9658</v>
      </c>
      <c r="B9659" s="14" t="n">
        <v>119350.510646816</v>
      </c>
      <c r="C9659" s="15" t="n">
        <v>0.0573644071219539</v>
      </c>
      <c r="D9659" s="14" t="n">
        <f aca="false">Summary!$B$5-B9659</f>
        <v>-19350.5106468158</v>
      </c>
      <c r="E9659" s="15" t="n">
        <f aca="false">B9659/Summary!$B$5-1</f>
        <v>0.193505106468158</v>
      </c>
    </row>
    <row r="9660" customFormat="false" ht="15" hidden="false" customHeight="false" outlineLevel="0" collapsed="false">
      <c r="A9660" s="0" t="n">
        <v>9659</v>
      </c>
      <c r="B9660" s="14" t="n">
        <v>107325.690880506</v>
      </c>
      <c r="C9660" s="15" t="n">
        <v>0.102742117338342</v>
      </c>
      <c r="D9660" s="14" t="n">
        <f aca="false">Summary!$B$5-B9660</f>
        <v>-7325.6908805057</v>
      </c>
      <c r="E9660" s="15" t="n">
        <f aca="false">B9660/Summary!$B$5-1</f>
        <v>0.073256908805057</v>
      </c>
    </row>
    <row r="9661" customFormat="false" ht="15" hidden="false" customHeight="false" outlineLevel="0" collapsed="false">
      <c r="A9661" s="0" t="n">
        <v>9660</v>
      </c>
      <c r="B9661" s="14" t="n">
        <v>106800.835226549</v>
      </c>
      <c r="C9661" s="15" t="n">
        <v>0.111465693147557</v>
      </c>
      <c r="D9661" s="14" t="n">
        <f aca="false">Summary!$B$5-B9661</f>
        <v>-6800.8352265492</v>
      </c>
      <c r="E9661" s="15" t="n">
        <f aca="false">B9661/Summary!$B$5-1</f>
        <v>0.068008352265492</v>
      </c>
    </row>
    <row r="9662" customFormat="false" ht="15" hidden="false" customHeight="false" outlineLevel="0" collapsed="false">
      <c r="A9662" s="0" t="n">
        <v>9661</v>
      </c>
      <c r="B9662" s="14" t="n">
        <v>118078.541927659</v>
      </c>
      <c r="C9662" s="15" t="n">
        <v>0.0466493996307135</v>
      </c>
      <c r="D9662" s="14" t="n">
        <f aca="false">Summary!$B$5-B9662</f>
        <v>-18078.5419276593</v>
      </c>
      <c r="E9662" s="15" t="n">
        <f aca="false">B9662/Summary!$B$5-1</f>
        <v>0.180785419276593</v>
      </c>
    </row>
    <row r="9663" customFormat="false" ht="15" hidden="false" customHeight="false" outlineLevel="0" collapsed="false">
      <c r="A9663" s="0" t="n">
        <v>9662</v>
      </c>
      <c r="B9663" s="14" t="n">
        <v>119975.573524945</v>
      </c>
      <c r="C9663" s="15" t="n">
        <v>0.0783536699052606</v>
      </c>
      <c r="D9663" s="14" t="n">
        <f aca="false">Summary!$B$5-B9663</f>
        <v>-19975.573524945</v>
      </c>
      <c r="E9663" s="15" t="n">
        <f aca="false">B9663/Summary!$B$5-1</f>
        <v>0.19975573524945</v>
      </c>
    </row>
    <row r="9664" customFormat="false" ht="15" hidden="false" customHeight="false" outlineLevel="0" collapsed="false">
      <c r="A9664" s="0" t="n">
        <v>9663</v>
      </c>
      <c r="B9664" s="14" t="n">
        <v>121970.823847018</v>
      </c>
      <c r="C9664" s="15" t="n">
        <v>0.0646037688092681</v>
      </c>
      <c r="D9664" s="14" t="n">
        <f aca="false">Summary!$B$5-B9664</f>
        <v>-21970.8238470184</v>
      </c>
      <c r="E9664" s="15" t="n">
        <f aca="false">B9664/Summary!$B$5-1</f>
        <v>0.219708238470184</v>
      </c>
    </row>
    <row r="9665" customFormat="false" ht="15" hidden="false" customHeight="false" outlineLevel="0" collapsed="false">
      <c r="A9665" s="0" t="n">
        <v>9664</v>
      </c>
      <c r="B9665" s="14" t="n">
        <v>98761.6377241655</v>
      </c>
      <c r="C9665" s="15" t="n">
        <v>0.0886660367842062</v>
      </c>
      <c r="D9665" s="14" t="n">
        <f aca="false">Summary!$B$5-B9665</f>
        <v>1238.36227583453</v>
      </c>
      <c r="E9665" s="15" t="n">
        <f aca="false">B9665/Summary!$B$5-1</f>
        <v>-0.0123836227583453</v>
      </c>
    </row>
    <row r="9666" customFormat="false" ht="15" hidden="false" customHeight="false" outlineLevel="0" collapsed="false">
      <c r="A9666" s="0" t="n">
        <v>9665</v>
      </c>
      <c r="B9666" s="14" t="n">
        <v>107427.378793993</v>
      </c>
      <c r="C9666" s="15" t="n">
        <v>0.139326782075071</v>
      </c>
      <c r="D9666" s="14" t="n">
        <f aca="false">Summary!$B$5-B9666</f>
        <v>-7427.3787939928</v>
      </c>
      <c r="E9666" s="15" t="n">
        <f aca="false">B9666/Summary!$B$5-1</f>
        <v>0.074273787939928</v>
      </c>
    </row>
    <row r="9667" customFormat="false" ht="15" hidden="false" customHeight="false" outlineLevel="0" collapsed="false">
      <c r="A9667" s="0" t="n">
        <v>9666</v>
      </c>
      <c r="B9667" s="14" t="n">
        <v>103025.282217724</v>
      </c>
      <c r="C9667" s="15" t="n">
        <v>0.132213257611681</v>
      </c>
      <c r="D9667" s="14" t="n">
        <f aca="false">Summary!$B$5-B9667</f>
        <v>-3025.28221772439</v>
      </c>
      <c r="E9667" s="15" t="n">
        <f aca="false">B9667/Summary!$B$5-1</f>
        <v>0.030252822177244</v>
      </c>
    </row>
    <row r="9668" customFormat="false" ht="15" hidden="false" customHeight="false" outlineLevel="0" collapsed="false">
      <c r="A9668" s="0" t="n">
        <v>9667</v>
      </c>
      <c r="B9668" s="14" t="n">
        <v>113716.742842055</v>
      </c>
      <c r="C9668" s="15" t="n">
        <v>0.0598242079175251</v>
      </c>
      <c r="D9668" s="14" t="n">
        <f aca="false">Summary!$B$5-B9668</f>
        <v>-13716.7428420548</v>
      </c>
      <c r="E9668" s="15" t="n">
        <f aca="false">B9668/Summary!$B$5-1</f>
        <v>0.137167428420548</v>
      </c>
    </row>
    <row r="9669" customFormat="false" ht="15" hidden="false" customHeight="false" outlineLevel="0" collapsed="false">
      <c r="A9669" s="0" t="n">
        <v>9668</v>
      </c>
      <c r="B9669" s="14" t="n">
        <v>98164.0368739493</v>
      </c>
      <c r="C9669" s="15" t="n">
        <v>0.114037707371169</v>
      </c>
      <c r="D9669" s="14" t="n">
        <f aca="false">Summary!$B$5-B9669</f>
        <v>1835.96312605067</v>
      </c>
      <c r="E9669" s="15" t="n">
        <f aca="false">B9669/Summary!$B$5-1</f>
        <v>-0.0183596312605068</v>
      </c>
    </row>
    <row r="9670" customFormat="false" ht="15" hidden="false" customHeight="false" outlineLevel="0" collapsed="false">
      <c r="A9670" s="0" t="n">
        <v>9669</v>
      </c>
      <c r="B9670" s="14" t="n">
        <v>90663.1760778278</v>
      </c>
      <c r="C9670" s="15" t="n">
        <v>0.17193119087711</v>
      </c>
      <c r="D9670" s="14" t="n">
        <f aca="false">Summary!$B$5-B9670</f>
        <v>9336.8239221722</v>
      </c>
      <c r="E9670" s="15" t="n">
        <f aca="false">B9670/Summary!$B$5-1</f>
        <v>-0.093368239221722</v>
      </c>
    </row>
    <row r="9671" customFormat="false" ht="15" hidden="false" customHeight="false" outlineLevel="0" collapsed="false">
      <c r="A9671" s="0" t="n">
        <v>9670</v>
      </c>
      <c r="B9671" s="14" t="n">
        <v>125544.628197971</v>
      </c>
      <c r="C9671" s="15" t="n">
        <v>0.0871328054934039</v>
      </c>
      <c r="D9671" s="14" t="n">
        <f aca="false">Summary!$B$5-B9671</f>
        <v>-25544.6281979706</v>
      </c>
      <c r="E9671" s="15" t="n">
        <f aca="false">B9671/Summary!$B$5-1</f>
        <v>0.255446281979706</v>
      </c>
    </row>
    <row r="9672" customFormat="false" ht="15" hidden="false" customHeight="false" outlineLevel="0" collapsed="false">
      <c r="A9672" s="0" t="n">
        <v>9671</v>
      </c>
      <c r="B9672" s="14" t="n">
        <v>127595.123151013</v>
      </c>
      <c r="C9672" s="15" t="n">
        <v>0.0800856020137847</v>
      </c>
      <c r="D9672" s="14" t="n">
        <f aca="false">Summary!$B$5-B9672</f>
        <v>-27595.1231510132</v>
      </c>
      <c r="E9672" s="15" t="n">
        <f aca="false">B9672/Summary!$B$5-1</f>
        <v>0.275951231510132</v>
      </c>
    </row>
    <row r="9673" customFormat="false" ht="15" hidden="false" customHeight="false" outlineLevel="0" collapsed="false">
      <c r="A9673" s="0" t="n">
        <v>9672</v>
      </c>
      <c r="B9673" s="14" t="n">
        <v>103577.417211502</v>
      </c>
      <c r="C9673" s="15" t="n">
        <v>0.0924915065474465</v>
      </c>
      <c r="D9673" s="14" t="n">
        <f aca="false">Summary!$B$5-B9673</f>
        <v>-3577.41721150219</v>
      </c>
      <c r="E9673" s="15" t="n">
        <f aca="false">B9673/Summary!$B$5-1</f>
        <v>0.035774172115022</v>
      </c>
    </row>
    <row r="9674" customFormat="false" ht="15" hidden="false" customHeight="false" outlineLevel="0" collapsed="false">
      <c r="A9674" s="0" t="n">
        <v>9673</v>
      </c>
      <c r="B9674" s="14" t="n">
        <v>160799.642939509</v>
      </c>
      <c r="C9674" s="15" t="n">
        <v>0.055614127574855</v>
      </c>
      <c r="D9674" s="14" t="n">
        <f aca="false">Summary!$B$5-B9674</f>
        <v>-60799.6429395089</v>
      </c>
      <c r="E9674" s="15" t="n">
        <f aca="false">B9674/Summary!$B$5-1</f>
        <v>0.607996429395089</v>
      </c>
    </row>
    <row r="9675" customFormat="false" ht="15" hidden="false" customHeight="false" outlineLevel="0" collapsed="false">
      <c r="A9675" s="0" t="n">
        <v>9674</v>
      </c>
      <c r="B9675" s="14" t="n">
        <v>129494.915192469</v>
      </c>
      <c r="C9675" s="15" t="n">
        <v>0.0401933295942578</v>
      </c>
      <c r="D9675" s="14" t="n">
        <f aca="false">Summary!$B$5-B9675</f>
        <v>-29494.9151924693</v>
      </c>
      <c r="E9675" s="15" t="n">
        <f aca="false">B9675/Summary!$B$5-1</f>
        <v>0.294949151924693</v>
      </c>
    </row>
    <row r="9676" customFormat="false" ht="15" hidden="false" customHeight="false" outlineLevel="0" collapsed="false">
      <c r="A9676" s="0" t="n">
        <v>9675</v>
      </c>
      <c r="B9676" s="14" t="n">
        <v>103965.986903292</v>
      </c>
      <c r="C9676" s="15" t="n">
        <v>0.0771789949026503</v>
      </c>
      <c r="D9676" s="14" t="n">
        <f aca="false">Summary!$B$5-B9676</f>
        <v>-3965.9869032916</v>
      </c>
      <c r="E9676" s="15" t="n">
        <f aca="false">B9676/Summary!$B$5-1</f>
        <v>0.039659869032916</v>
      </c>
    </row>
    <row r="9677" customFormat="false" ht="15" hidden="false" customHeight="false" outlineLevel="0" collapsed="false">
      <c r="A9677" s="0" t="n">
        <v>9676</v>
      </c>
      <c r="B9677" s="14" t="n">
        <v>93995.5255493052</v>
      </c>
      <c r="C9677" s="15" t="n">
        <v>0.117220301369234</v>
      </c>
      <c r="D9677" s="14" t="n">
        <f aca="false">Summary!$B$5-B9677</f>
        <v>6004.47445069476</v>
      </c>
      <c r="E9677" s="15" t="n">
        <f aca="false">B9677/Summary!$B$5-1</f>
        <v>-0.0600447445069476</v>
      </c>
    </row>
    <row r="9678" customFormat="false" ht="15" hidden="false" customHeight="false" outlineLevel="0" collapsed="false">
      <c r="A9678" s="0" t="n">
        <v>9677</v>
      </c>
      <c r="B9678" s="14" t="n">
        <v>98370.0603117938</v>
      </c>
      <c r="C9678" s="15" t="n">
        <v>0.0996319453072744</v>
      </c>
      <c r="D9678" s="14" t="n">
        <f aca="false">Summary!$B$5-B9678</f>
        <v>1629.93968820618</v>
      </c>
      <c r="E9678" s="15" t="n">
        <f aca="false">B9678/Summary!$B$5-1</f>
        <v>-0.0162993968820618</v>
      </c>
    </row>
    <row r="9679" customFormat="false" ht="15" hidden="false" customHeight="false" outlineLevel="0" collapsed="false">
      <c r="A9679" s="0" t="n">
        <v>9678</v>
      </c>
      <c r="B9679" s="14" t="n">
        <v>111659.806420042</v>
      </c>
      <c r="C9679" s="15" t="n">
        <v>0.0805891529127624</v>
      </c>
      <c r="D9679" s="14" t="n">
        <f aca="false">Summary!$B$5-B9679</f>
        <v>-11659.8064200424</v>
      </c>
      <c r="E9679" s="15" t="n">
        <f aca="false">B9679/Summary!$B$5-1</f>
        <v>0.116598064200424</v>
      </c>
    </row>
    <row r="9680" customFormat="false" ht="15" hidden="false" customHeight="false" outlineLevel="0" collapsed="false">
      <c r="A9680" s="0" t="n">
        <v>9679</v>
      </c>
      <c r="B9680" s="14" t="n">
        <v>111871.094922062</v>
      </c>
      <c r="C9680" s="15" t="n">
        <v>0.100315819666546</v>
      </c>
      <c r="D9680" s="14" t="n">
        <f aca="false">Summary!$B$5-B9680</f>
        <v>-11871.0949220621</v>
      </c>
      <c r="E9680" s="15" t="n">
        <f aca="false">B9680/Summary!$B$5-1</f>
        <v>0.118710949220621</v>
      </c>
    </row>
    <row r="9681" customFormat="false" ht="15" hidden="false" customHeight="false" outlineLevel="0" collapsed="false">
      <c r="A9681" s="0" t="n">
        <v>9680</v>
      </c>
      <c r="B9681" s="14" t="n">
        <v>90441.353754125</v>
      </c>
      <c r="C9681" s="15" t="n">
        <v>0.180172185689995</v>
      </c>
      <c r="D9681" s="14" t="n">
        <f aca="false">Summary!$B$5-B9681</f>
        <v>9558.646245875</v>
      </c>
      <c r="E9681" s="15" t="n">
        <f aca="false">B9681/Summary!$B$5-1</f>
        <v>-0.09558646245875</v>
      </c>
    </row>
    <row r="9682" customFormat="false" ht="15" hidden="false" customHeight="false" outlineLevel="0" collapsed="false">
      <c r="A9682" s="0" t="n">
        <v>9681</v>
      </c>
      <c r="B9682" s="14" t="n">
        <v>108550.413429591</v>
      </c>
      <c r="C9682" s="15" t="n">
        <v>0.0794602744699858</v>
      </c>
      <c r="D9682" s="14" t="n">
        <f aca="false">Summary!$B$5-B9682</f>
        <v>-8550.4134295914</v>
      </c>
      <c r="E9682" s="15" t="n">
        <f aca="false">B9682/Summary!$B$5-1</f>
        <v>0.085504134295914</v>
      </c>
    </row>
    <row r="9683" customFormat="false" ht="15" hidden="false" customHeight="false" outlineLevel="0" collapsed="false">
      <c r="A9683" s="0" t="n">
        <v>9682</v>
      </c>
      <c r="B9683" s="14" t="n">
        <v>105900.684159102</v>
      </c>
      <c r="C9683" s="15" t="n">
        <v>0.140399060029462</v>
      </c>
      <c r="D9683" s="14" t="n">
        <f aca="false">Summary!$B$5-B9683</f>
        <v>-5900.6841591022</v>
      </c>
      <c r="E9683" s="15" t="n">
        <f aca="false">B9683/Summary!$B$5-1</f>
        <v>0.0590068415910219</v>
      </c>
    </row>
    <row r="9684" customFormat="false" ht="15" hidden="false" customHeight="false" outlineLevel="0" collapsed="false">
      <c r="A9684" s="0" t="n">
        <v>9683</v>
      </c>
      <c r="B9684" s="14" t="n">
        <v>98379.8180653652</v>
      </c>
      <c r="C9684" s="15" t="n">
        <v>0.104907824779517</v>
      </c>
      <c r="D9684" s="14" t="n">
        <f aca="false">Summary!$B$5-B9684</f>
        <v>1620.18193463479</v>
      </c>
      <c r="E9684" s="15" t="n">
        <f aca="false">B9684/Summary!$B$5-1</f>
        <v>-0.0162018193463479</v>
      </c>
    </row>
    <row r="9685" customFormat="false" ht="15" hidden="false" customHeight="false" outlineLevel="0" collapsed="false">
      <c r="A9685" s="0" t="n">
        <v>9684</v>
      </c>
      <c r="B9685" s="14" t="n">
        <v>97673.9135810091</v>
      </c>
      <c r="C9685" s="15" t="n">
        <v>0.129990798451069</v>
      </c>
      <c r="D9685" s="14" t="n">
        <f aca="false">Summary!$B$5-B9685</f>
        <v>2326.08641899092</v>
      </c>
      <c r="E9685" s="15" t="n">
        <f aca="false">B9685/Summary!$B$5-1</f>
        <v>-0.0232608641899091</v>
      </c>
    </row>
    <row r="9686" customFormat="false" ht="15" hidden="false" customHeight="false" outlineLevel="0" collapsed="false">
      <c r="A9686" s="0" t="n">
        <v>9685</v>
      </c>
      <c r="B9686" s="14" t="n">
        <v>111815.505863115</v>
      </c>
      <c r="C9686" s="15" t="n">
        <v>0.084056214355996</v>
      </c>
      <c r="D9686" s="14" t="n">
        <f aca="false">Summary!$B$5-B9686</f>
        <v>-11815.5058631152</v>
      </c>
      <c r="E9686" s="15" t="n">
        <f aca="false">B9686/Summary!$B$5-1</f>
        <v>0.118155058631152</v>
      </c>
    </row>
    <row r="9687" customFormat="false" ht="15" hidden="false" customHeight="false" outlineLevel="0" collapsed="false">
      <c r="A9687" s="0" t="n">
        <v>9686</v>
      </c>
      <c r="B9687" s="14" t="n">
        <v>121454.171672222</v>
      </c>
      <c r="C9687" s="15" t="n">
        <v>0.0518551433070562</v>
      </c>
      <c r="D9687" s="14" t="n">
        <f aca="false">Summary!$B$5-B9687</f>
        <v>-21454.171672222</v>
      </c>
      <c r="E9687" s="15" t="n">
        <f aca="false">B9687/Summary!$B$5-1</f>
        <v>0.21454171672222</v>
      </c>
    </row>
    <row r="9688" customFormat="false" ht="15" hidden="false" customHeight="false" outlineLevel="0" collapsed="false">
      <c r="A9688" s="0" t="n">
        <v>9687</v>
      </c>
      <c r="B9688" s="14" t="n">
        <v>98472.8774173545</v>
      </c>
      <c r="C9688" s="15" t="n">
        <v>0.101962712111882</v>
      </c>
      <c r="D9688" s="14" t="n">
        <f aca="false">Summary!$B$5-B9688</f>
        <v>1527.12258264552</v>
      </c>
      <c r="E9688" s="15" t="n">
        <f aca="false">B9688/Summary!$B$5-1</f>
        <v>-0.0152712258264552</v>
      </c>
    </row>
    <row r="9689" customFormat="false" ht="15" hidden="false" customHeight="false" outlineLevel="0" collapsed="false">
      <c r="A9689" s="0" t="n">
        <v>9688</v>
      </c>
      <c r="B9689" s="14" t="n">
        <v>122979.936592298</v>
      </c>
      <c r="C9689" s="15" t="n">
        <v>0.0624575900612312</v>
      </c>
      <c r="D9689" s="14" t="n">
        <f aca="false">Summary!$B$5-B9689</f>
        <v>-22979.9365922977</v>
      </c>
      <c r="E9689" s="15" t="n">
        <f aca="false">B9689/Summary!$B$5-1</f>
        <v>0.229799365922977</v>
      </c>
    </row>
    <row r="9690" customFormat="false" ht="15" hidden="false" customHeight="false" outlineLevel="0" collapsed="false">
      <c r="A9690" s="0" t="n">
        <v>9689</v>
      </c>
      <c r="B9690" s="14" t="n">
        <v>128399.572966914</v>
      </c>
      <c r="C9690" s="15" t="n">
        <v>0.10035554464467</v>
      </c>
      <c r="D9690" s="14" t="n">
        <f aca="false">Summary!$B$5-B9690</f>
        <v>-28399.5729669135</v>
      </c>
      <c r="E9690" s="15" t="n">
        <f aca="false">B9690/Summary!$B$5-1</f>
        <v>0.283995729669135</v>
      </c>
    </row>
    <row r="9691" customFormat="false" ht="15" hidden="false" customHeight="false" outlineLevel="0" collapsed="false">
      <c r="A9691" s="0" t="n">
        <v>9690</v>
      </c>
      <c r="B9691" s="14" t="n">
        <v>94511.4955676652</v>
      </c>
      <c r="C9691" s="15" t="n">
        <v>0.176520932074485</v>
      </c>
      <c r="D9691" s="14" t="n">
        <f aca="false">Summary!$B$5-B9691</f>
        <v>5488.5044323348</v>
      </c>
      <c r="E9691" s="15" t="n">
        <f aca="false">B9691/Summary!$B$5-1</f>
        <v>-0.054885044323348</v>
      </c>
    </row>
    <row r="9692" customFormat="false" ht="15" hidden="false" customHeight="false" outlineLevel="0" collapsed="false">
      <c r="A9692" s="0" t="n">
        <v>9691</v>
      </c>
      <c r="B9692" s="14" t="n">
        <v>100200.64962089</v>
      </c>
      <c r="C9692" s="15" t="n">
        <v>0.0974429498049834</v>
      </c>
      <c r="D9692" s="14" t="n">
        <f aca="false">Summary!$B$5-B9692</f>
        <v>-200.649620889497</v>
      </c>
      <c r="E9692" s="15" t="n">
        <f aca="false">B9692/Summary!$B$5-1</f>
        <v>0.00200649620889504</v>
      </c>
    </row>
    <row r="9693" customFormat="false" ht="15" hidden="false" customHeight="false" outlineLevel="0" collapsed="false">
      <c r="A9693" s="0" t="n">
        <v>9692</v>
      </c>
      <c r="B9693" s="14" t="n">
        <v>107561.462746906</v>
      </c>
      <c r="C9693" s="15" t="n">
        <v>0.117875309422093</v>
      </c>
      <c r="D9693" s="14" t="n">
        <f aca="false">Summary!$B$5-B9693</f>
        <v>-7561.4627469062</v>
      </c>
      <c r="E9693" s="15" t="n">
        <f aca="false">B9693/Summary!$B$5-1</f>
        <v>0.0756146274690619</v>
      </c>
    </row>
    <row r="9694" customFormat="false" ht="15" hidden="false" customHeight="false" outlineLevel="0" collapsed="false">
      <c r="A9694" s="0" t="n">
        <v>9693</v>
      </c>
      <c r="B9694" s="14" t="n">
        <v>108795.4812232</v>
      </c>
      <c r="C9694" s="15" t="n">
        <v>0.0646736127019421</v>
      </c>
      <c r="D9694" s="14" t="n">
        <f aca="false">Summary!$B$5-B9694</f>
        <v>-8795.48122319971</v>
      </c>
      <c r="E9694" s="15" t="n">
        <f aca="false">B9694/Summary!$B$5-1</f>
        <v>0.0879548122319971</v>
      </c>
    </row>
    <row r="9695" customFormat="false" ht="15" hidden="false" customHeight="false" outlineLevel="0" collapsed="false">
      <c r="A9695" s="0" t="n">
        <v>9694</v>
      </c>
      <c r="B9695" s="14" t="n">
        <v>107313.635249148</v>
      </c>
      <c r="C9695" s="15" t="n">
        <v>0.119367659725208</v>
      </c>
      <c r="D9695" s="14" t="n">
        <f aca="false">Summary!$B$5-B9695</f>
        <v>-7313.63524914801</v>
      </c>
      <c r="E9695" s="15" t="n">
        <f aca="false">B9695/Summary!$B$5-1</f>
        <v>0.0731363524914801</v>
      </c>
    </row>
    <row r="9696" customFormat="false" ht="15" hidden="false" customHeight="false" outlineLevel="0" collapsed="false">
      <c r="A9696" s="0" t="n">
        <v>9695</v>
      </c>
      <c r="B9696" s="14" t="n">
        <v>86578.5029093184</v>
      </c>
      <c r="C9696" s="15" t="n">
        <v>0.202049729942376</v>
      </c>
      <c r="D9696" s="14" t="n">
        <f aca="false">Summary!$B$5-B9696</f>
        <v>13421.4970906816</v>
      </c>
      <c r="E9696" s="15" t="n">
        <f aca="false">B9696/Summary!$B$5-1</f>
        <v>-0.134214970906816</v>
      </c>
    </row>
    <row r="9697" customFormat="false" ht="15" hidden="false" customHeight="false" outlineLevel="0" collapsed="false">
      <c r="A9697" s="0" t="n">
        <v>9696</v>
      </c>
      <c r="B9697" s="14" t="n">
        <v>107538.645026005</v>
      </c>
      <c r="C9697" s="15" t="n">
        <v>0.073516197790054</v>
      </c>
      <c r="D9697" s="14" t="n">
        <f aca="false">Summary!$B$5-B9697</f>
        <v>-7538.6450260054</v>
      </c>
      <c r="E9697" s="15" t="n">
        <f aca="false">B9697/Summary!$B$5-1</f>
        <v>0.0753864502600539</v>
      </c>
    </row>
    <row r="9698" customFormat="false" ht="15" hidden="false" customHeight="false" outlineLevel="0" collapsed="false">
      <c r="A9698" s="0" t="n">
        <v>9697</v>
      </c>
      <c r="B9698" s="14" t="n">
        <v>115231.099610913</v>
      </c>
      <c r="C9698" s="15" t="n">
        <v>0.0758533955153056</v>
      </c>
      <c r="D9698" s="14" t="n">
        <f aca="false">Summary!$B$5-B9698</f>
        <v>-15231.0996109134</v>
      </c>
      <c r="E9698" s="15" t="n">
        <f aca="false">B9698/Summary!$B$5-1</f>
        <v>0.152310996109134</v>
      </c>
    </row>
    <row r="9699" customFormat="false" ht="15" hidden="false" customHeight="false" outlineLevel="0" collapsed="false">
      <c r="A9699" s="0" t="n">
        <v>9698</v>
      </c>
      <c r="B9699" s="14" t="n">
        <v>110219.931248653</v>
      </c>
      <c r="C9699" s="15" t="n">
        <v>0.139040045978845</v>
      </c>
      <c r="D9699" s="14" t="n">
        <f aca="false">Summary!$B$5-B9699</f>
        <v>-10219.9312486525</v>
      </c>
      <c r="E9699" s="15" t="n">
        <f aca="false">B9699/Summary!$B$5-1</f>
        <v>0.102199312486525</v>
      </c>
    </row>
    <row r="9700" customFormat="false" ht="15" hidden="false" customHeight="false" outlineLevel="0" collapsed="false">
      <c r="A9700" s="0" t="n">
        <v>9699</v>
      </c>
      <c r="B9700" s="14" t="n">
        <v>109729.48832681</v>
      </c>
      <c r="C9700" s="15" t="n">
        <v>0.11731569798675</v>
      </c>
      <c r="D9700" s="14" t="n">
        <f aca="false">Summary!$B$5-B9700</f>
        <v>-9729.4883268095</v>
      </c>
      <c r="E9700" s="15" t="n">
        <f aca="false">B9700/Summary!$B$5-1</f>
        <v>0.0972948832680951</v>
      </c>
    </row>
    <row r="9701" customFormat="false" ht="15" hidden="false" customHeight="false" outlineLevel="0" collapsed="false">
      <c r="A9701" s="0" t="n">
        <v>9700</v>
      </c>
      <c r="B9701" s="14" t="n">
        <v>123025.596583798</v>
      </c>
      <c r="C9701" s="15" t="n">
        <v>0.0619577608501571</v>
      </c>
      <c r="D9701" s="14" t="n">
        <f aca="false">Summary!$B$5-B9701</f>
        <v>-23025.5965837983</v>
      </c>
      <c r="E9701" s="15" t="n">
        <f aca="false">B9701/Summary!$B$5-1</f>
        <v>0.230255965837983</v>
      </c>
    </row>
    <row r="9702" customFormat="false" ht="15" hidden="false" customHeight="false" outlineLevel="0" collapsed="false">
      <c r="A9702" s="0" t="n">
        <v>9701</v>
      </c>
      <c r="B9702" s="14" t="n">
        <v>121606.995107228</v>
      </c>
      <c r="C9702" s="15" t="n">
        <v>0.0752309101102736</v>
      </c>
      <c r="D9702" s="14" t="n">
        <f aca="false">Summary!$B$5-B9702</f>
        <v>-21606.9951072281</v>
      </c>
      <c r="E9702" s="15" t="n">
        <f aca="false">B9702/Summary!$B$5-1</f>
        <v>0.216069951072281</v>
      </c>
    </row>
    <row r="9703" customFormat="false" ht="15" hidden="false" customHeight="false" outlineLevel="0" collapsed="false">
      <c r="A9703" s="0" t="n">
        <v>9702</v>
      </c>
      <c r="B9703" s="14" t="n">
        <v>109992.410816055</v>
      </c>
      <c r="C9703" s="15" t="n">
        <v>0.136835248030667</v>
      </c>
      <c r="D9703" s="14" t="n">
        <f aca="false">Summary!$B$5-B9703</f>
        <v>-9992.4108160547</v>
      </c>
      <c r="E9703" s="15" t="n">
        <f aca="false">B9703/Summary!$B$5-1</f>
        <v>0.0999241081605471</v>
      </c>
    </row>
    <row r="9704" customFormat="false" ht="15" hidden="false" customHeight="false" outlineLevel="0" collapsed="false">
      <c r="A9704" s="0" t="n">
        <v>9703</v>
      </c>
      <c r="B9704" s="14" t="n">
        <v>120789.468237104</v>
      </c>
      <c r="C9704" s="15" t="n">
        <v>0.150808966339857</v>
      </c>
      <c r="D9704" s="14" t="n">
        <f aca="false">Summary!$B$5-B9704</f>
        <v>-20789.4682371042</v>
      </c>
      <c r="E9704" s="15" t="n">
        <f aca="false">B9704/Summary!$B$5-1</f>
        <v>0.207894682371042</v>
      </c>
    </row>
    <row r="9705" customFormat="false" ht="15" hidden="false" customHeight="false" outlineLevel="0" collapsed="false">
      <c r="A9705" s="0" t="n">
        <v>9704</v>
      </c>
      <c r="B9705" s="14" t="n">
        <v>106606.403434364</v>
      </c>
      <c r="C9705" s="15" t="n">
        <v>0.0727802276308857</v>
      </c>
      <c r="D9705" s="14" t="n">
        <f aca="false">Summary!$B$5-B9705</f>
        <v>-6606.40343436399</v>
      </c>
      <c r="E9705" s="15" t="n">
        <f aca="false">B9705/Summary!$B$5-1</f>
        <v>0.0660640343436398</v>
      </c>
    </row>
    <row r="9706" customFormat="false" ht="15" hidden="false" customHeight="false" outlineLevel="0" collapsed="false">
      <c r="A9706" s="0" t="n">
        <v>9705</v>
      </c>
      <c r="B9706" s="14" t="n">
        <v>110806.993248312</v>
      </c>
      <c r="C9706" s="15" t="n">
        <v>0.10274486077354</v>
      </c>
      <c r="D9706" s="14" t="n">
        <f aca="false">Summary!$B$5-B9706</f>
        <v>-10806.9932483119</v>
      </c>
      <c r="E9706" s="15" t="n">
        <f aca="false">B9706/Summary!$B$5-1</f>
        <v>0.108069932483119</v>
      </c>
    </row>
    <row r="9707" customFormat="false" ht="15" hidden="false" customHeight="false" outlineLevel="0" collapsed="false">
      <c r="A9707" s="0" t="n">
        <v>9706</v>
      </c>
      <c r="B9707" s="14" t="n">
        <v>135286.236119958</v>
      </c>
      <c r="C9707" s="15" t="n">
        <v>0.0757212401931682</v>
      </c>
      <c r="D9707" s="14" t="n">
        <f aca="false">Summary!$B$5-B9707</f>
        <v>-35286.2361199578</v>
      </c>
      <c r="E9707" s="15" t="n">
        <f aca="false">B9707/Summary!$B$5-1</f>
        <v>0.352862361199578</v>
      </c>
    </row>
    <row r="9708" customFormat="false" ht="15" hidden="false" customHeight="false" outlineLevel="0" collapsed="false">
      <c r="A9708" s="0" t="n">
        <v>9707</v>
      </c>
      <c r="B9708" s="14" t="n">
        <v>104194.246296503</v>
      </c>
      <c r="C9708" s="15" t="n">
        <v>0.0790453379773038</v>
      </c>
      <c r="D9708" s="14" t="n">
        <f aca="false">Summary!$B$5-B9708</f>
        <v>-4194.24629650269</v>
      </c>
      <c r="E9708" s="15" t="n">
        <f aca="false">B9708/Summary!$B$5-1</f>
        <v>0.0419424629650269</v>
      </c>
    </row>
    <row r="9709" customFormat="false" ht="15" hidden="false" customHeight="false" outlineLevel="0" collapsed="false">
      <c r="A9709" s="0" t="n">
        <v>9708</v>
      </c>
      <c r="B9709" s="14" t="n">
        <v>121697.797866748</v>
      </c>
      <c r="C9709" s="15" t="n">
        <v>0.0749697205603505</v>
      </c>
      <c r="D9709" s="14" t="n">
        <f aca="false">Summary!$B$5-B9709</f>
        <v>-21697.7978667483</v>
      </c>
      <c r="E9709" s="15" t="n">
        <f aca="false">B9709/Summary!$B$5-1</f>
        <v>0.216977978667483</v>
      </c>
    </row>
    <row r="9710" customFormat="false" ht="15" hidden="false" customHeight="false" outlineLevel="0" collapsed="false">
      <c r="A9710" s="0" t="n">
        <v>9709</v>
      </c>
      <c r="B9710" s="14" t="n">
        <v>93891.5365171351</v>
      </c>
      <c r="C9710" s="15" t="n">
        <v>0.159183757926958</v>
      </c>
      <c r="D9710" s="14" t="n">
        <f aca="false">Summary!$B$5-B9710</f>
        <v>6108.46348286493</v>
      </c>
      <c r="E9710" s="15" t="n">
        <f aca="false">B9710/Summary!$B$5-1</f>
        <v>-0.0610846348286492</v>
      </c>
    </row>
    <row r="9711" customFormat="false" ht="15" hidden="false" customHeight="false" outlineLevel="0" collapsed="false">
      <c r="A9711" s="0" t="n">
        <v>9710</v>
      </c>
      <c r="B9711" s="14" t="n">
        <v>103587.91339519</v>
      </c>
      <c r="C9711" s="15" t="n">
        <v>0.0943626370252646</v>
      </c>
      <c r="D9711" s="14" t="n">
        <f aca="false">Summary!$B$5-B9711</f>
        <v>-3587.9133951901</v>
      </c>
      <c r="E9711" s="15" t="n">
        <f aca="false">B9711/Summary!$B$5-1</f>
        <v>0.0358791339519011</v>
      </c>
    </row>
    <row r="9712" customFormat="false" ht="15" hidden="false" customHeight="false" outlineLevel="0" collapsed="false">
      <c r="A9712" s="0" t="n">
        <v>9711</v>
      </c>
      <c r="B9712" s="14" t="n">
        <v>105123.522659884</v>
      </c>
      <c r="C9712" s="15" t="n">
        <v>0.0862860884611753</v>
      </c>
      <c r="D9712" s="14" t="n">
        <f aca="false">Summary!$B$5-B9712</f>
        <v>-5123.5226598844</v>
      </c>
      <c r="E9712" s="15" t="n">
        <f aca="false">B9712/Summary!$B$5-1</f>
        <v>0.0512352265988441</v>
      </c>
    </row>
    <row r="9713" customFormat="false" ht="15" hidden="false" customHeight="false" outlineLevel="0" collapsed="false">
      <c r="A9713" s="0" t="n">
        <v>9712</v>
      </c>
      <c r="B9713" s="14" t="n">
        <v>111072.200834042</v>
      </c>
      <c r="C9713" s="15" t="n">
        <v>0.0709152636955869</v>
      </c>
      <c r="D9713" s="14" t="n">
        <f aca="false">Summary!$B$5-B9713</f>
        <v>-11072.200834042</v>
      </c>
      <c r="E9713" s="15" t="n">
        <f aca="false">B9713/Summary!$B$5-1</f>
        <v>0.11072200834042</v>
      </c>
    </row>
    <row r="9714" customFormat="false" ht="15" hidden="false" customHeight="false" outlineLevel="0" collapsed="false">
      <c r="A9714" s="0" t="n">
        <v>9713</v>
      </c>
      <c r="B9714" s="14" t="n">
        <v>109505.880193668</v>
      </c>
      <c r="C9714" s="15" t="n">
        <v>0.06589580125823</v>
      </c>
      <c r="D9714" s="14" t="n">
        <f aca="false">Summary!$B$5-B9714</f>
        <v>-9505.8801936682</v>
      </c>
      <c r="E9714" s="15" t="n">
        <f aca="false">B9714/Summary!$B$5-1</f>
        <v>0.095058801936682</v>
      </c>
    </row>
    <row r="9715" customFormat="false" ht="15" hidden="false" customHeight="false" outlineLevel="0" collapsed="false">
      <c r="A9715" s="0" t="n">
        <v>9714</v>
      </c>
      <c r="B9715" s="14" t="n">
        <v>100148.281937723</v>
      </c>
      <c r="C9715" s="15" t="n">
        <v>0.104525506182331</v>
      </c>
      <c r="D9715" s="14" t="n">
        <f aca="false">Summary!$B$5-B9715</f>
        <v>-148.281937722903</v>
      </c>
      <c r="E9715" s="15" t="n">
        <f aca="false">B9715/Summary!$B$5-1</f>
        <v>0.00148281937722894</v>
      </c>
    </row>
    <row r="9716" customFormat="false" ht="15" hidden="false" customHeight="false" outlineLevel="0" collapsed="false">
      <c r="A9716" s="0" t="n">
        <v>9715</v>
      </c>
      <c r="B9716" s="14" t="n">
        <v>116645.828817212</v>
      </c>
      <c r="C9716" s="15" t="n">
        <v>0.122842531045126</v>
      </c>
      <c r="D9716" s="14" t="n">
        <f aca="false">Summary!$B$5-B9716</f>
        <v>-16645.8288172124</v>
      </c>
      <c r="E9716" s="15" t="n">
        <f aca="false">B9716/Summary!$B$5-1</f>
        <v>0.166458288172124</v>
      </c>
    </row>
    <row r="9717" customFormat="false" ht="15" hidden="false" customHeight="false" outlineLevel="0" collapsed="false">
      <c r="A9717" s="0" t="n">
        <v>9716</v>
      </c>
      <c r="B9717" s="14" t="n">
        <v>124632.70605678</v>
      </c>
      <c r="C9717" s="15" t="n">
        <v>0.0786999468444597</v>
      </c>
      <c r="D9717" s="14" t="n">
        <f aca="false">Summary!$B$5-B9717</f>
        <v>-24632.7060567802</v>
      </c>
      <c r="E9717" s="15" t="n">
        <f aca="false">B9717/Summary!$B$5-1</f>
        <v>0.246327060567802</v>
      </c>
    </row>
    <row r="9718" customFormat="false" ht="15" hidden="false" customHeight="false" outlineLevel="0" collapsed="false">
      <c r="A9718" s="0" t="n">
        <v>9717</v>
      </c>
      <c r="B9718" s="14" t="n">
        <v>119644.403617131</v>
      </c>
      <c r="C9718" s="15" t="n">
        <v>0.0765753834465325</v>
      </c>
      <c r="D9718" s="14" t="n">
        <f aca="false">Summary!$B$5-B9718</f>
        <v>-19644.4036171313</v>
      </c>
      <c r="E9718" s="15" t="n">
        <f aca="false">B9718/Summary!$B$5-1</f>
        <v>0.196444036171313</v>
      </c>
    </row>
    <row r="9719" customFormat="false" ht="15" hidden="false" customHeight="false" outlineLevel="0" collapsed="false">
      <c r="A9719" s="0" t="n">
        <v>9718</v>
      </c>
      <c r="B9719" s="14" t="n">
        <v>127491.20632978</v>
      </c>
      <c r="C9719" s="15" t="n">
        <v>0.0627150759149746</v>
      </c>
      <c r="D9719" s="14" t="n">
        <f aca="false">Summary!$B$5-B9719</f>
        <v>-27491.20632978</v>
      </c>
      <c r="E9719" s="15" t="n">
        <f aca="false">B9719/Summary!$B$5-1</f>
        <v>0.2749120632978</v>
      </c>
    </row>
    <row r="9720" customFormat="false" ht="15" hidden="false" customHeight="false" outlineLevel="0" collapsed="false">
      <c r="A9720" s="0" t="n">
        <v>9719</v>
      </c>
      <c r="B9720" s="14" t="n">
        <v>141487.065874419</v>
      </c>
      <c r="C9720" s="15" t="n">
        <v>0.0523102447773423</v>
      </c>
      <c r="D9720" s="14" t="n">
        <f aca="false">Summary!$B$5-B9720</f>
        <v>-41487.0658744189</v>
      </c>
      <c r="E9720" s="15" t="n">
        <f aca="false">B9720/Summary!$B$5-1</f>
        <v>0.414870658744189</v>
      </c>
    </row>
    <row r="9721" customFormat="false" ht="15" hidden="false" customHeight="false" outlineLevel="0" collapsed="false">
      <c r="A9721" s="0" t="n">
        <v>9720</v>
      </c>
      <c r="B9721" s="14" t="n">
        <v>124285.686378027</v>
      </c>
      <c r="C9721" s="15" t="n">
        <v>0.0770171153973109</v>
      </c>
      <c r="D9721" s="14" t="n">
        <f aca="false">Summary!$B$5-B9721</f>
        <v>-24285.6863780273</v>
      </c>
      <c r="E9721" s="15" t="n">
        <f aca="false">B9721/Summary!$B$5-1</f>
        <v>0.242856863780273</v>
      </c>
    </row>
    <row r="9722" customFormat="false" ht="15" hidden="false" customHeight="false" outlineLevel="0" collapsed="false">
      <c r="A9722" s="0" t="n">
        <v>9721</v>
      </c>
      <c r="B9722" s="14" t="n">
        <v>87563.8091106406</v>
      </c>
      <c r="C9722" s="15" t="n">
        <v>0.134157115931387</v>
      </c>
      <c r="D9722" s="14" t="n">
        <f aca="false">Summary!$B$5-B9722</f>
        <v>12436.1908893594</v>
      </c>
      <c r="E9722" s="15" t="n">
        <f aca="false">B9722/Summary!$B$5-1</f>
        <v>-0.124361908893594</v>
      </c>
    </row>
    <row r="9723" customFormat="false" ht="15" hidden="false" customHeight="false" outlineLevel="0" collapsed="false">
      <c r="A9723" s="0" t="n">
        <v>9722</v>
      </c>
      <c r="B9723" s="14" t="n">
        <v>99251.9429451553</v>
      </c>
      <c r="C9723" s="15" t="n">
        <v>0.0926047405467021</v>
      </c>
      <c r="D9723" s="14" t="n">
        <f aca="false">Summary!$B$5-B9723</f>
        <v>748.057054844685</v>
      </c>
      <c r="E9723" s="15" t="n">
        <f aca="false">B9723/Summary!$B$5-1</f>
        <v>-0.00748057054844686</v>
      </c>
    </row>
    <row r="9724" customFormat="false" ht="15" hidden="false" customHeight="false" outlineLevel="0" collapsed="false">
      <c r="A9724" s="0" t="n">
        <v>9723</v>
      </c>
      <c r="B9724" s="14" t="n">
        <v>139399.340063507</v>
      </c>
      <c r="C9724" s="15" t="n">
        <v>0.0578130215060473</v>
      </c>
      <c r="D9724" s="14" t="n">
        <f aca="false">Summary!$B$5-B9724</f>
        <v>-39399.3400635067</v>
      </c>
      <c r="E9724" s="15" t="n">
        <f aca="false">B9724/Summary!$B$5-1</f>
        <v>0.393993400635067</v>
      </c>
    </row>
    <row r="9725" customFormat="false" ht="15" hidden="false" customHeight="false" outlineLevel="0" collapsed="false">
      <c r="A9725" s="0" t="n">
        <v>9724</v>
      </c>
      <c r="B9725" s="14" t="n">
        <v>104930.761021183</v>
      </c>
      <c r="C9725" s="15" t="n">
        <v>0.144598232778263</v>
      </c>
      <c r="D9725" s="14" t="n">
        <f aca="false">Summary!$B$5-B9725</f>
        <v>-4930.7610211828</v>
      </c>
      <c r="E9725" s="15" t="n">
        <f aca="false">B9725/Summary!$B$5-1</f>
        <v>0.0493076102118279</v>
      </c>
    </row>
    <row r="9726" customFormat="false" ht="15" hidden="false" customHeight="false" outlineLevel="0" collapsed="false">
      <c r="A9726" s="0" t="n">
        <v>9725</v>
      </c>
      <c r="B9726" s="14" t="n">
        <v>93714.9406641095</v>
      </c>
      <c r="C9726" s="15" t="n">
        <v>0.0979581206163194</v>
      </c>
      <c r="D9726" s="14" t="n">
        <f aca="false">Summary!$B$5-B9726</f>
        <v>6285.05933589052</v>
      </c>
      <c r="E9726" s="15" t="n">
        <f aca="false">B9726/Summary!$B$5-1</f>
        <v>-0.0628505933589052</v>
      </c>
    </row>
    <row r="9727" customFormat="false" ht="15" hidden="false" customHeight="false" outlineLevel="0" collapsed="false">
      <c r="A9727" s="0" t="n">
        <v>9726</v>
      </c>
      <c r="B9727" s="14" t="n">
        <v>98547.2080226855</v>
      </c>
      <c r="C9727" s="15" t="n">
        <v>0.148910314585861</v>
      </c>
      <c r="D9727" s="14" t="n">
        <f aca="false">Summary!$B$5-B9727</f>
        <v>1452.79197731454</v>
      </c>
      <c r="E9727" s="15" t="n">
        <f aca="false">B9727/Summary!$B$5-1</f>
        <v>-0.0145279197731454</v>
      </c>
    </row>
    <row r="9728" customFormat="false" ht="15" hidden="false" customHeight="false" outlineLevel="0" collapsed="false">
      <c r="A9728" s="0" t="n">
        <v>9727</v>
      </c>
      <c r="B9728" s="14" t="n">
        <v>93345.5977890289</v>
      </c>
      <c r="C9728" s="15" t="n">
        <v>0.193739686930883</v>
      </c>
      <c r="D9728" s="14" t="n">
        <f aca="false">Summary!$B$5-B9728</f>
        <v>6654.40221097109</v>
      </c>
      <c r="E9728" s="15" t="n">
        <f aca="false">B9728/Summary!$B$5-1</f>
        <v>-0.0665440221097109</v>
      </c>
    </row>
    <row r="9729" customFormat="false" ht="15" hidden="false" customHeight="false" outlineLevel="0" collapsed="false">
      <c r="A9729" s="0" t="n">
        <v>9728</v>
      </c>
      <c r="B9729" s="14" t="n">
        <v>113284.907390817</v>
      </c>
      <c r="C9729" s="15" t="n">
        <v>0.0680665201104328</v>
      </c>
      <c r="D9729" s="14" t="n">
        <f aca="false">Summary!$B$5-B9729</f>
        <v>-13284.907390817</v>
      </c>
      <c r="E9729" s="15" t="n">
        <f aca="false">B9729/Summary!$B$5-1</f>
        <v>0.13284907390817</v>
      </c>
    </row>
    <row r="9730" customFormat="false" ht="15" hidden="false" customHeight="false" outlineLevel="0" collapsed="false">
      <c r="A9730" s="0" t="n">
        <v>9729</v>
      </c>
      <c r="B9730" s="14" t="n">
        <v>124051.318895035</v>
      </c>
      <c r="C9730" s="15" t="n">
        <v>0.0722721208041811</v>
      </c>
      <c r="D9730" s="14" t="n">
        <f aca="false">Summary!$B$5-B9730</f>
        <v>-24051.3188950347</v>
      </c>
      <c r="E9730" s="15" t="n">
        <f aca="false">B9730/Summary!$B$5-1</f>
        <v>0.240513188950347</v>
      </c>
    </row>
    <row r="9731" customFormat="false" ht="15" hidden="false" customHeight="false" outlineLevel="0" collapsed="false">
      <c r="A9731" s="0" t="n">
        <v>9730</v>
      </c>
      <c r="B9731" s="14" t="n">
        <v>102180.771391357</v>
      </c>
      <c r="C9731" s="15" t="n">
        <v>0.0917118555583292</v>
      </c>
      <c r="D9731" s="14" t="n">
        <f aca="false">Summary!$B$5-B9731</f>
        <v>-2180.771391357</v>
      </c>
      <c r="E9731" s="15" t="n">
        <f aca="false">B9731/Summary!$B$5-1</f>
        <v>0.0218077139135699</v>
      </c>
    </row>
    <row r="9732" customFormat="false" ht="15" hidden="false" customHeight="false" outlineLevel="0" collapsed="false">
      <c r="A9732" s="0" t="n">
        <v>9731</v>
      </c>
      <c r="B9732" s="14" t="n">
        <v>109236.126074135</v>
      </c>
      <c r="C9732" s="15" t="n">
        <v>0.0750620880946054</v>
      </c>
      <c r="D9732" s="14" t="n">
        <f aca="false">Summary!$B$5-B9732</f>
        <v>-9236.1260741353</v>
      </c>
      <c r="E9732" s="15" t="n">
        <f aca="false">B9732/Summary!$B$5-1</f>
        <v>0.0923612607413531</v>
      </c>
    </row>
    <row r="9733" customFormat="false" ht="15" hidden="false" customHeight="false" outlineLevel="0" collapsed="false">
      <c r="A9733" s="0" t="n">
        <v>9732</v>
      </c>
      <c r="B9733" s="14" t="n">
        <v>79006.6891981771</v>
      </c>
      <c r="C9733" s="15" t="n">
        <v>0.212153598861227</v>
      </c>
      <c r="D9733" s="14" t="n">
        <f aca="false">Summary!$B$5-B9733</f>
        <v>20993.310801823</v>
      </c>
      <c r="E9733" s="15" t="n">
        <f aca="false">B9733/Summary!$B$5-1</f>
        <v>-0.20993310801823</v>
      </c>
    </row>
    <row r="9734" customFormat="false" ht="15" hidden="false" customHeight="false" outlineLevel="0" collapsed="false">
      <c r="A9734" s="0" t="n">
        <v>9733</v>
      </c>
      <c r="B9734" s="14" t="n">
        <v>93799.327850609</v>
      </c>
      <c r="C9734" s="15" t="n">
        <v>0.155042189134062</v>
      </c>
      <c r="D9734" s="14" t="n">
        <f aca="false">Summary!$B$5-B9734</f>
        <v>6200.672149391</v>
      </c>
      <c r="E9734" s="15" t="n">
        <f aca="false">B9734/Summary!$B$5-1</f>
        <v>-0.06200672149391</v>
      </c>
    </row>
    <row r="9735" customFormat="false" ht="15" hidden="false" customHeight="false" outlineLevel="0" collapsed="false">
      <c r="A9735" s="0" t="n">
        <v>9734</v>
      </c>
      <c r="B9735" s="14" t="n">
        <v>103133.605844315</v>
      </c>
      <c r="C9735" s="15" t="n">
        <v>0.0758987857873686</v>
      </c>
      <c r="D9735" s="14" t="n">
        <f aca="false">Summary!$B$5-B9735</f>
        <v>-3133.60584431471</v>
      </c>
      <c r="E9735" s="15" t="n">
        <f aca="false">B9735/Summary!$B$5-1</f>
        <v>0.031336058443147</v>
      </c>
    </row>
    <row r="9736" customFormat="false" ht="15" hidden="false" customHeight="false" outlineLevel="0" collapsed="false">
      <c r="A9736" s="0" t="n">
        <v>9735</v>
      </c>
      <c r="B9736" s="14" t="n">
        <v>111949.583160181</v>
      </c>
      <c r="C9736" s="15" t="n">
        <v>0.0636589694883504</v>
      </c>
      <c r="D9736" s="14" t="n">
        <f aca="false">Summary!$B$5-B9736</f>
        <v>-11949.5831601805</v>
      </c>
      <c r="E9736" s="15" t="n">
        <f aca="false">B9736/Summary!$B$5-1</f>
        <v>0.119495831601805</v>
      </c>
    </row>
    <row r="9737" customFormat="false" ht="15" hidden="false" customHeight="false" outlineLevel="0" collapsed="false">
      <c r="A9737" s="0" t="n">
        <v>9736</v>
      </c>
      <c r="B9737" s="14" t="n">
        <v>113862.086935326</v>
      </c>
      <c r="C9737" s="15" t="n">
        <v>0.0637182791540765</v>
      </c>
      <c r="D9737" s="14" t="n">
        <f aca="false">Summary!$B$5-B9737</f>
        <v>-13862.0869353262</v>
      </c>
      <c r="E9737" s="15" t="n">
        <f aca="false">B9737/Summary!$B$5-1</f>
        <v>0.138620869353262</v>
      </c>
    </row>
    <row r="9738" customFormat="false" ht="15" hidden="false" customHeight="false" outlineLevel="0" collapsed="false">
      <c r="A9738" s="0" t="n">
        <v>9737</v>
      </c>
      <c r="B9738" s="14" t="n">
        <v>102173.457693774</v>
      </c>
      <c r="C9738" s="15" t="n">
        <v>0.110811574075045</v>
      </c>
      <c r="D9738" s="14" t="n">
        <f aca="false">Summary!$B$5-B9738</f>
        <v>-2173.4576937744</v>
      </c>
      <c r="E9738" s="15" t="n">
        <f aca="false">B9738/Summary!$B$5-1</f>
        <v>0.0217345769377439</v>
      </c>
    </row>
    <row r="9739" customFormat="false" ht="15" hidden="false" customHeight="false" outlineLevel="0" collapsed="false">
      <c r="A9739" s="0" t="n">
        <v>9738</v>
      </c>
      <c r="B9739" s="14" t="n">
        <v>100287.395203721</v>
      </c>
      <c r="C9739" s="15" t="n">
        <v>0.0982238383260543</v>
      </c>
      <c r="D9739" s="14" t="n">
        <f aca="false">Summary!$B$5-B9739</f>
        <v>-287.395203720604</v>
      </c>
      <c r="E9739" s="15" t="n">
        <f aca="false">B9739/Summary!$B$5-1</f>
        <v>0.00287395203720608</v>
      </c>
    </row>
    <row r="9740" customFormat="false" ht="15" hidden="false" customHeight="false" outlineLevel="0" collapsed="false">
      <c r="A9740" s="0" t="n">
        <v>9739</v>
      </c>
      <c r="B9740" s="14" t="n">
        <v>105055.465259719</v>
      </c>
      <c r="C9740" s="15" t="n">
        <v>0.0821899569577113</v>
      </c>
      <c r="D9740" s="14" t="n">
        <f aca="false">Summary!$B$5-B9740</f>
        <v>-5055.46525971941</v>
      </c>
      <c r="E9740" s="15" t="n">
        <f aca="false">B9740/Summary!$B$5-1</f>
        <v>0.0505546525971941</v>
      </c>
    </row>
    <row r="9741" customFormat="false" ht="15" hidden="false" customHeight="false" outlineLevel="0" collapsed="false">
      <c r="A9741" s="0" t="n">
        <v>9740</v>
      </c>
      <c r="B9741" s="14" t="n">
        <v>101301.001815252</v>
      </c>
      <c r="C9741" s="15" t="n">
        <v>0.110645048839739</v>
      </c>
      <c r="D9741" s="14" t="n">
        <f aca="false">Summary!$B$5-B9741</f>
        <v>-1301.0018152519</v>
      </c>
      <c r="E9741" s="15" t="n">
        <f aca="false">B9741/Summary!$B$5-1</f>
        <v>0.013010018152519</v>
      </c>
    </row>
    <row r="9742" customFormat="false" ht="15" hidden="false" customHeight="false" outlineLevel="0" collapsed="false">
      <c r="A9742" s="0" t="n">
        <v>9741</v>
      </c>
      <c r="B9742" s="14" t="n">
        <v>106084.074251283</v>
      </c>
      <c r="C9742" s="15" t="n">
        <v>0.11056617855776</v>
      </c>
      <c r="D9742" s="14" t="n">
        <f aca="false">Summary!$B$5-B9742</f>
        <v>-6084.0742512828</v>
      </c>
      <c r="E9742" s="15" t="n">
        <f aca="false">B9742/Summary!$B$5-1</f>
        <v>0.0608407425128279</v>
      </c>
    </row>
    <row r="9743" customFormat="false" ht="15" hidden="false" customHeight="false" outlineLevel="0" collapsed="false">
      <c r="A9743" s="0" t="n">
        <v>9742</v>
      </c>
      <c r="B9743" s="14" t="n">
        <v>122198.299913729</v>
      </c>
      <c r="C9743" s="15" t="n">
        <v>0.0877469145942792</v>
      </c>
      <c r="D9743" s="14" t="n">
        <f aca="false">Summary!$B$5-B9743</f>
        <v>-22198.2999137288</v>
      </c>
      <c r="E9743" s="15" t="n">
        <f aca="false">B9743/Summary!$B$5-1</f>
        <v>0.221982999137288</v>
      </c>
    </row>
    <row r="9744" customFormat="false" ht="15" hidden="false" customHeight="false" outlineLevel="0" collapsed="false">
      <c r="A9744" s="0" t="n">
        <v>9743</v>
      </c>
      <c r="B9744" s="14" t="n">
        <v>102217.57168235</v>
      </c>
      <c r="C9744" s="15" t="n">
        <v>0.144109985499075</v>
      </c>
      <c r="D9744" s="14" t="n">
        <f aca="false">Summary!$B$5-B9744</f>
        <v>-2217.5716823501</v>
      </c>
      <c r="E9744" s="15" t="n">
        <f aca="false">B9744/Summary!$B$5-1</f>
        <v>0.0221757168235011</v>
      </c>
    </row>
    <row r="9745" customFormat="false" ht="15" hidden="false" customHeight="false" outlineLevel="0" collapsed="false">
      <c r="A9745" s="0" t="n">
        <v>9744</v>
      </c>
      <c r="B9745" s="14" t="n">
        <v>120598.177674216</v>
      </c>
      <c r="C9745" s="15" t="n">
        <v>0.0760047881117465</v>
      </c>
      <c r="D9745" s="14" t="n">
        <f aca="false">Summary!$B$5-B9745</f>
        <v>-20598.1776742155</v>
      </c>
      <c r="E9745" s="15" t="n">
        <f aca="false">B9745/Summary!$B$5-1</f>
        <v>0.205981776742155</v>
      </c>
    </row>
    <row r="9746" customFormat="false" ht="15" hidden="false" customHeight="false" outlineLevel="0" collapsed="false">
      <c r="A9746" s="0" t="n">
        <v>9745</v>
      </c>
      <c r="B9746" s="14" t="n">
        <v>108757.514686937</v>
      </c>
      <c r="C9746" s="15" t="n">
        <v>0.136941821476112</v>
      </c>
      <c r="D9746" s="14" t="n">
        <f aca="false">Summary!$B$5-B9746</f>
        <v>-8757.5146869371</v>
      </c>
      <c r="E9746" s="15" t="n">
        <f aca="false">B9746/Summary!$B$5-1</f>
        <v>0.0875751468693709</v>
      </c>
    </row>
    <row r="9747" customFormat="false" ht="15" hidden="false" customHeight="false" outlineLevel="0" collapsed="false">
      <c r="A9747" s="0" t="n">
        <v>9746</v>
      </c>
      <c r="B9747" s="14" t="n">
        <v>123623.440160086</v>
      </c>
      <c r="C9747" s="15" t="n">
        <v>0.0405604460496503</v>
      </c>
      <c r="D9747" s="14" t="n">
        <f aca="false">Summary!$B$5-B9747</f>
        <v>-23623.4401600864</v>
      </c>
      <c r="E9747" s="15" t="n">
        <f aca="false">B9747/Summary!$B$5-1</f>
        <v>0.236234401600864</v>
      </c>
    </row>
    <row r="9748" customFormat="false" ht="15" hidden="false" customHeight="false" outlineLevel="0" collapsed="false">
      <c r="A9748" s="0" t="n">
        <v>9747</v>
      </c>
      <c r="B9748" s="14" t="n">
        <v>111196.719416901</v>
      </c>
      <c r="C9748" s="15" t="n">
        <v>0.0744603532399286</v>
      </c>
      <c r="D9748" s="14" t="n">
        <f aca="false">Summary!$B$5-B9748</f>
        <v>-11196.7194169014</v>
      </c>
      <c r="E9748" s="15" t="n">
        <f aca="false">B9748/Summary!$B$5-1</f>
        <v>0.111967194169014</v>
      </c>
    </row>
    <row r="9749" customFormat="false" ht="15" hidden="false" customHeight="false" outlineLevel="0" collapsed="false">
      <c r="A9749" s="0" t="n">
        <v>9748</v>
      </c>
      <c r="B9749" s="14" t="n">
        <v>141232.862688858</v>
      </c>
      <c r="C9749" s="15" t="n">
        <v>0.0759484291250119</v>
      </c>
      <c r="D9749" s="14" t="n">
        <f aca="false">Summary!$B$5-B9749</f>
        <v>-41232.8626888579</v>
      </c>
      <c r="E9749" s="15" t="n">
        <f aca="false">B9749/Summary!$B$5-1</f>
        <v>0.412328626888579</v>
      </c>
    </row>
    <row r="9750" customFormat="false" ht="15" hidden="false" customHeight="false" outlineLevel="0" collapsed="false">
      <c r="A9750" s="0" t="n">
        <v>9749</v>
      </c>
      <c r="B9750" s="14" t="n">
        <v>104598.56681948</v>
      </c>
      <c r="C9750" s="15" t="n">
        <v>0.0834873574103089</v>
      </c>
      <c r="D9750" s="14" t="n">
        <f aca="false">Summary!$B$5-B9750</f>
        <v>-4598.56681947989</v>
      </c>
      <c r="E9750" s="15" t="n">
        <f aca="false">B9750/Summary!$B$5-1</f>
        <v>0.045985668194799</v>
      </c>
    </row>
    <row r="9751" customFormat="false" ht="15" hidden="false" customHeight="false" outlineLevel="0" collapsed="false">
      <c r="A9751" s="0" t="n">
        <v>9750</v>
      </c>
      <c r="B9751" s="14" t="n">
        <v>90243.1332241787</v>
      </c>
      <c r="C9751" s="15" t="n">
        <v>0.106613739891095</v>
      </c>
      <c r="D9751" s="14" t="n">
        <f aca="false">Summary!$B$5-B9751</f>
        <v>9756.86677582133</v>
      </c>
      <c r="E9751" s="15" t="n">
        <f aca="false">B9751/Summary!$B$5-1</f>
        <v>-0.0975686677582133</v>
      </c>
    </row>
    <row r="9752" customFormat="false" ht="15" hidden="false" customHeight="false" outlineLevel="0" collapsed="false">
      <c r="A9752" s="0" t="n">
        <v>9751</v>
      </c>
      <c r="B9752" s="14" t="n">
        <v>116744.771825259</v>
      </c>
      <c r="C9752" s="15" t="n">
        <v>0.0759467996170801</v>
      </c>
      <c r="D9752" s="14" t="n">
        <f aca="false">Summary!$B$5-B9752</f>
        <v>-16744.7718252594</v>
      </c>
      <c r="E9752" s="15" t="n">
        <f aca="false">B9752/Summary!$B$5-1</f>
        <v>0.167447718252594</v>
      </c>
    </row>
    <row r="9753" customFormat="false" ht="15" hidden="false" customHeight="false" outlineLevel="0" collapsed="false">
      <c r="A9753" s="0" t="n">
        <v>9752</v>
      </c>
      <c r="B9753" s="14" t="n">
        <v>105539.087996229</v>
      </c>
      <c r="C9753" s="15" t="n">
        <v>0.0819664464908978</v>
      </c>
      <c r="D9753" s="14" t="n">
        <f aca="false">Summary!$B$5-B9753</f>
        <v>-5539.0879962293</v>
      </c>
      <c r="E9753" s="15" t="n">
        <f aca="false">B9753/Summary!$B$5-1</f>
        <v>0.0553908799622929</v>
      </c>
    </row>
    <row r="9754" customFormat="false" ht="15" hidden="false" customHeight="false" outlineLevel="0" collapsed="false">
      <c r="A9754" s="0" t="n">
        <v>9753</v>
      </c>
      <c r="B9754" s="14" t="n">
        <v>116583.160055819</v>
      </c>
      <c r="C9754" s="15" t="n">
        <v>0.0477999342062351</v>
      </c>
      <c r="D9754" s="14" t="n">
        <f aca="false">Summary!$B$5-B9754</f>
        <v>-16583.1600558185</v>
      </c>
      <c r="E9754" s="15" t="n">
        <f aca="false">B9754/Summary!$B$5-1</f>
        <v>0.165831600558185</v>
      </c>
    </row>
    <row r="9755" customFormat="false" ht="15" hidden="false" customHeight="false" outlineLevel="0" collapsed="false">
      <c r="A9755" s="0" t="n">
        <v>9754</v>
      </c>
      <c r="B9755" s="14" t="n">
        <v>117546.83546423</v>
      </c>
      <c r="C9755" s="15" t="n">
        <v>0.0919969171009287</v>
      </c>
      <c r="D9755" s="14" t="n">
        <f aca="false">Summary!$B$5-B9755</f>
        <v>-17546.8354642296</v>
      </c>
      <c r="E9755" s="15" t="n">
        <f aca="false">B9755/Summary!$B$5-1</f>
        <v>0.175468354642296</v>
      </c>
    </row>
    <row r="9756" customFormat="false" ht="15" hidden="false" customHeight="false" outlineLevel="0" collapsed="false">
      <c r="A9756" s="0" t="n">
        <v>9755</v>
      </c>
      <c r="B9756" s="14" t="n">
        <v>118762.077900066</v>
      </c>
      <c r="C9756" s="15" t="n">
        <v>0.0582457610911146</v>
      </c>
      <c r="D9756" s="14" t="n">
        <f aca="false">Summary!$B$5-B9756</f>
        <v>-18762.0779000659</v>
      </c>
      <c r="E9756" s="15" t="n">
        <f aca="false">B9756/Summary!$B$5-1</f>
        <v>0.187620779000659</v>
      </c>
    </row>
    <row r="9757" customFormat="false" ht="15" hidden="false" customHeight="false" outlineLevel="0" collapsed="false">
      <c r="A9757" s="0" t="n">
        <v>9756</v>
      </c>
      <c r="B9757" s="14" t="n">
        <v>97475.8091310307</v>
      </c>
      <c r="C9757" s="15" t="n">
        <v>0.104352807755617</v>
      </c>
      <c r="D9757" s="14" t="n">
        <f aca="false">Summary!$B$5-B9757</f>
        <v>2524.19086896926</v>
      </c>
      <c r="E9757" s="15" t="n">
        <f aca="false">B9757/Summary!$B$5-1</f>
        <v>-0.0252419086896927</v>
      </c>
    </row>
    <row r="9758" customFormat="false" ht="15" hidden="false" customHeight="false" outlineLevel="0" collapsed="false">
      <c r="A9758" s="0" t="n">
        <v>9757</v>
      </c>
      <c r="B9758" s="14" t="n">
        <v>105553.285180461</v>
      </c>
      <c r="C9758" s="15" t="n">
        <v>0.118251434193774</v>
      </c>
      <c r="D9758" s="14" t="n">
        <f aca="false">Summary!$B$5-B9758</f>
        <v>-5553.2851804605</v>
      </c>
      <c r="E9758" s="15" t="n">
        <f aca="false">B9758/Summary!$B$5-1</f>
        <v>0.055532851804605</v>
      </c>
    </row>
    <row r="9759" customFormat="false" ht="15" hidden="false" customHeight="false" outlineLevel="0" collapsed="false">
      <c r="A9759" s="0" t="n">
        <v>9758</v>
      </c>
      <c r="B9759" s="14" t="n">
        <v>104340.214435991</v>
      </c>
      <c r="C9759" s="15" t="n">
        <v>0.0804567643616206</v>
      </c>
      <c r="D9759" s="14" t="n">
        <f aca="false">Summary!$B$5-B9759</f>
        <v>-4340.2144359908</v>
      </c>
      <c r="E9759" s="15" t="n">
        <f aca="false">B9759/Summary!$B$5-1</f>
        <v>0.043402144359908</v>
      </c>
    </row>
    <row r="9760" customFormat="false" ht="15" hidden="false" customHeight="false" outlineLevel="0" collapsed="false">
      <c r="A9760" s="0" t="n">
        <v>9759</v>
      </c>
      <c r="B9760" s="14" t="n">
        <v>98249.3568211882</v>
      </c>
      <c r="C9760" s="15" t="n">
        <v>0.0780270034559322</v>
      </c>
      <c r="D9760" s="14" t="n">
        <f aca="false">Summary!$B$5-B9760</f>
        <v>1750.64317881184</v>
      </c>
      <c r="E9760" s="15" t="n">
        <f aca="false">B9760/Summary!$B$5-1</f>
        <v>-0.0175064317881184</v>
      </c>
    </row>
    <row r="9761" customFormat="false" ht="15" hidden="false" customHeight="false" outlineLevel="0" collapsed="false">
      <c r="A9761" s="0" t="n">
        <v>9760</v>
      </c>
      <c r="B9761" s="14" t="n">
        <v>88979.6664669346</v>
      </c>
      <c r="C9761" s="15" t="n">
        <v>0.176055870646912</v>
      </c>
      <c r="D9761" s="14" t="n">
        <f aca="false">Summary!$B$5-B9761</f>
        <v>11020.3335330654</v>
      </c>
      <c r="E9761" s="15" t="n">
        <f aca="false">B9761/Summary!$B$5-1</f>
        <v>-0.110203335330654</v>
      </c>
    </row>
    <row r="9762" customFormat="false" ht="15" hidden="false" customHeight="false" outlineLevel="0" collapsed="false">
      <c r="A9762" s="0" t="n">
        <v>9761</v>
      </c>
      <c r="B9762" s="14" t="n">
        <v>91425.7762970683</v>
      </c>
      <c r="C9762" s="15" t="n">
        <v>0.159832721053816</v>
      </c>
      <c r="D9762" s="14" t="n">
        <f aca="false">Summary!$B$5-B9762</f>
        <v>8574.22370293169</v>
      </c>
      <c r="E9762" s="15" t="n">
        <f aca="false">B9762/Summary!$B$5-1</f>
        <v>-0.0857422370293169</v>
      </c>
    </row>
    <row r="9763" customFormat="false" ht="15" hidden="false" customHeight="false" outlineLevel="0" collapsed="false">
      <c r="A9763" s="0" t="n">
        <v>9762</v>
      </c>
      <c r="B9763" s="14" t="n">
        <v>99164.3389655268</v>
      </c>
      <c r="C9763" s="15" t="n">
        <v>0.098957153745261</v>
      </c>
      <c r="D9763" s="14" t="n">
        <f aca="false">Summary!$B$5-B9763</f>
        <v>835.661034473247</v>
      </c>
      <c r="E9763" s="15" t="n">
        <f aca="false">B9763/Summary!$B$5-1</f>
        <v>-0.00835661034473245</v>
      </c>
    </row>
    <row r="9764" customFormat="false" ht="15" hidden="false" customHeight="false" outlineLevel="0" collapsed="false">
      <c r="A9764" s="0" t="n">
        <v>9763</v>
      </c>
      <c r="B9764" s="14" t="n">
        <v>104169.782358263</v>
      </c>
      <c r="C9764" s="15" t="n">
        <v>0.116139405044812</v>
      </c>
      <c r="D9764" s="14" t="n">
        <f aca="false">Summary!$B$5-B9764</f>
        <v>-4169.7823582625</v>
      </c>
      <c r="E9764" s="15" t="n">
        <f aca="false">B9764/Summary!$B$5-1</f>
        <v>0.0416978235826251</v>
      </c>
    </row>
    <row r="9765" customFormat="false" ht="15" hidden="false" customHeight="false" outlineLevel="0" collapsed="false">
      <c r="A9765" s="0" t="n">
        <v>9764</v>
      </c>
      <c r="B9765" s="14" t="n">
        <v>104080.348563649</v>
      </c>
      <c r="C9765" s="15" t="n">
        <v>0.13530587438989</v>
      </c>
      <c r="D9765" s="14" t="n">
        <f aca="false">Summary!$B$5-B9765</f>
        <v>-4080.34856364899</v>
      </c>
      <c r="E9765" s="15" t="n">
        <f aca="false">B9765/Summary!$B$5-1</f>
        <v>0.0408034856364898</v>
      </c>
    </row>
    <row r="9766" customFormat="false" ht="15" hidden="false" customHeight="false" outlineLevel="0" collapsed="false">
      <c r="A9766" s="0" t="n">
        <v>9765</v>
      </c>
      <c r="B9766" s="14" t="n">
        <v>110266.571364577</v>
      </c>
      <c r="C9766" s="15" t="n">
        <v>0.0669024768459853</v>
      </c>
      <c r="D9766" s="14" t="n">
        <f aca="false">Summary!$B$5-B9766</f>
        <v>-10266.571364577</v>
      </c>
      <c r="E9766" s="15" t="n">
        <f aca="false">B9766/Summary!$B$5-1</f>
        <v>0.10266571364577</v>
      </c>
    </row>
    <row r="9767" customFormat="false" ht="15" hidden="false" customHeight="false" outlineLevel="0" collapsed="false">
      <c r="A9767" s="0" t="n">
        <v>9766</v>
      </c>
      <c r="B9767" s="14" t="n">
        <v>117522.342558544</v>
      </c>
      <c r="C9767" s="15" t="n">
        <v>0.103048878261954</v>
      </c>
      <c r="D9767" s="14" t="n">
        <f aca="false">Summary!$B$5-B9767</f>
        <v>-17522.3425585435</v>
      </c>
      <c r="E9767" s="15" t="n">
        <f aca="false">B9767/Summary!$B$5-1</f>
        <v>0.175223425585435</v>
      </c>
    </row>
    <row r="9768" customFormat="false" ht="15" hidden="false" customHeight="false" outlineLevel="0" collapsed="false">
      <c r="A9768" s="0" t="n">
        <v>9767</v>
      </c>
      <c r="B9768" s="14" t="n">
        <v>123080.174783584</v>
      </c>
      <c r="C9768" s="15" t="n">
        <v>0.0545273576599527</v>
      </c>
      <c r="D9768" s="14" t="n">
        <f aca="false">Summary!$B$5-B9768</f>
        <v>-23080.174783584</v>
      </c>
      <c r="E9768" s="15" t="n">
        <f aca="false">B9768/Summary!$B$5-1</f>
        <v>0.23080174783584</v>
      </c>
    </row>
    <row r="9769" customFormat="false" ht="15" hidden="false" customHeight="false" outlineLevel="0" collapsed="false">
      <c r="A9769" s="0" t="n">
        <v>9768</v>
      </c>
      <c r="B9769" s="14" t="n">
        <v>103555.340211719</v>
      </c>
      <c r="C9769" s="15" t="n">
        <v>0.115073324600113</v>
      </c>
      <c r="D9769" s="14" t="n">
        <f aca="false">Summary!$B$5-B9769</f>
        <v>-3555.3402117189</v>
      </c>
      <c r="E9769" s="15" t="n">
        <f aca="false">B9769/Summary!$B$5-1</f>
        <v>0.0355534021171891</v>
      </c>
    </row>
    <row r="9770" customFormat="false" ht="15" hidden="false" customHeight="false" outlineLevel="0" collapsed="false">
      <c r="A9770" s="0" t="n">
        <v>9769</v>
      </c>
      <c r="B9770" s="14" t="n">
        <v>113128.040276641</v>
      </c>
      <c r="C9770" s="15" t="n">
        <v>0.0808742942065871</v>
      </c>
      <c r="D9770" s="14" t="n">
        <f aca="false">Summary!$B$5-B9770</f>
        <v>-13128.0402766407</v>
      </c>
      <c r="E9770" s="15" t="n">
        <f aca="false">B9770/Summary!$B$5-1</f>
        <v>0.131280402766407</v>
      </c>
    </row>
    <row r="9771" customFormat="false" ht="15" hidden="false" customHeight="false" outlineLevel="0" collapsed="false">
      <c r="A9771" s="0" t="n">
        <v>9770</v>
      </c>
      <c r="B9771" s="14" t="n">
        <v>114524.271557215</v>
      </c>
      <c r="C9771" s="15" t="n">
        <v>0.0847806502782587</v>
      </c>
      <c r="D9771" s="14" t="n">
        <f aca="false">Summary!$B$5-B9771</f>
        <v>-14524.2715572148</v>
      </c>
      <c r="E9771" s="15" t="n">
        <f aca="false">B9771/Summary!$B$5-1</f>
        <v>0.145242715572148</v>
      </c>
    </row>
    <row r="9772" customFormat="false" ht="15" hidden="false" customHeight="false" outlineLevel="0" collapsed="false">
      <c r="A9772" s="0" t="n">
        <v>9771</v>
      </c>
      <c r="B9772" s="14" t="n">
        <v>96508.9393425212</v>
      </c>
      <c r="C9772" s="15" t="n">
        <v>0.0989086568224125</v>
      </c>
      <c r="D9772" s="14" t="n">
        <f aca="false">Summary!$B$5-B9772</f>
        <v>3491.06065747878</v>
      </c>
      <c r="E9772" s="15" t="n">
        <f aca="false">B9772/Summary!$B$5-1</f>
        <v>-0.0349106065747878</v>
      </c>
    </row>
    <row r="9773" customFormat="false" ht="15" hidden="false" customHeight="false" outlineLevel="0" collapsed="false">
      <c r="A9773" s="0" t="n">
        <v>9772</v>
      </c>
      <c r="B9773" s="14" t="n">
        <v>132893.850585086</v>
      </c>
      <c r="C9773" s="15" t="n">
        <v>0.0877067179859423</v>
      </c>
      <c r="D9773" s="14" t="n">
        <f aca="false">Summary!$B$5-B9773</f>
        <v>-32893.8505850862</v>
      </c>
      <c r="E9773" s="15" t="n">
        <f aca="false">B9773/Summary!$B$5-1</f>
        <v>0.328938505850862</v>
      </c>
    </row>
    <row r="9774" customFormat="false" ht="15" hidden="false" customHeight="false" outlineLevel="0" collapsed="false">
      <c r="A9774" s="0" t="n">
        <v>9773</v>
      </c>
      <c r="B9774" s="14" t="n">
        <v>118618.854153235</v>
      </c>
      <c r="C9774" s="15" t="n">
        <v>0.0686252381416214</v>
      </c>
      <c r="D9774" s="14" t="n">
        <f aca="false">Summary!$B$5-B9774</f>
        <v>-18618.8541532354</v>
      </c>
      <c r="E9774" s="15" t="n">
        <f aca="false">B9774/Summary!$B$5-1</f>
        <v>0.186188541532354</v>
      </c>
    </row>
    <row r="9775" customFormat="false" ht="15" hidden="false" customHeight="false" outlineLevel="0" collapsed="false">
      <c r="A9775" s="0" t="n">
        <v>9774</v>
      </c>
      <c r="B9775" s="14" t="n">
        <v>103695.540853117</v>
      </c>
      <c r="C9775" s="15" t="n">
        <v>0.0663911190144679</v>
      </c>
      <c r="D9775" s="14" t="n">
        <f aca="false">Summary!$B$5-B9775</f>
        <v>-3695.5408531171</v>
      </c>
      <c r="E9775" s="15" t="n">
        <f aca="false">B9775/Summary!$B$5-1</f>
        <v>0.036955408531171</v>
      </c>
    </row>
    <row r="9776" customFormat="false" ht="15" hidden="false" customHeight="false" outlineLevel="0" collapsed="false">
      <c r="A9776" s="0" t="n">
        <v>9775</v>
      </c>
      <c r="B9776" s="14" t="n">
        <v>114128.193051844</v>
      </c>
      <c r="C9776" s="15" t="n">
        <v>0.102185148458518</v>
      </c>
      <c r="D9776" s="14" t="n">
        <f aca="false">Summary!$B$5-B9776</f>
        <v>-14128.1930518442</v>
      </c>
      <c r="E9776" s="15" t="n">
        <f aca="false">B9776/Summary!$B$5-1</f>
        <v>0.141281930518442</v>
      </c>
    </row>
    <row r="9777" customFormat="false" ht="15" hidden="false" customHeight="false" outlineLevel="0" collapsed="false">
      <c r="A9777" s="0" t="n">
        <v>9776</v>
      </c>
      <c r="B9777" s="14" t="n">
        <v>120947.365981312</v>
      </c>
      <c r="C9777" s="15" t="n">
        <v>0.0568577229220093</v>
      </c>
      <c r="D9777" s="14" t="n">
        <f aca="false">Summary!$B$5-B9777</f>
        <v>-20947.3659813115</v>
      </c>
      <c r="E9777" s="15" t="n">
        <f aca="false">B9777/Summary!$B$5-1</f>
        <v>0.209473659813115</v>
      </c>
    </row>
    <row r="9778" customFormat="false" ht="15" hidden="false" customHeight="false" outlineLevel="0" collapsed="false">
      <c r="A9778" s="0" t="n">
        <v>9777</v>
      </c>
      <c r="B9778" s="14" t="n">
        <v>105529.298873999</v>
      </c>
      <c r="C9778" s="15" t="n">
        <v>0.0824660731557828</v>
      </c>
      <c r="D9778" s="14" t="n">
        <f aca="false">Summary!$B$5-B9778</f>
        <v>-5529.2988739991</v>
      </c>
      <c r="E9778" s="15" t="n">
        <f aca="false">B9778/Summary!$B$5-1</f>
        <v>0.0552929887399909</v>
      </c>
    </row>
    <row r="9779" customFormat="false" ht="15" hidden="false" customHeight="false" outlineLevel="0" collapsed="false">
      <c r="A9779" s="0" t="n">
        <v>9778</v>
      </c>
      <c r="B9779" s="14" t="n">
        <v>124488.898448244</v>
      </c>
      <c r="C9779" s="15" t="n">
        <v>0.06626702197424</v>
      </c>
      <c r="D9779" s="14" t="n">
        <f aca="false">Summary!$B$5-B9779</f>
        <v>-24488.8984482443</v>
      </c>
      <c r="E9779" s="15" t="n">
        <f aca="false">B9779/Summary!$B$5-1</f>
        <v>0.244888984482443</v>
      </c>
    </row>
    <row r="9780" customFormat="false" ht="15" hidden="false" customHeight="false" outlineLevel="0" collapsed="false">
      <c r="A9780" s="0" t="n">
        <v>9779</v>
      </c>
      <c r="B9780" s="14" t="n">
        <v>100634.985637464</v>
      </c>
      <c r="C9780" s="15" t="n">
        <v>0.105646625109058</v>
      </c>
      <c r="D9780" s="14" t="n">
        <f aca="false">Summary!$B$5-B9780</f>
        <v>-634.985637463498</v>
      </c>
      <c r="E9780" s="15" t="n">
        <f aca="false">B9780/Summary!$B$5-1</f>
        <v>0.00634985637463492</v>
      </c>
    </row>
    <row r="9781" customFormat="false" ht="15" hidden="false" customHeight="false" outlineLevel="0" collapsed="false">
      <c r="A9781" s="0" t="n">
        <v>9780</v>
      </c>
      <c r="B9781" s="14" t="n">
        <v>103812.617254701</v>
      </c>
      <c r="C9781" s="15" t="n">
        <v>0.0957253057869425</v>
      </c>
      <c r="D9781" s="14" t="n">
        <f aca="false">Summary!$B$5-B9781</f>
        <v>-3812.6172547014</v>
      </c>
      <c r="E9781" s="15" t="n">
        <f aca="false">B9781/Summary!$B$5-1</f>
        <v>0.0381261725470139</v>
      </c>
    </row>
    <row r="9782" customFormat="false" ht="15" hidden="false" customHeight="false" outlineLevel="0" collapsed="false">
      <c r="A9782" s="0" t="n">
        <v>9781</v>
      </c>
      <c r="B9782" s="14" t="n">
        <v>114030.945871752</v>
      </c>
      <c r="C9782" s="15" t="n">
        <v>0.118651301468682</v>
      </c>
      <c r="D9782" s="14" t="n">
        <f aca="false">Summary!$B$5-B9782</f>
        <v>-14030.945871752</v>
      </c>
      <c r="E9782" s="15" t="n">
        <f aca="false">B9782/Summary!$B$5-1</f>
        <v>0.14030945871752</v>
      </c>
    </row>
    <row r="9783" customFormat="false" ht="15" hidden="false" customHeight="false" outlineLevel="0" collapsed="false">
      <c r="A9783" s="0" t="n">
        <v>9782</v>
      </c>
      <c r="B9783" s="14" t="n">
        <v>135433.567134763</v>
      </c>
      <c r="C9783" s="15" t="n">
        <v>0.0879740021890373</v>
      </c>
      <c r="D9783" s="14" t="n">
        <f aca="false">Summary!$B$5-B9783</f>
        <v>-35433.5671347633</v>
      </c>
      <c r="E9783" s="15" t="n">
        <f aca="false">B9783/Summary!$B$5-1</f>
        <v>0.354335671347633</v>
      </c>
    </row>
    <row r="9784" customFormat="false" ht="15" hidden="false" customHeight="false" outlineLevel="0" collapsed="false">
      <c r="A9784" s="0" t="n">
        <v>9783</v>
      </c>
      <c r="B9784" s="14" t="n">
        <v>128219.979853303</v>
      </c>
      <c r="C9784" s="15" t="n">
        <v>0.0934087142190269</v>
      </c>
      <c r="D9784" s="14" t="n">
        <f aca="false">Summary!$B$5-B9784</f>
        <v>-28219.9798533032</v>
      </c>
      <c r="E9784" s="15" t="n">
        <f aca="false">B9784/Summary!$B$5-1</f>
        <v>0.282199798533032</v>
      </c>
    </row>
    <row r="9785" customFormat="false" ht="15" hidden="false" customHeight="false" outlineLevel="0" collapsed="false">
      <c r="A9785" s="0" t="n">
        <v>9784</v>
      </c>
      <c r="B9785" s="14" t="n">
        <v>102283.000999311</v>
      </c>
      <c r="C9785" s="15" t="n">
        <v>0.098773615536057</v>
      </c>
      <c r="D9785" s="14" t="n">
        <f aca="false">Summary!$B$5-B9785</f>
        <v>-2283.00099931051</v>
      </c>
      <c r="E9785" s="15" t="n">
        <f aca="false">B9785/Summary!$B$5-1</f>
        <v>0.0228300099931051</v>
      </c>
    </row>
    <row r="9786" customFormat="false" ht="15" hidden="false" customHeight="false" outlineLevel="0" collapsed="false">
      <c r="A9786" s="0" t="n">
        <v>9785</v>
      </c>
      <c r="B9786" s="14" t="n">
        <v>105245.326172321</v>
      </c>
      <c r="C9786" s="15" t="n">
        <v>0.166618302148425</v>
      </c>
      <c r="D9786" s="14" t="n">
        <f aca="false">Summary!$B$5-B9786</f>
        <v>-5245.3261723209</v>
      </c>
      <c r="E9786" s="15" t="n">
        <f aca="false">B9786/Summary!$B$5-1</f>
        <v>0.052453261723209</v>
      </c>
    </row>
    <row r="9787" customFormat="false" ht="15" hidden="false" customHeight="false" outlineLevel="0" collapsed="false">
      <c r="A9787" s="0" t="n">
        <v>9786</v>
      </c>
      <c r="B9787" s="14" t="n">
        <v>101153.821654958</v>
      </c>
      <c r="C9787" s="15" t="n">
        <v>0.083216552668075</v>
      </c>
      <c r="D9787" s="14" t="n">
        <f aca="false">Summary!$B$5-B9787</f>
        <v>-1153.821654958</v>
      </c>
      <c r="E9787" s="15" t="n">
        <f aca="false">B9787/Summary!$B$5-1</f>
        <v>0.0115382165495799</v>
      </c>
    </row>
    <row r="9788" customFormat="false" ht="15" hidden="false" customHeight="false" outlineLevel="0" collapsed="false">
      <c r="A9788" s="0" t="n">
        <v>9787</v>
      </c>
      <c r="B9788" s="14" t="n">
        <v>103518.026031941</v>
      </c>
      <c r="C9788" s="15" t="n">
        <v>0.114848303502813</v>
      </c>
      <c r="D9788" s="14" t="n">
        <f aca="false">Summary!$B$5-B9788</f>
        <v>-3518.02603194139</v>
      </c>
      <c r="E9788" s="15" t="n">
        <f aca="false">B9788/Summary!$B$5-1</f>
        <v>0.035180260319414</v>
      </c>
    </row>
    <row r="9789" customFormat="false" ht="15" hidden="false" customHeight="false" outlineLevel="0" collapsed="false">
      <c r="A9789" s="0" t="n">
        <v>9788</v>
      </c>
      <c r="B9789" s="14" t="n">
        <v>102171.99008599</v>
      </c>
      <c r="C9789" s="15" t="n">
        <v>0.0817715794188288</v>
      </c>
      <c r="D9789" s="14" t="n">
        <f aca="false">Summary!$B$5-B9789</f>
        <v>-2171.9900859897</v>
      </c>
      <c r="E9789" s="15" t="n">
        <f aca="false">B9789/Summary!$B$5-1</f>
        <v>0.0217199008598969</v>
      </c>
    </row>
    <row r="9790" customFormat="false" ht="15" hidden="false" customHeight="false" outlineLevel="0" collapsed="false">
      <c r="A9790" s="0" t="n">
        <v>9789</v>
      </c>
      <c r="B9790" s="14" t="n">
        <v>97322.8681421407</v>
      </c>
      <c r="C9790" s="15" t="n">
        <v>0.12084181984367</v>
      </c>
      <c r="D9790" s="14" t="n">
        <f aca="false">Summary!$B$5-B9790</f>
        <v>2677.13185785933</v>
      </c>
      <c r="E9790" s="15" t="n">
        <f aca="false">B9790/Summary!$B$5-1</f>
        <v>-0.0267713185785934</v>
      </c>
    </row>
    <row r="9791" customFormat="false" ht="15" hidden="false" customHeight="false" outlineLevel="0" collapsed="false">
      <c r="A9791" s="0" t="n">
        <v>9790</v>
      </c>
      <c r="B9791" s="14" t="n">
        <v>105871.611115682</v>
      </c>
      <c r="C9791" s="15" t="n">
        <v>0.162433710464739</v>
      </c>
      <c r="D9791" s="14" t="n">
        <f aca="false">Summary!$B$5-B9791</f>
        <v>-5871.6111156824</v>
      </c>
      <c r="E9791" s="15" t="n">
        <f aca="false">B9791/Summary!$B$5-1</f>
        <v>0.058716111156824</v>
      </c>
    </row>
    <row r="9792" customFormat="false" ht="15" hidden="false" customHeight="false" outlineLevel="0" collapsed="false">
      <c r="A9792" s="0" t="n">
        <v>9791</v>
      </c>
      <c r="B9792" s="14" t="n">
        <v>91448.2360322832</v>
      </c>
      <c r="C9792" s="15" t="n">
        <v>0.12461271676229</v>
      </c>
      <c r="D9792" s="14" t="n">
        <f aca="false">Summary!$B$5-B9792</f>
        <v>8551.76396771678</v>
      </c>
      <c r="E9792" s="15" t="n">
        <f aca="false">B9792/Summary!$B$5-1</f>
        <v>-0.0855176396771677</v>
      </c>
    </row>
    <row r="9793" customFormat="false" ht="15" hidden="false" customHeight="false" outlineLevel="0" collapsed="false">
      <c r="A9793" s="0" t="n">
        <v>9792</v>
      </c>
      <c r="B9793" s="14" t="n">
        <v>104084.91048847</v>
      </c>
      <c r="C9793" s="15" t="n">
        <v>0.101930609323082</v>
      </c>
      <c r="D9793" s="14" t="n">
        <f aca="false">Summary!$B$5-B9793</f>
        <v>-4084.9104884698</v>
      </c>
      <c r="E9793" s="15" t="n">
        <f aca="false">B9793/Summary!$B$5-1</f>
        <v>0.040849104884698</v>
      </c>
    </row>
    <row r="9794" customFormat="false" ht="15" hidden="false" customHeight="false" outlineLevel="0" collapsed="false">
      <c r="A9794" s="0" t="n">
        <v>9793</v>
      </c>
      <c r="B9794" s="14" t="n">
        <v>105189.089334968</v>
      </c>
      <c r="C9794" s="15" t="n">
        <v>0.073323032380779</v>
      </c>
      <c r="D9794" s="14" t="n">
        <f aca="false">Summary!$B$5-B9794</f>
        <v>-5189.0893349676</v>
      </c>
      <c r="E9794" s="15" t="n">
        <f aca="false">B9794/Summary!$B$5-1</f>
        <v>0.051890893349676</v>
      </c>
    </row>
    <row r="9795" customFormat="false" ht="15" hidden="false" customHeight="false" outlineLevel="0" collapsed="false">
      <c r="A9795" s="0" t="n">
        <v>9794</v>
      </c>
      <c r="B9795" s="14" t="n">
        <v>114649.007799303</v>
      </c>
      <c r="C9795" s="15" t="n">
        <v>0.0757604065379347</v>
      </c>
      <c r="D9795" s="14" t="n">
        <f aca="false">Summary!$B$5-B9795</f>
        <v>-14649.0077993034</v>
      </c>
      <c r="E9795" s="15" t="n">
        <f aca="false">B9795/Summary!$B$5-1</f>
        <v>0.146490077993034</v>
      </c>
    </row>
    <row r="9796" customFormat="false" ht="15" hidden="false" customHeight="false" outlineLevel="0" collapsed="false">
      <c r="A9796" s="0" t="n">
        <v>9795</v>
      </c>
      <c r="B9796" s="14" t="n">
        <v>112395.372573965</v>
      </c>
      <c r="C9796" s="15" t="n">
        <v>0.060489680572278</v>
      </c>
      <c r="D9796" s="14" t="n">
        <f aca="false">Summary!$B$5-B9796</f>
        <v>-12395.372573965</v>
      </c>
      <c r="E9796" s="15" t="n">
        <f aca="false">B9796/Summary!$B$5-1</f>
        <v>0.12395372573965</v>
      </c>
    </row>
    <row r="9797" customFormat="false" ht="15" hidden="false" customHeight="false" outlineLevel="0" collapsed="false">
      <c r="A9797" s="0" t="n">
        <v>9796</v>
      </c>
      <c r="B9797" s="14" t="n">
        <v>121390.232178653</v>
      </c>
      <c r="C9797" s="15" t="n">
        <v>0.0683542209876924</v>
      </c>
      <c r="D9797" s="14" t="n">
        <f aca="false">Summary!$B$5-B9797</f>
        <v>-21390.2321786528</v>
      </c>
      <c r="E9797" s="15" t="n">
        <f aca="false">B9797/Summary!$B$5-1</f>
        <v>0.213902321786528</v>
      </c>
    </row>
    <row r="9798" customFormat="false" ht="15" hidden="false" customHeight="false" outlineLevel="0" collapsed="false">
      <c r="A9798" s="0" t="n">
        <v>9797</v>
      </c>
      <c r="B9798" s="14" t="n">
        <v>110080.042202256</v>
      </c>
      <c r="C9798" s="15" t="n">
        <v>0.0631078087809848</v>
      </c>
      <c r="D9798" s="14" t="n">
        <f aca="false">Summary!$B$5-B9798</f>
        <v>-10080.042202256</v>
      </c>
      <c r="E9798" s="15" t="n">
        <f aca="false">B9798/Summary!$B$5-1</f>
        <v>0.10080042202256</v>
      </c>
    </row>
    <row r="9799" customFormat="false" ht="15" hidden="false" customHeight="false" outlineLevel="0" collapsed="false">
      <c r="A9799" s="0" t="n">
        <v>9798</v>
      </c>
      <c r="B9799" s="14" t="n">
        <v>108874.226338263</v>
      </c>
      <c r="C9799" s="15" t="n">
        <v>0.0819660257005309</v>
      </c>
      <c r="D9799" s="14" t="n">
        <f aca="false">Summary!$B$5-B9799</f>
        <v>-8874.226338263</v>
      </c>
      <c r="E9799" s="15" t="n">
        <f aca="false">B9799/Summary!$B$5-1</f>
        <v>0.08874226338263</v>
      </c>
    </row>
    <row r="9800" customFormat="false" ht="15" hidden="false" customHeight="false" outlineLevel="0" collapsed="false">
      <c r="A9800" s="0" t="n">
        <v>9799</v>
      </c>
      <c r="B9800" s="14" t="n">
        <v>92743.1151290634</v>
      </c>
      <c r="C9800" s="15" t="n">
        <v>0.142098384301516</v>
      </c>
      <c r="D9800" s="14" t="n">
        <f aca="false">Summary!$B$5-B9800</f>
        <v>7256.88487093664</v>
      </c>
      <c r="E9800" s="15" t="n">
        <f aca="false">B9800/Summary!$B$5-1</f>
        <v>-0.0725688487093664</v>
      </c>
    </row>
    <row r="9801" customFormat="false" ht="15" hidden="false" customHeight="false" outlineLevel="0" collapsed="false">
      <c r="A9801" s="0" t="n">
        <v>9800</v>
      </c>
      <c r="B9801" s="14" t="n">
        <v>128378.525373601</v>
      </c>
      <c r="C9801" s="15" t="n">
        <v>0.0645774571235583</v>
      </c>
      <c r="D9801" s="14" t="n">
        <f aca="false">Summary!$B$5-B9801</f>
        <v>-28378.5253736013</v>
      </c>
      <c r="E9801" s="15" t="n">
        <f aca="false">B9801/Summary!$B$5-1</f>
        <v>0.283785253736013</v>
      </c>
    </row>
    <row r="9802" customFormat="false" ht="15" hidden="false" customHeight="false" outlineLevel="0" collapsed="false">
      <c r="A9802" s="0" t="n">
        <v>9801</v>
      </c>
      <c r="B9802" s="14" t="n">
        <v>107664.209266048</v>
      </c>
      <c r="C9802" s="15" t="n">
        <v>0.0885666546014582</v>
      </c>
      <c r="D9802" s="14" t="n">
        <f aca="false">Summary!$B$5-B9802</f>
        <v>-7664.2092660483</v>
      </c>
      <c r="E9802" s="15" t="n">
        <f aca="false">B9802/Summary!$B$5-1</f>
        <v>0.0766420926604829</v>
      </c>
    </row>
    <row r="9803" customFormat="false" ht="15" hidden="false" customHeight="false" outlineLevel="0" collapsed="false">
      <c r="A9803" s="0" t="n">
        <v>9802</v>
      </c>
      <c r="B9803" s="14" t="n">
        <v>125062.580727163</v>
      </c>
      <c r="C9803" s="15" t="n">
        <v>0.0651765332667526</v>
      </c>
      <c r="D9803" s="14" t="n">
        <f aca="false">Summary!$B$5-B9803</f>
        <v>-25062.5807271633</v>
      </c>
      <c r="E9803" s="15" t="n">
        <f aca="false">B9803/Summary!$B$5-1</f>
        <v>0.250625807271633</v>
      </c>
    </row>
    <row r="9804" customFormat="false" ht="15" hidden="false" customHeight="false" outlineLevel="0" collapsed="false">
      <c r="A9804" s="0" t="n">
        <v>9803</v>
      </c>
      <c r="B9804" s="14" t="n">
        <v>128824.11338005</v>
      </c>
      <c r="C9804" s="15" t="n">
        <v>0.046924542925787</v>
      </c>
      <c r="D9804" s="14" t="n">
        <f aca="false">Summary!$B$5-B9804</f>
        <v>-28824.11338005</v>
      </c>
      <c r="E9804" s="15" t="n">
        <f aca="false">B9804/Summary!$B$5-1</f>
        <v>0.2882411338005</v>
      </c>
    </row>
    <row r="9805" customFormat="false" ht="15" hidden="false" customHeight="false" outlineLevel="0" collapsed="false">
      <c r="A9805" s="0" t="n">
        <v>9804</v>
      </c>
      <c r="B9805" s="14" t="n">
        <v>104355.589333697</v>
      </c>
      <c r="C9805" s="15" t="n">
        <v>0.138846847600783</v>
      </c>
      <c r="D9805" s="14" t="n">
        <f aca="false">Summary!$B$5-B9805</f>
        <v>-4355.5893336967</v>
      </c>
      <c r="E9805" s="15" t="n">
        <f aca="false">B9805/Summary!$B$5-1</f>
        <v>0.0435558933369671</v>
      </c>
    </row>
    <row r="9806" customFormat="false" ht="15" hidden="false" customHeight="false" outlineLevel="0" collapsed="false">
      <c r="A9806" s="0" t="n">
        <v>9805</v>
      </c>
      <c r="B9806" s="14" t="n">
        <v>114750.139487233</v>
      </c>
      <c r="C9806" s="15" t="n">
        <v>0.0792161958121594</v>
      </c>
      <c r="D9806" s="14" t="n">
        <f aca="false">Summary!$B$5-B9806</f>
        <v>-14750.1394872328</v>
      </c>
      <c r="E9806" s="15" t="n">
        <f aca="false">B9806/Summary!$B$5-1</f>
        <v>0.147501394872328</v>
      </c>
    </row>
    <row r="9807" customFormat="false" ht="15" hidden="false" customHeight="false" outlineLevel="0" collapsed="false">
      <c r="A9807" s="0" t="n">
        <v>9806</v>
      </c>
      <c r="B9807" s="14" t="n">
        <v>101000.738119673</v>
      </c>
      <c r="C9807" s="15" t="n">
        <v>0.114152537874169</v>
      </c>
      <c r="D9807" s="14" t="n">
        <f aca="false">Summary!$B$5-B9807</f>
        <v>-1000.73811967279</v>
      </c>
      <c r="E9807" s="15" t="n">
        <f aca="false">B9807/Summary!$B$5-1</f>
        <v>0.0100073811967278</v>
      </c>
    </row>
    <row r="9808" customFormat="false" ht="15" hidden="false" customHeight="false" outlineLevel="0" collapsed="false">
      <c r="A9808" s="0" t="n">
        <v>9807</v>
      </c>
      <c r="B9808" s="14" t="n">
        <v>99499.1125238943</v>
      </c>
      <c r="C9808" s="15" t="n">
        <v>0.139621278471996</v>
      </c>
      <c r="D9808" s="14" t="n">
        <f aca="false">Summary!$B$5-B9808</f>
        <v>500.887476105738</v>
      </c>
      <c r="E9808" s="15" t="n">
        <f aca="false">B9808/Summary!$B$5-1</f>
        <v>-0.00500887476105738</v>
      </c>
    </row>
    <row r="9809" customFormat="false" ht="15" hidden="false" customHeight="false" outlineLevel="0" collapsed="false">
      <c r="A9809" s="0" t="n">
        <v>9808</v>
      </c>
      <c r="B9809" s="14" t="n">
        <v>113660.184214558</v>
      </c>
      <c r="C9809" s="15" t="n">
        <v>0.0945740069498717</v>
      </c>
      <c r="D9809" s="14" t="n">
        <f aca="false">Summary!$B$5-B9809</f>
        <v>-13660.1842145579</v>
      </c>
      <c r="E9809" s="15" t="n">
        <f aca="false">B9809/Summary!$B$5-1</f>
        <v>0.136601842145579</v>
      </c>
    </row>
    <row r="9810" customFormat="false" ht="15" hidden="false" customHeight="false" outlineLevel="0" collapsed="false">
      <c r="A9810" s="0" t="n">
        <v>9809</v>
      </c>
      <c r="B9810" s="14" t="n">
        <v>92911.5848435284</v>
      </c>
      <c r="C9810" s="15" t="n">
        <v>0.153253783836855</v>
      </c>
      <c r="D9810" s="14" t="n">
        <f aca="false">Summary!$B$5-B9810</f>
        <v>7088.41515647163</v>
      </c>
      <c r="E9810" s="15" t="n">
        <f aca="false">B9810/Summary!$B$5-1</f>
        <v>-0.0708841515647163</v>
      </c>
    </row>
    <row r="9811" customFormat="false" ht="15" hidden="false" customHeight="false" outlineLevel="0" collapsed="false">
      <c r="A9811" s="0" t="n">
        <v>9810</v>
      </c>
      <c r="B9811" s="14" t="n">
        <v>99954.8842219693</v>
      </c>
      <c r="C9811" s="15" t="n">
        <v>0.0630251498073992</v>
      </c>
      <c r="D9811" s="14" t="n">
        <f aca="false">Summary!$B$5-B9811</f>
        <v>45.1157780307112</v>
      </c>
      <c r="E9811" s="15" t="n">
        <f aca="false">B9811/Summary!$B$5-1</f>
        <v>-0.000451157780307132</v>
      </c>
    </row>
    <row r="9812" customFormat="false" ht="15" hidden="false" customHeight="false" outlineLevel="0" collapsed="false">
      <c r="A9812" s="0" t="n">
        <v>9811</v>
      </c>
      <c r="B9812" s="14" t="n">
        <v>101653.500096097</v>
      </c>
      <c r="C9812" s="15" t="n">
        <v>0.0854040660959214</v>
      </c>
      <c r="D9812" s="14" t="n">
        <f aca="false">Summary!$B$5-B9812</f>
        <v>-1653.5000960967</v>
      </c>
      <c r="E9812" s="15" t="n">
        <f aca="false">B9812/Summary!$B$5-1</f>
        <v>0.0165350009609671</v>
      </c>
    </row>
    <row r="9813" customFormat="false" ht="15" hidden="false" customHeight="false" outlineLevel="0" collapsed="false">
      <c r="A9813" s="0" t="n">
        <v>9812</v>
      </c>
      <c r="B9813" s="14" t="n">
        <v>109129.973718849</v>
      </c>
      <c r="C9813" s="15" t="n">
        <v>0.0937351305062927</v>
      </c>
      <c r="D9813" s="14" t="n">
        <f aca="false">Summary!$B$5-B9813</f>
        <v>-9129.9737188485</v>
      </c>
      <c r="E9813" s="15" t="n">
        <f aca="false">B9813/Summary!$B$5-1</f>
        <v>0.0912997371884849</v>
      </c>
    </row>
    <row r="9814" customFormat="false" ht="15" hidden="false" customHeight="false" outlineLevel="0" collapsed="false">
      <c r="A9814" s="0" t="n">
        <v>9813</v>
      </c>
      <c r="B9814" s="14" t="n">
        <v>95597.0269559812</v>
      </c>
      <c r="C9814" s="15" t="n">
        <v>0.0956214124824483</v>
      </c>
      <c r="D9814" s="14" t="n">
        <f aca="false">Summary!$B$5-B9814</f>
        <v>4402.97304401879</v>
      </c>
      <c r="E9814" s="15" t="n">
        <f aca="false">B9814/Summary!$B$5-1</f>
        <v>-0.0440297304401879</v>
      </c>
    </row>
    <row r="9815" customFormat="false" ht="15" hidden="false" customHeight="false" outlineLevel="0" collapsed="false">
      <c r="A9815" s="0" t="n">
        <v>9814</v>
      </c>
      <c r="B9815" s="14" t="n">
        <v>113866.527405359</v>
      </c>
      <c r="C9815" s="15" t="n">
        <v>0.0673065078496923</v>
      </c>
      <c r="D9815" s="14" t="n">
        <f aca="false">Summary!$B$5-B9815</f>
        <v>-13866.5274053588</v>
      </c>
      <c r="E9815" s="15" t="n">
        <f aca="false">B9815/Summary!$B$5-1</f>
        <v>0.138665274053588</v>
      </c>
    </row>
    <row r="9816" customFormat="false" ht="15" hidden="false" customHeight="false" outlineLevel="0" collapsed="false">
      <c r="A9816" s="0" t="n">
        <v>9815</v>
      </c>
      <c r="B9816" s="14" t="n">
        <v>125069.341368476</v>
      </c>
      <c r="C9816" s="15" t="n">
        <v>0.0687532346522695</v>
      </c>
      <c r="D9816" s="14" t="n">
        <f aca="false">Summary!$B$5-B9816</f>
        <v>-25069.3413684757</v>
      </c>
      <c r="E9816" s="15" t="n">
        <f aca="false">B9816/Summary!$B$5-1</f>
        <v>0.250693413684757</v>
      </c>
    </row>
    <row r="9817" customFormat="false" ht="15" hidden="false" customHeight="false" outlineLevel="0" collapsed="false">
      <c r="A9817" s="0" t="n">
        <v>9816</v>
      </c>
      <c r="B9817" s="14" t="n">
        <v>128155.22968646</v>
      </c>
      <c r="C9817" s="15" t="n">
        <v>0.0632162835149395</v>
      </c>
      <c r="D9817" s="14" t="n">
        <f aca="false">Summary!$B$5-B9817</f>
        <v>-28155.2296864597</v>
      </c>
      <c r="E9817" s="15" t="n">
        <f aca="false">B9817/Summary!$B$5-1</f>
        <v>0.281552296864597</v>
      </c>
    </row>
    <row r="9818" customFormat="false" ht="15" hidden="false" customHeight="false" outlineLevel="0" collapsed="false">
      <c r="A9818" s="0" t="n">
        <v>9817</v>
      </c>
      <c r="B9818" s="14" t="n">
        <v>111747.829294914</v>
      </c>
      <c r="C9818" s="15" t="n">
        <v>0.0887197597267947</v>
      </c>
      <c r="D9818" s="14" t="n">
        <f aca="false">Summary!$B$5-B9818</f>
        <v>-11747.8292949136</v>
      </c>
      <c r="E9818" s="15" t="n">
        <f aca="false">B9818/Summary!$B$5-1</f>
        <v>0.117478292949136</v>
      </c>
    </row>
    <row r="9819" customFormat="false" ht="15" hidden="false" customHeight="false" outlineLevel="0" collapsed="false">
      <c r="A9819" s="0" t="n">
        <v>9818</v>
      </c>
      <c r="B9819" s="14" t="n">
        <v>129392.928252699</v>
      </c>
      <c r="C9819" s="15" t="n">
        <v>0.0476952257215667</v>
      </c>
      <c r="D9819" s="14" t="n">
        <f aca="false">Summary!$B$5-B9819</f>
        <v>-29392.9282526987</v>
      </c>
      <c r="E9819" s="15" t="n">
        <f aca="false">B9819/Summary!$B$5-1</f>
        <v>0.293929282526987</v>
      </c>
    </row>
    <row r="9820" customFormat="false" ht="15" hidden="false" customHeight="false" outlineLevel="0" collapsed="false">
      <c r="A9820" s="0" t="n">
        <v>9819</v>
      </c>
      <c r="B9820" s="14" t="n">
        <v>124678.71647366</v>
      </c>
      <c r="C9820" s="15" t="n">
        <v>0.11789174070315</v>
      </c>
      <c r="D9820" s="14" t="n">
        <f aca="false">Summary!$B$5-B9820</f>
        <v>-24678.7164736599</v>
      </c>
      <c r="E9820" s="15" t="n">
        <f aca="false">B9820/Summary!$B$5-1</f>
        <v>0.246787164736599</v>
      </c>
    </row>
    <row r="9821" customFormat="false" ht="15" hidden="false" customHeight="false" outlineLevel="0" collapsed="false">
      <c r="A9821" s="0" t="n">
        <v>9820</v>
      </c>
      <c r="B9821" s="14" t="n">
        <v>102423.888402256</v>
      </c>
      <c r="C9821" s="15" t="n">
        <v>0.0858214314001643</v>
      </c>
      <c r="D9821" s="14" t="n">
        <f aca="false">Summary!$B$5-B9821</f>
        <v>-2423.8884022564</v>
      </c>
      <c r="E9821" s="15" t="n">
        <f aca="false">B9821/Summary!$B$5-1</f>
        <v>0.024238884022564</v>
      </c>
    </row>
    <row r="9822" customFormat="false" ht="15" hidden="false" customHeight="false" outlineLevel="0" collapsed="false">
      <c r="A9822" s="0" t="n">
        <v>9821</v>
      </c>
      <c r="B9822" s="14" t="n">
        <v>130907.362108185</v>
      </c>
      <c r="C9822" s="15" t="n">
        <v>0.0435222747116792</v>
      </c>
      <c r="D9822" s="14" t="n">
        <f aca="false">Summary!$B$5-B9822</f>
        <v>-30907.3621081852</v>
      </c>
      <c r="E9822" s="15" t="n">
        <f aca="false">B9822/Summary!$B$5-1</f>
        <v>0.309073621081852</v>
      </c>
    </row>
    <row r="9823" customFormat="false" ht="15" hidden="false" customHeight="false" outlineLevel="0" collapsed="false">
      <c r="A9823" s="0" t="n">
        <v>9822</v>
      </c>
      <c r="B9823" s="14" t="n">
        <v>103670.555490909</v>
      </c>
      <c r="C9823" s="15" t="n">
        <v>0.0843240895627485</v>
      </c>
      <c r="D9823" s="14" t="n">
        <f aca="false">Summary!$B$5-B9823</f>
        <v>-3670.5554909092</v>
      </c>
      <c r="E9823" s="15" t="n">
        <f aca="false">B9823/Summary!$B$5-1</f>
        <v>0.036705554909092</v>
      </c>
    </row>
    <row r="9824" customFormat="false" ht="15" hidden="false" customHeight="false" outlineLevel="0" collapsed="false">
      <c r="A9824" s="0" t="n">
        <v>9823</v>
      </c>
      <c r="B9824" s="14" t="n">
        <v>99387.6593812833</v>
      </c>
      <c r="C9824" s="15" t="n">
        <v>0.129288140615873</v>
      </c>
      <c r="D9824" s="14" t="n">
        <f aca="false">Summary!$B$5-B9824</f>
        <v>612.340618716728</v>
      </c>
      <c r="E9824" s="15" t="n">
        <f aca="false">B9824/Summary!$B$5-1</f>
        <v>-0.00612340618716722</v>
      </c>
    </row>
    <row r="9825" customFormat="false" ht="15" hidden="false" customHeight="false" outlineLevel="0" collapsed="false">
      <c r="A9825" s="0" t="n">
        <v>9824</v>
      </c>
      <c r="B9825" s="14" t="n">
        <v>112485.87974544</v>
      </c>
      <c r="C9825" s="15" t="n">
        <v>0.102932671452176</v>
      </c>
      <c r="D9825" s="14" t="n">
        <f aca="false">Summary!$B$5-B9825</f>
        <v>-12485.8797454398</v>
      </c>
      <c r="E9825" s="15" t="n">
        <f aca="false">B9825/Summary!$B$5-1</f>
        <v>0.124858797454398</v>
      </c>
    </row>
    <row r="9826" customFormat="false" ht="15" hidden="false" customHeight="false" outlineLevel="0" collapsed="false">
      <c r="A9826" s="0" t="n">
        <v>9825</v>
      </c>
      <c r="B9826" s="14" t="n">
        <v>96249.0303753637</v>
      </c>
      <c r="C9826" s="15" t="n">
        <v>0.119936757437402</v>
      </c>
      <c r="D9826" s="14" t="n">
        <f aca="false">Summary!$B$5-B9826</f>
        <v>3750.96962463629</v>
      </c>
      <c r="E9826" s="15" t="n">
        <f aca="false">B9826/Summary!$B$5-1</f>
        <v>-0.0375096962463629</v>
      </c>
    </row>
    <row r="9827" customFormat="false" ht="15" hidden="false" customHeight="false" outlineLevel="0" collapsed="false">
      <c r="A9827" s="0" t="n">
        <v>9826</v>
      </c>
      <c r="B9827" s="14" t="n">
        <v>116037.114930816</v>
      </c>
      <c r="C9827" s="15" t="n">
        <v>0.0830882829049758</v>
      </c>
      <c r="D9827" s="14" t="n">
        <f aca="false">Summary!$B$5-B9827</f>
        <v>-16037.1149308157</v>
      </c>
      <c r="E9827" s="15" t="n">
        <f aca="false">B9827/Summary!$B$5-1</f>
        <v>0.160371149308157</v>
      </c>
    </row>
    <row r="9828" customFormat="false" ht="15" hidden="false" customHeight="false" outlineLevel="0" collapsed="false">
      <c r="A9828" s="0" t="n">
        <v>9827</v>
      </c>
      <c r="B9828" s="14" t="n">
        <v>110068.214100848</v>
      </c>
      <c r="C9828" s="15" t="n">
        <v>0.122250445599747</v>
      </c>
      <c r="D9828" s="14" t="n">
        <f aca="false">Summary!$B$5-B9828</f>
        <v>-10068.214100848</v>
      </c>
      <c r="E9828" s="15" t="n">
        <f aca="false">B9828/Summary!$B$5-1</f>
        <v>0.10068214100848</v>
      </c>
    </row>
    <row r="9829" customFormat="false" ht="15" hidden="false" customHeight="false" outlineLevel="0" collapsed="false">
      <c r="A9829" s="0" t="n">
        <v>9828</v>
      </c>
      <c r="B9829" s="14" t="n">
        <v>90186.6188748204</v>
      </c>
      <c r="C9829" s="15" t="n">
        <v>0.124836406675387</v>
      </c>
      <c r="D9829" s="14" t="n">
        <f aca="false">Summary!$B$5-B9829</f>
        <v>9813.38112517963</v>
      </c>
      <c r="E9829" s="15" t="n">
        <f aca="false">B9829/Summary!$B$5-1</f>
        <v>-0.0981338112517963</v>
      </c>
    </row>
    <row r="9830" customFormat="false" ht="15" hidden="false" customHeight="false" outlineLevel="0" collapsed="false">
      <c r="A9830" s="0" t="n">
        <v>9829</v>
      </c>
      <c r="B9830" s="14" t="n">
        <v>105076.364906406</v>
      </c>
      <c r="C9830" s="15" t="n">
        <v>0.13026037555236</v>
      </c>
      <c r="D9830" s="14" t="n">
        <f aca="false">Summary!$B$5-B9830</f>
        <v>-5076.36490640621</v>
      </c>
      <c r="E9830" s="15" t="n">
        <f aca="false">B9830/Summary!$B$5-1</f>
        <v>0.0507636490640619</v>
      </c>
    </row>
    <row r="9831" customFormat="false" ht="15" hidden="false" customHeight="false" outlineLevel="0" collapsed="false">
      <c r="A9831" s="0" t="n">
        <v>9830</v>
      </c>
      <c r="B9831" s="14" t="n">
        <v>118633.796157819</v>
      </c>
      <c r="C9831" s="15" t="n">
        <v>0.127224306392615</v>
      </c>
      <c r="D9831" s="14" t="n">
        <f aca="false">Summary!$B$5-B9831</f>
        <v>-18633.7961578186</v>
      </c>
      <c r="E9831" s="15" t="n">
        <f aca="false">B9831/Summary!$B$5-1</f>
        <v>0.186337961578186</v>
      </c>
    </row>
    <row r="9832" customFormat="false" ht="15" hidden="false" customHeight="false" outlineLevel="0" collapsed="false">
      <c r="A9832" s="0" t="n">
        <v>9831</v>
      </c>
      <c r="B9832" s="14" t="n">
        <v>127123.219452256</v>
      </c>
      <c r="C9832" s="15" t="n">
        <v>0.124460530901479</v>
      </c>
      <c r="D9832" s="14" t="n">
        <f aca="false">Summary!$B$5-B9832</f>
        <v>-27123.2194522561</v>
      </c>
      <c r="E9832" s="15" t="n">
        <f aca="false">B9832/Summary!$B$5-1</f>
        <v>0.271232194522561</v>
      </c>
    </row>
    <row r="9833" customFormat="false" ht="15" hidden="false" customHeight="false" outlineLevel="0" collapsed="false">
      <c r="A9833" s="0" t="n">
        <v>9832</v>
      </c>
      <c r="B9833" s="14" t="n">
        <v>111462.855919748</v>
      </c>
      <c r="C9833" s="15" t="n">
        <v>0.0793291945433323</v>
      </c>
      <c r="D9833" s="14" t="n">
        <f aca="false">Summary!$B$5-B9833</f>
        <v>-11462.8559197479</v>
      </c>
      <c r="E9833" s="15" t="n">
        <f aca="false">B9833/Summary!$B$5-1</f>
        <v>0.114628559197479</v>
      </c>
    </row>
    <row r="9834" customFormat="false" ht="15" hidden="false" customHeight="false" outlineLevel="0" collapsed="false">
      <c r="A9834" s="0" t="n">
        <v>9833</v>
      </c>
      <c r="B9834" s="14" t="n">
        <v>122140.758533278</v>
      </c>
      <c r="C9834" s="15" t="n">
        <v>0.0788899252531043</v>
      </c>
      <c r="D9834" s="14" t="n">
        <f aca="false">Summary!$B$5-B9834</f>
        <v>-22140.7585332776</v>
      </c>
      <c r="E9834" s="15" t="n">
        <f aca="false">B9834/Summary!$B$5-1</f>
        <v>0.221407585332776</v>
      </c>
    </row>
    <row r="9835" customFormat="false" ht="15" hidden="false" customHeight="false" outlineLevel="0" collapsed="false">
      <c r="A9835" s="0" t="n">
        <v>9834</v>
      </c>
      <c r="B9835" s="14" t="n">
        <v>98934.391360827</v>
      </c>
      <c r="C9835" s="15" t="n">
        <v>0.129080698867977</v>
      </c>
      <c r="D9835" s="14" t="n">
        <f aca="false">Summary!$B$5-B9835</f>
        <v>1065.60863917298</v>
      </c>
      <c r="E9835" s="15" t="n">
        <f aca="false">B9835/Summary!$B$5-1</f>
        <v>-0.0106560863917298</v>
      </c>
    </row>
    <row r="9836" customFormat="false" ht="15" hidden="false" customHeight="false" outlineLevel="0" collapsed="false">
      <c r="A9836" s="0" t="n">
        <v>9835</v>
      </c>
      <c r="B9836" s="14" t="n">
        <v>126109.761355605</v>
      </c>
      <c r="C9836" s="15" t="n">
        <v>0.0707617809643701</v>
      </c>
      <c r="D9836" s="14" t="n">
        <f aca="false">Summary!$B$5-B9836</f>
        <v>-26109.7613556049</v>
      </c>
      <c r="E9836" s="15" t="n">
        <f aca="false">B9836/Summary!$B$5-1</f>
        <v>0.261097613556049</v>
      </c>
    </row>
    <row r="9837" customFormat="false" ht="15" hidden="false" customHeight="false" outlineLevel="0" collapsed="false">
      <c r="A9837" s="0" t="n">
        <v>9836</v>
      </c>
      <c r="B9837" s="14" t="n">
        <v>122070.067644415</v>
      </c>
      <c r="C9837" s="15" t="n">
        <v>0.0700432306560321</v>
      </c>
      <c r="D9837" s="14" t="n">
        <f aca="false">Summary!$B$5-B9837</f>
        <v>-22070.0676444145</v>
      </c>
      <c r="E9837" s="15" t="n">
        <f aca="false">B9837/Summary!$B$5-1</f>
        <v>0.220700676444145</v>
      </c>
    </row>
    <row r="9838" customFormat="false" ht="15" hidden="false" customHeight="false" outlineLevel="0" collapsed="false">
      <c r="A9838" s="0" t="n">
        <v>9837</v>
      </c>
      <c r="B9838" s="14" t="n">
        <v>110021.620950031</v>
      </c>
      <c r="C9838" s="15" t="n">
        <v>0.120310367593659</v>
      </c>
      <c r="D9838" s="14" t="n">
        <f aca="false">Summary!$B$5-B9838</f>
        <v>-10021.6209500305</v>
      </c>
      <c r="E9838" s="15" t="n">
        <f aca="false">B9838/Summary!$B$5-1</f>
        <v>0.100216209500305</v>
      </c>
    </row>
    <row r="9839" customFormat="false" ht="15" hidden="false" customHeight="false" outlineLevel="0" collapsed="false">
      <c r="A9839" s="0" t="n">
        <v>9838</v>
      </c>
      <c r="B9839" s="14" t="n">
        <v>99629.3784000969</v>
      </c>
      <c r="C9839" s="15" t="n">
        <v>0.161137808642657</v>
      </c>
      <c r="D9839" s="14" t="n">
        <f aca="false">Summary!$B$5-B9839</f>
        <v>370.621599903068</v>
      </c>
      <c r="E9839" s="15" t="n">
        <f aca="false">B9839/Summary!$B$5-1</f>
        <v>-0.00370621599903065</v>
      </c>
    </row>
    <row r="9840" customFormat="false" ht="15" hidden="false" customHeight="false" outlineLevel="0" collapsed="false">
      <c r="A9840" s="0" t="n">
        <v>9839</v>
      </c>
      <c r="B9840" s="14" t="n">
        <v>104172.360499295</v>
      </c>
      <c r="C9840" s="15" t="n">
        <v>0.102353048165582</v>
      </c>
      <c r="D9840" s="14" t="n">
        <f aca="false">Summary!$B$5-B9840</f>
        <v>-4172.3604992945</v>
      </c>
      <c r="E9840" s="15" t="n">
        <f aca="false">B9840/Summary!$B$5-1</f>
        <v>0.041723604992945</v>
      </c>
    </row>
    <row r="9841" customFormat="false" ht="15" hidden="false" customHeight="false" outlineLevel="0" collapsed="false">
      <c r="A9841" s="0" t="n">
        <v>9840</v>
      </c>
      <c r="B9841" s="14" t="n">
        <v>105345.4131108</v>
      </c>
      <c r="C9841" s="15" t="n">
        <v>0.119855054566013</v>
      </c>
      <c r="D9841" s="14" t="n">
        <f aca="false">Summary!$B$5-B9841</f>
        <v>-5345.4131107999</v>
      </c>
      <c r="E9841" s="15" t="n">
        <f aca="false">B9841/Summary!$B$5-1</f>
        <v>0.053454131107999</v>
      </c>
    </row>
    <row r="9842" customFormat="false" ht="15" hidden="false" customHeight="false" outlineLevel="0" collapsed="false">
      <c r="A9842" s="0" t="n">
        <v>9841</v>
      </c>
      <c r="B9842" s="14" t="n">
        <v>127039.959989143</v>
      </c>
      <c r="C9842" s="15" t="n">
        <v>0.0902317552274332</v>
      </c>
      <c r="D9842" s="14" t="n">
        <f aca="false">Summary!$B$5-B9842</f>
        <v>-27039.9599891427</v>
      </c>
      <c r="E9842" s="15" t="n">
        <f aca="false">B9842/Summary!$B$5-1</f>
        <v>0.270399599891427</v>
      </c>
    </row>
    <row r="9843" customFormat="false" ht="15" hidden="false" customHeight="false" outlineLevel="0" collapsed="false">
      <c r="A9843" s="0" t="n">
        <v>9842</v>
      </c>
      <c r="B9843" s="14" t="n">
        <v>91674.689166769</v>
      </c>
      <c r="C9843" s="15" t="n">
        <v>0.13446559003737</v>
      </c>
      <c r="D9843" s="14" t="n">
        <f aca="false">Summary!$B$5-B9843</f>
        <v>8325.31083323105</v>
      </c>
      <c r="E9843" s="15" t="n">
        <f aca="false">B9843/Summary!$B$5-1</f>
        <v>-0.0832531083323105</v>
      </c>
    </row>
    <row r="9844" customFormat="false" ht="15" hidden="false" customHeight="false" outlineLevel="0" collapsed="false">
      <c r="A9844" s="0" t="n">
        <v>9843</v>
      </c>
      <c r="B9844" s="14" t="n">
        <v>124115.642650519</v>
      </c>
      <c r="C9844" s="15" t="n">
        <v>0.0500597349974757</v>
      </c>
      <c r="D9844" s="14" t="n">
        <f aca="false">Summary!$B$5-B9844</f>
        <v>-24115.6426505193</v>
      </c>
      <c r="E9844" s="15" t="n">
        <f aca="false">B9844/Summary!$B$5-1</f>
        <v>0.241156426505193</v>
      </c>
    </row>
    <row r="9845" customFormat="false" ht="15" hidden="false" customHeight="false" outlineLevel="0" collapsed="false">
      <c r="A9845" s="0" t="n">
        <v>9844</v>
      </c>
      <c r="B9845" s="14" t="n">
        <v>113546.812416097</v>
      </c>
      <c r="C9845" s="15" t="n">
        <v>0.0563431764645964</v>
      </c>
      <c r="D9845" s="14" t="n">
        <f aca="false">Summary!$B$5-B9845</f>
        <v>-13546.8124160969</v>
      </c>
      <c r="E9845" s="15" t="n">
        <f aca="false">B9845/Summary!$B$5-1</f>
        <v>0.135468124160969</v>
      </c>
    </row>
    <row r="9846" customFormat="false" ht="15" hidden="false" customHeight="false" outlineLevel="0" collapsed="false">
      <c r="A9846" s="0" t="n">
        <v>9845</v>
      </c>
      <c r="B9846" s="14" t="n">
        <v>98854.7724172126</v>
      </c>
      <c r="C9846" s="15" t="n">
        <v>0.0968073618661975</v>
      </c>
      <c r="D9846" s="14" t="n">
        <f aca="false">Summary!$B$5-B9846</f>
        <v>1145.22758278744</v>
      </c>
      <c r="E9846" s="15" t="n">
        <f aca="false">B9846/Summary!$B$5-1</f>
        <v>-0.0114522758278744</v>
      </c>
    </row>
    <row r="9847" customFormat="false" ht="15" hidden="false" customHeight="false" outlineLevel="0" collapsed="false">
      <c r="A9847" s="0" t="n">
        <v>9846</v>
      </c>
      <c r="B9847" s="14" t="n">
        <v>102575.04833354</v>
      </c>
      <c r="C9847" s="15" t="n">
        <v>0.17189899668466</v>
      </c>
      <c r="D9847" s="14" t="n">
        <f aca="false">Summary!$B$5-B9847</f>
        <v>-2575.0483335396</v>
      </c>
      <c r="E9847" s="15" t="n">
        <f aca="false">B9847/Summary!$B$5-1</f>
        <v>0.0257504833353961</v>
      </c>
    </row>
    <row r="9848" customFormat="false" ht="15" hidden="false" customHeight="false" outlineLevel="0" collapsed="false">
      <c r="A9848" s="0" t="n">
        <v>9847</v>
      </c>
      <c r="B9848" s="14" t="n">
        <v>113874.168316742</v>
      </c>
      <c r="C9848" s="15" t="n">
        <v>0.0792795721729672</v>
      </c>
      <c r="D9848" s="14" t="n">
        <f aca="false">Summary!$B$5-B9848</f>
        <v>-13874.1683167417</v>
      </c>
      <c r="E9848" s="15" t="n">
        <f aca="false">B9848/Summary!$B$5-1</f>
        <v>0.138741683167417</v>
      </c>
    </row>
    <row r="9849" customFormat="false" ht="15" hidden="false" customHeight="false" outlineLevel="0" collapsed="false">
      <c r="A9849" s="0" t="n">
        <v>9848</v>
      </c>
      <c r="B9849" s="14" t="n">
        <v>121943.523081112</v>
      </c>
      <c r="C9849" s="15" t="n">
        <v>0.0998637404086337</v>
      </c>
      <c r="D9849" s="14" t="n">
        <f aca="false">Summary!$B$5-B9849</f>
        <v>-21943.5230811124</v>
      </c>
      <c r="E9849" s="15" t="n">
        <f aca="false">B9849/Summary!$B$5-1</f>
        <v>0.219435230811124</v>
      </c>
    </row>
    <row r="9850" customFormat="false" ht="15" hidden="false" customHeight="false" outlineLevel="0" collapsed="false">
      <c r="A9850" s="0" t="n">
        <v>9849</v>
      </c>
      <c r="B9850" s="14" t="n">
        <v>135042.149937197</v>
      </c>
      <c r="C9850" s="15" t="n">
        <v>0.0658964254534901</v>
      </c>
      <c r="D9850" s="14" t="n">
        <f aca="false">Summary!$B$5-B9850</f>
        <v>-35042.1499371969</v>
      </c>
      <c r="E9850" s="15" t="n">
        <f aca="false">B9850/Summary!$B$5-1</f>
        <v>0.350421499371969</v>
      </c>
    </row>
    <row r="9851" customFormat="false" ht="15" hidden="false" customHeight="false" outlineLevel="0" collapsed="false">
      <c r="A9851" s="0" t="n">
        <v>9850</v>
      </c>
      <c r="B9851" s="14" t="n">
        <v>104936.17111394</v>
      </c>
      <c r="C9851" s="15" t="n">
        <v>0.0961553650340924</v>
      </c>
      <c r="D9851" s="14" t="n">
        <f aca="false">Summary!$B$5-B9851</f>
        <v>-4936.17111394031</v>
      </c>
      <c r="E9851" s="15" t="n">
        <f aca="false">B9851/Summary!$B$5-1</f>
        <v>0.0493617111394031</v>
      </c>
    </row>
    <row r="9852" customFormat="false" ht="15" hidden="false" customHeight="false" outlineLevel="0" collapsed="false">
      <c r="A9852" s="0" t="n">
        <v>9851</v>
      </c>
      <c r="B9852" s="14" t="n">
        <v>115910.410147746</v>
      </c>
      <c r="C9852" s="15" t="n">
        <v>0.0979310413809938</v>
      </c>
      <c r="D9852" s="14" t="n">
        <f aca="false">Summary!$B$5-B9852</f>
        <v>-15910.4101477457</v>
      </c>
      <c r="E9852" s="15" t="n">
        <f aca="false">B9852/Summary!$B$5-1</f>
        <v>0.159104101477457</v>
      </c>
    </row>
    <row r="9853" customFormat="false" ht="15" hidden="false" customHeight="false" outlineLevel="0" collapsed="false">
      <c r="A9853" s="0" t="n">
        <v>9852</v>
      </c>
      <c r="B9853" s="14" t="n">
        <v>109650.020251307</v>
      </c>
      <c r="C9853" s="15" t="n">
        <v>0.0732399868633734</v>
      </c>
      <c r="D9853" s="14" t="n">
        <f aca="false">Summary!$B$5-B9853</f>
        <v>-9650.020251307</v>
      </c>
      <c r="E9853" s="15" t="n">
        <f aca="false">B9853/Summary!$B$5-1</f>
        <v>0.0965002025130699</v>
      </c>
    </row>
    <row r="9854" customFormat="false" ht="15" hidden="false" customHeight="false" outlineLevel="0" collapsed="false">
      <c r="A9854" s="0" t="n">
        <v>9853</v>
      </c>
      <c r="B9854" s="14" t="n">
        <v>112856.931722823</v>
      </c>
      <c r="C9854" s="15" t="n">
        <v>0.0933296755362392</v>
      </c>
      <c r="D9854" s="14" t="n">
        <f aca="false">Summary!$B$5-B9854</f>
        <v>-12856.9317228233</v>
      </c>
      <c r="E9854" s="15" t="n">
        <f aca="false">B9854/Summary!$B$5-1</f>
        <v>0.128569317228233</v>
      </c>
    </row>
    <row r="9855" customFormat="false" ht="15" hidden="false" customHeight="false" outlineLevel="0" collapsed="false">
      <c r="A9855" s="0" t="n">
        <v>9854</v>
      </c>
      <c r="B9855" s="14" t="n">
        <v>133934.975088378</v>
      </c>
      <c r="C9855" s="15" t="n">
        <v>0.0487592063094303</v>
      </c>
      <c r="D9855" s="14" t="n">
        <f aca="false">Summary!$B$5-B9855</f>
        <v>-33934.9750883783</v>
      </c>
      <c r="E9855" s="15" t="n">
        <f aca="false">B9855/Summary!$B$5-1</f>
        <v>0.339349750883783</v>
      </c>
    </row>
    <row r="9856" customFormat="false" ht="15" hidden="false" customHeight="false" outlineLevel="0" collapsed="false">
      <c r="A9856" s="0" t="n">
        <v>9855</v>
      </c>
      <c r="B9856" s="14" t="n">
        <v>99859.1065471411</v>
      </c>
      <c r="C9856" s="15" t="n">
        <v>0.126955919674499</v>
      </c>
      <c r="D9856" s="14" t="n">
        <f aca="false">Summary!$B$5-B9856</f>
        <v>140.893452858887</v>
      </c>
      <c r="E9856" s="15" t="n">
        <f aca="false">B9856/Summary!$B$5-1</f>
        <v>-0.00140893452858892</v>
      </c>
    </row>
    <row r="9857" customFormat="false" ht="15" hidden="false" customHeight="false" outlineLevel="0" collapsed="false">
      <c r="A9857" s="0" t="n">
        <v>9856</v>
      </c>
      <c r="B9857" s="14" t="n">
        <v>124945.103925739</v>
      </c>
      <c r="C9857" s="15" t="n">
        <v>0.109122752276906</v>
      </c>
      <c r="D9857" s="14" t="n">
        <f aca="false">Summary!$B$5-B9857</f>
        <v>-24945.103925739</v>
      </c>
      <c r="E9857" s="15" t="n">
        <f aca="false">B9857/Summary!$B$5-1</f>
        <v>0.24945103925739</v>
      </c>
    </row>
    <row r="9858" customFormat="false" ht="15" hidden="false" customHeight="false" outlineLevel="0" collapsed="false">
      <c r="A9858" s="0" t="n">
        <v>9857</v>
      </c>
      <c r="B9858" s="14" t="n">
        <v>120827.489607803</v>
      </c>
      <c r="C9858" s="15" t="n">
        <v>0.096638198973892</v>
      </c>
      <c r="D9858" s="14" t="n">
        <f aca="false">Summary!$B$5-B9858</f>
        <v>-20827.4896078031</v>
      </c>
      <c r="E9858" s="15" t="n">
        <f aca="false">B9858/Summary!$B$5-1</f>
        <v>0.208274896078031</v>
      </c>
    </row>
    <row r="9859" customFormat="false" ht="15" hidden="false" customHeight="false" outlineLevel="0" collapsed="false">
      <c r="A9859" s="0" t="n">
        <v>9858</v>
      </c>
      <c r="B9859" s="14" t="n">
        <v>118392.835419986</v>
      </c>
      <c r="C9859" s="15" t="n">
        <v>0.0502401944140605</v>
      </c>
      <c r="D9859" s="14" t="n">
        <f aca="false">Summary!$B$5-B9859</f>
        <v>-18392.8354199855</v>
      </c>
      <c r="E9859" s="15" t="n">
        <f aca="false">B9859/Summary!$B$5-1</f>
        <v>0.183928354199855</v>
      </c>
    </row>
    <row r="9860" customFormat="false" ht="15" hidden="false" customHeight="false" outlineLevel="0" collapsed="false">
      <c r="A9860" s="0" t="n">
        <v>9859</v>
      </c>
      <c r="B9860" s="14" t="n">
        <v>119983.402042823</v>
      </c>
      <c r="C9860" s="15" t="n">
        <v>0.0806558112879833</v>
      </c>
      <c r="D9860" s="14" t="n">
        <f aca="false">Summary!$B$5-B9860</f>
        <v>-19983.4020428232</v>
      </c>
      <c r="E9860" s="15" t="n">
        <f aca="false">B9860/Summary!$B$5-1</f>
        <v>0.199834020428232</v>
      </c>
    </row>
    <row r="9861" customFormat="false" ht="15" hidden="false" customHeight="false" outlineLevel="0" collapsed="false">
      <c r="A9861" s="0" t="n">
        <v>9860</v>
      </c>
      <c r="B9861" s="14" t="n">
        <v>94427.7217094189</v>
      </c>
      <c r="C9861" s="15" t="n">
        <v>0.096991094703505</v>
      </c>
      <c r="D9861" s="14" t="n">
        <f aca="false">Summary!$B$5-B9861</f>
        <v>5572.2782905811</v>
      </c>
      <c r="E9861" s="15" t="n">
        <f aca="false">B9861/Summary!$B$5-1</f>
        <v>-0.055722782905811</v>
      </c>
    </row>
    <row r="9862" customFormat="false" ht="15" hidden="false" customHeight="false" outlineLevel="0" collapsed="false">
      <c r="A9862" s="0" t="n">
        <v>9861</v>
      </c>
      <c r="B9862" s="14" t="n">
        <v>111359.917294514</v>
      </c>
      <c r="C9862" s="15" t="n">
        <v>0.0826184391415735</v>
      </c>
      <c r="D9862" s="14" t="n">
        <f aca="false">Summary!$B$5-B9862</f>
        <v>-11359.9172945135</v>
      </c>
      <c r="E9862" s="15" t="n">
        <f aca="false">B9862/Summary!$B$5-1</f>
        <v>0.113599172945135</v>
      </c>
    </row>
    <row r="9863" customFormat="false" ht="15" hidden="false" customHeight="false" outlineLevel="0" collapsed="false">
      <c r="A9863" s="0" t="n">
        <v>9862</v>
      </c>
      <c r="B9863" s="14" t="n">
        <v>114441.737015125</v>
      </c>
      <c r="C9863" s="15" t="n">
        <v>0.0941267367681751</v>
      </c>
      <c r="D9863" s="14" t="n">
        <f aca="false">Summary!$B$5-B9863</f>
        <v>-14441.7370151246</v>
      </c>
      <c r="E9863" s="15" t="n">
        <f aca="false">B9863/Summary!$B$5-1</f>
        <v>0.144417370151246</v>
      </c>
    </row>
    <row r="9864" customFormat="false" ht="15" hidden="false" customHeight="false" outlineLevel="0" collapsed="false">
      <c r="A9864" s="0" t="n">
        <v>9863</v>
      </c>
      <c r="B9864" s="14" t="n">
        <v>121256.726092305</v>
      </c>
      <c r="C9864" s="15" t="n">
        <v>0.0610591471598014</v>
      </c>
      <c r="D9864" s="14" t="n">
        <f aca="false">Summary!$B$5-B9864</f>
        <v>-21256.7260923052</v>
      </c>
      <c r="E9864" s="15" t="n">
        <f aca="false">B9864/Summary!$B$5-1</f>
        <v>0.212567260923052</v>
      </c>
    </row>
    <row r="9865" customFormat="false" ht="15" hidden="false" customHeight="false" outlineLevel="0" collapsed="false">
      <c r="A9865" s="0" t="n">
        <v>9864</v>
      </c>
      <c r="B9865" s="14" t="n">
        <v>97039.786714369</v>
      </c>
      <c r="C9865" s="15" t="n">
        <v>0.120389729149141</v>
      </c>
      <c r="D9865" s="14" t="n">
        <f aca="false">Summary!$B$5-B9865</f>
        <v>2960.21328563098</v>
      </c>
      <c r="E9865" s="15" t="n">
        <f aca="false">B9865/Summary!$B$5-1</f>
        <v>-0.0296021328563098</v>
      </c>
    </row>
    <row r="9866" customFormat="false" ht="15" hidden="false" customHeight="false" outlineLevel="0" collapsed="false">
      <c r="A9866" s="0" t="n">
        <v>9865</v>
      </c>
      <c r="B9866" s="14" t="n">
        <v>119649.754001397</v>
      </c>
      <c r="C9866" s="15" t="n">
        <v>0.0582111892214502</v>
      </c>
      <c r="D9866" s="14" t="n">
        <f aca="false">Summary!$B$5-B9866</f>
        <v>-19649.7540013966</v>
      </c>
      <c r="E9866" s="15" t="n">
        <f aca="false">B9866/Summary!$B$5-1</f>
        <v>0.196497540013966</v>
      </c>
    </row>
    <row r="9867" customFormat="false" ht="15" hidden="false" customHeight="false" outlineLevel="0" collapsed="false">
      <c r="A9867" s="0" t="n">
        <v>9866</v>
      </c>
      <c r="B9867" s="14" t="n">
        <v>93383.6640678539</v>
      </c>
      <c r="C9867" s="15" t="n">
        <v>0.139513381973464</v>
      </c>
      <c r="D9867" s="14" t="n">
        <f aca="false">Summary!$B$5-B9867</f>
        <v>6616.33593214615</v>
      </c>
      <c r="E9867" s="15" t="n">
        <f aca="false">B9867/Summary!$B$5-1</f>
        <v>-0.0661633593214615</v>
      </c>
    </row>
    <row r="9868" customFormat="false" ht="15" hidden="false" customHeight="false" outlineLevel="0" collapsed="false">
      <c r="A9868" s="0" t="n">
        <v>9867</v>
      </c>
      <c r="B9868" s="14" t="n">
        <v>103675.32416802</v>
      </c>
      <c r="C9868" s="15" t="n">
        <v>0.0780591733449461</v>
      </c>
      <c r="D9868" s="14" t="n">
        <f aca="false">Summary!$B$5-B9868</f>
        <v>-3675.32416802039</v>
      </c>
      <c r="E9868" s="15" t="n">
        <f aca="false">B9868/Summary!$B$5-1</f>
        <v>0.0367532416802039</v>
      </c>
    </row>
    <row r="9869" customFormat="false" ht="15" hidden="false" customHeight="false" outlineLevel="0" collapsed="false">
      <c r="A9869" s="0" t="n">
        <v>9868</v>
      </c>
      <c r="B9869" s="14" t="n">
        <v>104853.207134223</v>
      </c>
      <c r="C9869" s="15" t="n">
        <v>0.0704004760781155</v>
      </c>
      <c r="D9869" s="14" t="n">
        <f aca="false">Summary!$B$5-B9869</f>
        <v>-4853.2071342234</v>
      </c>
      <c r="E9869" s="15" t="n">
        <f aca="false">B9869/Summary!$B$5-1</f>
        <v>0.0485320713422339</v>
      </c>
    </row>
    <row r="9870" customFormat="false" ht="15" hidden="false" customHeight="false" outlineLevel="0" collapsed="false">
      <c r="A9870" s="0" t="n">
        <v>9869</v>
      </c>
      <c r="B9870" s="14" t="n">
        <v>97295.7216722588</v>
      </c>
      <c r="C9870" s="15" t="n">
        <v>0.0767019894286655</v>
      </c>
      <c r="D9870" s="14" t="n">
        <f aca="false">Summary!$B$5-B9870</f>
        <v>2704.27832774117</v>
      </c>
      <c r="E9870" s="15" t="n">
        <f aca="false">B9870/Summary!$B$5-1</f>
        <v>-0.0270427832774116</v>
      </c>
    </row>
    <row r="9871" customFormat="false" ht="15" hidden="false" customHeight="false" outlineLevel="0" collapsed="false">
      <c r="A9871" s="0" t="n">
        <v>9870</v>
      </c>
      <c r="B9871" s="14" t="n">
        <v>91206.0696471951</v>
      </c>
      <c r="C9871" s="15" t="n">
        <v>0.136087475694076</v>
      </c>
      <c r="D9871" s="14" t="n">
        <f aca="false">Summary!$B$5-B9871</f>
        <v>8793.93035280495</v>
      </c>
      <c r="E9871" s="15" t="n">
        <f aca="false">B9871/Summary!$B$5-1</f>
        <v>-0.0879393035280495</v>
      </c>
    </row>
    <row r="9872" customFormat="false" ht="15" hidden="false" customHeight="false" outlineLevel="0" collapsed="false">
      <c r="A9872" s="0" t="n">
        <v>9871</v>
      </c>
      <c r="B9872" s="14" t="n">
        <v>116479.20829459</v>
      </c>
      <c r="C9872" s="15" t="n">
        <v>0.0703212664466596</v>
      </c>
      <c r="D9872" s="14" t="n">
        <f aca="false">Summary!$B$5-B9872</f>
        <v>-16479.2082945899</v>
      </c>
      <c r="E9872" s="15" t="n">
        <f aca="false">B9872/Summary!$B$5-1</f>
        <v>0.164792082945899</v>
      </c>
    </row>
    <row r="9873" customFormat="false" ht="15" hidden="false" customHeight="false" outlineLevel="0" collapsed="false">
      <c r="A9873" s="0" t="n">
        <v>9872</v>
      </c>
      <c r="B9873" s="14" t="n">
        <v>102080.230331729</v>
      </c>
      <c r="C9873" s="15" t="n">
        <v>0.175817590745024</v>
      </c>
      <c r="D9873" s="14" t="n">
        <f aca="false">Summary!$B$5-B9873</f>
        <v>-2080.2303317288</v>
      </c>
      <c r="E9873" s="15" t="n">
        <f aca="false">B9873/Summary!$B$5-1</f>
        <v>0.0208023033172879</v>
      </c>
    </row>
    <row r="9874" customFormat="false" ht="15" hidden="false" customHeight="false" outlineLevel="0" collapsed="false">
      <c r="A9874" s="0" t="n">
        <v>9873</v>
      </c>
      <c r="B9874" s="14" t="n">
        <v>92982.8237245042</v>
      </c>
      <c r="C9874" s="15" t="n">
        <v>0.113538271119794</v>
      </c>
      <c r="D9874" s="14" t="n">
        <f aca="false">Summary!$B$5-B9874</f>
        <v>7017.17627549579</v>
      </c>
      <c r="E9874" s="15" t="n">
        <f aca="false">B9874/Summary!$B$5-1</f>
        <v>-0.0701717627549578</v>
      </c>
    </row>
    <row r="9875" customFormat="false" ht="15" hidden="false" customHeight="false" outlineLevel="0" collapsed="false">
      <c r="A9875" s="0" t="n">
        <v>9874</v>
      </c>
      <c r="B9875" s="14" t="n">
        <v>83895.8603201011</v>
      </c>
      <c r="C9875" s="15" t="n">
        <v>0.17538547329181</v>
      </c>
      <c r="D9875" s="14" t="n">
        <f aca="false">Summary!$B$5-B9875</f>
        <v>16104.1396798989</v>
      </c>
      <c r="E9875" s="15" t="n">
        <f aca="false">B9875/Summary!$B$5-1</f>
        <v>-0.161041396798989</v>
      </c>
    </row>
    <row r="9876" customFormat="false" ht="15" hidden="false" customHeight="false" outlineLevel="0" collapsed="false">
      <c r="A9876" s="0" t="n">
        <v>9875</v>
      </c>
      <c r="B9876" s="14" t="n">
        <v>104711.363044477</v>
      </c>
      <c r="C9876" s="15" t="n">
        <v>0.118661865698983</v>
      </c>
      <c r="D9876" s="14" t="n">
        <f aca="false">Summary!$B$5-B9876</f>
        <v>-4711.3630444772</v>
      </c>
      <c r="E9876" s="15" t="n">
        <f aca="false">B9876/Summary!$B$5-1</f>
        <v>0.0471136304447719</v>
      </c>
    </row>
    <row r="9877" customFormat="false" ht="15" hidden="false" customHeight="false" outlineLevel="0" collapsed="false">
      <c r="A9877" s="0" t="n">
        <v>9876</v>
      </c>
      <c r="B9877" s="14" t="n">
        <v>120056.111700128</v>
      </c>
      <c r="C9877" s="15" t="n">
        <v>0.111218957508433</v>
      </c>
      <c r="D9877" s="14" t="n">
        <f aca="false">Summary!$B$5-B9877</f>
        <v>-20056.1117001279</v>
      </c>
      <c r="E9877" s="15" t="n">
        <f aca="false">B9877/Summary!$B$5-1</f>
        <v>0.200561117001279</v>
      </c>
    </row>
    <row r="9878" customFormat="false" ht="15" hidden="false" customHeight="false" outlineLevel="0" collapsed="false">
      <c r="A9878" s="0" t="n">
        <v>9877</v>
      </c>
      <c r="B9878" s="14" t="n">
        <v>112129.026109848</v>
      </c>
      <c r="C9878" s="15" t="n">
        <v>0.0711696985287342</v>
      </c>
      <c r="D9878" s="14" t="n">
        <f aca="false">Summary!$B$5-B9878</f>
        <v>-12129.026109848</v>
      </c>
      <c r="E9878" s="15" t="n">
        <f aca="false">B9878/Summary!$B$5-1</f>
        <v>0.12129026109848</v>
      </c>
    </row>
    <row r="9879" customFormat="false" ht="15" hidden="false" customHeight="false" outlineLevel="0" collapsed="false">
      <c r="A9879" s="0" t="n">
        <v>9878</v>
      </c>
      <c r="B9879" s="14" t="n">
        <v>99766.1569455617</v>
      </c>
      <c r="C9879" s="15" t="n">
        <v>0.110628169580268</v>
      </c>
      <c r="D9879" s="14" t="n">
        <f aca="false">Summary!$B$5-B9879</f>
        <v>233.843054438272</v>
      </c>
      <c r="E9879" s="15" t="n">
        <f aca="false">B9879/Summary!$B$5-1</f>
        <v>-0.00233843054438276</v>
      </c>
    </row>
    <row r="9880" customFormat="false" ht="15" hidden="false" customHeight="false" outlineLevel="0" collapsed="false">
      <c r="A9880" s="0" t="n">
        <v>9879</v>
      </c>
      <c r="B9880" s="14" t="n">
        <v>114682.226424025</v>
      </c>
      <c r="C9880" s="15" t="n">
        <v>0.0992071777461003</v>
      </c>
      <c r="D9880" s="14" t="n">
        <f aca="false">Summary!$B$5-B9880</f>
        <v>-14682.2264240247</v>
      </c>
      <c r="E9880" s="15" t="n">
        <f aca="false">B9880/Summary!$B$5-1</f>
        <v>0.146822264240247</v>
      </c>
    </row>
    <row r="9881" customFormat="false" ht="15" hidden="false" customHeight="false" outlineLevel="0" collapsed="false">
      <c r="A9881" s="0" t="n">
        <v>9880</v>
      </c>
      <c r="B9881" s="14" t="n">
        <v>101032.252514943</v>
      </c>
      <c r="C9881" s="15" t="n">
        <v>0.106506504972003</v>
      </c>
      <c r="D9881" s="14" t="n">
        <f aca="false">Summary!$B$5-B9881</f>
        <v>-1032.25251494251</v>
      </c>
      <c r="E9881" s="15" t="n">
        <f aca="false">B9881/Summary!$B$5-1</f>
        <v>0.010322525149425</v>
      </c>
    </row>
    <row r="9882" customFormat="false" ht="15" hidden="false" customHeight="false" outlineLevel="0" collapsed="false">
      <c r="A9882" s="0" t="n">
        <v>9881</v>
      </c>
      <c r="B9882" s="14" t="n">
        <v>104115.2764995</v>
      </c>
      <c r="C9882" s="15" t="n">
        <v>0.092913515707738</v>
      </c>
      <c r="D9882" s="14" t="n">
        <f aca="false">Summary!$B$5-B9882</f>
        <v>-4115.2764994999</v>
      </c>
      <c r="E9882" s="15" t="n">
        <f aca="false">B9882/Summary!$B$5-1</f>
        <v>0.041152764994999</v>
      </c>
    </row>
    <row r="9883" customFormat="false" ht="15" hidden="false" customHeight="false" outlineLevel="0" collapsed="false">
      <c r="A9883" s="0" t="n">
        <v>9882</v>
      </c>
      <c r="B9883" s="14" t="n">
        <v>108438.832173567</v>
      </c>
      <c r="C9883" s="15" t="n">
        <v>0.154592735226471</v>
      </c>
      <c r="D9883" s="14" t="n">
        <f aca="false">Summary!$B$5-B9883</f>
        <v>-8438.8321735668</v>
      </c>
      <c r="E9883" s="15" t="n">
        <f aca="false">B9883/Summary!$B$5-1</f>
        <v>0.084388321735668</v>
      </c>
    </row>
    <row r="9884" customFormat="false" ht="15" hidden="false" customHeight="false" outlineLevel="0" collapsed="false">
      <c r="A9884" s="0" t="n">
        <v>9883</v>
      </c>
      <c r="B9884" s="14" t="n">
        <v>100007.63046824</v>
      </c>
      <c r="C9884" s="15" t="n">
        <v>0.115536615467966</v>
      </c>
      <c r="D9884" s="14" t="n">
        <f aca="false">Summary!$B$5-B9884</f>
        <v>-7.63046823970217</v>
      </c>
      <c r="E9884" s="15" t="n">
        <f aca="false">B9884/Summary!$B$5-1</f>
        <v>7.63046823970548E-005</v>
      </c>
    </row>
    <row r="9885" customFormat="false" ht="15" hidden="false" customHeight="false" outlineLevel="0" collapsed="false">
      <c r="A9885" s="0" t="n">
        <v>9884</v>
      </c>
      <c r="B9885" s="14" t="n">
        <v>98909.3186791441</v>
      </c>
      <c r="C9885" s="15" t="n">
        <v>0.149688000554436</v>
      </c>
      <c r="D9885" s="14" t="n">
        <f aca="false">Summary!$B$5-B9885</f>
        <v>1090.68132085589</v>
      </c>
      <c r="E9885" s="15" t="n">
        <f aca="false">B9885/Summary!$B$5-1</f>
        <v>-0.0109068132085589</v>
      </c>
    </row>
    <row r="9886" customFormat="false" ht="15" hidden="false" customHeight="false" outlineLevel="0" collapsed="false">
      <c r="A9886" s="0" t="n">
        <v>9885</v>
      </c>
      <c r="B9886" s="14" t="n">
        <v>111065.095952678</v>
      </c>
      <c r="C9886" s="15" t="n">
        <v>0.0771579689956206</v>
      </c>
      <c r="D9886" s="14" t="n">
        <f aca="false">Summary!$B$5-B9886</f>
        <v>-11065.0959526778</v>
      </c>
      <c r="E9886" s="15" t="n">
        <f aca="false">B9886/Summary!$B$5-1</f>
        <v>0.110650959526778</v>
      </c>
    </row>
    <row r="9887" customFormat="false" ht="15" hidden="false" customHeight="false" outlineLevel="0" collapsed="false">
      <c r="A9887" s="0" t="n">
        <v>9886</v>
      </c>
      <c r="B9887" s="14" t="n">
        <v>107974.090209794</v>
      </c>
      <c r="C9887" s="15" t="n">
        <v>0.0875000342864027</v>
      </c>
      <c r="D9887" s="14" t="n">
        <f aca="false">Summary!$B$5-B9887</f>
        <v>-7974.0902097939</v>
      </c>
      <c r="E9887" s="15" t="n">
        <f aca="false">B9887/Summary!$B$5-1</f>
        <v>0.0797409020979389</v>
      </c>
    </row>
    <row r="9888" customFormat="false" ht="15" hidden="false" customHeight="false" outlineLevel="0" collapsed="false">
      <c r="A9888" s="0" t="n">
        <v>9887</v>
      </c>
      <c r="B9888" s="14" t="n">
        <v>94813.0746087612</v>
      </c>
      <c r="C9888" s="15" t="n">
        <v>0.114488758596195</v>
      </c>
      <c r="D9888" s="14" t="n">
        <f aca="false">Summary!$B$5-B9888</f>
        <v>5186.92539123879</v>
      </c>
      <c r="E9888" s="15" t="n">
        <f aca="false">B9888/Summary!$B$5-1</f>
        <v>-0.051869253912388</v>
      </c>
    </row>
    <row r="9889" customFormat="false" ht="15" hidden="false" customHeight="false" outlineLevel="0" collapsed="false">
      <c r="A9889" s="0" t="n">
        <v>9888</v>
      </c>
      <c r="B9889" s="14" t="n">
        <v>139598.763865974</v>
      </c>
      <c r="C9889" s="15" t="n">
        <v>0.0588123201991844</v>
      </c>
      <c r="D9889" s="14" t="n">
        <f aca="false">Summary!$B$5-B9889</f>
        <v>-39598.7638659744</v>
      </c>
      <c r="E9889" s="15" t="n">
        <f aca="false">B9889/Summary!$B$5-1</f>
        <v>0.395987638659744</v>
      </c>
    </row>
    <row r="9890" customFormat="false" ht="15" hidden="false" customHeight="false" outlineLevel="0" collapsed="false">
      <c r="A9890" s="0" t="n">
        <v>9889</v>
      </c>
      <c r="B9890" s="14" t="n">
        <v>99072.6950388666</v>
      </c>
      <c r="C9890" s="15" t="n">
        <v>0.144199531448756</v>
      </c>
      <c r="D9890" s="14" t="n">
        <f aca="false">Summary!$B$5-B9890</f>
        <v>927.30496113337</v>
      </c>
      <c r="E9890" s="15" t="n">
        <f aca="false">B9890/Summary!$B$5-1</f>
        <v>-0.00927304961133368</v>
      </c>
    </row>
    <row r="9891" customFormat="false" ht="15" hidden="false" customHeight="false" outlineLevel="0" collapsed="false">
      <c r="A9891" s="0" t="n">
        <v>9890</v>
      </c>
      <c r="B9891" s="14" t="n">
        <v>107533.611156927</v>
      </c>
      <c r="C9891" s="15" t="n">
        <v>0.0681935411822033</v>
      </c>
      <c r="D9891" s="14" t="n">
        <f aca="false">Summary!$B$5-B9891</f>
        <v>-7533.6111569268</v>
      </c>
      <c r="E9891" s="15" t="n">
        <f aca="false">B9891/Summary!$B$5-1</f>
        <v>0.0753361115692679</v>
      </c>
    </row>
    <row r="9892" customFormat="false" ht="15" hidden="false" customHeight="false" outlineLevel="0" collapsed="false">
      <c r="A9892" s="0" t="n">
        <v>9891</v>
      </c>
      <c r="B9892" s="14" t="n">
        <v>113354.790141764</v>
      </c>
      <c r="C9892" s="15" t="n">
        <v>0.115246777225984</v>
      </c>
      <c r="D9892" s="14" t="n">
        <f aca="false">Summary!$B$5-B9892</f>
        <v>-13354.7901417636</v>
      </c>
      <c r="E9892" s="15" t="n">
        <f aca="false">B9892/Summary!$B$5-1</f>
        <v>0.133547901417636</v>
      </c>
    </row>
    <row r="9893" customFormat="false" ht="15" hidden="false" customHeight="false" outlineLevel="0" collapsed="false">
      <c r="A9893" s="0" t="n">
        <v>9892</v>
      </c>
      <c r="B9893" s="14" t="n">
        <v>100784.435453729</v>
      </c>
      <c r="C9893" s="15" t="n">
        <v>0.0848737852366067</v>
      </c>
      <c r="D9893" s="14" t="n">
        <f aca="false">Summary!$B$5-B9893</f>
        <v>-784.435453729006</v>
      </c>
      <c r="E9893" s="15" t="n">
        <f aca="false">B9893/Summary!$B$5-1</f>
        <v>0.00784435453729016</v>
      </c>
    </row>
    <row r="9894" customFormat="false" ht="15" hidden="false" customHeight="false" outlineLevel="0" collapsed="false">
      <c r="A9894" s="0" t="n">
        <v>9893</v>
      </c>
      <c r="B9894" s="14" t="n">
        <v>109876.349178654</v>
      </c>
      <c r="C9894" s="15" t="n">
        <v>0.0822108748211295</v>
      </c>
      <c r="D9894" s="14" t="n">
        <f aca="false">Summary!$B$5-B9894</f>
        <v>-9876.3491786544</v>
      </c>
      <c r="E9894" s="15" t="n">
        <f aca="false">B9894/Summary!$B$5-1</f>
        <v>0.0987634917865441</v>
      </c>
    </row>
    <row r="9895" customFormat="false" ht="15" hidden="false" customHeight="false" outlineLevel="0" collapsed="false">
      <c r="A9895" s="0" t="n">
        <v>9894</v>
      </c>
      <c r="B9895" s="14" t="n">
        <v>108076.247729303</v>
      </c>
      <c r="C9895" s="15" t="n">
        <v>0.0898237859406953</v>
      </c>
      <c r="D9895" s="14" t="n">
        <f aca="false">Summary!$B$5-B9895</f>
        <v>-8076.247729303</v>
      </c>
      <c r="E9895" s="15" t="n">
        <f aca="false">B9895/Summary!$B$5-1</f>
        <v>0.08076247729303</v>
      </c>
    </row>
    <row r="9896" customFormat="false" ht="15" hidden="false" customHeight="false" outlineLevel="0" collapsed="false">
      <c r="A9896" s="0" t="n">
        <v>9895</v>
      </c>
      <c r="B9896" s="14" t="n">
        <v>109402.963142072</v>
      </c>
      <c r="C9896" s="15" t="n">
        <v>0.0725627898037669</v>
      </c>
      <c r="D9896" s="14" t="n">
        <f aca="false">Summary!$B$5-B9896</f>
        <v>-9402.9631420723</v>
      </c>
      <c r="E9896" s="15" t="n">
        <f aca="false">B9896/Summary!$B$5-1</f>
        <v>0.094029631420723</v>
      </c>
    </row>
    <row r="9897" customFormat="false" ht="15" hidden="false" customHeight="false" outlineLevel="0" collapsed="false">
      <c r="A9897" s="0" t="n">
        <v>9896</v>
      </c>
      <c r="B9897" s="14" t="n">
        <v>117306.340475488</v>
      </c>
      <c r="C9897" s="15" t="n">
        <v>0.0944230059906119</v>
      </c>
      <c r="D9897" s="14" t="n">
        <f aca="false">Summary!$B$5-B9897</f>
        <v>-17306.3404754876</v>
      </c>
      <c r="E9897" s="15" t="n">
        <f aca="false">B9897/Summary!$B$5-1</f>
        <v>0.173063404754876</v>
      </c>
    </row>
    <row r="9898" customFormat="false" ht="15" hidden="false" customHeight="false" outlineLevel="0" collapsed="false">
      <c r="A9898" s="0" t="n">
        <v>9897</v>
      </c>
      <c r="B9898" s="14" t="n">
        <v>118673.322234005</v>
      </c>
      <c r="C9898" s="15" t="n">
        <v>0.0553175071386023</v>
      </c>
      <c r="D9898" s="14" t="n">
        <f aca="false">Summary!$B$5-B9898</f>
        <v>-18673.322234005</v>
      </c>
      <c r="E9898" s="15" t="n">
        <f aca="false">B9898/Summary!$B$5-1</f>
        <v>0.18673322234005</v>
      </c>
    </row>
    <row r="9899" customFormat="false" ht="15" hidden="false" customHeight="false" outlineLevel="0" collapsed="false">
      <c r="A9899" s="0" t="n">
        <v>9898</v>
      </c>
      <c r="B9899" s="14" t="n">
        <v>95922.2169126105</v>
      </c>
      <c r="C9899" s="15" t="n">
        <v>0.128244103478433</v>
      </c>
      <c r="D9899" s="14" t="n">
        <f aca="false">Summary!$B$5-B9899</f>
        <v>4077.78308738949</v>
      </c>
      <c r="E9899" s="15" t="n">
        <f aca="false">B9899/Summary!$B$5-1</f>
        <v>-0.0407778308738949</v>
      </c>
    </row>
    <row r="9900" customFormat="false" ht="15" hidden="false" customHeight="false" outlineLevel="0" collapsed="false">
      <c r="A9900" s="0" t="n">
        <v>9899</v>
      </c>
      <c r="B9900" s="14" t="n">
        <v>108309.513610875</v>
      </c>
      <c r="C9900" s="15" t="n">
        <v>0.12758316100418</v>
      </c>
      <c r="D9900" s="14" t="n">
        <f aca="false">Summary!$B$5-B9900</f>
        <v>-8309.5136108751</v>
      </c>
      <c r="E9900" s="15" t="n">
        <f aca="false">B9900/Summary!$B$5-1</f>
        <v>0.0830951361087511</v>
      </c>
    </row>
    <row r="9901" customFormat="false" ht="15" hidden="false" customHeight="false" outlineLevel="0" collapsed="false">
      <c r="A9901" s="0" t="n">
        <v>9900</v>
      </c>
      <c r="B9901" s="14" t="n">
        <v>120464.623083157</v>
      </c>
      <c r="C9901" s="15" t="n">
        <v>0.0658472863392604</v>
      </c>
      <c r="D9901" s="14" t="n">
        <f aca="false">Summary!$B$5-B9901</f>
        <v>-20464.6230831571</v>
      </c>
      <c r="E9901" s="15" t="n">
        <f aca="false">B9901/Summary!$B$5-1</f>
        <v>0.204646230831571</v>
      </c>
    </row>
    <row r="9902" customFormat="false" ht="15" hidden="false" customHeight="false" outlineLevel="0" collapsed="false">
      <c r="A9902" s="0" t="n">
        <v>9901</v>
      </c>
      <c r="B9902" s="14" t="n">
        <v>100589.03859928</v>
      </c>
      <c r="C9902" s="15" t="n">
        <v>0.125787654088713</v>
      </c>
      <c r="D9902" s="14" t="n">
        <f aca="false">Summary!$B$5-B9902</f>
        <v>-589.038599279695</v>
      </c>
      <c r="E9902" s="15" t="n">
        <f aca="false">B9902/Summary!$B$5-1</f>
        <v>0.00589038599279701</v>
      </c>
    </row>
    <row r="9903" customFormat="false" ht="15" hidden="false" customHeight="false" outlineLevel="0" collapsed="false">
      <c r="A9903" s="0" t="n">
        <v>9902</v>
      </c>
      <c r="B9903" s="14" t="n">
        <v>101243.247850251</v>
      </c>
      <c r="C9903" s="15" t="n">
        <v>0.0739081388723024</v>
      </c>
      <c r="D9903" s="14" t="n">
        <f aca="false">Summary!$B$5-B9903</f>
        <v>-1243.2478502507</v>
      </c>
      <c r="E9903" s="15" t="n">
        <f aca="false">B9903/Summary!$B$5-1</f>
        <v>0.012432478502507</v>
      </c>
    </row>
    <row r="9904" customFormat="false" ht="15" hidden="false" customHeight="false" outlineLevel="0" collapsed="false">
      <c r="A9904" s="0" t="n">
        <v>9903</v>
      </c>
      <c r="B9904" s="14" t="n">
        <v>114132.837336582</v>
      </c>
      <c r="C9904" s="15" t="n">
        <v>0.0725030334979177</v>
      </c>
      <c r="D9904" s="14" t="n">
        <f aca="false">Summary!$B$5-B9904</f>
        <v>-14132.8373365822</v>
      </c>
      <c r="E9904" s="15" t="n">
        <f aca="false">B9904/Summary!$B$5-1</f>
        <v>0.141328373365822</v>
      </c>
    </row>
    <row r="9905" customFormat="false" ht="15" hidden="false" customHeight="false" outlineLevel="0" collapsed="false">
      <c r="A9905" s="0" t="n">
        <v>9904</v>
      </c>
      <c r="B9905" s="14" t="n">
        <v>82754.4201933491</v>
      </c>
      <c r="C9905" s="15" t="n">
        <v>0.252869755762564</v>
      </c>
      <c r="D9905" s="14" t="n">
        <f aca="false">Summary!$B$5-B9905</f>
        <v>17245.5798066509</v>
      </c>
      <c r="E9905" s="15" t="n">
        <f aca="false">B9905/Summary!$B$5-1</f>
        <v>-0.172455798066509</v>
      </c>
    </row>
    <row r="9906" customFormat="false" ht="15" hidden="false" customHeight="false" outlineLevel="0" collapsed="false">
      <c r="A9906" s="0" t="n">
        <v>9905</v>
      </c>
      <c r="B9906" s="14" t="n">
        <v>110498.100949237</v>
      </c>
      <c r="C9906" s="15" t="n">
        <v>0.054716714840843</v>
      </c>
      <c r="D9906" s="14" t="n">
        <f aca="false">Summary!$B$5-B9906</f>
        <v>-10498.1009492373</v>
      </c>
      <c r="E9906" s="15" t="n">
        <f aca="false">B9906/Summary!$B$5-1</f>
        <v>0.104981009492373</v>
      </c>
    </row>
    <row r="9907" customFormat="false" ht="15" hidden="false" customHeight="false" outlineLevel="0" collapsed="false">
      <c r="A9907" s="0" t="n">
        <v>9906</v>
      </c>
      <c r="B9907" s="14" t="n">
        <v>97591.7496485736</v>
      </c>
      <c r="C9907" s="15" t="n">
        <v>0.119752341570604</v>
      </c>
      <c r="D9907" s="14" t="n">
        <f aca="false">Summary!$B$5-B9907</f>
        <v>2408.25035142645</v>
      </c>
      <c r="E9907" s="15" t="n">
        <f aca="false">B9907/Summary!$B$5-1</f>
        <v>-0.0240825035142646</v>
      </c>
    </row>
    <row r="9908" customFormat="false" ht="15" hidden="false" customHeight="false" outlineLevel="0" collapsed="false">
      <c r="A9908" s="0" t="n">
        <v>9907</v>
      </c>
      <c r="B9908" s="14" t="n">
        <v>110441.583648915</v>
      </c>
      <c r="C9908" s="15" t="n">
        <v>0.114387079465861</v>
      </c>
      <c r="D9908" s="14" t="n">
        <f aca="false">Summary!$B$5-B9908</f>
        <v>-10441.5836489152</v>
      </c>
      <c r="E9908" s="15" t="n">
        <f aca="false">B9908/Summary!$B$5-1</f>
        <v>0.104415836489152</v>
      </c>
    </row>
    <row r="9909" customFormat="false" ht="15" hidden="false" customHeight="false" outlineLevel="0" collapsed="false">
      <c r="A9909" s="0" t="n">
        <v>9908</v>
      </c>
      <c r="B9909" s="14" t="n">
        <v>106330.775000633</v>
      </c>
      <c r="C9909" s="15" t="n">
        <v>0.103651652030904</v>
      </c>
      <c r="D9909" s="14" t="n">
        <f aca="false">Summary!$B$5-B9909</f>
        <v>-6330.7750006327</v>
      </c>
      <c r="E9909" s="15" t="n">
        <f aca="false">B9909/Summary!$B$5-1</f>
        <v>0.0633077500063271</v>
      </c>
    </row>
    <row r="9910" customFormat="false" ht="15" hidden="false" customHeight="false" outlineLevel="0" collapsed="false">
      <c r="A9910" s="0" t="n">
        <v>9909</v>
      </c>
      <c r="B9910" s="14" t="n">
        <v>110734.32335874</v>
      </c>
      <c r="C9910" s="15" t="n">
        <v>0.0873191102081955</v>
      </c>
      <c r="D9910" s="14" t="n">
        <f aca="false">Summary!$B$5-B9910</f>
        <v>-10734.3233587402</v>
      </c>
      <c r="E9910" s="15" t="n">
        <f aca="false">B9910/Summary!$B$5-1</f>
        <v>0.107343233587402</v>
      </c>
    </row>
    <row r="9911" customFormat="false" ht="15" hidden="false" customHeight="false" outlineLevel="0" collapsed="false">
      <c r="A9911" s="0" t="n">
        <v>9910</v>
      </c>
      <c r="B9911" s="14" t="n">
        <v>116135.440315135</v>
      </c>
      <c r="C9911" s="15" t="n">
        <v>0.0613855360838428</v>
      </c>
      <c r="D9911" s="14" t="n">
        <f aca="false">Summary!$B$5-B9911</f>
        <v>-16135.4403151346</v>
      </c>
      <c r="E9911" s="15" t="n">
        <f aca="false">B9911/Summary!$B$5-1</f>
        <v>0.161354403151346</v>
      </c>
    </row>
    <row r="9912" customFormat="false" ht="15" hidden="false" customHeight="false" outlineLevel="0" collapsed="false">
      <c r="A9912" s="0" t="n">
        <v>9911</v>
      </c>
      <c r="B9912" s="14" t="n">
        <v>104146.476607114</v>
      </c>
      <c r="C9912" s="15" t="n">
        <v>0.0756853298595565</v>
      </c>
      <c r="D9912" s="14" t="n">
        <f aca="false">Summary!$B$5-B9912</f>
        <v>-4146.47660711411</v>
      </c>
      <c r="E9912" s="15" t="n">
        <f aca="false">B9912/Summary!$B$5-1</f>
        <v>0.0414647660711411</v>
      </c>
    </row>
    <row r="9913" customFormat="false" ht="15" hidden="false" customHeight="false" outlineLevel="0" collapsed="false">
      <c r="A9913" s="0" t="n">
        <v>9912</v>
      </c>
      <c r="B9913" s="14" t="n">
        <v>99891.3106981852</v>
      </c>
      <c r="C9913" s="15" t="n">
        <v>0.128406141709639</v>
      </c>
      <c r="D9913" s="14" t="n">
        <f aca="false">Summary!$B$5-B9913</f>
        <v>108.689301814855</v>
      </c>
      <c r="E9913" s="15" t="n">
        <f aca="false">B9913/Summary!$B$5-1</f>
        <v>-0.00108689301814857</v>
      </c>
    </row>
    <row r="9914" customFormat="false" ht="15" hidden="false" customHeight="false" outlineLevel="0" collapsed="false">
      <c r="A9914" s="0" t="n">
        <v>9913</v>
      </c>
      <c r="B9914" s="14" t="n">
        <v>131063.36208314</v>
      </c>
      <c r="C9914" s="15" t="n">
        <v>0.0638815031607911</v>
      </c>
      <c r="D9914" s="14" t="n">
        <f aca="false">Summary!$B$5-B9914</f>
        <v>-31063.3620831401</v>
      </c>
      <c r="E9914" s="15" t="n">
        <f aca="false">B9914/Summary!$B$5-1</f>
        <v>0.310633620831401</v>
      </c>
    </row>
    <row r="9915" customFormat="false" ht="15" hidden="false" customHeight="false" outlineLevel="0" collapsed="false">
      <c r="A9915" s="0" t="n">
        <v>9914</v>
      </c>
      <c r="B9915" s="14" t="n">
        <v>106375.23732265</v>
      </c>
      <c r="C9915" s="15" t="n">
        <v>0.107225334952253</v>
      </c>
      <c r="D9915" s="14" t="n">
        <f aca="false">Summary!$B$5-B9915</f>
        <v>-6375.2373226497</v>
      </c>
      <c r="E9915" s="15" t="n">
        <f aca="false">B9915/Summary!$B$5-1</f>
        <v>0.0637523732264971</v>
      </c>
    </row>
    <row r="9916" customFormat="false" ht="15" hidden="false" customHeight="false" outlineLevel="0" collapsed="false">
      <c r="A9916" s="0" t="n">
        <v>9915</v>
      </c>
      <c r="B9916" s="14" t="n">
        <v>100532.38048359</v>
      </c>
      <c r="C9916" s="15" t="n">
        <v>0.0682874424174708</v>
      </c>
      <c r="D9916" s="14" t="n">
        <f aca="false">Summary!$B$5-B9916</f>
        <v>-532.380483590401</v>
      </c>
      <c r="E9916" s="15" t="n">
        <f aca="false">B9916/Summary!$B$5-1</f>
        <v>0.00532380483590411</v>
      </c>
    </row>
    <row r="9917" customFormat="false" ht="15" hidden="false" customHeight="false" outlineLevel="0" collapsed="false">
      <c r="A9917" s="0" t="n">
        <v>9916</v>
      </c>
      <c r="B9917" s="14" t="n">
        <v>110085.286399102</v>
      </c>
      <c r="C9917" s="15" t="n">
        <v>0.0905669817820802</v>
      </c>
      <c r="D9917" s="14" t="n">
        <f aca="false">Summary!$B$5-B9917</f>
        <v>-10085.2863991023</v>
      </c>
      <c r="E9917" s="15" t="n">
        <f aca="false">B9917/Summary!$B$5-1</f>
        <v>0.100852863991023</v>
      </c>
    </row>
    <row r="9918" customFormat="false" ht="15" hidden="false" customHeight="false" outlineLevel="0" collapsed="false">
      <c r="A9918" s="0" t="n">
        <v>9917</v>
      </c>
      <c r="B9918" s="14" t="n">
        <v>117151.655641792</v>
      </c>
      <c r="C9918" s="15" t="n">
        <v>0.0479222445345034</v>
      </c>
      <c r="D9918" s="14" t="n">
        <f aca="false">Summary!$B$5-B9918</f>
        <v>-17151.6556417924</v>
      </c>
      <c r="E9918" s="15" t="n">
        <f aca="false">B9918/Summary!$B$5-1</f>
        <v>0.171516556417924</v>
      </c>
    </row>
    <row r="9919" customFormat="false" ht="15" hidden="false" customHeight="false" outlineLevel="0" collapsed="false">
      <c r="A9919" s="0" t="n">
        <v>9918</v>
      </c>
      <c r="B9919" s="14" t="n">
        <v>107461.029663895</v>
      </c>
      <c r="C9919" s="15" t="n">
        <v>0.0667191448671688</v>
      </c>
      <c r="D9919" s="14" t="n">
        <f aca="false">Summary!$B$5-B9919</f>
        <v>-7461.0296638953</v>
      </c>
      <c r="E9919" s="15" t="n">
        <f aca="false">B9919/Summary!$B$5-1</f>
        <v>0.074610296638953</v>
      </c>
    </row>
    <row r="9920" customFormat="false" ht="15" hidden="false" customHeight="false" outlineLevel="0" collapsed="false">
      <c r="A9920" s="0" t="n">
        <v>9919</v>
      </c>
      <c r="B9920" s="14" t="n">
        <v>108588.717334536</v>
      </c>
      <c r="C9920" s="15" t="n">
        <v>0.104427056459659</v>
      </c>
      <c r="D9920" s="14" t="n">
        <f aca="false">Summary!$B$5-B9920</f>
        <v>-8588.7173345356</v>
      </c>
      <c r="E9920" s="15" t="n">
        <f aca="false">B9920/Summary!$B$5-1</f>
        <v>0.0858871733453559</v>
      </c>
    </row>
    <row r="9921" customFormat="false" ht="15" hidden="false" customHeight="false" outlineLevel="0" collapsed="false">
      <c r="A9921" s="0" t="n">
        <v>9920</v>
      </c>
      <c r="B9921" s="14" t="n">
        <v>103268.760637776</v>
      </c>
      <c r="C9921" s="15" t="n">
        <v>0.101374349794809</v>
      </c>
      <c r="D9921" s="14" t="n">
        <f aca="false">Summary!$B$5-B9921</f>
        <v>-3268.76063777581</v>
      </c>
      <c r="E9921" s="15" t="n">
        <f aca="false">B9921/Summary!$B$5-1</f>
        <v>0.0326876063777581</v>
      </c>
    </row>
    <row r="9922" customFormat="false" ht="15" hidden="false" customHeight="false" outlineLevel="0" collapsed="false">
      <c r="A9922" s="0" t="n">
        <v>9921</v>
      </c>
      <c r="B9922" s="14" t="n">
        <v>121730.860406601</v>
      </c>
      <c r="C9922" s="15" t="n">
        <v>0.0888302129591481</v>
      </c>
      <c r="D9922" s="14" t="n">
        <f aca="false">Summary!$B$5-B9922</f>
        <v>-21730.8604066011</v>
      </c>
      <c r="E9922" s="15" t="n">
        <f aca="false">B9922/Summary!$B$5-1</f>
        <v>0.217308604066011</v>
      </c>
    </row>
    <row r="9923" customFormat="false" ht="15" hidden="false" customHeight="false" outlineLevel="0" collapsed="false">
      <c r="A9923" s="0" t="n">
        <v>9922</v>
      </c>
      <c r="B9923" s="14" t="n">
        <v>89212.4038955504</v>
      </c>
      <c r="C9923" s="15" t="n">
        <v>0.164563804423063</v>
      </c>
      <c r="D9923" s="14" t="n">
        <f aca="false">Summary!$B$5-B9923</f>
        <v>10787.5961044496</v>
      </c>
      <c r="E9923" s="15" t="n">
        <f aca="false">B9923/Summary!$B$5-1</f>
        <v>-0.107875961044496</v>
      </c>
    </row>
    <row r="9924" customFormat="false" ht="15" hidden="false" customHeight="false" outlineLevel="0" collapsed="false">
      <c r="A9924" s="0" t="n">
        <v>9923</v>
      </c>
      <c r="B9924" s="14" t="n">
        <v>106583.278182189</v>
      </c>
      <c r="C9924" s="15" t="n">
        <v>0.0888788717464393</v>
      </c>
      <c r="D9924" s="14" t="n">
        <f aca="false">Summary!$B$5-B9924</f>
        <v>-6583.27818218881</v>
      </c>
      <c r="E9924" s="15" t="n">
        <f aca="false">B9924/Summary!$B$5-1</f>
        <v>0.065832781821888</v>
      </c>
    </row>
    <row r="9925" customFormat="false" ht="15" hidden="false" customHeight="false" outlineLevel="0" collapsed="false">
      <c r="A9925" s="0" t="n">
        <v>9924</v>
      </c>
      <c r="B9925" s="14" t="n">
        <v>105307.761750202</v>
      </c>
      <c r="C9925" s="15" t="n">
        <v>0.11032164810554</v>
      </c>
      <c r="D9925" s="14" t="n">
        <f aca="false">Summary!$B$5-B9925</f>
        <v>-5307.7617502022</v>
      </c>
      <c r="E9925" s="15" t="n">
        <f aca="false">B9925/Summary!$B$5-1</f>
        <v>0.053077617502022</v>
      </c>
    </row>
    <row r="9926" customFormat="false" ht="15" hidden="false" customHeight="false" outlineLevel="0" collapsed="false">
      <c r="A9926" s="0" t="n">
        <v>9925</v>
      </c>
      <c r="B9926" s="14" t="n">
        <v>105632.05829109</v>
      </c>
      <c r="C9926" s="15" t="n">
        <v>0.0648034696970997</v>
      </c>
      <c r="D9926" s="14" t="n">
        <f aca="false">Summary!$B$5-B9926</f>
        <v>-5632.05829108979</v>
      </c>
      <c r="E9926" s="15" t="n">
        <f aca="false">B9926/Summary!$B$5-1</f>
        <v>0.0563205829108979</v>
      </c>
    </row>
    <row r="9927" customFormat="false" ht="15" hidden="false" customHeight="false" outlineLevel="0" collapsed="false">
      <c r="A9927" s="0" t="n">
        <v>9926</v>
      </c>
      <c r="B9927" s="14" t="n">
        <v>118087.584434349</v>
      </c>
      <c r="C9927" s="15" t="n">
        <v>0.0916647972568454</v>
      </c>
      <c r="D9927" s="14" t="n">
        <f aca="false">Summary!$B$5-B9927</f>
        <v>-18087.5844343488</v>
      </c>
      <c r="E9927" s="15" t="n">
        <f aca="false">B9927/Summary!$B$5-1</f>
        <v>0.180875844343488</v>
      </c>
    </row>
    <row r="9928" customFormat="false" ht="15" hidden="false" customHeight="false" outlineLevel="0" collapsed="false">
      <c r="A9928" s="0" t="n">
        <v>9927</v>
      </c>
      <c r="B9928" s="14" t="n">
        <v>144396.9280222</v>
      </c>
      <c r="C9928" s="15" t="n">
        <v>0.057860930455665</v>
      </c>
      <c r="D9928" s="14" t="n">
        <f aca="false">Summary!$B$5-B9928</f>
        <v>-44396.9280222002</v>
      </c>
      <c r="E9928" s="15" t="n">
        <f aca="false">B9928/Summary!$B$5-1</f>
        <v>0.443969280222002</v>
      </c>
    </row>
    <row r="9929" customFormat="false" ht="15" hidden="false" customHeight="false" outlineLevel="0" collapsed="false">
      <c r="A9929" s="0" t="n">
        <v>9928</v>
      </c>
      <c r="B9929" s="14" t="n">
        <v>103567.946761094</v>
      </c>
      <c r="C9929" s="15" t="n">
        <v>0.170288059794725</v>
      </c>
      <c r="D9929" s="14" t="n">
        <f aca="false">Summary!$B$5-B9929</f>
        <v>-3567.9467610937</v>
      </c>
      <c r="E9929" s="15" t="n">
        <f aca="false">B9929/Summary!$B$5-1</f>
        <v>0.0356794676109371</v>
      </c>
    </row>
    <row r="9930" customFormat="false" ht="15" hidden="false" customHeight="false" outlineLevel="0" collapsed="false">
      <c r="A9930" s="0" t="n">
        <v>9929</v>
      </c>
      <c r="B9930" s="14" t="n">
        <v>118078.173663377</v>
      </c>
      <c r="C9930" s="15" t="n">
        <v>0.107726517851929</v>
      </c>
      <c r="D9930" s="14" t="n">
        <f aca="false">Summary!$B$5-B9930</f>
        <v>-18078.1736633773</v>
      </c>
      <c r="E9930" s="15" t="n">
        <f aca="false">B9930/Summary!$B$5-1</f>
        <v>0.180781736633773</v>
      </c>
    </row>
    <row r="9931" customFormat="false" ht="15" hidden="false" customHeight="false" outlineLevel="0" collapsed="false">
      <c r="A9931" s="0" t="n">
        <v>9930</v>
      </c>
      <c r="B9931" s="14" t="n">
        <v>98904.8141765433</v>
      </c>
      <c r="C9931" s="15" t="n">
        <v>0.10314086294072</v>
      </c>
      <c r="D9931" s="14" t="n">
        <f aca="false">Summary!$B$5-B9931</f>
        <v>1095.1858234567</v>
      </c>
      <c r="E9931" s="15" t="n">
        <f aca="false">B9931/Summary!$B$5-1</f>
        <v>-0.010951858234567</v>
      </c>
    </row>
    <row r="9932" customFormat="false" ht="15" hidden="false" customHeight="false" outlineLevel="0" collapsed="false">
      <c r="A9932" s="0" t="n">
        <v>9931</v>
      </c>
      <c r="B9932" s="14" t="n">
        <v>90451.8757755478</v>
      </c>
      <c r="C9932" s="15" t="n">
        <v>0.194637337483345</v>
      </c>
      <c r="D9932" s="14" t="n">
        <f aca="false">Summary!$B$5-B9932</f>
        <v>9548.12422445223</v>
      </c>
      <c r="E9932" s="15" t="n">
        <f aca="false">B9932/Summary!$B$5-1</f>
        <v>-0.0954812422445223</v>
      </c>
    </row>
    <row r="9933" customFormat="false" ht="15" hidden="false" customHeight="false" outlineLevel="0" collapsed="false">
      <c r="A9933" s="0" t="n">
        <v>9932</v>
      </c>
      <c r="B9933" s="14" t="n">
        <v>100485.813476318</v>
      </c>
      <c r="C9933" s="15" t="n">
        <v>0.120399740630512</v>
      </c>
      <c r="D9933" s="14" t="n">
        <f aca="false">Summary!$B$5-B9933</f>
        <v>-485.813476317504</v>
      </c>
      <c r="E9933" s="15" t="n">
        <f aca="false">B9933/Summary!$B$5-1</f>
        <v>0.00485813476317509</v>
      </c>
    </row>
    <row r="9934" customFormat="false" ht="15" hidden="false" customHeight="false" outlineLevel="0" collapsed="false">
      <c r="A9934" s="0" t="n">
        <v>9933</v>
      </c>
      <c r="B9934" s="14" t="n">
        <v>122147.336013215</v>
      </c>
      <c r="C9934" s="15" t="n">
        <v>0.0356543769645106</v>
      </c>
      <c r="D9934" s="14" t="n">
        <f aca="false">Summary!$B$5-B9934</f>
        <v>-22147.3360132154</v>
      </c>
      <c r="E9934" s="15" t="n">
        <f aca="false">B9934/Summary!$B$5-1</f>
        <v>0.221473360132154</v>
      </c>
    </row>
    <row r="9935" customFormat="false" ht="15" hidden="false" customHeight="false" outlineLevel="0" collapsed="false">
      <c r="A9935" s="0" t="n">
        <v>9934</v>
      </c>
      <c r="B9935" s="14" t="n">
        <v>100603.637682694</v>
      </c>
      <c r="C9935" s="15" t="n">
        <v>0.0706558717710604</v>
      </c>
      <c r="D9935" s="14" t="n">
        <f aca="false">Summary!$B$5-B9935</f>
        <v>-603.637682694302</v>
      </c>
      <c r="E9935" s="15" t="n">
        <f aca="false">B9935/Summary!$B$5-1</f>
        <v>0.00603637682694291</v>
      </c>
    </row>
    <row r="9936" customFormat="false" ht="15" hidden="false" customHeight="false" outlineLevel="0" collapsed="false">
      <c r="A9936" s="0" t="n">
        <v>9935</v>
      </c>
      <c r="B9936" s="14" t="n">
        <v>115208.906968731</v>
      </c>
      <c r="C9936" s="15" t="n">
        <v>0.106915575465841</v>
      </c>
      <c r="D9936" s="14" t="n">
        <f aca="false">Summary!$B$5-B9936</f>
        <v>-15208.9069687311</v>
      </c>
      <c r="E9936" s="15" t="n">
        <f aca="false">B9936/Summary!$B$5-1</f>
        <v>0.152089069687311</v>
      </c>
    </row>
    <row r="9937" customFormat="false" ht="15" hidden="false" customHeight="false" outlineLevel="0" collapsed="false">
      <c r="A9937" s="0" t="n">
        <v>9936</v>
      </c>
      <c r="B9937" s="14" t="n">
        <v>103213.654631528</v>
      </c>
      <c r="C9937" s="15" t="n">
        <v>0.107652449381904</v>
      </c>
      <c r="D9937" s="14" t="n">
        <f aca="false">Summary!$B$5-B9937</f>
        <v>-3213.65463152841</v>
      </c>
      <c r="E9937" s="15" t="n">
        <f aca="false">B9937/Summary!$B$5-1</f>
        <v>0.0321365463152841</v>
      </c>
    </row>
    <row r="9938" customFormat="false" ht="15" hidden="false" customHeight="false" outlineLevel="0" collapsed="false">
      <c r="A9938" s="0" t="n">
        <v>9937</v>
      </c>
      <c r="B9938" s="14" t="n">
        <v>140925.021644586</v>
      </c>
      <c r="C9938" s="15" t="n">
        <v>0.0387164015070445</v>
      </c>
      <c r="D9938" s="14" t="n">
        <f aca="false">Summary!$B$5-B9938</f>
        <v>-40925.021644586</v>
      </c>
      <c r="E9938" s="15" t="n">
        <f aca="false">B9938/Summary!$B$5-1</f>
        <v>0.40925021644586</v>
      </c>
    </row>
    <row r="9939" customFormat="false" ht="15" hidden="false" customHeight="false" outlineLevel="0" collapsed="false">
      <c r="A9939" s="0" t="n">
        <v>9938</v>
      </c>
      <c r="B9939" s="14" t="n">
        <v>123741.909558163</v>
      </c>
      <c r="C9939" s="15" t="n">
        <v>0.0551287548889613</v>
      </c>
      <c r="D9939" s="14" t="n">
        <f aca="false">Summary!$B$5-B9939</f>
        <v>-23741.9095581633</v>
      </c>
      <c r="E9939" s="15" t="n">
        <f aca="false">B9939/Summary!$B$5-1</f>
        <v>0.237419095581633</v>
      </c>
    </row>
    <row r="9940" customFormat="false" ht="15" hidden="false" customHeight="false" outlineLevel="0" collapsed="false">
      <c r="A9940" s="0" t="n">
        <v>9939</v>
      </c>
      <c r="B9940" s="14" t="n">
        <v>110155.319753858</v>
      </c>
      <c r="C9940" s="15" t="n">
        <v>0.0466350246832363</v>
      </c>
      <c r="D9940" s="14" t="n">
        <f aca="false">Summary!$B$5-B9940</f>
        <v>-10155.3197538578</v>
      </c>
      <c r="E9940" s="15" t="n">
        <f aca="false">B9940/Summary!$B$5-1</f>
        <v>0.101553197538578</v>
      </c>
    </row>
    <row r="9941" customFormat="false" ht="15" hidden="false" customHeight="false" outlineLevel="0" collapsed="false">
      <c r="A9941" s="0" t="n">
        <v>9940</v>
      </c>
      <c r="B9941" s="14" t="n">
        <v>105198.758025905</v>
      </c>
      <c r="C9941" s="15" t="n">
        <v>0.148060380187462</v>
      </c>
      <c r="D9941" s="14" t="n">
        <f aca="false">Summary!$B$5-B9941</f>
        <v>-5198.7580259051</v>
      </c>
      <c r="E9941" s="15" t="n">
        <f aca="false">B9941/Summary!$B$5-1</f>
        <v>0.051987580259051</v>
      </c>
    </row>
    <row r="9942" customFormat="false" ht="15" hidden="false" customHeight="false" outlineLevel="0" collapsed="false">
      <c r="A9942" s="0" t="n">
        <v>9941</v>
      </c>
      <c r="B9942" s="14" t="n">
        <v>99395.1065982216</v>
      </c>
      <c r="C9942" s="15" t="n">
        <v>0.0913971699801087</v>
      </c>
      <c r="D9942" s="14" t="n">
        <f aca="false">Summary!$B$5-B9942</f>
        <v>604.89340177842</v>
      </c>
      <c r="E9942" s="15" t="n">
        <f aca="false">B9942/Summary!$B$5-1</f>
        <v>-0.00604893401778417</v>
      </c>
    </row>
    <row r="9943" customFormat="false" ht="15" hidden="false" customHeight="false" outlineLevel="0" collapsed="false">
      <c r="A9943" s="0" t="n">
        <v>9942</v>
      </c>
      <c r="B9943" s="14" t="n">
        <v>111493.856299586</v>
      </c>
      <c r="C9943" s="15" t="n">
        <v>0.0616709642408543</v>
      </c>
      <c r="D9943" s="14" t="n">
        <f aca="false">Summary!$B$5-B9943</f>
        <v>-11493.856299586</v>
      </c>
      <c r="E9943" s="15" t="n">
        <f aca="false">B9943/Summary!$B$5-1</f>
        <v>0.11493856299586</v>
      </c>
    </row>
    <row r="9944" customFormat="false" ht="15" hidden="false" customHeight="false" outlineLevel="0" collapsed="false">
      <c r="A9944" s="0" t="n">
        <v>9943</v>
      </c>
      <c r="B9944" s="14" t="n">
        <v>112974.384677839</v>
      </c>
      <c r="C9944" s="15" t="n">
        <v>0.0621767036239918</v>
      </c>
      <c r="D9944" s="14" t="n">
        <f aca="false">Summary!$B$5-B9944</f>
        <v>-12974.3846778388</v>
      </c>
      <c r="E9944" s="15" t="n">
        <f aca="false">B9944/Summary!$B$5-1</f>
        <v>0.129743846778388</v>
      </c>
    </row>
    <row r="9945" customFormat="false" ht="15" hidden="false" customHeight="false" outlineLevel="0" collapsed="false">
      <c r="A9945" s="0" t="n">
        <v>9944</v>
      </c>
      <c r="B9945" s="14" t="n">
        <v>103162.829221423</v>
      </c>
      <c r="C9945" s="15" t="n">
        <v>0.064055398744216</v>
      </c>
      <c r="D9945" s="14" t="n">
        <f aca="false">Summary!$B$5-B9945</f>
        <v>-3162.82922142329</v>
      </c>
      <c r="E9945" s="15" t="n">
        <f aca="false">B9945/Summary!$B$5-1</f>
        <v>0.031628292214233</v>
      </c>
    </row>
    <row r="9946" customFormat="false" ht="15" hidden="false" customHeight="false" outlineLevel="0" collapsed="false">
      <c r="A9946" s="0" t="n">
        <v>9945</v>
      </c>
      <c r="B9946" s="14" t="n">
        <v>132822.853679177</v>
      </c>
      <c r="C9946" s="15" t="n">
        <v>0.101692234118639</v>
      </c>
      <c r="D9946" s="14" t="n">
        <f aca="false">Summary!$B$5-B9946</f>
        <v>-32822.8536791766</v>
      </c>
      <c r="E9946" s="15" t="n">
        <f aca="false">B9946/Summary!$B$5-1</f>
        <v>0.328228536791766</v>
      </c>
    </row>
    <row r="9947" customFormat="false" ht="15" hidden="false" customHeight="false" outlineLevel="0" collapsed="false">
      <c r="A9947" s="0" t="n">
        <v>9946</v>
      </c>
      <c r="B9947" s="14" t="n">
        <v>108151.652820877</v>
      </c>
      <c r="C9947" s="15" t="n">
        <v>0.0929764582515934</v>
      </c>
      <c r="D9947" s="14" t="n">
        <f aca="false">Summary!$B$5-B9947</f>
        <v>-8151.6528208767</v>
      </c>
      <c r="E9947" s="15" t="n">
        <f aca="false">B9947/Summary!$B$5-1</f>
        <v>0.0815165282087669</v>
      </c>
    </row>
    <row r="9948" customFormat="false" ht="15" hidden="false" customHeight="false" outlineLevel="0" collapsed="false">
      <c r="A9948" s="0" t="n">
        <v>9947</v>
      </c>
      <c r="B9948" s="14" t="n">
        <v>122153.281306791</v>
      </c>
      <c r="C9948" s="15" t="n">
        <v>0.0377906013168057</v>
      </c>
      <c r="D9948" s="14" t="n">
        <f aca="false">Summary!$B$5-B9948</f>
        <v>-22153.2813067906</v>
      </c>
      <c r="E9948" s="15" t="n">
        <f aca="false">B9948/Summary!$B$5-1</f>
        <v>0.221532813067906</v>
      </c>
    </row>
    <row r="9949" customFormat="false" ht="15" hidden="false" customHeight="false" outlineLevel="0" collapsed="false">
      <c r="A9949" s="0" t="n">
        <v>9948</v>
      </c>
      <c r="B9949" s="14" t="n">
        <v>113832.169331653</v>
      </c>
      <c r="C9949" s="15" t="n">
        <v>0.110668888744251</v>
      </c>
      <c r="D9949" s="14" t="n">
        <f aca="false">Summary!$B$5-B9949</f>
        <v>-13832.1693316528</v>
      </c>
      <c r="E9949" s="15" t="n">
        <f aca="false">B9949/Summary!$B$5-1</f>
        <v>0.138321693316528</v>
      </c>
    </row>
    <row r="9950" customFormat="false" ht="15" hidden="false" customHeight="false" outlineLevel="0" collapsed="false">
      <c r="A9950" s="0" t="n">
        <v>9949</v>
      </c>
      <c r="B9950" s="14" t="n">
        <v>95859.4246112899</v>
      </c>
      <c r="C9950" s="15" t="n">
        <v>0.143676541608542</v>
      </c>
      <c r="D9950" s="14" t="n">
        <f aca="false">Summary!$B$5-B9950</f>
        <v>4140.57538871013</v>
      </c>
      <c r="E9950" s="15" t="n">
        <f aca="false">B9950/Summary!$B$5-1</f>
        <v>-0.0414057538871013</v>
      </c>
    </row>
    <row r="9951" customFormat="false" ht="15" hidden="false" customHeight="false" outlineLevel="0" collapsed="false">
      <c r="A9951" s="0" t="n">
        <v>9950</v>
      </c>
      <c r="B9951" s="14" t="n">
        <v>83802.8197412379</v>
      </c>
      <c r="C9951" s="15" t="n">
        <v>0.16815979456864</v>
      </c>
      <c r="D9951" s="14" t="n">
        <f aca="false">Summary!$B$5-B9951</f>
        <v>16197.1802587622</v>
      </c>
      <c r="E9951" s="15" t="n">
        <f aca="false">B9951/Summary!$B$5-1</f>
        <v>-0.161971802587621</v>
      </c>
    </row>
    <row r="9952" customFormat="false" ht="15" hidden="false" customHeight="false" outlineLevel="0" collapsed="false">
      <c r="A9952" s="0" t="n">
        <v>9951</v>
      </c>
      <c r="B9952" s="14" t="n">
        <v>96496.2243796083</v>
      </c>
      <c r="C9952" s="15" t="n">
        <v>0.138102784872024</v>
      </c>
      <c r="D9952" s="14" t="n">
        <f aca="false">Summary!$B$5-B9952</f>
        <v>3503.77562039175</v>
      </c>
      <c r="E9952" s="15" t="n">
        <f aca="false">B9952/Summary!$B$5-1</f>
        <v>-0.0350377562039175</v>
      </c>
    </row>
    <row r="9953" customFormat="false" ht="15" hidden="false" customHeight="false" outlineLevel="0" collapsed="false">
      <c r="A9953" s="0" t="n">
        <v>9952</v>
      </c>
      <c r="B9953" s="14" t="n">
        <v>88974.0766233096</v>
      </c>
      <c r="C9953" s="15" t="n">
        <v>0.151073916606116</v>
      </c>
      <c r="D9953" s="14" t="n">
        <f aca="false">Summary!$B$5-B9953</f>
        <v>11025.9233766904</v>
      </c>
      <c r="E9953" s="15" t="n">
        <f aca="false">B9953/Summary!$B$5-1</f>
        <v>-0.110259233766904</v>
      </c>
    </row>
    <row r="9954" customFormat="false" ht="15" hidden="false" customHeight="false" outlineLevel="0" collapsed="false">
      <c r="A9954" s="0" t="n">
        <v>9953</v>
      </c>
      <c r="B9954" s="14" t="n">
        <v>93018.3780975299</v>
      </c>
      <c r="C9954" s="15" t="n">
        <v>0.0914015368803225</v>
      </c>
      <c r="D9954" s="14" t="n">
        <f aca="false">Summary!$B$5-B9954</f>
        <v>6981.62190247013</v>
      </c>
      <c r="E9954" s="15" t="n">
        <f aca="false">B9954/Summary!$B$5-1</f>
        <v>-0.0698162190247013</v>
      </c>
    </row>
    <row r="9955" customFormat="false" ht="15" hidden="false" customHeight="false" outlineLevel="0" collapsed="false">
      <c r="A9955" s="0" t="n">
        <v>9954</v>
      </c>
      <c r="B9955" s="14" t="n">
        <v>82903.5437109093</v>
      </c>
      <c r="C9955" s="15" t="n">
        <v>0.212322938062686</v>
      </c>
      <c r="D9955" s="14" t="n">
        <f aca="false">Summary!$B$5-B9955</f>
        <v>17096.4562890907</v>
      </c>
      <c r="E9955" s="15" t="n">
        <f aca="false">B9955/Summary!$B$5-1</f>
        <v>-0.170964562890907</v>
      </c>
    </row>
    <row r="9956" customFormat="false" ht="15" hidden="false" customHeight="false" outlineLevel="0" collapsed="false">
      <c r="A9956" s="0" t="n">
        <v>9955</v>
      </c>
      <c r="B9956" s="14" t="n">
        <v>124197.635169784</v>
      </c>
      <c r="C9956" s="15" t="n">
        <v>0.098464290480547</v>
      </c>
      <c r="D9956" s="14" t="n">
        <f aca="false">Summary!$B$5-B9956</f>
        <v>-24197.635169784</v>
      </c>
      <c r="E9956" s="15" t="n">
        <f aca="false">B9956/Summary!$B$5-1</f>
        <v>0.24197635169784</v>
      </c>
    </row>
    <row r="9957" customFormat="false" ht="15" hidden="false" customHeight="false" outlineLevel="0" collapsed="false">
      <c r="A9957" s="0" t="n">
        <v>9956</v>
      </c>
      <c r="B9957" s="14" t="n">
        <v>110094.197906309</v>
      </c>
      <c r="C9957" s="15" t="n">
        <v>0.067097290115564</v>
      </c>
      <c r="D9957" s="14" t="n">
        <f aca="false">Summary!$B$5-B9957</f>
        <v>-10094.1979063085</v>
      </c>
      <c r="E9957" s="15" t="n">
        <f aca="false">B9957/Summary!$B$5-1</f>
        <v>0.100941979063085</v>
      </c>
    </row>
    <row r="9958" customFormat="false" ht="15" hidden="false" customHeight="false" outlineLevel="0" collapsed="false">
      <c r="A9958" s="0" t="n">
        <v>9957</v>
      </c>
      <c r="B9958" s="14" t="n">
        <v>147322.534371019</v>
      </c>
      <c r="C9958" s="15" t="n">
        <v>0.0665710047378074</v>
      </c>
      <c r="D9958" s="14" t="n">
        <f aca="false">Summary!$B$5-B9958</f>
        <v>-47322.5343710193</v>
      </c>
      <c r="E9958" s="15" t="n">
        <f aca="false">B9958/Summary!$B$5-1</f>
        <v>0.473225343710193</v>
      </c>
    </row>
    <row r="9959" customFormat="false" ht="15" hidden="false" customHeight="false" outlineLevel="0" collapsed="false">
      <c r="A9959" s="0" t="n">
        <v>9958</v>
      </c>
      <c r="B9959" s="14" t="n">
        <v>105094.581747182</v>
      </c>
      <c r="C9959" s="15" t="n">
        <v>0.0579980542401057</v>
      </c>
      <c r="D9959" s="14" t="n">
        <f aca="false">Summary!$B$5-B9959</f>
        <v>-5094.5817471819</v>
      </c>
      <c r="E9959" s="15" t="n">
        <f aca="false">B9959/Summary!$B$5-1</f>
        <v>0.0509458174718189</v>
      </c>
    </row>
    <row r="9960" customFormat="false" ht="15" hidden="false" customHeight="false" outlineLevel="0" collapsed="false">
      <c r="A9960" s="0" t="n">
        <v>9959</v>
      </c>
      <c r="B9960" s="14" t="n">
        <v>96855.8980232279</v>
      </c>
      <c r="C9960" s="15" t="n">
        <v>0.12567247537184</v>
      </c>
      <c r="D9960" s="14" t="n">
        <f aca="false">Summary!$B$5-B9960</f>
        <v>3144.10197677214</v>
      </c>
      <c r="E9960" s="15" t="n">
        <f aca="false">B9960/Summary!$B$5-1</f>
        <v>-0.0314410197677214</v>
      </c>
    </row>
    <row r="9961" customFormat="false" ht="15" hidden="false" customHeight="false" outlineLevel="0" collapsed="false">
      <c r="A9961" s="0" t="n">
        <v>9960</v>
      </c>
      <c r="B9961" s="14" t="n">
        <v>107794.828874259</v>
      </c>
      <c r="C9961" s="15" t="n">
        <v>0.0654752397464052</v>
      </c>
      <c r="D9961" s="14" t="n">
        <f aca="false">Summary!$B$5-B9961</f>
        <v>-7794.8288742594</v>
      </c>
      <c r="E9961" s="15" t="n">
        <f aca="false">B9961/Summary!$B$5-1</f>
        <v>0.077948288742594</v>
      </c>
    </row>
    <row r="9962" customFormat="false" ht="15" hidden="false" customHeight="false" outlineLevel="0" collapsed="false">
      <c r="A9962" s="0" t="n">
        <v>9961</v>
      </c>
      <c r="B9962" s="14" t="n">
        <v>133314.239981536</v>
      </c>
      <c r="C9962" s="15" t="n">
        <v>0.049814889813969</v>
      </c>
      <c r="D9962" s="14" t="n">
        <f aca="false">Summary!$B$5-B9962</f>
        <v>-33314.2399815359</v>
      </c>
      <c r="E9962" s="15" t="n">
        <f aca="false">B9962/Summary!$B$5-1</f>
        <v>0.333142399815359</v>
      </c>
    </row>
    <row r="9963" customFormat="false" ht="15" hidden="false" customHeight="false" outlineLevel="0" collapsed="false">
      <c r="A9963" s="0" t="n">
        <v>9962</v>
      </c>
      <c r="B9963" s="14" t="n">
        <v>95786.6076350084</v>
      </c>
      <c r="C9963" s="15" t="n">
        <v>0.111832651200624</v>
      </c>
      <c r="D9963" s="14" t="n">
        <f aca="false">Summary!$B$5-B9963</f>
        <v>4213.39236499157</v>
      </c>
      <c r="E9963" s="15" t="n">
        <f aca="false">B9963/Summary!$B$5-1</f>
        <v>-0.0421339236499156</v>
      </c>
    </row>
    <row r="9964" customFormat="false" ht="15" hidden="false" customHeight="false" outlineLevel="0" collapsed="false">
      <c r="A9964" s="0" t="n">
        <v>9963</v>
      </c>
      <c r="B9964" s="14" t="n">
        <v>103911.623493359</v>
      </c>
      <c r="C9964" s="15" t="n">
        <v>0.0912488695149806</v>
      </c>
      <c r="D9964" s="14" t="n">
        <f aca="false">Summary!$B$5-B9964</f>
        <v>-3911.62349335921</v>
      </c>
      <c r="E9964" s="15" t="n">
        <f aca="false">B9964/Summary!$B$5-1</f>
        <v>0.0391162349335921</v>
      </c>
    </row>
    <row r="9965" customFormat="false" ht="15" hidden="false" customHeight="false" outlineLevel="0" collapsed="false">
      <c r="A9965" s="0" t="n">
        <v>9964</v>
      </c>
      <c r="B9965" s="14" t="n">
        <v>100127.500333262</v>
      </c>
      <c r="C9965" s="15" t="n">
        <v>0.0697441498163052</v>
      </c>
      <c r="D9965" s="14" t="n">
        <f aca="false">Summary!$B$5-B9965</f>
        <v>-127.500333261807</v>
      </c>
      <c r="E9965" s="15" t="n">
        <f aca="false">B9965/Summary!$B$5-1</f>
        <v>0.0012750033326181</v>
      </c>
    </row>
    <row r="9966" customFormat="false" ht="15" hidden="false" customHeight="false" outlineLevel="0" collapsed="false">
      <c r="A9966" s="0" t="n">
        <v>9965</v>
      </c>
      <c r="B9966" s="14" t="n">
        <v>105239.667963213</v>
      </c>
      <c r="C9966" s="15" t="n">
        <v>0.107175181502851</v>
      </c>
      <c r="D9966" s="14" t="n">
        <f aca="false">Summary!$B$5-B9966</f>
        <v>-5239.6679632131</v>
      </c>
      <c r="E9966" s="15" t="n">
        <f aca="false">B9966/Summary!$B$5-1</f>
        <v>0.0523966796321309</v>
      </c>
    </row>
    <row r="9967" customFormat="false" ht="15" hidden="false" customHeight="false" outlineLevel="0" collapsed="false">
      <c r="A9967" s="0" t="n">
        <v>9966</v>
      </c>
      <c r="B9967" s="14" t="n">
        <v>135618.636406615</v>
      </c>
      <c r="C9967" s="15" t="n">
        <v>0.0547194738204258</v>
      </c>
      <c r="D9967" s="14" t="n">
        <f aca="false">Summary!$B$5-B9967</f>
        <v>-35618.6364066153</v>
      </c>
      <c r="E9967" s="15" t="n">
        <f aca="false">B9967/Summary!$B$5-1</f>
        <v>0.356186364066153</v>
      </c>
    </row>
    <row r="9968" customFormat="false" ht="15" hidden="false" customHeight="false" outlineLevel="0" collapsed="false">
      <c r="A9968" s="0" t="n">
        <v>9967</v>
      </c>
      <c r="B9968" s="14" t="n">
        <v>95715.5089577503</v>
      </c>
      <c r="C9968" s="15" t="n">
        <v>0.159740864596007</v>
      </c>
      <c r="D9968" s="14" t="n">
        <f aca="false">Summary!$B$5-B9968</f>
        <v>4284.49104224972</v>
      </c>
      <c r="E9968" s="15" t="n">
        <f aca="false">B9968/Summary!$B$5-1</f>
        <v>-0.0428449104224972</v>
      </c>
    </row>
    <row r="9969" customFormat="false" ht="15" hidden="false" customHeight="false" outlineLevel="0" collapsed="false">
      <c r="A9969" s="0" t="n">
        <v>9968</v>
      </c>
      <c r="B9969" s="14" t="n">
        <v>110076.516539345</v>
      </c>
      <c r="C9969" s="15" t="n">
        <v>0.0698767042522187</v>
      </c>
      <c r="D9969" s="14" t="n">
        <f aca="false">Summary!$B$5-B9969</f>
        <v>-10076.5165393452</v>
      </c>
      <c r="E9969" s="15" t="n">
        <f aca="false">B9969/Summary!$B$5-1</f>
        <v>0.100765165393452</v>
      </c>
    </row>
    <row r="9970" customFormat="false" ht="15" hidden="false" customHeight="false" outlineLevel="0" collapsed="false">
      <c r="A9970" s="0" t="n">
        <v>9969</v>
      </c>
      <c r="B9970" s="14" t="n">
        <v>87572.5091633816</v>
      </c>
      <c r="C9970" s="15" t="n">
        <v>0.181915588574698</v>
      </c>
      <c r="D9970" s="14" t="n">
        <f aca="false">Summary!$B$5-B9970</f>
        <v>12427.4908366184</v>
      </c>
      <c r="E9970" s="15" t="n">
        <f aca="false">B9970/Summary!$B$5-1</f>
        <v>-0.124274908366184</v>
      </c>
    </row>
    <row r="9971" customFormat="false" ht="15" hidden="false" customHeight="false" outlineLevel="0" collapsed="false">
      <c r="A9971" s="0" t="n">
        <v>9970</v>
      </c>
      <c r="B9971" s="14" t="n">
        <v>111259.150480282</v>
      </c>
      <c r="C9971" s="15" t="n">
        <v>0.120939912728423</v>
      </c>
      <c r="D9971" s="14" t="n">
        <f aca="false">Summary!$B$5-B9971</f>
        <v>-11259.1504802818</v>
      </c>
      <c r="E9971" s="15" t="n">
        <f aca="false">B9971/Summary!$B$5-1</f>
        <v>0.112591504802818</v>
      </c>
    </row>
    <row r="9972" customFormat="false" ht="15" hidden="false" customHeight="false" outlineLevel="0" collapsed="false">
      <c r="A9972" s="0" t="n">
        <v>9971</v>
      </c>
      <c r="B9972" s="14" t="n">
        <v>114157.325168371</v>
      </c>
      <c r="C9972" s="15" t="n">
        <v>0.0527406808828786</v>
      </c>
      <c r="D9972" s="14" t="n">
        <f aca="false">Summary!$B$5-B9972</f>
        <v>-14157.325168371</v>
      </c>
      <c r="E9972" s="15" t="n">
        <f aca="false">B9972/Summary!$B$5-1</f>
        <v>0.14157325168371</v>
      </c>
    </row>
    <row r="9973" customFormat="false" ht="15" hidden="false" customHeight="false" outlineLevel="0" collapsed="false">
      <c r="A9973" s="0" t="n">
        <v>9972</v>
      </c>
      <c r="B9973" s="14" t="n">
        <v>111064.637005538</v>
      </c>
      <c r="C9973" s="15" t="n">
        <v>0.0683902004173161</v>
      </c>
      <c r="D9973" s="14" t="n">
        <f aca="false">Summary!$B$5-B9973</f>
        <v>-11064.637005538</v>
      </c>
      <c r="E9973" s="15" t="n">
        <f aca="false">B9973/Summary!$B$5-1</f>
        <v>0.11064637005538</v>
      </c>
    </row>
    <row r="9974" customFormat="false" ht="15" hidden="false" customHeight="false" outlineLevel="0" collapsed="false">
      <c r="A9974" s="0" t="n">
        <v>9973</v>
      </c>
      <c r="B9974" s="14" t="n">
        <v>122202.260713639</v>
      </c>
      <c r="C9974" s="15" t="n">
        <v>0.0723135247546975</v>
      </c>
      <c r="D9974" s="14" t="n">
        <f aca="false">Summary!$B$5-B9974</f>
        <v>-22202.260713639</v>
      </c>
      <c r="E9974" s="15" t="n">
        <f aca="false">B9974/Summary!$B$5-1</f>
        <v>0.22202260713639</v>
      </c>
    </row>
    <row r="9975" customFormat="false" ht="15" hidden="false" customHeight="false" outlineLevel="0" collapsed="false">
      <c r="A9975" s="0" t="n">
        <v>9974</v>
      </c>
      <c r="B9975" s="14" t="n">
        <v>107625.856998304</v>
      </c>
      <c r="C9975" s="15" t="n">
        <v>0.0714682283678775</v>
      </c>
      <c r="D9975" s="14" t="n">
        <f aca="false">Summary!$B$5-B9975</f>
        <v>-7625.8569983042</v>
      </c>
      <c r="E9975" s="15" t="n">
        <f aca="false">B9975/Summary!$B$5-1</f>
        <v>0.076258569983042</v>
      </c>
    </row>
    <row r="9976" customFormat="false" ht="15" hidden="false" customHeight="false" outlineLevel="0" collapsed="false">
      <c r="A9976" s="0" t="n">
        <v>9975</v>
      </c>
      <c r="B9976" s="14" t="n">
        <v>104085.221626956</v>
      </c>
      <c r="C9976" s="15" t="n">
        <v>0.102583171718336</v>
      </c>
      <c r="D9976" s="14" t="n">
        <f aca="false">Summary!$B$5-B9976</f>
        <v>-4085.22162695551</v>
      </c>
      <c r="E9976" s="15" t="n">
        <f aca="false">B9976/Summary!$B$5-1</f>
        <v>0.040852216269555</v>
      </c>
    </row>
    <row r="9977" customFormat="false" ht="15" hidden="false" customHeight="false" outlineLevel="0" collapsed="false">
      <c r="A9977" s="0" t="n">
        <v>9976</v>
      </c>
      <c r="B9977" s="14" t="n">
        <v>98960.8417911627</v>
      </c>
      <c r="C9977" s="15" t="n">
        <v>0.0659365303604615</v>
      </c>
      <c r="D9977" s="14" t="n">
        <f aca="false">Summary!$B$5-B9977</f>
        <v>1039.15820883727</v>
      </c>
      <c r="E9977" s="15" t="n">
        <f aca="false">B9977/Summary!$B$5-1</f>
        <v>-0.0103915820883727</v>
      </c>
    </row>
    <row r="9978" customFormat="false" ht="15" hidden="false" customHeight="false" outlineLevel="0" collapsed="false">
      <c r="A9978" s="0" t="n">
        <v>9977</v>
      </c>
      <c r="B9978" s="14" t="n">
        <v>122108.905295669</v>
      </c>
      <c r="C9978" s="15" t="n">
        <v>0.064401372423235</v>
      </c>
      <c r="D9978" s="14" t="n">
        <f aca="false">Summary!$B$5-B9978</f>
        <v>-22108.9052956689</v>
      </c>
      <c r="E9978" s="15" t="n">
        <f aca="false">B9978/Summary!$B$5-1</f>
        <v>0.221089052956689</v>
      </c>
    </row>
    <row r="9979" customFormat="false" ht="15" hidden="false" customHeight="false" outlineLevel="0" collapsed="false">
      <c r="A9979" s="0" t="n">
        <v>9978</v>
      </c>
      <c r="B9979" s="14" t="n">
        <v>119743.539717757</v>
      </c>
      <c r="C9979" s="15" t="n">
        <v>0.0651206875106799</v>
      </c>
      <c r="D9979" s="14" t="n">
        <f aca="false">Summary!$B$5-B9979</f>
        <v>-19743.5397177567</v>
      </c>
      <c r="E9979" s="15" t="n">
        <f aca="false">B9979/Summary!$B$5-1</f>
        <v>0.197435397177567</v>
      </c>
    </row>
    <row r="9980" customFormat="false" ht="15" hidden="false" customHeight="false" outlineLevel="0" collapsed="false">
      <c r="A9980" s="0" t="n">
        <v>9979</v>
      </c>
      <c r="B9980" s="14" t="n">
        <v>100827.430734717</v>
      </c>
      <c r="C9980" s="15" t="n">
        <v>0.168609106134558</v>
      </c>
      <c r="D9980" s="14" t="n">
        <f aca="false">Summary!$B$5-B9980</f>
        <v>-827.430734716603</v>
      </c>
      <c r="E9980" s="15" t="n">
        <f aca="false">B9980/Summary!$B$5-1</f>
        <v>0.00827430734716605</v>
      </c>
    </row>
    <row r="9981" customFormat="false" ht="15" hidden="false" customHeight="false" outlineLevel="0" collapsed="false">
      <c r="A9981" s="0" t="n">
        <v>9980</v>
      </c>
      <c r="B9981" s="14" t="n">
        <v>100003.829429468</v>
      </c>
      <c r="C9981" s="15" t="n">
        <v>0.0961524252393439</v>
      </c>
      <c r="D9981" s="14" t="n">
        <f aca="false">Summary!$B$5-B9981</f>
        <v>-3.82942946799449</v>
      </c>
      <c r="E9981" s="15" t="n">
        <f aca="false">B9981/Summary!$B$5-1</f>
        <v>3.82942946799414E-005</v>
      </c>
    </row>
    <row r="9982" customFormat="false" ht="15" hidden="false" customHeight="false" outlineLevel="0" collapsed="false">
      <c r="A9982" s="0" t="n">
        <v>9981</v>
      </c>
      <c r="B9982" s="14" t="n">
        <v>92170.5964791027</v>
      </c>
      <c r="C9982" s="15" t="n">
        <v>0.117439532891807</v>
      </c>
      <c r="D9982" s="14" t="n">
        <f aca="false">Summary!$B$5-B9982</f>
        <v>7829.40352089735</v>
      </c>
      <c r="E9982" s="15" t="n">
        <f aca="false">B9982/Summary!$B$5-1</f>
        <v>-0.0782940352089735</v>
      </c>
    </row>
    <row r="9983" customFormat="false" ht="15" hidden="false" customHeight="false" outlineLevel="0" collapsed="false">
      <c r="A9983" s="0" t="n">
        <v>9982</v>
      </c>
      <c r="B9983" s="14" t="n">
        <v>101540.339861072</v>
      </c>
      <c r="C9983" s="15" t="n">
        <v>0.115613935400389</v>
      </c>
      <c r="D9983" s="14" t="n">
        <f aca="false">Summary!$B$5-B9983</f>
        <v>-1540.33986107211</v>
      </c>
      <c r="E9983" s="15" t="n">
        <f aca="false">B9983/Summary!$B$5-1</f>
        <v>0.0154033986107212</v>
      </c>
    </row>
    <row r="9984" customFormat="false" ht="15" hidden="false" customHeight="false" outlineLevel="0" collapsed="false">
      <c r="A9984" s="0" t="n">
        <v>9983</v>
      </c>
      <c r="B9984" s="14" t="n">
        <v>116559.862060951</v>
      </c>
      <c r="C9984" s="15" t="n">
        <v>0.0727446072859795</v>
      </c>
      <c r="D9984" s="14" t="n">
        <f aca="false">Summary!$B$5-B9984</f>
        <v>-16559.8620609505</v>
      </c>
      <c r="E9984" s="15" t="n">
        <f aca="false">B9984/Summary!$B$5-1</f>
        <v>0.165598620609505</v>
      </c>
    </row>
    <row r="9985" customFormat="false" ht="15" hidden="false" customHeight="false" outlineLevel="0" collapsed="false">
      <c r="A9985" s="0" t="n">
        <v>9984</v>
      </c>
      <c r="B9985" s="14" t="n">
        <v>122160.229950914</v>
      </c>
      <c r="C9985" s="15" t="n">
        <v>0.0760402826353915</v>
      </c>
      <c r="D9985" s="14" t="n">
        <f aca="false">Summary!$B$5-B9985</f>
        <v>-22160.2299509135</v>
      </c>
      <c r="E9985" s="15" t="n">
        <f aca="false">B9985/Summary!$B$5-1</f>
        <v>0.221602299509135</v>
      </c>
    </row>
    <row r="9986" customFormat="false" ht="15" hidden="false" customHeight="false" outlineLevel="0" collapsed="false">
      <c r="A9986" s="0" t="n">
        <v>9985</v>
      </c>
      <c r="B9986" s="14" t="n">
        <v>90197.5922373094</v>
      </c>
      <c r="C9986" s="15" t="n">
        <v>0.117794644856188</v>
      </c>
      <c r="D9986" s="14" t="n">
        <f aca="false">Summary!$B$5-B9986</f>
        <v>9802.40776269061</v>
      </c>
      <c r="E9986" s="15" t="n">
        <f aca="false">B9986/Summary!$B$5-1</f>
        <v>-0.0980240776269061</v>
      </c>
    </row>
    <row r="9987" customFormat="false" ht="15" hidden="false" customHeight="false" outlineLevel="0" collapsed="false">
      <c r="A9987" s="0" t="n">
        <v>9986</v>
      </c>
      <c r="B9987" s="14" t="n">
        <v>93340.1347719015</v>
      </c>
      <c r="C9987" s="15" t="n">
        <v>0.138065753132666</v>
      </c>
      <c r="D9987" s="14" t="n">
        <f aca="false">Summary!$B$5-B9987</f>
        <v>6659.86522809854</v>
      </c>
      <c r="E9987" s="15" t="n">
        <f aca="false">B9987/Summary!$B$5-1</f>
        <v>-0.0665986522809854</v>
      </c>
    </row>
    <row r="9988" customFormat="false" ht="15" hidden="false" customHeight="false" outlineLevel="0" collapsed="false">
      <c r="A9988" s="0" t="n">
        <v>9987</v>
      </c>
      <c r="B9988" s="14" t="n">
        <v>125922.117878679</v>
      </c>
      <c r="C9988" s="15" t="n">
        <v>0.0554254780034685</v>
      </c>
      <c r="D9988" s="14" t="n">
        <f aca="false">Summary!$B$5-B9988</f>
        <v>-25922.1178786794</v>
      </c>
      <c r="E9988" s="15" t="n">
        <f aca="false">B9988/Summary!$B$5-1</f>
        <v>0.259221178786794</v>
      </c>
    </row>
    <row r="9989" customFormat="false" ht="15" hidden="false" customHeight="false" outlineLevel="0" collapsed="false">
      <c r="A9989" s="0" t="n">
        <v>9988</v>
      </c>
      <c r="B9989" s="14" t="n">
        <v>116868.541306612</v>
      </c>
      <c r="C9989" s="15" t="n">
        <v>0.0684344479103096</v>
      </c>
      <c r="D9989" s="14" t="n">
        <f aca="false">Summary!$B$5-B9989</f>
        <v>-16868.5413066121</v>
      </c>
      <c r="E9989" s="15" t="n">
        <f aca="false">B9989/Summary!$B$5-1</f>
        <v>0.168685413066121</v>
      </c>
    </row>
    <row r="9990" customFormat="false" ht="15" hidden="false" customHeight="false" outlineLevel="0" collapsed="false">
      <c r="A9990" s="0" t="n">
        <v>9989</v>
      </c>
      <c r="B9990" s="14" t="n">
        <v>101902.276116649</v>
      </c>
      <c r="C9990" s="15" t="n">
        <v>0.137020862189695</v>
      </c>
      <c r="D9990" s="14" t="n">
        <f aca="false">Summary!$B$5-B9990</f>
        <v>-1902.27611664881</v>
      </c>
      <c r="E9990" s="15" t="n">
        <f aca="false">B9990/Summary!$B$5-1</f>
        <v>0.0190227611664882</v>
      </c>
    </row>
    <row r="9991" customFormat="false" ht="15" hidden="false" customHeight="false" outlineLevel="0" collapsed="false">
      <c r="A9991" s="0" t="n">
        <v>9990</v>
      </c>
      <c r="B9991" s="14" t="n">
        <v>105198.429561821</v>
      </c>
      <c r="C9991" s="15" t="n">
        <v>0.0852797926119543</v>
      </c>
      <c r="D9991" s="14" t="n">
        <f aca="false">Summary!$B$5-B9991</f>
        <v>-5198.4295618208</v>
      </c>
      <c r="E9991" s="15" t="n">
        <f aca="false">B9991/Summary!$B$5-1</f>
        <v>0.0519842956182079</v>
      </c>
    </row>
    <row r="9992" customFormat="false" ht="15" hidden="false" customHeight="false" outlineLevel="0" collapsed="false">
      <c r="A9992" s="0" t="n">
        <v>9991</v>
      </c>
      <c r="B9992" s="14" t="n">
        <v>120049.638037704</v>
      </c>
      <c r="C9992" s="15" t="n">
        <v>0.0788647801499043</v>
      </c>
      <c r="D9992" s="14" t="n">
        <f aca="false">Summary!$B$5-B9992</f>
        <v>-20049.6380377043</v>
      </c>
      <c r="E9992" s="15" t="n">
        <f aca="false">B9992/Summary!$B$5-1</f>
        <v>0.200496380377043</v>
      </c>
    </row>
    <row r="9993" customFormat="false" ht="15" hidden="false" customHeight="false" outlineLevel="0" collapsed="false">
      <c r="A9993" s="0" t="n">
        <v>9992</v>
      </c>
      <c r="B9993" s="14" t="n">
        <v>100361.427869084</v>
      </c>
      <c r="C9993" s="15" t="n">
        <v>0.0934072269388794</v>
      </c>
      <c r="D9993" s="14" t="n">
        <f aca="false">Summary!$B$5-B9993</f>
        <v>-361.427869083898</v>
      </c>
      <c r="E9993" s="15" t="n">
        <f aca="false">B9993/Summary!$B$5-1</f>
        <v>0.00361427869083908</v>
      </c>
    </row>
    <row r="9994" customFormat="false" ht="15" hidden="false" customHeight="false" outlineLevel="0" collapsed="false">
      <c r="A9994" s="0" t="n">
        <v>9993</v>
      </c>
      <c r="B9994" s="14" t="n">
        <v>113785.259574386</v>
      </c>
      <c r="C9994" s="15" t="n">
        <v>0.0982317488846997</v>
      </c>
      <c r="D9994" s="14" t="n">
        <f aca="false">Summary!$B$5-B9994</f>
        <v>-13785.2595743855</v>
      </c>
      <c r="E9994" s="15" t="n">
        <f aca="false">B9994/Summary!$B$5-1</f>
        <v>0.137852595743855</v>
      </c>
    </row>
    <row r="9995" customFormat="false" ht="15" hidden="false" customHeight="false" outlineLevel="0" collapsed="false">
      <c r="A9995" s="0" t="n">
        <v>9994</v>
      </c>
      <c r="B9995" s="14" t="n">
        <v>107844.77941643</v>
      </c>
      <c r="C9995" s="15" t="n">
        <v>0.112528864426709</v>
      </c>
      <c r="D9995" s="14" t="n">
        <f aca="false">Summary!$B$5-B9995</f>
        <v>-7844.7794164302</v>
      </c>
      <c r="E9995" s="15" t="n">
        <f aca="false">B9995/Summary!$B$5-1</f>
        <v>0.078447794164302</v>
      </c>
    </row>
    <row r="9996" customFormat="false" ht="15" hidden="false" customHeight="false" outlineLevel="0" collapsed="false">
      <c r="A9996" s="0" t="n">
        <v>9995</v>
      </c>
      <c r="B9996" s="14" t="n">
        <v>102312.674842751</v>
      </c>
      <c r="C9996" s="15" t="n">
        <v>0.0831194074901939</v>
      </c>
      <c r="D9996" s="14" t="n">
        <f aca="false">Summary!$B$5-B9996</f>
        <v>-2312.6748427506</v>
      </c>
      <c r="E9996" s="15" t="n">
        <f aca="false">B9996/Summary!$B$5-1</f>
        <v>0.023126748427506</v>
      </c>
    </row>
    <row r="9997" customFormat="false" ht="15" hidden="false" customHeight="false" outlineLevel="0" collapsed="false">
      <c r="A9997" s="0" t="n">
        <v>9996</v>
      </c>
      <c r="B9997" s="14" t="n">
        <v>89719.4907126793</v>
      </c>
      <c r="C9997" s="15" t="n">
        <v>0.182097591914555</v>
      </c>
      <c r="D9997" s="14" t="n">
        <f aca="false">Summary!$B$5-B9997</f>
        <v>10280.5092873207</v>
      </c>
      <c r="E9997" s="15" t="n">
        <f aca="false">B9997/Summary!$B$5-1</f>
        <v>-0.102805092873208</v>
      </c>
    </row>
    <row r="9998" customFormat="false" ht="15" hidden="false" customHeight="false" outlineLevel="0" collapsed="false">
      <c r="A9998" s="0" t="n">
        <v>9997</v>
      </c>
      <c r="B9998" s="14" t="n">
        <v>109662.457156804</v>
      </c>
      <c r="C9998" s="15" t="n">
        <v>0.0910244171049082</v>
      </c>
      <c r="D9998" s="14" t="n">
        <f aca="false">Summary!$B$5-B9998</f>
        <v>-9662.4571568039</v>
      </c>
      <c r="E9998" s="15" t="n">
        <f aca="false">B9998/Summary!$B$5-1</f>
        <v>0.0966245715680389</v>
      </c>
    </row>
    <row r="9999" customFormat="false" ht="15" hidden="false" customHeight="false" outlineLevel="0" collapsed="false">
      <c r="A9999" s="0" t="n">
        <v>9998</v>
      </c>
      <c r="B9999" s="14" t="n">
        <v>120427.801709377</v>
      </c>
      <c r="C9999" s="15" t="n">
        <v>0.0587053049835855</v>
      </c>
      <c r="D9999" s="14" t="n">
        <f aca="false">Summary!$B$5-B9999</f>
        <v>-20427.8017093772</v>
      </c>
      <c r="E9999" s="15" t="n">
        <f aca="false">B9999/Summary!$B$5-1</f>
        <v>0.204278017093772</v>
      </c>
    </row>
    <row r="10000" customFormat="false" ht="15" hidden="false" customHeight="false" outlineLevel="0" collapsed="false">
      <c r="A10000" s="0" t="n">
        <v>9999</v>
      </c>
      <c r="B10000" s="14" t="n">
        <v>124082.092426439</v>
      </c>
      <c r="C10000" s="15" t="n">
        <v>0.053466936003289</v>
      </c>
      <c r="D10000" s="14" t="n">
        <f aca="false">Summary!$B$5-B10000</f>
        <v>-24082.0924264391</v>
      </c>
      <c r="E10000" s="15" t="n">
        <f aca="false">B10000/Summary!$B$5-1</f>
        <v>0.240820924264391</v>
      </c>
    </row>
    <row r="10001" customFormat="false" ht="15" hidden="false" customHeight="false" outlineLevel="0" collapsed="false">
      <c r="A10001" s="0" t="n">
        <v>10000</v>
      </c>
      <c r="B10001" s="14" t="n">
        <v>126472.357056067</v>
      </c>
      <c r="C10001" s="15" t="n">
        <v>0.0526684121097307</v>
      </c>
      <c r="D10001" s="14" t="n">
        <f aca="false">Summary!$B$5-B10001</f>
        <v>-26472.3570560673</v>
      </c>
      <c r="E10001" s="15" t="n">
        <f aca="false">B10001/Summary!$B$5-1</f>
        <v>0.264723570560673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106</v>
      </c>
      <c r="R1" s="4" t="s">
        <v>107</v>
      </c>
      <c r="S1" s="4" t="s">
        <v>108</v>
      </c>
      <c r="T1" s="4" t="s">
        <v>109</v>
      </c>
      <c r="U1" s="4" t="s">
        <v>110</v>
      </c>
      <c r="V1" s="4" t="s">
        <v>111</v>
      </c>
      <c r="W1" s="4" t="s">
        <v>112</v>
      </c>
      <c r="X1" s="4" t="s">
        <v>113</v>
      </c>
      <c r="Y1" s="4" t="s">
        <v>114</v>
      </c>
      <c r="Z1" s="4" t="s">
        <v>115</v>
      </c>
    </row>
    <row r="2" customFormat="false" ht="15" hidden="false" customHeight="false" outlineLevel="0" collapsed="false">
      <c r="A2" s="0" t="n">
        <v>0</v>
      </c>
      <c r="B2" s="23" t="n">
        <v>100000</v>
      </c>
      <c r="C2" s="23" t="n">
        <v>100000</v>
      </c>
      <c r="D2" s="23" t="n">
        <v>100000</v>
      </c>
      <c r="E2" s="23" t="n">
        <v>100000</v>
      </c>
      <c r="F2" s="23" t="n">
        <v>100000</v>
      </c>
      <c r="G2" s="23" t="n">
        <v>100000</v>
      </c>
      <c r="H2" s="23" t="n">
        <v>100000</v>
      </c>
      <c r="I2" s="23" t="n">
        <v>100000</v>
      </c>
      <c r="J2" s="23" t="n">
        <v>100000</v>
      </c>
      <c r="K2" s="23" t="n">
        <v>100000</v>
      </c>
      <c r="L2" s="23" t="n">
        <v>100000</v>
      </c>
      <c r="M2" s="23" t="n">
        <v>100000</v>
      </c>
      <c r="N2" s="23" t="n">
        <v>100000</v>
      </c>
      <c r="O2" s="23" t="n">
        <v>100000</v>
      </c>
      <c r="P2" s="23" t="n">
        <v>100000</v>
      </c>
      <c r="Q2" s="23" t="n">
        <v>100000</v>
      </c>
      <c r="R2" s="23" t="n">
        <v>100000</v>
      </c>
      <c r="S2" s="23" t="n">
        <v>100000</v>
      </c>
      <c r="T2" s="23" t="n">
        <v>100000</v>
      </c>
      <c r="U2" s="23" t="n">
        <v>100000</v>
      </c>
      <c r="V2" s="23" t="n">
        <v>100000</v>
      </c>
      <c r="W2" s="23" t="n">
        <v>100000</v>
      </c>
      <c r="X2" s="23" t="n">
        <v>100000</v>
      </c>
      <c r="Y2" s="23" t="n">
        <v>100000</v>
      </c>
      <c r="Z2" s="23" t="n">
        <v>100000</v>
      </c>
    </row>
    <row r="3" customFormat="false" ht="15" hidden="false" customHeight="false" outlineLevel="0" collapsed="false">
      <c r="A3" s="0" t="n">
        <v>1</v>
      </c>
      <c r="B3" s="23" t="n">
        <v>100080.75</v>
      </c>
      <c r="C3" s="23" t="n">
        <v>100685.45</v>
      </c>
      <c r="D3" s="23" t="n">
        <v>98515.24</v>
      </c>
      <c r="E3" s="23" t="n">
        <v>100068.71</v>
      </c>
      <c r="F3" s="23" t="n">
        <v>99889.15</v>
      </c>
      <c r="G3" s="23" t="n">
        <v>100749.56</v>
      </c>
      <c r="H3" s="23" t="n">
        <v>100244.58</v>
      </c>
      <c r="I3" s="23" t="n">
        <v>100219.44</v>
      </c>
      <c r="J3" s="23" t="n">
        <v>100136.79</v>
      </c>
      <c r="K3" s="23" t="n">
        <v>100623.78</v>
      </c>
      <c r="L3" s="23" t="n">
        <v>99800.47</v>
      </c>
      <c r="M3" s="23" t="n">
        <v>100845.37</v>
      </c>
      <c r="N3" s="23" t="n">
        <v>99684.35</v>
      </c>
      <c r="O3" s="23" t="n">
        <v>100448.55</v>
      </c>
      <c r="P3" s="23" t="n">
        <v>100376.42</v>
      </c>
      <c r="Q3" s="23" t="n">
        <v>101445.54</v>
      </c>
      <c r="R3" s="23" t="n">
        <v>99557.9</v>
      </c>
      <c r="S3" s="23" t="n">
        <v>100621.56</v>
      </c>
      <c r="T3" s="23" t="n">
        <v>99824.84</v>
      </c>
      <c r="U3" s="23" t="n">
        <v>99566.98</v>
      </c>
      <c r="V3" s="23" t="n">
        <v>100620.34</v>
      </c>
      <c r="W3" s="23" t="n">
        <v>99611.47</v>
      </c>
      <c r="X3" s="23" t="n">
        <v>100141.77</v>
      </c>
      <c r="Y3" s="23" t="n">
        <v>100660.25</v>
      </c>
      <c r="Z3" s="23" t="n">
        <v>100504.24</v>
      </c>
    </row>
    <row r="4" customFormat="false" ht="15" hidden="false" customHeight="false" outlineLevel="0" collapsed="false">
      <c r="A4" s="0" t="n">
        <v>2</v>
      </c>
      <c r="B4" s="23" t="n">
        <v>99118.04</v>
      </c>
      <c r="C4" s="23" t="n">
        <v>100584.1</v>
      </c>
      <c r="D4" s="23" t="n">
        <v>98531.76</v>
      </c>
      <c r="E4" s="23" t="n">
        <v>100580.36</v>
      </c>
      <c r="F4" s="23" t="n">
        <v>98985.09</v>
      </c>
      <c r="G4" s="23" t="n">
        <v>101106.76</v>
      </c>
      <c r="H4" s="23" t="n">
        <v>100601.19</v>
      </c>
      <c r="I4" s="23" t="n">
        <v>100676.54</v>
      </c>
      <c r="J4" s="23" t="n">
        <v>99258.96</v>
      </c>
      <c r="K4" s="23" t="n">
        <v>101161.1</v>
      </c>
      <c r="L4" s="23" t="n">
        <v>100655.63</v>
      </c>
      <c r="M4" s="23" t="n">
        <v>103308</v>
      </c>
      <c r="N4" s="23" t="n">
        <v>99858.89</v>
      </c>
      <c r="O4" s="23" t="n">
        <v>101341.49</v>
      </c>
      <c r="P4" s="23" t="n">
        <v>99784.9</v>
      </c>
      <c r="Q4" s="23" t="n">
        <v>102715.21</v>
      </c>
      <c r="R4" s="23" t="n">
        <v>98645.35</v>
      </c>
      <c r="S4" s="23" t="n">
        <v>101974.35</v>
      </c>
      <c r="T4" s="23" t="n">
        <v>100217.29</v>
      </c>
      <c r="U4" s="23" t="n">
        <v>98640.23</v>
      </c>
      <c r="V4" s="23" t="n">
        <v>100693.71</v>
      </c>
      <c r="W4" s="23" t="n">
        <v>100528.13</v>
      </c>
      <c r="X4" s="23" t="n">
        <v>100330.21</v>
      </c>
      <c r="Y4" s="23" t="n">
        <v>100755.93</v>
      </c>
      <c r="Z4" s="23" t="n">
        <v>101505.49</v>
      </c>
    </row>
    <row r="5" customFormat="false" ht="15" hidden="false" customHeight="false" outlineLevel="0" collapsed="false">
      <c r="A5" s="0" t="n">
        <v>3</v>
      </c>
      <c r="B5" s="23" t="n">
        <v>98354.53</v>
      </c>
      <c r="C5" s="23" t="n">
        <v>100865.87</v>
      </c>
      <c r="D5" s="23" t="n">
        <v>96896.57</v>
      </c>
      <c r="E5" s="23" t="n">
        <v>100774.96</v>
      </c>
      <c r="F5" s="23" t="n">
        <v>98834.54</v>
      </c>
      <c r="G5" s="23" t="n">
        <v>100051.95</v>
      </c>
      <c r="H5" s="23" t="n">
        <v>100885.89</v>
      </c>
      <c r="I5" s="23" t="n">
        <v>100749.22</v>
      </c>
      <c r="J5" s="23" t="n">
        <v>98466.28</v>
      </c>
      <c r="K5" s="23" t="n">
        <v>99704.59</v>
      </c>
      <c r="L5" s="23" t="n">
        <v>100979.03</v>
      </c>
      <c r="M5" s="23" t="n">
        <v>104116.88</v>
      </c>
      <c r="N5" s="23" t="n">
        <v>98507.92</v>
      </c>
      <c r="O5" s="23" t="n">
        <v>100644.74</v>
      </c>
      <c r="P5" s="23" t="n">
        <v>98236.49</v>
      </c>
      <c r="Q5" s="23" t="n">
        <v>103333.95</v>
      </c>
      <c r="R5" s="23" t="n">
        <v>98498.34</v>
      </c>
      <c r="S5" s="23" t="n">
        <v>101611.26</v>
      </c>
      <c r="T5" s="23" t="n">
        <v>100563.62</v>
      </c>
      <c r="U5" s="23" t="n">
        <v>97997.33</v>
      </c>
      <c r="V5" s="23" t="n">
        <v>101120.15</v>
      </c>
      <c r="W5" s="23" t="n">
        <v>99820.69</v>
      </c>
      <c r="X5" s="23" t="n">
        <v>100169.62</v>
      </c>
      <c r="Y5" s="23" t="n">
        <v>101305.31</v>
      </c>
      <c r="Z5" s="23" t="n">
        <v>100552.94</v>
      </c>
    </row>
    <row r="6" customFormat="false" ht="15" hidden="false" customHeight="false" outlineLevel="0" collapsed="false">
      <c r="A6" s="0" t="n">
        <v>4</v>
      </c>
      <c r="B6" s="23" t="n">
        <v>98860.94</v>
      </c>
      <c r="C6" s="23" t="n">
        <v>101806.37</v>
      </c>
      <c r="D6" s="23" t="n">
        <v>95549.72</v>
      </c>
      <c r="E6" s="23" t="n">
        <v>101251.41</v>
      </c>
      <c r="F6" s="23" t="n">
        <v>98933.21</v>
      </c>
      <c r="G6" s="23" t="n">
        <v>100128.74</v>
      </c>
      <c r="H6" s="23" t="n">
        <v>101996.11</v>
      </c>
      <c r="I6" s="23" t="n">
        <v>100628.24</v>
      </c>
      <c r="J6" s="23" t="n">
        <v>97783.3</v>
      </c>
      <c r="K6" s="23" t="n">
        <v>98747.3</v>
      </c>
      <c r="L6" s="23" t="n">
        <v>102230.72</v>
      </c>
      <c r="M6" s="23" t="n">
        <v>104130.07</v>
      </c>
      <c r="N6" s="23" t="n">
        <v>98376.5</v>
      </c>
      <c r="O6" s="23" t="n">
        <v>101601.46</v>
      </c>
      <c r="P6" s="23" t="n">
        <v>97711.88</v>
      </c>
      <c r="Q6" s="23" t="n">
        <v>102843.91</v>
      </c>
      <c r="R6" s="23" t="n">
        <v>99757.48</v>
      </c>
      <c r="S6" s="23" t="n">
        <v>100976.04</v>
      </c>
      <c r="T6" s="23" t="n">
        <v>100157.92</v>
      </c>
      <c r="U6" s="23" t="n">
        <v>99420.45</v>
      </c>
      <c r="V6" s="23" t="n">
        <v>101646.44</v>
      </c>
      <c r="W6" s="23" t="n">
        <v>99718.95</v>
      </c>
      <c r="X6" s="23" t="n">
        <v>101813.92</v>
      </c>
      <c r="Y6" s="23" t="n">
        <v>100928.11</v>
      </c>
      <c r="Z6" s="23" t="n">
        <v>100409.19</v>
      </c>
    </row>
    <row r="7" customFormat="false" ht="15" hidden="false" customHeight="false" outlineLevel="0" collapsed="false">
      <c r="A7" s="0" t="n">
        <v>5</v>
      </c>
      <c r="B7" s="23" t="n">
        <v>99432.41</v>
      </c>
      <c r="C7" s="23" t="n">
        <v>102395.04</v>
      </c>
      <c r="D7" s="23" t="n">
        <v>95273.74</v>
      </c>
      <c r="E7" s="23" t="n">
        <v>101191.67</v>
      </c>
      <c r="F7" s="23" t="n">
        <v>99910.15</v>
      </c>
      <c r="G7" s="23" t="n">
        <v>99305.81</v>
      </c>
      <c r="H7" s="23" t="n">
        <v>102114.41</v>
      </c>
      <c r="I7" s="23" t="n">
        <v>99491.09</v>
      </c>
      <c r="J7" s="23" t="n">
        <v>98715.94</v>
      </c>
      <c r="K7" s="23" t="n">
        <v>98454.17</v>
      </c>
      <c r="L7" s="23" t="n">
        <v>103292.03</v>
      </c>
      <c r="M7" s="23" t="n">
        <v>103902.92</v>
      </c>
      <c r="N7" s="23" t="n">
        <v>98444.37</v>
      </c>
      <c r="O7" s="23" t="n">
        <v>100762.03</v>
      </c>
      <c r="P7" s="23" t="n">
        <v>97965.6</v>
      </c>
      <c r="Q7" s="23" t="n">
        <v>102471.74</v>
      </c>
      <c r="R7" s="23" t="n">
        <v>100051.62</v>
      </c>
      <c r="S7" s="23" t="n">
        <v>100740.92</v>
      </c>
      <c r="T7" s="23" t="n">
        <v>100752.96</v>
      </c>
      <c r="U7" s="23" t="n">
        <v>99925.46</v>
      </c>
      <c r="V7" s="23" t="n">
        <v>101169.51</v>
      </c>
      <c r="W7" s="23" t="n">
        <v>99141.61</v>
      </c>
      <c r="X7" s="23" t="n">
        <v>101417.77</v>
      </c>
      <c r="Y7" s="23" t="n">
        <v>100507.63</v>
      </c>
      <c r="Z7" s="23" t="n">
        <v>101060.56</v>
      </c>
    </row>
    <row r="8" customFormat="false" ht="15" hidden="false" customHeight="false" outlineLevel="0" collapsed="false">
      <c r="A8" s="0" t="n">
        <v>6</v>
      </c>
      <c r="B8" s="23" t="n">
        <v>98762</v>
      </c>
      <c r="C8" s="23" t="n">
        <v>103578.6</v>
      </c>
      <c r="D8" s="23" t="n">
        <v>96163.4</v>
      </c>
      <c r="E8" s="23" t="n">
        <v>100757.34</v>
      </c>
      <c r="F8" s="23" t="n">
        <v>99434.51</v>
      </c>
      <c r="G8" s="23" t="n">
        <v>99899.95</v>
      </c>
      <c r="H8" s="23" t="n">
        <v>102076.14</v>
      </c>
      <c r="I8" s="23" t="n">
        <v>99752.11</v>
      </c>
      <c r="J8" s="23" t="n">
        <v>98292.34</v>
      </c>
      <c r="K8" s="23" t="n">
        <v>98448.48</v>
      </c>
      <c r="L8" s="23" t="n">
        <v>102256.99</v>
      </c>
      <c r="M8" s="23" t="n">
        <v>104603.36</v>
      </c>
      <c r="N8" s="23" t="n">
        <v>97778.51</v>
      </c>
      <c r="O8" s="23" t="n">
        <v>99992.6</v>
      </c>
      <c r="P8" s="23" t="n">
        <v>97311.73</v>
      </c>
      <c r="Q8" s="23" t="n">
        <v>102002.36</v>
      </c>
      <c r="R8" s="23" t="n">
        <v>99847.27</v>
      </c>
      <c r="S8" s="23" t="n">
        <v>100965.89</v>
      </c>
      <c r="T8" s="23" t="n">
        <v>99660.5</v>
      </c>
      <c r="U8" s="23" t="n">
        <v>100722.3</v>
      </c>
      <c r="V8" s="23" t="n">
        <v>100970.93</v>
      </c>
      <c r="W8" s="23" t="n">
        <v>99047.48</v>
      </c>
      <c r="X8" s="23" t="n">
        <v>102695.6</v>
      </c>
      <c r="Y8" s="23" t="n">
        <v>100056.39</v>
      </c>
      <c r="Z8" s="23" t="n">
        <v>100545.74</v>
      </c>
    </row>
    <row r="9" customFormat="false" ht="15" hidden="false" customHeight="false" outlineLevel="0" collapsed="false">
      <c r="A9" s="0" t="n">
        <v>7</v>
      </c>
      <c r="B9" s="23" t="n">
        <v>99431.84</v>
      </c>
      <c r="C9" s="23" t="n">
        <v>103331.75</v>
      </c>
      <c r="D9" s="23" t="n">
        <v>95214.79</v>
      </c>
      <c r="E9" s="23" t="n">
        <v>99874.69</v>
      </c>
      <c r="F9" s="23" t="n">
        <v>99505.86</v>
      </c>
      <c r="G9" s="23" t="n">
        <v>101316.38</v>
      </c>
      <c r="H9" s="23" t="n">
        <v>103116.17</v>
      </c>
      <c r="I9" s="23" t="n">
        <v>100950.24</v>
      </c>
      <c r="J9" s="23" t="n">
        <v>99681.92</v>
      </c>
      <c r="K9" s="23" t="n">
        <v>99015.81</v>
      </c>
      <c r="L9" s="23" t="n">
        <v>101840.61</v>
      </c>
      <c r="M9" s="23" t="n">
        <v>104047.52</v>
      </c>
      <c r="N9" s="23" t="n">
        <v>97041.27</v>
      </c>
      <c r="O9" s="23" t="n">
        <v>101458.26</v>
      </c>
      <c r="P9" s="23" t="n">
        <v>96932.98</v>
      </c>
      <c r="Q9" s="23" t="n">
        <v>101954.16</v>
      </c>
      <c r="R9" s="23" t="n">
        <v>100272.42</v>
      </c>
      <c r="S9" s="23" t="n">
        <v>100655.04</v>
      </c>
      <c r="T9" s="23" t="n">
        <v>98599.1</v>
      </c>
      <c r="U9" s="23" t="n">
        <v>100209.98</v>
      </c>
      <c r="V9" s="23" t="n">
        <v>101567.05</v>
      </c>
      <c r="W9" s="23" t="n">
        <v>98944.28</v>
      </c>
      <c r="X9" s="23" t="n">
        <v>102601.04</v>
      </c>
      <c r="Y9" s="23" t="n">
        <v>100577.23</v>
      </c>
      <c r="Z9" s="23" t="n">
        <v>101170.62</v>
      </c>
    </row>
    <row r="10" customFormat="false" ht="15" hidden="false" customHeight="false" outlineLevel="0" collapsed="false">
      <c r="A10" s="0" t="n">
        <v>8</v>
      </c>
      <c r="B10" s="23" t="n">
        <v>98479.18</v>
      </c>
      <c r="C10" s="23" t="n">
        <v>104185.63</v>
      </c>
      <c r="D10" s="23" t="n">
        <v>95788.1</v>
      </c>
      <c r="E10" s="23" t="n">
        <v>100033.58</v>
      </c>
      <c r="F10" s="23" t="n">
        <v>99604.79</v>
      </c>
      <c r="G10" s="23" t="n">
        <v>101266.15</v>
      </c>
      <c r="H10" s="23" t="n">
        <v>102876.19</v>
      </c>
      <c r="I10" s="23" t="n">
        <v>100824.32</v>
      </c>
      <c r="J10" s="23" t="n">
        <v>100974.43</v>
      </c>
      <c r="K10" s="23" t="n">
        <v>98139.88</v>
      </c>
      <c r="L10" s="23" t="n">
        <v>100706.29</v>
      </c>
      <c r="M10" s="23" t="n">
        <v>102790.98</v>
      </c>
      <c r="N10" s="23" t="n">
        <v>98227.85</v>
      </c>
      <c r="O10" s="23" t="n">
        <v>101976.78</v>
      </c>
      <c r="P10" s="23" t="n">
        <v>97147.26</v>
      </c>
      <c r="Q10" s="23" t="n">
        <v>101622.95</v>
      </c>
      <c r="R10" s="23" t="n">
        <v>100577.66</v>
      </c>
      <c r="S10" s="23" t="n">
        <v>100788.07</v>
      </c>
      <c r="T10" s="23" t="n">
        <v>98071.6</v>
      </c>
      <c r="U10" s="23" t="n">
        <v>100950.88</v>
      </c>
      <c r="V10" s="23" t="n">
        <v>100899.79</v>
      </c>
      <c r="W10" s="23" t="n">
        <v>99255.08</v>
      </c>
      <c r="X10" s="23" t="n">
        <v>102582.83</v>
      </c>
      <c r="Y10" s="23" t="n">
        <v>100700.18</v>
      </c>
      <c r="Z10" s="23" t="n">
        <v>101626.79</v>
      </c>
    </row>
    <row r="11" customFormat="false" ht="15" hidden="false" customHeight="false" outlineLevel="0" collapsed="false">
      <c r="A11" s="0" t="n">
        <v>9</v>
      </c>
      <c r="B11" s="23" t="n">
        <v>96737.31</v>
      </c>
      <c r="C11" s="23" t="n">
        <v>104420.76</v>
      </c>
      <c r="D11" s="23" t="n">
        <v>96273.08</v>
      </c>
      <c r="E11" s="23" t="n">
        <v>99095.27</v>
      </c>
      <c r="F11" s="23" t="n">
        <v>98736.67</v>
      </c>
      <c r="G11" s="23" t="n">
        <v>102223.58</v>
      </c>
      <c r="H11" s="23" t="n">
        <v>103055.6</v>
      </c>
      <c r="I11" s="23" t="n">
        <v>99488.84</v>
      </c>
      <c r="J11" s="23" t="n">
        <v>100130.69</v>
      </c>
      <c r="K11" s="23" t="n">
        <v>97525.1</v>
      </c>
      <c r="L11" s="23" t="n">
        <v>101961.84</v>
      </c>
      <c r="M11" s="23" t="n">
        <v>102552.68</v>
      </c>
      <c r="N11" s="23" t="n">
        <v>98516.21</v>
      </c>
      <c r="O11" s="23" t="n">
        <v>102146.02</v>
      </c>
      <c r="P11" s="23" t="n">
        <v>96584.06</v>
      </c>
      <c r="Q11" s="23" t="n">
        <v>103147.45</v>
      </c>
      <c r="R11" s="23" t="n">
        <v>100755.63</v>
      </c>
      <c r="S11" s="23" t="n">
        <v>99736.63</v>
      </c>
      <c r="T11" s="23" t="n">
        <v>97362.08</v>
      </c>
      <c r="U11" s="23" t="n">
        <v>100935.91</v>
      </c>
      <c r="V11" s="23" t="n">
        <v>100740.08</v>
      </c>
      <c r="W11" s="23" t="n">
        <v>100380.21</v>
      </c>
      <c r="X11" s="23" t="n">
        <v>103319.4</v>
      </c>
      <c r="Y11" s="23" t="n">
        <v>99976.36</v>
      </c>
      <c r="Z11" s="23" t="n">
        <v>102682.88</v>
      </c>
    </row>
    <row r="12" customFormat="false" ht="15" hidden="false" customHeight="false" outlineLevel="0" collapsed="false">
      <c r="A12" s="0" t="n">
        <v>10</v>
      </c>
      <c r="B12" s="23" t="n">
        <v>97887.86</v>
      </c>
      <c r="C12" s="23" t="n">
        <v>103661.33</v>
      </c>
      <c r="D12" s="23" t="n">
        <v>96476.93</v>
      </c>
      <c r="E12" s="23" t="n">
        <v>100408.48</v>
      </c>
      <c r="F12" s="23" t="n">
        <v>98181.2</v>
      </c>
      <c r="G12" s="23" t="n">
        <v>101928.59</v>
      </c>
      <c r="H12" s="23" t="n">
        <v>101514.44</v>
      </c>
      <c r="I12" s="23" t="n">
        <v>98165.18</v>
      </c>
      <c r="J12" s="23" t="n">
        <v>101010.43</v>
      </c>
      <c r="K12" s="23" t="n">
        <v>98112.78</v>
      </c>
      <c r="L12" s="23" t="n">
        <v>102062.58</v>
      </c>
      <c r="M12" s="23" t="n">
        <v>102300.57</v>
      </c>
      <c r="N12" s="23" t="n">
        <v>98733.29</v>
      </c>
      <c r="O12" s="23" t="n">
        <v>102191.58</v>
      </c>
      <c r="P12" s="23" t="n">
        <v>96151.15</v>
      </c>
      <c r="Q12" s="23" t="n">
        <v>103475.08</v>
      </c>
      <c r="R12" s="23" t="n">
        <v>100466.85</v>
      </c>
      <c r="S12" s="23" t="n">
        <v>99413.82</v>
      </c>
      <c r="T12" s="23" t="n">
        <v>98923.6</v>
      </c>
      <c r="U12" s="23" t="n">
        <v>101733.34</v>
      </c>
      <c r="V12" s="23" t="n">
        <v>101226.3</v>
      </c>
      <c r="W12" s="23" t="n">
        <v>99167.7</v>
      </c>
      <c r="X12" s="23" t="n">
        <v>104022.49</v>
      </c>
      <c r="Y12" s="23" t="n">
        <v>99553.53</v>
      </c>
      <c r="Z12" s="23" t="n">
        <v>102754.49</v>
      </c>
    </row>
    <row r="13" customFormat="false" ht="15" hidden="false" customHeight="false" outlineLevel="0" collapsed="false">
      <c r="A13" s="0" t="n">
        <v>11</v>
      </c>
      <c r="B13" s="23" t="n">
        <v>99633.4</v>
      </c>
      <c r="C13" s="23" t="n">
        <v>103187.03</v>
      </c>
      <c r="D13" s="23" t="n">
        <v>96297.9</v>
      </c>
      <c r="E13" s="23" t="n">
        <v>100325.96</v>
      </c>
      <c r="F13" s="23" t="n">
        <v>97429.22</v>
      </c>
      <c r="G13" s="23" t="n">
        <v>101386.76</v>
      </c>
      <c r="H13" s="23" t="n">
        <v>102216.42</v>
      </c>
      <c r="I13" s="23" t="n">
        <v>97928.78</v>
      </c>
      <c r="J13" s="23" t="n">
        <v>100646.52</v>
      </c>
      <c r="K13" s="23" t="n">
        <v>99814.95</v>
      </c>
      <c r="L13" s="23" t="n">
        <v>102748.94</v>
      </c>
      <c r="M13" s="23" t="n">
        <v>102396.61</v>
      </c>
      <c r="N13" s="23" t="n">
        <v>98704.43</v>
      </c>
      <c r="O13" s="23" t="n">
        <v>101546.57</v>
      </c>
      <c r="P13" s="23" t="n">
        <v>96335.18</v>
      </c>
      <c r="Q13" s="23" t="n">
        <v>103088.34</v>
      </c>
      <c r="R13" s="23" t="n">
        <v>100303.41</v>
      </c>
      <c r="S13" s="23" t="n">
        <v>98841.67</v>
      </c>
      <c r="T13" s="23" t="n">
        <v>99838.55</v>
      </c>
      <c r="U13" s="23" t="n">
        <v>102491.96</v>
      </c>
      <c r="V13" s="23" t="n">
        <v>101621.69</v>
      </c>
      <c r="W13" s="23" t="n">
        <v>99132.34</v>
      </c>
      <c r="X13" s="23" t="n">
        <v>104888.39</v>
      </c>
      <c r="Y13" s="23" t="n">
        <v>98654.09</v>
      </c>
      <c r="Z13" s="23" t="n">
        <v>102961.73</v>
      </c>
    </row>
    <row r="14" customFormat="false" ht="15" hidden="false" customHeight="false" outlineLevel="0" collapsed="false">
      <c r="A14" s="0" t="n">
        <v>12</v>
      </c>
      <c r="B14" s="23" t="n">
        <v>101000.27</v>
      </c>
      <c r="C14" s="23" t="n">
        <v>102532.44</v>
      </c>
      <c r="D14" s="23" t="n">
        <v>96283.81</v>
      </c>
      <c r="E14" s="23" t="n">
        <v>100801.58</v>
      </c>
      <c r="F14" s="23" t="n">
        <v>97579.72</v>
      </c>
      <c r="G14" s="23" t="n">
        <v>101671.23</v>
      </c>
      <c r="H14" s="23" t="n">
        <v>102802.31</v>
      </c>
      <c r="I14" s="23" t="n">
        <v>98139.12</v>
      </c>
      <c r="J14" s="23" t="n">
        <v>99827.06</v>
      </c>
      <c r="K14" s="23" t="n">
        <v>98399.34</v>
      </c>
      <c r="L14" s="23" t="n">
        <v>102541.37</v>
      </c>
      <c r="M14" s="23" t="n">
        <v>102559.57</v>
      </c>
      <c r="N14" s="23" t="n">
        <v>98530.58</v>
      </c>
      <c r="O14" s="23" t="n">
        <v>102008.74</v>
      </c>
      <c r="P14" s="23" t="n">
        <v>95580.1</v>
      </c>
      <c r="Q14" s="23" t="n">
        <v>102713.77</v>
      </c>
      <c r="R14" s="23" t="n">
        <v>100788.68</v>
      </c>
      <c r="S14" s="23" t="n">
        <v>98904.71</v>
      </c>
      <c r="T14" s="23" t="n">
        <v>99082.66</v>
      </c>
      <c r="U14" s="23" t="n">
        <v>102685.2</v>
      </c>
      <c r="V14" s="23" t="n">
        <v>101464.05</v>
      </c>
      <c r="W14" s="23" t="n">
        <v>98946.17</v>
      </c>
      <c r="X14" s="23" t="n">
        <v>103729.71</v>
      </c>
      <c r="Y14" s="23" t="n">
        <v>98542.83</v>
      </c>
      <c r="Z14" s="23" t="n">
        <v>102752.92</v>
      </c>
    </row>
    <row r="15" customFormat="false" ht="15" hidden="false" customHeight="false" outlineLevel="0" collapsed="false">
      <c r="A15" s="0" t="n">
        <v>13</v>
      </c>
      <c r="B15" s="23" t="n">
        <v>101123.77</v>
      </c>
      <c r="C15" s="23" t="n">
        <v>102089.17</v>
      </c>
      <c r="D15" s="23" t="n">
        <v>96395.97</v>
      </c>
      <c r="E15" s="23" t="n">
        <v>101361.94</v>
      </c>
      <c r="F15" s="23" t="n">
        <v>97199.28</v>
      </c>
      <c r="G15" s="23" t="n">
        <v>101428.45</v>
      </c>
      <c r="H15" s="23" t="n">
        <v>103953.26</v>
      </c>
      <c r="I15" s="23" t="n">
        <v>98681.65</v>
      </c>
      <c r="J15" s="23" t="n">
        <v>99766.94</v>
      </c>
      <c r="K15" s="23" t="n">
        <v>97422.78</v>
      </c>
      <c r="L15" s="23" t="n">
        <v>102770.37</v>
      </c>
      <c r="M15" s="23" t="n">
        <v>104137.95</v>
      </c>
      <c r="N15" s="23" t="n">
        <v>98387.83</v>
      </c>
      <c r="O15" s="23" t="n">
        <v>102576</v>
      </c>
      <c r="P15" s="23" t="n">
        <v>95951.44</v>
      </c>
      <c r="Q15" s="23" t="n">
        <v>103470.76</v>
      </c>
      <c r="R15" s="23" t="n">
        <v>100920.11</v>
      </c>
      <c r="S15" s="23" t="n">
        <v>99273.36</v>
      </c>
      <c r="T15" s="23" t="n">
        <v>99702.92</v>
      </c>
      <c r="U15" s="23" t="n">
        <v>103456.71</v>
      </c>
      <c r="V15" s="23" t="n">
        <v>101796.02</v>
      </c>
      <c r="W15" s="23" t="n">
        <v>98322.72</v>
      </c>
      <c r="X15" s="23" t="n">
        <v>102901.61</v>
      </c>
      <c r="Y15" s="23" t="n">
        <v>98279</v>
      </c>
      <c r="Z15" s="23" t="n">
        <v>102787.43</v>
      </c>
    </row>
    <row r="16" customFormat="false" ht="15" hidden="false" customHeight="false" outlineLevel="0" collapsed="false">
      <c r="A16" s="0" t="n">
        <v>14</v>
      </c>
      <c r="B16" s="23" t="n">
        <v>100180.01</v>
      </c>
      <c r="C16" s="23" t="n">
        <v>101587.3</v>
      </c>
      <c r="D16" s="23" t="n">
        <v>96929.74</v>
      </c>
      <c r="E16" s="23" t="n">
        <v>101003.19</v>
      </c>
      <c r="F16" s="23" t="n">
        <v>98474.72</v>
      </c>
      <c r="G16" s="23" t="n">
        <v>101853.58</v>
      </c>
      <c r="H16" s="23" t="n">
        <v>105661.35</v>
      </c>
      <c r="I16" s="23" t="n">
        <v>99054.19</v>
      </c>
      <c r="J16" s="23" t="n">
        <v>99979.29</v>
      </c>
      <c r="K16" s="23" t="n">
        <v>96476.57</v>
      </c>
      <c r="L16" s="23" t="n">
        <v>102790.31</v>
      </c>
      <c r="M16" s="23" t="n">
        <v>104457.15</v>
      </c>
      <c r="N16" s="23" t="n">
        <v>99232.38</v>
      </c>
      <c r="O16" s="23" t="n">
        <v>101946.84</v>
      </c>
      <c r="P16" s="23" t="n">
        <v>95167.23</v>
      </c>
      <c r="Q16" s="23" t="n">
        <v>103918.31</v>
      </c>
      <c r="R16" s="23" t="n">
        <v>101071.58</v>
      </c>
      <c r="S16" s="23" t="n">
        <v>99570.89</v>
      </c>
      <c r="T16" s="23" t="n">
        <v>99465.88</v>
      </c>
      <c r="U16" s="23" t="n">
        <v>104268.14</v>
      </c>
      <c r="V16" s="23" t="n">
        <v>101915.37</v>
      </c>
      <c r="W16" s="23" t="n">
        <v>98698.67</v>
      </c>
      <c r="X16" s="23" t="n">
        <v>102486.15</v>
      </c>
      <c r="Y16" s="23" t="n">
        <v>98700.45</v>
      </c>
      <c r="Z16" s="23" t="n">
        <v>102433.06</v>
      </c>
    </row>
    <row r="17" customFormat="false" ht="15" hidden="false" customHeight="false" outlineLevel="0" collapsed="false">
      <c r="A17" s="0" t="n">
        <v>15</v>
      </c>
      <c r="B17" s="23" t="n">
        <v>100027.78</v>
      </c>
      <c r="C17" s="23" t="n">
        <v>102052.38</v>
      </c>
      <c r="D17" s="23" t="n">
        <v>97950.95</v>
      </c>
      <c r="E17" s="23" t="n">
        <v>101306.58</v>
      </c>
      <c r="F17" s="23" t="n">
        <v>97826.3</v>
      </c>
      <c r="G17" s="23" t="n">
        <v>102462.72</v>
      </c>
      <c r="H17" s="23" t="n">
        <v>104915.09</v>
      </c>
      <c r="I17" s="23" t="n">
        <v>97059.09</v>
      </c>
      <c r="J17" s="23" t="n">
        <v>99341.16</v>
      </c>
      <c r="K17" s="23" t="n">
        <v>97873.78</v>
      </c>
      <c r="L17" s="23" t="n">
        <v>102296.55</v>
      </c>
      <c r="M17" s="23" t="n">
        <v>103823.65</v>
      </c>
      <c r="N17" s="23" t="n">
        <v>99726.78</v>
      </c>
      <c r="O17" s="23" t="n">
        <v>102327.64</v>
      </c>
      <c r="P17" s="23" t="n">
        <v>95648.12</v>
      </c>
      <c r="Q17" s="23" t="n">
        <v>104832.81</v>
      </c>
      <c r="R17" s="23" t="n">
        <v>101545.41</v>
      </c>
      <c r="S17" s="23" t="n">
        <v>98985.63</v>
      </c>
      <c r="T17" s="23" t="n">
        <v>99753.85</v>
      </c>
      <c r="U17" s="23" t="n">
        <v>104236.4</v>
      </c>
      <c r="V17" s="23" t="n">
        <v>102434.13</v>
      </c>
      <c r="W17" s="23" t="n">
        <v>97928</v>
      </c>
      <c r="X17" s="23" t="n">
        <v>102920.56</v>
      </c>
      <c r="Y17" s="23" t="n">
        <v>98730.43</v>
      </c>
      <c r="Z17" s="23" t="n">
        <v>101478.57</v>
      </c>
    </row>
    <row r="18" customFormat="false" ht="15" hidden="false" customHeight="false" outlineLevel="0" collapsed="false">
      <c r="A18" s="0" t="n">
        <v>16</v>
      </c>
      <c r="B18" s="23" t="n">
        <v>101356.59</v>
      </c>
      <c r="C18" s="23" t="n">
        <v>101831.85</v>
      </c>
      <c r="D18" s="23" t="n">
        <v>97542.65</v>
      </c>
      <c r="E18" s="23" t="n">
        <v>101241.88</v>
      </c>
      <c r="F18" s="23" t="n">
        <v>97322.7</v>
      </c>
      <c r="G18" s="23" t="n">
        <v>103578.78</v>
      </c>
      <c r="H18" s="23" t="n">
        <v>104505.45</v>
      </c>
      <c r="I18" s="23" t="n">
        <v>97234.52</v>
      </c>
      <c r="J18" s="23" t="n">
        <v>99416.73</v>
      </c>
      <c r="K18" s="23" t="n">
        <v>97528.52</v>
      </c>
      <c r="L18" s="23" t="n">
        <v>102514</v>
      </c>
      <c r="M18" s="23" t="n">
        <v>103560.28</v>
      </c>
      <c r="N18" s="23" t="n">
        <v>98645.18</v>
      </c>
      <c r="O18" s="23" t="n">
        <v>102640.44</v>
      </c>
      <c r="P18" s="23" t="n">
        <v>96121.2</v>
      </c>
      <c r="Q18" s="23" t="n">
        <v>105771.49</v>
      </c>
      <c r="R18" s="23" t="n">
        <v>101765.42</v>
      </c>
      <c r="S18" s="23" t="n">
        <v>98269.32</v>
      </c>
      <c r="T18" s="23" t="n">
        <v>99529</v>
      </c>
      <c r="U18" s="23" t="n">
        <v>102994.52</v>
      </c>
      <c r="V18" s="23" t="n">
        <v>102395</v>
      </c>
      <c r="W18" s="23" t="n">
        <v>98167.77</v>
      </c>
      <c r="X18" s="23" t="n">
        <v>102912.85</v>
      </c>
      <c r="Y18" s="23" t="n">
        <v>98529.65</v>
      </c>
      <c r="Z18" s="23" t="n">
        <v>102400.5</v>
      </c>
    </row>
    <row r="19" customFormat="false" ht="15" hidden="false" customHeight="false" outlineLevel="0" collapsed="false">
      <c r="A19" s="0" t="n">
        <v>17</v>
      </c>
      <c r="B19" s="23" t="n">
        <v>100746.15</v>
      </c>
      <c r="C19" s="23" t="n">
        <v>102512.73</v>
      </c>
      <c r="D19" s="23" t="n">
        <v>97200.18</v>
      </c>
      <c r="E19" s="23" t="n">
        <v>101163.78</v>
      </c>
      <c r="F19" s="23" t="n">
        <v>98104.26</v>
      </c>
      <c r="G19" s="23" t="n">
        <v>104140.19</v>
      </c>
      <c r="H19" s="23" t="n">
        <v>104163.48</v>
      </c>
      <c r="I19" s="23" t="n">
        <v>98323.48</v>
      </c>
      <c r="J19" s="23" t="n">
        <v>99477.93</v>
      </c>
      <c r="K19" s="23" t="n">
        <v>96351.44</v>
      </c>
      <c r="L19" s="23" t="n">
        <v>102531.03</v>
      </c>
      <c r="M19" s="23" t="n">
        <v>104688.02</v>
      </c>
      <c r="N19" s="23" t="n">
        <v>98539.63</v>
      </c>
      <c r="O19" s="23" t="n">
        <v>102864.35</v>
      </c>
      <c r="P19" s="23" t="n">
        <v>95511.6</v>
      </c>
      <c r="Q19" s="23" t="n">
        <v>106068.64</v>
      </c>
      <c r="R19" s="23" t="n">
        <v>99781.52</v>
      </c>
      <c r="S19" s="23" t="n">
        <v>98808.71</v>
      </c>
      <c r="T19" s="23" t="n">
        <v>99325.93</v>
      </c>
      <c r="U19" s="23" t="n">
        <v>102821.73</v>
      </c>
      <c r="V19" s="23" t="n">
        <v>103150.63</v>
      </c>
      <c r="W19" s="23" t="n">
        <v>98299.79</v>
      </c>
      <c r="X19" s="23" t="n">
        <v>103541.71</v>
      </c>
      <c r="Y19" s="23" t="n">
        <v>98653.1</v>
      </c>
      <c r="Z19" s="23" t="n">
        <v>103646.77</v>
      </c>
    </row>
    <row r="20" customFormat="false" ht="15" hidden="false" customHeight="false" outlineLevel="0" collapsed="false">
      <c r="A20" s="0" t="n">
        <v>18</v>
      </c>
      <c r="B20" s="23" t="n">
        <v>101053.11</v>
      </c>
      <c r="C20" s="23" t="n">
        <v>103640.43</v>
      </c>
      <c r="D20" s="23" t="n">
        <v>96972.5</v>
      </c>
      <c r="E20" s="23" t="n">
        <v>101592.66</v>
      </c>
      <c r="F20" s="23" t="n">
        <v>97777.88</v>
      </c>
      <c r="G20" s="23" t="n">
        <v>104631.57</v>
      </c>
      <c r="H20" s="23" t="n">
        <v>103652.88</v>
      </c>
      <c r="I20" s="23" t="n">
        <v>98911.4</v>
      </c>
      <c r="J20" s="23" t="n">
        <v>98588.23</v>
      </c>
      <c r="K20" s="23" t="n">
        <v>96979.36</v>
      </c>
      <c r="L20" s="23" t="n">
        <v>102071.58</v>
      </c>
      <c r="M20" s="23" t="n">
        <v>104075.78</v>
      </c>
      <c r="N20" s="23" t="n">
        <v>99819.52</v>
      </c>
      <c r="O20" s="23" t="n">
        <v>102042.41</v>
      </c>
      <c r="P20" s="23" t="n">
        <v>94979.12</v>
      </c>
      <c r="Q20" s="23" t="n">
        <v>104764.57</v>
      </c>
      <c r="R20" s="23" t="n">
        <v>98748.95</v>
      </c>
      <c r="S20" s="23" t="n">
        <v>98400.36</v>
      </c>
      <c r="T20" s="23" t="n">
        <v>98914.12</v>
      </c>
      <c r="U20" s="23" t="n">
        <v>102687.73</v>
      </c>
      <c r="V20" s="23" t="n">
        <v>103274.32</v>
      </c>
      <c r="W20" s="23" t="n">
        <v>97912.57</v>
      </c>
      <c r="X20" s="23" t="n">
        <v>103723.22</v>
      </c>
      <c r="Y20" s="23" t="n">
        <v>98424.41</v>
      </c>
      <c r="Z20" s="23" t="n">
        <v>103221.47</v>
      </c>
    </row>
    <row r="21" customFormat="false" ht="15" hidden="false" customHeight="false" outlineLevel="0" collapsed="false">
      <c r="A21" s="0" t="n">
        <v>19</v>
      </c>
      <c r="B21" s="23" t="n">
        <v>101820.3</v>
      </c>
      <c r="C21" s="23" t="n">
        <v>103403.88</v>
      </c>
      <c r="D21" s="23" t="n">
        <v>97543.14</v>
      </c>
      <c r="E21" s="23" t="n">
        <v>103212.69</v>
      </c>
      <c r="F21" s="23" t="n">
        <v>96644.46</v>
      </c>
      <c r="G21" s="23" t="n">
        <v>105235.75</v>
      </c>
      <c r="H21" s="23" t="n">
        <v>102857.08</v>
      </c>
      <c r="I21" s="23" t="n">
        <v>98810.11</v>
      </c>
      <c r="J21" s="23" t="n">
        <v>98569.98</v>
      </c>
      <c r="K21" s="23" t="n">
        <v>97340.51</v>
      </c>
      <c r="L21" s="23" t="n">
        <v>101425.89</v>
      </c>
      <c r="M21" s="23" t="n">
        <v>104923.24</v>
      </c>
      <c r="N21" s="23" t="n">
        <v>100059.82</v>
      </c>
      <c r="O21" s="23" t="n">
        <v>102607.5</v>
      </c>
      <c r="P21" s="23" t="n">
        <v>94486.55</v>
      </c>
      <c r="Q21" s="23" t="n">
        <v>104460.83</v>
      </c>
      <c r="R21" s="23" t="n">
        <v>99383.5</v>
      </c>
      <c r="S21" s="23" t="n">
        <v>98249.82</v>
      </c>
      <c r="T21" s="23" t="n">
        <v>98993.03</v>
      </c>
      <c r="U21" s="23" t="n">
        <v>102362.1</v>
      </c>
      <c r="V21" s="23" t="n">
        <v>103077.69</v>
      </c>
      <c r="W21" s="23" t="n">
        <v>97136.35</v>
      </c>
      <c r="X21" s="23" t="n">
        <v>103786.19</v>
      </c>
      <c r="Y21" s="23" t="n">
        <v>97928.5</v>
      </c>
      <c r="Z21" s="23" t="n">
        <v>103236.96</v>
      </c>
    </row>
    <row r="22" customFormat="false" ht="15" hidden="false" customHeight="false" outlineLevel="0" collapsed="false">
      <c r="A22" s="0" t="n">
        <v>20</v>
      </c>
      <c r="B22" s="23" t="n">
        <v>101893.15</v>
      </c>
      <c r="C22" s="23" t="n">
        <v>103283.8</v>
      </c>
      <c r="D22" s="23" t="n">
        <v>98171.16</v>
      </c>
      <c r="E22" s="23" t="n">
        <v>102848.19</v>
      </c>
      <c r="F22" s="23" t="n">
        <v>94706.87</v>
      </c>
      <c r="G22" s="23" t="n">
        <v>106271.22</v>
      </c>
      <c r="H22" s="23" t="n">
        <v>104344.85</v>
      </c>
      <c r="I22" s="23" t="n">
        <v>100597.53</v>
      </c>
      <c r="J22" s="23" t="n">
        <v>98654.47</v>
      </c>
      <c r="K22" s="23" t="n">
        <v>96988.74</v>
      </c>
      <c r="L22" s="23" t="n">
        <v>100711.06</v>
      </c>
      <c r="M22" s="23" t="n">
        <v>105422.53</v>
      </c>
      <c r="N22" s="23" t="n">
        <v>99176.19</v>
      </c>
      <c r="O22" s="23" t="n">
        <v>102690.28</v>
      </c>
      <c r="P22" s="23" t="n">
        <v>94355.71</v>
      </c>
      <c r="Q22" s="23" t="n">
        <v>104263.74</v>
      </c>
      <c r="R22" s="23" t="n">
        <v>98969.88</v>
      </c>
      <c r="S22" s="23" t="n">
        <v>97784.33</v>
      </c>
      <c r="T22" s="23" t="n">
        <v>98197.36</v>
      </c>
      <c r="U22" s="23" t="n">
        <v>104045.3</v>
      </c>
      <c r="V22" s="23" t="n">
        <v>101648.82</v>
      </c>
      <c r="W22" s="23" t="n">
        <v>96370.81</v>
      </c>
      <c r="X22" s="23" t="n">
        <v>104370.89</v>
      </c>
      <c r="Y22" s="23" t="n">
        <v>96733.93</v>
      </c>
      <c r="Z22" s="23" t="n">
        <v>103177.04</v>
      </c>
    </row>
    <row r="23" customFormat="false" ht="15" hidden="false" customHeight="false" outlineLevel="0" collapsed="false">
      <c r="A23" s="0" t="n">
        <v>21</v>
      </c>
      <c r="B23" s="23" t="n">
        <v>103124.79</v>
      </c>
      <c r="C23" s="23" t="n">
        <v>102538.32</v>
      </c>
      <c r="D23" s="23" t="n">
        <v>98437.8</v>
      </c>
      <c r="E23" s="23" t="n">
        <v>102635.86</v>
      </c>
      <c r="F23" s="23" t="n">
        <v>94375.72</v>
      </c>
      <c r="G23" s="23" t="n">
        <v>106132.05</v>
      </c>
      <c r="H23" s="23" t="n">
        <v>105315.97</v>
      </c>
      <c r="I23" s="23" t="n">
        <v>99560.77</v>
      </c>
      <c r="J23" s="23" t="n">
        <v>99728.28</v>
      </c>
      <c r="K23" s="23" t="n">
        <v>96676.37</v>
      </c>
      <c r="L23" s="23" t="n">
        <v>100754.5</v>
      </c>
      <c r="M23" s="23" t="n">
        <v>105281.62</v>
      </c>
      <c r="N23" s="23" t="n">
        <v>99237.04</v>
      </c>
      <c r="O23" s="23" t="n">
        <v>102806.67</v>
      </c>
      <c r="P23" s="23" t="n">
        <v>94962.6</v>
      </c>
      <c r="Q23" s="23" t="n">
        <v>105459.06</v>
      </c>
      <c r="R23" s="23" t="n">
        <v>98862.63</v>
      </c>
      <c r="S23" s="23" t="n">
        <v>98749.33</v>
      </c>
      <c r="T23" s="23" t="n">
        <v>97841.67</v>
      </c>
      <c r="U23" s="23" t="n">
        <v>103403.72</v>
      </c>
      <c r="V23" s="23" t="n">
        <v>101648.78</v>
      </c>
      <c r="W23" s="23" t="n">
        <v>98006.22</v>
      </c>
      <c r="X23" s="23" t="n">
        <v>102583.88</v>
      </c>
      <c r="Y23" s="23" t="n">
        <v>97145.35</v>
      </c>
      <c r="Z23" s="23" t="n">
        <v>102071.51</v>
      </c>
    </row>
    <row r="24" customFormat="false" ht="15" hidden="false" customHeight="false" outlineLevel="0" collapsed="false">
      <c r="A24" s="0" t="n">
        <v>22</v>
      </c>
      <c r="B24" s="23" t="n">
        <v>102091.52</v>
      </c>
      <c r="C24" s="23" t="n">
        <v>102211.97</v>
      </c>
      <c r="D24" s="23" t="n">
        <v>98334.38</v>
      </c>
      <c r="E24" s="23" t="n">
        <v>102719.33</v>
      </c>
      <c r="F24" s="23" t="n">
        <v>94729.98</v>
      </c>
      <c r="G24" s="23" t="n">
        <v>107032.65</v>
      </c>
      <c r="H24" s="23" t="n">
        <v>105732.22</v>
      </c>
      <c r="I24" s="23" t="n">
        <v>100318.7</v>
      </c>
      <c r="J24" s="23" t="n">
        <v>99776.88</v>
      </c>
      <c r="K24" s="23" t="n">
        <v>97372.84</v>
      </c>
      <c r="L24" s="23" t="n">
        <v>101435.76</v>
      </c>
      <c r="M24" s="23" t="n">
        <v>105432.74</v>
      </c>
      <c r="N24" s="23" t="n">
        <v>99877.84</v>
      </c>
      <c r="O24" s="23" t="n">
        <v>102014.88</v>
      </c>
      <c r="P24" s="23" t="n">
        <v>94059.23</v>
      </c>
      <c r="Q24" s="23" t="n">
        <v>105441.1</v>
      </c>
      <c r="R24" s="23" t="n">
        <v>99189.4</v>
      </c>
      <c r="S24" s="23" t="n">
        <v>97401.12</v>
      </c>
      <c r="T24" s="23" t="n">
        <v>97433.74</v>
      </c>
      <c r="U24" s="23" t="n">
        <v>102713.35</v>
      </c>
      <c r="V24" s="23" t="n">
        <v>101853.7</v>
      </c>
      <c r="W24" s="23" t="n">
        <v>97749.22</v>
      </c>
      <c r="X24" s="23" t="n">
        <v>101923.28</v>
      </c>
      <c r="Y24" s="23" t="n">
        <v>97467.78</v>
      </c>
      <c r="Z24" s="23" t="n">
        <v>101856.26</v>
      </c>
    </row>
    <row r="25" customFormat="false" ht="15" hidden="false" customHeight="false" outlineLevel="0" collapsed="false">
      <c r="A25" s="0" t="n">
        <v>23</v>
      </c>
      <c r="B25" s="23" t="n">
        <v>101408.39</v>
      </c>
      <c r="C25" s="23" t="n">
        <v>100896.02</v>
      </c>
      <c r="D25" s="23" t="n">
        <v>97890.64</v>
      </c>
      <c r="E25" s="23" t="n">
        <v>103286.03</v>
      </c>
      <c r="F25" s="23" t="n">
        <v>95454.22</v>
      </c>
      <c r="G25" s="23" t="n">
        <v>108202.15</v>
      </c>
      <c r="H25" s="23" t="n">
        <v>104347.15</v>
      </c>
      <c r="I25" s="23" t="n">
        <v>99381.47</v>
      </c>
      <c r="J25" s="23" t="n">
        <v>99929.18</v>
      </c>
      <c r="K25" s="23" t="n">
        <v>97920.94</v>
      </c>
      <c r="L25" s="23" t="n">
        <v>102094.59</v>
      </c>
      <c r="M25" s="23" t="n">
        <v>105802.95</v>
      </c>
      <c r="N25" s="23" t="n">
        <v>99740.4</v>
      </c>
      <c r="O25" s="23" t="n">
        <v>103120.22</v>
      </c>
      <c r="P25" s="23" t="n">
        <v>92992.3</v>
      </c>
      <c r="Q25" s="23" t="n">
        <v>105078.55</v>
      </c>
      <c r="R25" s="23" t="n">
        <v>99081.54</v>
      </c>
      <c r="S25" s="23" t="n">
        <v>95968.75</v>
      </c>
      <c r="T25" s="23" t="n">
        <v>97248.33</v>
      </c>
      <c r="U25" s="23" t="n">
        <v>101162.93</v>
      </c>
      <c r="V25" s="23" t="n">
        <v>99327.92</v>
      </c>
      <c r="W25" s="23" t="n">
        <v>97116.61</v>
      </c>
      <c r="X25" s="23" t="n">
        <v>103972.61</v>
      </c>
      <c r="Y25" s="23" t="n">
        <v>97551.62</v>
      </c>
      <c r="Z25" s="23" t="n">
        <v>101774.36</v>
      </c>
    </row>
    <row r="26" customFormat="false" ht="15" hidden="false" customHeight="false" outlineLevel="0" collapsed="false">
      <c r="A26" s="0" t="n">
        <v>24</v>
      </c>
      <c r="B26" s="23" t="n">
        <v>101607.66</v>
      </c>
      <c r="C26" s="23" t="n">
        <v>100802.91</v>
      </c>
      <c r="D26" s="23" t="n">
        <v>98421.39</v>
      </c>
      <c r="E26" s="23" t="n">
        <v>103642.58</v>
      </c>
      <c r="F26" s="23" t="n">
        <v>97199.12</v>
      </c>
      <c r="G26" s="23" t="n">
        <v>107732.71</v>
      </c>
      <c r="H26" s="23" t="n">
        <v>103771.03</v>
      </c>
      <c r="I26" s="23" t="n">
        <v>99548.49</v>
      </c>
      <c r="J26" s="23" t="n">
        <v>100452.14</v>
      </c>
      <c r="K26" s="23" t="n">
        <v>98509.47</v>
      </c>
      <c r="L26" s="23" t="n">
        <v>102263.1</v>
      </c>
      <c r="M26" s="23" t="n">
        <v>104680.48</v>
      </c>
      <c r="N26" s="23" t="n">
        <v>98556.12</v>
      </c>
      <c r="O26" s="23" t="n">
        <v>103263.17</v>
      </c>
      <c r="P26" s="23" t="n">
        <v>92928.85</v>
      </c>
      <c r="Q26" s="23" t="n">
        <v>105608.73</v>
      </c>
      <c r="R26" s="23" t="n">
        <v>98832.42</v>
      </c>
      <c r="S26" s="23" t="n">
        <v>95183.69</v>
      </c>
      <c r="T26" s="23" t="n">
        <v>96952.26</v>
      </c>
      <c r="U26" s="23" t="n">
        <v>100834.19</v>
      </c>
      <c r="V26" s="23" t="n">
        <v>99266.43</v>
      </c>
      <c r="W26" s="23" t="n">
        <v>97090.52</v>
      </c>
      <c r="X26" s="23" t="n">
        <v>104289.4</v>
      </c>
      <c r="Y26" s="23" t="n">
        <v>98652.91</v>
      </c>
      <c r="Z26" s="23" t="n">
        <v>102496.05</v>
      </c>
    </row>
    <row r="27" customFormat="false" ht="15" hidden="false" customHeight="false" outlineLevel="0" collapsed="false">
      <c r="A27" s="0" t="n">
        <v>25</v>
      </c>
      <c r="B27" s="23" t="n">
        <v>102467.49</v>
      </c>
      <c r="C27" s="23" t="n">
        <v>101829.29</v>
      </c>
      <c r="D27" s="23" t="n">
        <v>98906.4</v>
      </c>
      <c r="E27" s="23" t="n">
        <v>103078.55</v>
      </c>
      <c r="F27" s="23" t="n">
        <v>97027.32</v>
      </c>
      <c r="G27" s="23" t="n">
        <v>107879.9</v>
      </c>
      <c r="H27" s="23" t="n">
        <v>104789.09</v>
      </c>
      <c r="I27" s="23" t="n">
        <v>99069.45</v>
      </c>
      <c r="J27" s="23" t="n">
        <v>100530.53</v>
      </c>
      <c r="K27" s="23" t="n">
        <v>99582.37</v>
      </c>
      <c r="L27" s="23" t="n">
        <v>101068.22</v>
      </c>
      <c r="M27" s="23" t="n">
        <v>105840.25</v>
      </c>
      <c r="N27" s="23" t="n">
        <v>97843.59</v>
      </c>
      <c r="O27" s="23" t="n">
        <v>103485.56</v>
      </c>
      <c r="P27" s="23" t="n">
        <v>92997.12</v>
      </c>
      <c r="Q27" s="23" t="n">
        <v>106377.56</v>
      </c>
      <c r="R27" s="23" t="n">
        <v>99393.48</v>
      </c>
      <c r="S27" s="23" t="n">
        <v>94861.7</v>
      </c>
      <c r="T27" s="23" t="n">
        <v>97060</v>
      </c>
      <c r="U27" s="23" t="n">
        <v>100904.47</v>
      </c>
      <c r="V27" s="23" t="n">
        <v>99385.15</v>
      </c>
      <c r="W27" s="23" t="n">
        <v>97404.08</v>
      </c>
      <c r="X27" s="23" t="n">
        <v>103700.75</v>
      </c>
      <c r="Y27" s="23" t="n">
        <v>99593.7</v>
      </c>
      <c r="Z27" s="23" t="n">
        <v>103431.67</v>
      </c>
    </row>
    <row r="28" customFormat="false" ht="15" hidden="false" customHeight="false" outlineLevel="0" collapsed="false">
      <c r="A28" s="0" t="n">
        <v>26</v>
      </c>
      <c r="B28" s="23" t="n">
        <v>101896.43</v>
      </c>
      <c r="C28" s="23" t="n">
        <v>101992.93</v>
      </c>
      <c r="D28" s="23" t="n">
        <v>99268.06</v>
      </c>
      <c r="E28" s="23" t="n">
        <v>103554.72</v>
      </c>
      <c r="F28" s="23" t="n">
        <v>97744.88</v>
      </c>
      <c r="G28" s="23" t="n">
        <v>106944.41</v>
      </c>
      <c r="H28" s="23" t="n">
        <v>104146.69</v>
      </c>
      <c r="I28" s="23" t="n">
        <v>98117.71</v>
      </c>
      <c r="J28" s="23" t="n">
        <v>99239.73</v>
      </c>
      <c r="K28" s="23" t="n">
        <v>100428.54</v>
      </c>
      <c r="L28" s="23" t="n">
        <v>101523.23</v>
      </c>
      <c r="M28" s="23" t="n">
        <v>106067.91</v>
      </c>
      <c r="N28" s="23" t="n">
        <v>98030.72</v>
      </c>
      <c r="O28" s="23" t="n">
        <v>103095.07</v>
      </c>
      <c r="P28" s="23" t="n">
        <v>92982.26</v>
      </c>
      <c r="Q28" s="23" t="n">
        <v>105486.45</v>
      </c>
      <c r="R28" s="23" t="n">
        <v>98306.73</v>
      </c>
      <c r="S28" s="23" t="n">
        <v>93570.52</v>
      </c>
      <c r="T28" s="23" t="n">
        <v>97935.14</v>
      </c>
      <c r="U28" s="23" t="n">
        <v>100895.5</v>
      </c>
      <c r="V28" s="23" t="n">
        <v>100024.12</v>
      </c>
      <c r="W28" s="23" t="n">
        <v>97281.42</v>
      </c>
      <c r="X28" s="23" t="n">
        <v>103565.98</v>
      </c>
      <c r="Y28" s="23" t="n">
        <v>99429.32</v>
      </c>
      <c r="Z28" s="23" t="n">
        <v>103434.52</v>
      </c>
    </row>
    <row r="29" customFormat="false" ht="15" hidden="false" customHeight="false" outlineLevel="0" collapsed="false">
      <c r="A29" s="0" t="n">
        <v>27</v>
      </c>
      <c r="B29" s="23" t="n">
        <v>102081.51</v>
      </c>
      <c r="C29" s="23" t="n">
        <v>101632.97</v>
      </c>
      <c r="D29" s="23" t="n">
        <v>99212.97</v>
      </c>
      <c r="E29" s="23" t="n">
        <v>103316.05</v>
      </c>
      <c r="F29" s="23" t="n">
        <v>97220.66</v>
      </c>
      <c r="G29" s="23" t="n">
        <v>106526.82</v>
      </c>
      <c r="H29" s="23" t="n">
        <v>103641.77</v>
      </c>
      <c r="I29" s="23" t="n">
        <v>98805.51</v>
      </c>
      <c r="J29" s="23" t="n">
        <v>100521.83</v>
      </c>
      <c r="K29" s="23" t="n">
        <v>99251.21</v>
      </c>
      <c r="L29" s="23" t="n">
        <v>101860.12</v>
      </c>
      <c r="M29" s="23" t="n">
        <v>105394.53</v>
      </c>
      <c r="N29" s="23" t="n">
        <v>97297.49</v>
      </c>
      <c r="O29" s="23" t="n">
        <v>103719.29</v>
      </c>
      <c r="P29" s="23" t="n">
        <v>94193.82</v>
      </c>
      <c r="Q29" s="23" t="n">
        <v>106747.14</v>
      </c>
      <c r="R29" s="23" t="n">
        <v>97858.81</v>
      </c>
      <c r="S29" s="23" t="n">
        <v>93261.17</v>
      </c>
      <c r="T29" s="23" t="n">
        <v>98096.81</v>
      </c>
      <c r="U29" s="23" t="n">
        <v>100963.79</v>
      </c>
      <c r="V29" s="23" t="n">
        <v>101152.31</v>
      </c>
      <c r="W29" s="23" t="n">
        <v>96253.3</v>
      </c>
      <c r="X29" s="23" t="n">
        <v>104506.6</v>
      </c>
      <c r="Y29" s="23" t="n">
        <v>98242.91</v>
      </c>
      <c r="Z29" s="23" t="n">
        <v>103177.21</v>
      </c>
    </row>
    <row r="30" customFormat="false" ht="15" hidden="false" customHeight="false" outlineLevel="0" collapsed="false">
      <c r="A30" s="0" t="n">
        <v>28</v>
      </c>
      <c r="B30" s="23" t="n">
        <v>101916.87</v>
      </c>
      <c r="C30" s="23" t="n">
        <v>101759.03</v>
      </c>
      <c r="D30" s="23" t="n">
        <v>98596.97</v>
      </c>
      <c r="E30" s="23" t="n">
        <v>103886.61</v>
      </c>
      <c r="F30" s="23" t="n">
        <v>97646.72</v>
      </c>
      <c r="G30" s="23" t="n">
        <v>106662.99</v>
      </c>
      <c r="H30" s="23" t="n">
        <v>104101.89</v>
      </c>
      <c r="I30" s="23" t="n">
        <v>98841.96</v>
      </c>
      <c r="J30" s="23" t="n">
        <v>100188.71</v>
      </c>
      <c r="K30" s="23" t="n">
        <v>98825.99</v>
      </c>
      <c r="L30" s="23" t="n">
        <v>101126</v>
      </c>
      <c r="M30" s="23" t="n">
        <v>104932.65</v>
      </c>
      <c r="N30" s="23" t="n">
        <v>98955.92</v>
      </c>
      <c r="O30" s="23" t="n">
        <v>104833.12</v>
      </c>
      <c r="P30" s="23" t="n">
        <v>94994.71</v>
      </c>
      <c r="Q30" s="23" t="n">
        <v>108384.64</v>
      </c>
      <c r="R30" s="23" t="n">
        <v>98077.17</v>
      </c>
      <c r="S30" s="23" t="n">
        <v>93596.89</v>
      </c>
      <c r="T30" s="23" t="n">
        <v>98383.91</v>
      </c>
      <c r="U30" s="23" t="n">
        <v>101669.48</v>
      </c>
      <c r="V30" s="23" t="n">
        <v>100811.35</v>
      </c>
      <c r="W30" s="23" t="n">
        <v>96284.13</v>
      </c>
      <c r="X30" s="23" t="n">
        <v>103830.09</v>
      </c>
      <c r="Y30" s="23" t="n">
        <v>98704.8</v>
      </c>
      <c r="Z30" s="23" t="n">
        <v>102396.42</v>
      </c>
    </row>
    <row r="31" customFormat="false" ht="15" hidden="false" customHeight="false" outlineLevel="0" collapsed="false">
      <c r="A31" s="0" t="n">
        <v>29</v>
      </c>
      <c r="B31" s="23" t="n">
        <v>102780.45</v>
      </c>
      <c r="C31" s="23" t="n">
        <v>102261.95</v>
      </c>
      <c r="D31" s="23" t="n">
        <v>98823.85</v>
      </c>
      <c r="E31" s="23" t="n">
        <v>102492.98</v>
      </c>
      <c r="F31" s="23" t="n">
        <v>98423.22</v>
      </c>
      <c r="G31" s="23" t="n">
        <v>106745.28</v>
      </c>
      <c r="H31" s="23" t="n">
        <v>103102.94</v>
      </c>
      <c r="I31" s="23" t="n">
        <v>98516.01</v>
      </c>
      <c r="J31" s="23" t="n">
        <v>100479.35</v>
      </c>
      <c r="K31" s="23" t="n">
        <v>99824.66</v>
      </c>
      <c r="L31" s="23" t="n">
        <v>101089.31</v>
      </c>
      <c r="M31" s="23" t="n">
        <v>104921.92</v>
      </c>
      <c r="N31" s="23" t="n">
        <v>98069.56</v>
      </c>
      <c r="O31" s="23" t="n">
        <v>103867.66</v>
      </c>
      <c r="P31" s="23" t="n">
        <v>94026.38</v>
      </c>
      <c r="Q31" s="23" t="n">
        <v>107545.87</v>
      </c>
      <c r="R31" s="23" t="n">
        <v>98491.11</v>
      </c>
      <c r="S31" s="23" t="n">
        <v>93771.22</v>
      </c>
      <c r="T31" s="23" t="n">
        <v>98482.19</v>
      </c>
      <c r="U31" s="23" t="n">
        <v>102060.4</v>
      </c>
      <c r="V31" s="23" t="n">
        <v>99927.39</v>
      </c>
      <c r="W31" s="23" t="n">
        <v>96763.72</v>
      </c>
      <c r="X31" s="23" t="n">
        <v>105031.17</v>
      </c>
      <c r="Y31" s="23" t="n">
        <v>98927.42</v>
      </c>
      <c r="Z31" s="23" t="n">
        <v>102492.29</v>
      </c>
    </row>
    <row r="32" customFormat="false" ht="15" hidden="false" customHeight="false" outlineLevel="0" collapsed="false">
      <c r="A32" s="0" t="n">
        <v>30</v>
      </c>
      <c r="B32" s="23" t="n">
        <v>102736.82</v>
      </c>
      <c r="C32" s="23" t="n">
        <v>102376.75</v>
      </c>
      <c r="D32" s="23" t="n">
        <v>99328.03</v>
      </c>
      <c r="E32" s="23" t="n">
        <v>102974.4</v>
      </c>
      <c r="F32" s="23" t="n">
        <v>98877.12</v>
      </c>
      <c r="G32" s="23" t="n">
        <v>106979.53</v>
      </c>
      <c r="H32" s="23" t="n">
        <v>102954.33</v>
      </c>
      <c r="I32" s="23" t="n">
        <v>98902.68</v>
      </c>
      <c r="J32" s="23" t="n">
        <v>98953.81</v>
      </c>
      <c r="K32" s="23" t="n">
        <v>99816.41</v>
      </c>
      <c r="L32" s="23" t="n">
        <v>100056.42</v>
      </c>
      <c r="M32" s="23" t="n">
        <v>106170.85</v>
      </c>
      <c r="N32" s="23" t="n">
        <v>97809.41</v>
      </c>
      <c r="O32" s="23" t="n">
        <v>103834.38</v>
      </c>
      <c r="P32" s="23" t="n">
        <v>93580.81</v>
      </c>
      <c r="Q32" s="23" t="n">
        <v>107890.67</v>
      </c>
      <c r="R32" s="23" t="n">
        <v>98081.46</v>
      </c>
      <c r="S32" s="23" t="n">
        <v>93457.15</v>
      </c>
      <c r="T32" s="23" t="n">
        <v>97950.27</v>
      </c>
      <c r="U32" s="23" t="n">
        <v>102747.62</v>
      </c>
      <c r="V32" s="23" t="n">
        <v>100961.19</v>
      </c>
      <c r="W32" s="23" t="n">
        <v>97088.04</v>
      </c>
      <c r="X32" s="23" t="n">
        <v>104810.49</v>
      </c>
      <c r="Y32" s="23" t="n">
        <v>99092.45</v>
      </c>
      <c r="Z32" s="23" t="n">
        <v>102447.37</v>
      </c>
    </row>
    <row r="33" customFormat="false" ht="15" hidden="false" customHeight="false" outlineLevel="0" collapsed="false">
      <c r="A33" s="0" t="n">
        <v>31</v>
      </c>
      <c r="B33" s="23" t="n">
        <v>102533.76</v>
      </c>
      <c r="C33" s="23" t="n">
        <v>102781.72</v>
      </c>
      <c r="D33" s="23" t="n">
        <v>100584.3</v>
      </c>
      <c r="E33" s="23" t="n">
        <v>103544.73</v>
      </c>
      <c r="F33" s="23" t="n">
        <v>99356.39</v>
      </c>
      <c r="G33" s="23" t="n">
        <v>106533.09</v>
      </c>
      <c r="H33" s="23" t="n">
        <v>103385.36</v>
      </c>
      <c r="I33" s="23" t="n">
        <v>100003.82</v>
      </c>
      <c r="J33" s="23" t="n">
        <v>99054.4</v>
      </c>
      <c r="K33" s="23" t="n">
        <v>99419.86</v>
      </c>
      <c r="L33" s="23" t="n">
        <v>100765.11</v>
      </c>
      <c r="M33" s="23" t="n">
        <v>106283.07</v>
      </c>
      <c r="N33" s="23" t="n">
        <v>97611.59</v>
      </c>
      <c r="O33" s="23" t="n">
        <v>103802.95</v>
      </c>
      <c r="P33" s="23" t="n">
        <v>92834.2</v>
      </c>
      <c r="Q33" s="23" t="n">
        <v>106953.91</v>
      </c>
      <c r="R33" s="23" t="n">
        <v>97823.01</v>
      </c>
      <c r="S33" s="23" t="n">
        <v>93588.15</v>
      </c>
      <c r="T33" s="23" t="n">
        <v>97445.07</v>
      </c>
      <c r="U33" s="23" t="n">
        <v>102594.28</v>
      </c>
      <c r="V33" s="23" t="n">
        <v>100571.03</v>
      </c>
      <c r="W33" s="23" t="n">
        <v>98343.04</v>
      </c>
      <c r="X33" s="23" t="n">
        <v>104205.85</v>
      </c>
      <c r="Y33" s="23" t="n">
        <v>98809.78</v>
      </c>
      <c r="Z33" s="23" t="n">
        <v>101191.73</v>
      </c>
    </row>
    <row r="34" customFormat="false" ht="15" hidden="false" customHeight="false" outlineLevel="0" collapsed="false">
      <c r="A34" s="0" t="n">
        <v>32</v>
      </c>
      <c r="B34" s="23" t="n">
        <v>102301.98</v>
      </c>
      <c r="C34" s="23" t="n">
        <v>103130.58</v>
      </c>
      <c r="D34" s="23" t="n">
        <v>101436.5</v>
      </c>
      <c r="E34" s="23" t="n">
        <v>103167.64</v>
      </c>
      <c r="F34" s="23" t="n">
        <v>99990.36</v>
      </c>
      <c r="G34" s="23" t="n">
        <v>105999.51</v>
      </c>
      <c r="H34" s="23" t="n">
        <v>103089.42</v>
      </c>
      <c r="I34" s="23" t="n">
        <v>100807.21</v>
      </c>
      <c r="J34" s="23" t="n">
        <v>100178.88</v>
      </c>
      <c r="K34" s="23" t="n">
        <v>99600.64</v>
      </c>
      <c r="L34" s="23" t="n">
        <v>102250.4</v>
      </c>
      <c r="M34" s="23" t="n">
        <v>105802.37</v>
      </c>
      <c r="N34" s="23" t="n">
        <v>98152.39</v>
      </c>
      <c r="O34" s="23" t="n">
        <v>103356.46</v>
      </c>
      <c r="P34" s="23" t="n">
        <v>92370.87</v>
      </c>
      <c r="Q34" s="23" t="n">
        <v>106836.76</v>
      </c>
      <c r="R34" s="23" t="n">
        <v>97321.9</v>
      </c>
      <c r="S34" s="23" t="n">
        <v>92267.22</v>
      </c>
      <c r="T34" s="23" t="n">
        <v>97481.82</v>
      </c>
      <c r="U34" s="23" t="n">
        <v>101555.48</v>
      </c>
      <c r="V34" s="23" t="n">
        <v>100055.65</v>
      </c>
      <c r="W34" s="23" t="n">
        <v>97525.84</v>
      </c>
      <c r="X34" s="23" t="n">
        <v>105007.9</v>
      </c>
      <c r="Y34" s="23" t="n">
        <v>98450.73</v>
      </c>
      <c r="Z34" s="23" t="n">
        <v>102669.72</v>
      </c>
    </row>
    <row r="35" customFormat="false" ht="15" hidden="false" customHeight="false" outlineLevel="0" collapsed="false">
      <c r="A35" s="0" t="n">
        <v>33</v>
      </c>
      <c r="B35" s="23" t="n">
        <v>101879.44</v>
      </c>
      <c r="C35" s="23" t="n">
        <v>103502.88</v>
      </c>
      <c r="D35" s="23" t="n">
        <v>100894.71</v>
      </c>
      <c r="E35" s="23" t="n">
        <v>103169.52</v>
      </c>
      <c r="F35" s="23" t="n">
        <v>100885.74</v>
      </c>
      <c r="G35" s="23" t="n">
        <v>105580.9</v>
      </c>
      <c r="H35" s="23" t="n">
        <v>102505.23</v>
      </c>
      <c r="I35" s="23" t="n">
        <v>100783.9</v>
      </c>
      <c r="J35" s="23" t="n">
        <v>99677.3</v>
      </c>
      <c r="K35" s="23" t="n">
        <v>99506.17</v>
      </c>
      <c r="L35" s="23" t="n">
        <v>102718.87</v>
      </c>
      <c r="M35" s="23" t="n">
        <v>106428.19</v>
      </c>
      <c r="N35" s="23" t="n">
        <v>98461.18</v>
      </c>
      <c r="O35" s="23" t="n">
        <v>105093.35</v>
      </c>
      <c r="P35" s="23" t="n">
        <v>93862.6</v>
      </c>
      <c r="Q35" s="23" t="n">
        <v>107515.37</v>
      </c>
      <c r="R35" s="23" t="n">
        <v>96625.97</v>
      </c>
      <c r="S35" s="23" t="n">
        <v>92183.51</v>
      </c>
      <c r="T35" s="23" t="n">
        <v>97239</v>
      </c>
      <c r="U35" s="23" t="n">
        <v>100117.06</v>
      </c>
      <c r="V35" s="23" t="n">
        <v>99361.46</v>
      </c>
      <c r="W35" s="23" t="n">
        <v>96262.04</v>
      </c>
      <c r="X35" s="23" t="n">
        <v>105528.23</v>
      </c>
      <c r="Y35" s="23" t="n">
        <v>98618.25</v>
      </c>
      <c r="Z35" s="23" t="n">
        <v>103705.87</v>
      </c>
    </row>
    <row r="36" customFormat="false" ht="15" hidden="false" customHeight="false" outlineLevel="0" collapsed="false">
      <c r="A36" s="0" t="n">
        <v>34</v>
      </c>
      <c r="B36" s="23" t="n">
        <v>100972.54</v>
      </c>
      <c r="C36" s="23" t="n">
        <v>103714.35</v>
      </c>
      <c r="D36" s="23" t="n">
        <v>100831.59</v>
      </c>
      <c r="E36" s="23" t="n">
        <v>103850.41</v>
      </c>
      <c r="F36" s="23" t="n">
        <v>101795.69</v>
      </c>
      <c r="G36" s="23" t="n">
        <v>104770.04</v>
      </c>
      <c r="H36" s="23" t="n">
        <v>103129.3</v>
      </c>
      <c r="I36" s="23" t="n">
        <v>102711.42</v>
      </c>
      <c r="J36" s="23" t="n">
        <v>99412.46</v>
      </c>
      <c r="K36" s="23" t="n">
        <v>100125.41</v>
      </c>
      <c r="L36" s="23" t="n">
        <v>102777.05</v>
      </c>
      <c r="M36" s="23" t="n">
        <v>105752.6</v>
      </c>
      <c r="N36" s="23" t="n">
        <v>98189.08</v>
      </c>
      <c r="O36" s="23" t="n">
        <v>105066.01</v>
      </c>
      <c r="P36" s="23" t="n">
        <v>93593.8</v>
      </c>
      <c r="Q36" s="23" t="n">
        <v>107672.94</v>
      </c>
      <c r="R36" s="23" t="n">
        <v>97230.66</v>
      </c>
      <c r="S36" s="23" t="n">
        <v>92043.89</v>
      </c>
      <c r="T36" s="23" t="n">
        <v>96313</v>
      </c>
      <c r="U36" s="23" t="n">
        <v>99180.75</v>
      </c>
      <c r="V36" s="23" t="n">
        <v>99619.29</v>
      </c>
      <c r="W36" s="23" t="n">
        <v>97063.97</v>
      </c>
      <c r="X36" s="23" t="n">
        <v>106240.53</v>
      </c>
      <c r="Y36" s="23" t="n">
        <v>97771.91</v>
      </c>
      <c r="Z36" s="23" t="n">
        <v>103847.36</v>
      </c>
    </row>
    <row r="37" customFormat="false" ht="15" hidden="false" customHeight="false" outlineLevel="0" collapsed="false">
      <c r="A37" s="0" t="n">
        <v>35</v>
      </c>
      <c r="B37" s="23" t="n">
        <v>101943.44</v>
      </c>
      <c r="C37" s="23" t="n">
        <v>102422.29</v>
      </c>
      <c r="D37" s="23" t="n">
        <v>101118.83</v>
      </c>
      <c r="E37" s="23" t="n">
        <v>104129.59</v>
      </c>
      <c r="F37" s="23" t="n">
        <v>104205.59</v>
      </c>
      <c r="G37" s="23" t="n">
        <v>105972.52</v>
      </c>
      <c r="H37" s="23" t="n">
        <v>102454.92</v>
      </c>
      <c r="I37" s="23" t="n">
        <v>102285.03</v>
      </c>
      <c r="J37" s="23" t="n">
        <v>97803.57</v>
      </c>
      <c r="K37" s="23" t="n">
        <v>98900.44</v>
      </c>
      <c r="L37" s="23" t="n">
        <v>102610.08</v>
      </c>
      <c r="M37" s="23" t="n">
        <v>105700.39</v>
      </c>
      <c r="N37" s="23" t="n">
        <v>98761.13</v>
      </c>
      <c r="O37" s="23" t="n">
        <v>105796.24</v>
      </c>
      <c r="P37" s="23" t="n">
        <v>93324.59</v>
      </c>
      <c r="Q37" s="23" t="n">
        <v>106771.55</v>
      </c>
      <c r="R37" s="23" t="n">
        <v>98207.58</v>
      </c>
      <c r="S37" s="23" t="n">
        <v>92223.73</v>
      </c>
      <c r="T37" s="23" t="n">
        <v>96508.69</v>
      </c>
      <c r="U37" s="23" t="n">
        <v>98834.77</v>
      </c>
      <c r="V37" s="23" t="n">
        <v>99603.45</v>
      </c>
      <c r="W37" s="23" t="n">
        <v>96731.85</v>
      </c>
      <c r="X37" s="23" t="n">
        <v>106017.19</v>
      </c>
      <c r="Y37" s="23" t="n">
        <v>98661.54</v>
      </c>
      <c r="Z37" s="23" t="n">
        <v>104357.73</v>
      </c>
    </row>
    <row r="38" customFormat="false" ht="15" hidden="false" customHeight="false" outlineLevel="0" collapsed="false">
      <c r="A38" s="0" t="n">
        <v>36</v>
      </c>
      <c r="B38" s="23" t="n">
        <v>103027.12</v>
      </c>
      <c r="C38" s="23" t="n">
        <v>101959.38</v>
      </c>
      <c r="D38" s="23" t="n">
        <v>101001.63</v>
      </c>
      <c r="E38" s="23" t="n">
        <v>104891.71</v>
      </c>
      <c r="F38" s="23" t="n">
        <v>104310.83</v>
      </c>
      <c r="G38" s="23" t="n">
        <v>106211.27</v>
      </c>
      <c r="H38" s="23" t="n">
        <v>102790.57</v>
      </c>
      <c r="I38" s="23" t="n">
        <v>103042.51</v>
      </c>
      <c r="J38" s="23" t="n">
        <v>97460.73</v>
      </c>
      <c r="K38" s="23" t="n">
        <v>98857</v>
      </c>
      <c r="L38" s="23" t="n">
        <v>103421.71</v>
      </c>
      <c r="M38" s="23" t="n">
        <v>106493.63</v>
      </c>
      <c r="N38" s="23" t="n">
        <v>99429.6</v>
      </c>
      <c r="O38" s="23" t="n">
        <v>105194.85</v>
      </c>
      <c r="P38" s="23" t="n">
        <v>93223.24</v>
      </c>
      <c r="Q38" s="23" t="n">
        <v>108009.82</v>
      </c>
      <c r="R38" s="23" t="n">
        <v>98654.45</v>
      </c>
      <c r="S38" s="23" t="n">
        <v>92297.22</v>
      </c>
      <c r="T38" s="23" t="n">
        <v>95083.94</v>
      </c>
      <c r="U38" s="23" t="n">
        <v>98535.41</v>
      </c>
      <c r="V38" s="23" t="n">
        <v>99543.44</v>
      </c>
      <c r="W38" s="23" t="n">
        <v>96877.73</v>
      </c>
      <c r="X38" s="23" t="n">
        <v>105230.78</v>
      </c>
      <c r="Y38" s="23" t="n">
        <v>99074.74</v>
      </c>
      <c r="Z38" s="23" t="n">
        <v>104202.8</v>
      </c>
    </row>
    <row r="39" customFormat="false" ht="15" hidden="false" customHeight="false" outlineLevel="0" collapsed="false">
      <c r="A39" s="0" t="n">
        <v>37</v>
      </c>
      <c r="B39" s="23" t="n">
        <v>101368.51</v>
      </c>
      <c r="C39" s="23" t="n">
        <v>101843.84</v>
      </c>
      <c r="D39" s="23" t="n">
        <v>101139.3</v>
      </c>
      <c r="E39" s="23" t="n">
        <v>103608.99</v>
      </c>
      <c r="F39" s="23" t="n">
        <v>104801.32</v>
      </c>
      <c r="G39" s="23" t="n">
        <v>104570.54</v>
      </c>
      <c r="H39" s="23" t="n">
        <v>102676.46</v>
      </c>
      <c r="I39" s="23" t="n">
        <v>103742.55</v>
      </c>
      <c r="J39" s="23" t="n">
        <v>98693.06</v>
      </c>
      <c r="K39" s="23" t="n">
        <v>99255.64</v>
      </c>
      <c r="L39" s="23" t="n">
        <v>103203.81</v>
      </c>
      <c r="M39" s="23" t="n">
        <v>107029.06</v>
      </c>
      <c r="N39" s="23" t="n">
        <v>100415.53</v>
      </c>
      <c r="O39" s="23" t="n">
        <v>105153.69</v>
      </c>
      <c r="P39" s="23" t="n">
        <v>93325.79</v>
      </c>
      <c r="Q39" s="23" t="n">
        <v>108522.91</v>
      </c>
      <c r="R39" s="23" t="n">
        <v>99008.72</v>
      </c>
      <c r="S39" s="23" t="n">
        <v>92459.15</v>
      </c>
      <c r="T39" s="23" t="n">
        <v>95543.9</v>
      </c>
      <c r="U39" s="23" t="n">
        <v>98270.38</v>
      </c>
      <c r="V39" s="23" t="n">
        <v>99644.4</v>
      </c>
      <c r="W39" s="23" t="n">
        <v>96964.53</v>
      </c>
      <c r="X39" s="23" t="n">
        <v>105607.83</v>
      </c>
      <c r="Y39" s="23" t="n">
        <v>98377.33</v>
      </c>
      <c r="Z39" s="23" t="n">
        <v>103623.16</v>
      </c>
    </row>
    <row r="40" customFormat="false" ht="15" hidden="false" customHeight="false" outlineLevel="0" collapsed="false">
      <c r="A40" s="0" t="n">
        <v>38</v>
      </c>
      <c r="B40" s="23" t="n">
        <v>101993.41</v>
      </c>
      <c r="C40" s="23" t="n">
        <v>100786.38</v>
      </c>
      <c r="D40" s="23" t="n">
        <v>100824.9</v>
      </c>
      <c r="E40" s="23" t="n">
        <v>103668.94</v>
      </c>
      <c r="F40" s="23" t="n">
        <v>104274.03</v>
      </c>
      <c r="G40" s="23" t="n">
        <v>104106.56</v>
      </c>
      <c r="H40" s="23" t="n">
        <v>103494.22</v>
      </c>
      <c r="I40" s="23" t="n">
        <v>103388.79</v>
      </c>
      <c r="J40" s="23" t="n">
        <v>98371.36</v>
      </c>
      <c r="K40" s="23" t="n">
        <v>98687.28</v>
      </c>
      <c r="L40" s="23" t="n">
        <v>103062.28</v>
      </c>
      <c r="M40" s="23" t="n">
        <v>105998.14</v>
      </c>
      <c r="N40" s="23" t="n">
        <v>101140.34</v>
      </c>
      <c r="O40" s="23" t="n">
        <v>105388.2</v>
      </c>
      <c r="P40" s="23" t="n">
        <v>93731.19</v>
      </c>
      <c r="Q40" s="23" t="n">
        <v>108979.59</v>
      </c>
      <c r="R40" s="23" t="n">
        <v>99623.45</v>
      </c>
      <c r="S40" s="23" t="n">
        <v>92268.27</v>
      </c>
      <c r="T40" s="23" t="n">
        <v>95347.7</v>
      </c>
      <c r="U40" s="23" t="n">
        <v>98636.68</v>
      </c>
      <c r="V40" s="23" t="n">
        <v>100662.22</v>
      </c>
      <c r="W40" s="23" t="n">
        <v>98155</v>
      </c>
      <c r="X40" s="23" t="n">
        <v>106346.48</v>
      </c>
      <c r="Y40" s="23" t="n">
        <v>97397.21</v>
      </c>
      <c r="Z40" s="23" t="n">
        <v>103191.32</v>
      </c>
    </row>
    <row r="41" customFormat="false" ht="15" hidden="false" customHeight="false" outlineLevel="0" collapsed="false">
      <c r="A41" s="0" t="n">
        <v>39</v>
      </c>
      <c r="B41" s="23" t="n">
        <v>102458.45</v>
      </c>
      <c r="C41" s="23" t="n">
        <v>100421.52</v>
      </c>
      <c r="D41" s="23" t="n">
        <v>100734.21</v>
      </c>
      <c r="E41" s="23" t="n">
        <v>103430.08</v>
      </c>
      <c r="F41" s="23" t="n">
        <v>104606.77</v>
      </c>
      <c r="G41" s="23" t="n">
        <v>104446.3</v>
      </c>
      <c r="H41" s="23" t="n">
        <v>104891.67</v>
      </c>
      <c r="I41" s="23" t="n">
        <v>103726.04</v>
      </c>
      <c r="J41" s="23" t="n">
        <v>99080.19</v>
      </c>
      <c r="K41" s="23" t="n">
        <v>99082.96</v>
      </c>
      <c r="L41" s="23" t="n">
        <v>102630.64</v>
      </c>
      <c r="M41" s="23" t="n">
        <v>107514.37</v>
      </c>
      <c r="N41" s="23" t="n">
        <v>101161.85</v>
      </c>
      <c r="O41" s="23" t="n">
        <v>105751.27</v>
      </c>
      <c r="P41" s="23" t="n">
        <v>93476.3</v>
      </c>
      <c r="Q41" s="23" t="n">
        <v>108877.52</v>
      </c>
      <c r="R41" s="23" t="n">
        <v>99701.64</v>
      </c>
      <c r="S41" s="23" t="n">
        <v>91688.91</v>
      </c>
      <c r="T41" s="23" t="n">
        <v>94543.72</v>
      </c>
      <c r="U41" s="23" t="n">
        <v>97586.7</v>
      </c>
      <c r="V41" s="23" t="n">
        <v>100324.88</v>
      </c>
      <c r="W41" s="23" t="n">
        <v>98431.13</v>
      </c>
      <c r="X41" s="23" t="n">
        <v>105354.99</v>
      </c>
      <c r="Y41" s="23" t="n">
        <v>97178.88</v>
      </c>
      <c r="Z41" s="23" t="n">
        <v>103958.43</v>
      </c>
    </row>
    <row r="42" customFormat="false" ht="15" hidden="false" customHeight="false" outlineLevel="0" collapsed="false">
      <c r="A42" s="0" t="n">
        <v>40</v>
      </c>
      <c r="B42" s="23" t="n">
        <v>101541.19</v>
      </c>
      <c r="C42" s="23" t="n">
        <v>100994.55</v>
      </c>
      <c r="D42" s="23" t="n">
        <v>100161.16</v>
      </c>
      <c r="E42" s="23" t="n">
        <v>103944.75</v>
      </c>
      <c r="F42" s="23" t="n">
        <v>105838.54</v>
      </c>
      <c r="G42" s="23" t="n">
        <v>105334.53</v>
      </c>
      <c r="H42" s="23" t="n">
        <v>104558.02</v>
      </c>
      <c r="I42" s="23" t="n">
        <v>104022.62</v>
      </c>
      <c r="J42" s="23" t="n">
        <v>99637.95</v>
      </c>
      <c r="K42" s="23" t="n">
        <v>99348.64</v>
      </c>
      <c r="L42" s="23" t="n">
        <v>103372.64</v>
      </c>
      <c r="M42" s="23" t="n">
        <v>107738.93</v>
      </c>
      <c r="N42" s="23" t="n">
        <v>101860.99</v>
      </c>
      <c r="O42" s="23" t="n">
        <v>106279.19</v>
      </c>
      <c r="P42" s="23" t="n">
        <v>93716.05</v>
      </c>
      <c r="Q42" s="23" t="n">
        <v>107647.64</v>
      </c>
      <c r="R42" s="23" t="n">
        <v>98898.24</v>
      </c>
      <c r="S42" s="23" t="n">
        <v>92104.51</v>
      </c>
      <c r="T42" s="23" t="n">
        <v>94573.64</v>
      </c>
      <c r="U42" s="23" t="n">
        <v>97274.76</v>
      </c>
      <c r="V42" s="23" t="n">
        <v>100401.47</v>
      </c>
      <c r="W42" s="23" t="n">
        <v>98255.15</v>
      </c>
      <c r="X42" s="23" t="n">
        <v>104886.02</v>
      </c>
      <c r="Y42" s="23" t="n">
        <v>97114.35</v>
      </c>
      <c r="Z42" s="23" t="n">
        <v>104522.93</v>
      </c>
    </row>
    <row r="43" customFormat="false" ht="15" hidden="false" customHeight="false" outlineLevel="0" collapsed="false">
      <c r="A43" s="0" t="n">
        <v>41</v>
      </c>
      <c r="B43" s="23" t="n">
        <v>100705.63</v>
      </c>
      <c r="C43" s="23" t="n">
        <v>101096.6</v>
      </c>
      <c r="D43" s="23" t="n">
        <v>100911.88</v>
      </c>
      <c r="E43" s="23" t="n">
        <v>104607.11</v>
      </c>
      <c r="F43" s="23" t="n">
        <v>105639.12</v>
      </c>
      <c r="G43" s="23" t="n">
        <v>105566.19</v>
      </c>
      <c r="H43" s="23" t="n">
        <v>104752.45</v>
      </c>
      <c r="I43" s="23" t="n">
        <v>104138.55</v>
      </c>
      <c r="J43" s="23" t="n">
        <v>97938.46</v>
      </c>
      <c r="K43" s="23" t="n">
        <v>98326.83</v>
      </c>
      <c r="L43" s="23" t="n">
        <v>104262.64</v>
      </c>
      <c r="M43" s="23" t="n">
        <v>108150.53</v>
      </c>
      <c r="N43" s="23" t="n">
        <v>102029.48</v>
      </c>
      <c r="O43" s="23" t="n">
        <v>106441.55</v>
      </c>
      <c r="P43" s="23" t="n">
        <v>94240.36</v>
      </c>
      <c r="Q43" s="23" t="n">
        <v>107357.95</v>
      </c>
      <c r="R43" s="23" t="n">
        <v>98313.52</v>
      </c>
      <c r="S43" s="23" t="n">
        <v>92374.24</v>
      </c>
      <c r="T43" s="23" t="n">
        <v>94945.74</v>
      </c>
      <c r="U43" s="23" t="n">
        <v>97461.28</v>
      </c>
      <c r="V43" s="23" t="n">
        <v>100213.86</v>
      </c>
      <c r="W43" s="23" t="n">
        <v>98398.88</v>
      </c>
      <c r="X43" s="23" t="n">
        <v>105873.97</v>
      </c>
      <c r="Y43" s="23" t="n">
        <v>96467.92</v>
      </c>
      <c r="Z43" s="23" t="n">
        <v>104631.06</v>
      </c>
    </row>
    <row r="44" customFormat="false" ht="15" hidden="false" customHeight="false" outlineLevel="0" collapsed="false">
      <c r="A44" s="0" t="n">
        <v>42</v>
      </c>
      <c r="B44" s="23" t="n">
        <v>100357.27</v>
      </c>
      <c r="C44" s="23" t="n">
        <v>101619.08</v>
      </c>
      <c r="D44" s="23" t="n">
        <v>101728.92</v>
      </c>
      <c r="E44" s="23" t="n">
        <v>104757.26</v>
      </c>
      <c r="F44" s="23" t="n">
        <v>105446.62</v>
      </c>
      <c r="G44" s="23" t="n">
        <v>105925.82</v>
      </c>
      <c r="H44" s="23" t="n">
        <v>105287.2</v>
      </c>
      <c r="I44" s="23" t="n">
        <v>103853.36</v>
      </c>
      <c r="J44" s="23" t="n">
        <v>97747.41</v>
      </c>
      <c r="K44" s="23" t="n">
        <v>97529.24</v>
      </c>
      <c r="L44" s="23" t="n">
        <v>104080.66</v>
      </c>
      <c r="M44" s="23" t="n">
        <v>107593.78</v>
      </c>
      <c r="N44" s="23" t="n">
        <v>101984.91</v>
      </c>
      <c r="O44" s="23" t="n">
        <v>106900.8</v>
      </c>
      <c r="P44" s="23" t="n">
        <v>96044.92</v>
      </c>
      <c r="Q44" s="23" t="n">
        <v>107403.67</v>
      </c>
      <c r="R44" s="23" t="n">
        <v>98766.54</v>
      </c>
      <c r="S44" s="23" t="n">
        <v>92053.47</v>
      </c>
      <c r="T44" s="23" t="n">
        <v>94132.07</v>
      </c>
      <c r="U44" s="23" t="n">
        <v>97749.03</v>
      </c>
      <c r="V44" s="23" t="n">
        <v>99562.2</v>
      </c>
      <c r="W44" s="23" t="n">
        <v>98064.48</v>
      </c>
      <c r="X44" s="23" t="n">
        <v>105538.65</v>
      </c>
      <c r="Y44" s="23" t="n">
        <v>96658.48</v>
      </c>
      <c r="Z44" s="23" t="n">
        <v>105272.18</v>
      </c>
    </row>
    <row r="45" customFormat="false" ht="15" hidden="false" customHeight="false" outlineLevel="0" collapsed="false">
      <c r="A45" s="0" t="n">
        <v>43</v>
      </c>
      <c r="B45" s="23" t="n">
        <v>100366.91</v>
      </c>
      <c r="C45" s="23" t="n">
        <v>101099.15</v>
      </c>
      <c r="D45" s="23" t="n">
        <v>102547.08</v>
      </c>
      <c r="E45" s="23" t="n">
        <v>103824.49</v>
      </c>
      <c r="F45" s="23" t="n">
        <v>105711.63</v>
      </c>
      <c r="G45" s="23" t="n">
        <v>105186.3</v>
      </c>
      <c r="H45" s="23" t="n">
        <v>104707.13</v>
      </c>
      <c r="I45" s="23" t="n">
        <v>102934.34</v>
      </c>
      <c r="J45" s="23" t="n">
        <v>97766.91</v>
      </c>
      <c r="K45" s="23" t="n">
        <v>97438.28</v>
      </c>
      <c r="L45" s="23" t="n">
        <v>103570.4</v>
      </c>
      <c r="M45" s="23" t="n">
        <v>107570.71</v>
      </c>
      <c r="N45" s="23" t="n">
        <v>101993.24</v>
      </c>
      <c r="O45" s="23" t="n">
        <v>107251.7</v>
      </c>
      <c r="P45" s="23" t="n">
        <v>95259.35</v>
      </c>
      <c r="Q45" s="23" t="n">
        <v>108663.22</v>
      </c>
      <c r="R45" s="23" t="n">
        <v>98086.79</v>
      </c>
      <c r="S45" s="23" t="n">
        <v>91694.98</v>
      </c>
      <c r="T45" s="23" t="n">
        <v>94351.11</v>
      </c>
      <c r="U45" s="23" t="n">
        <v>98605.39</v>
      </c>
      <c r="V45" s="23" t="n">
        <v>98609.32</v>
      </c>
      <c r="W45" s="23" t="n">
        <v>97659.49</v>
      </c>
      <c r="X45" s="23" t="n">
        <v>105328.9</v>
      </c>
      <c r="Y45" s="23" t="n">
        <v>96983.92</v>
      </c>
      <c r="Z45" s="23" t="n">
        <v>104794.76</v>
      </c>
    </row>
    <row r="46" customFormat="false" ht="15" hidden="false" customHeight="false" outlineLevel="0" collapsed="false">
      <c r="A46" s="0" t="n">
        <v>44</v>
      </c>
      <c r="B46" s="23" t="n">
        <v>99460.57</v>
      </c>
      <c r="C46" s="23" t="n">
        <v>101847.96</v>
      </c>
      <c r="D46" s="23" t="n">
        <v>102049.86</v>
      </c>
      <c r="E46" s="23" t="n">
        <v>104574.69</v>
      </c>
      <c r="F46" s="23" t="n">
        <v>105986.98</v>
      </c>
      <c r="G46" s="23" t="n">
        <v>105900.32</v>
      </c>
      <c r="H46" s="23" t="n">
        <v>105184.51</v>
      </c>
      <c r="I46" s="23" t="n">
        <v>102956.13</v>
      </c>
      <c r="J46" s="23" t="n">
        <v>97596.99</v>
      </c>
      <c r="K46" s="23" t="n">
        <v>97732.01</v>
      </c>
      <c r="L46" s="23" t="n">
        <v>103699.27</v>
      </c>
      <c r="M46" s="23" t="n">
        <v>107986.44</v>
      </c>
      <c r="N46" s="23" t="n">
        <v>102687.59</v>
      </c>
      <c r="O46" s="23" t="n">
        <v>108918.25</v>
      </c>
      <c r="P46" s="23" t="n">
        <v>95417.32</v>
      </c>
      <c r="Q46" s="23" t="n">
        <v>107892.6</v>
      </c>
      <c r="R46" s="23" t="n">
        <v>98747.82</v>
      </c>
      <c r="S46" s="23" t="n">
        <v>92131.1</v>
      </c>
      <c r="T46" s="23" t="n">
        <v>94004.5</v>
      </c>
      <c r="U46" s="23" t="n">
        <v>98966.94</v>
      </c>
      <c r="V46" s="23" t="n">
        <v>98046.62</v>
      </c>
      <c r="W46" s="23" t="n">
        <v>97301.14</v>
      </c>
      <c r="X46" s="23" t="n">
        <v>103921.06</v>
      </c>
      <c r="Y46" s="23" t="n">
        <v>96251.53</v>
      </c>
      <c r="Z46" s="23" t="n">
        <v>105237.76</v>
      </c>
    </row>
    <row r="47" customFormat="false" ht="15" hidden="false" customHeight="false" outlineLevel="0" collapsed="false">
      <c r="A47" s="0" t="n">
        <v>45</v>
      </c>
      <c r="B47" s="23" t="n">
        <v>99126.44</v>
      </c>
      <c r="C47" s="23" t="n">
        <v>101097.25</v>
      </c>
      <c r="D47" s="23" t="n">
        <v>102366.76</v>
      </c>
      <c r="E47" s="23" t="n">
        <v>105210.46</v>
      </c>
      <c r="F47" s="23" t="n">
        <v>106573.84</v>
      </c>
      <c r="G47" s="23" t="n">
        <v>106472.79</v>
      </c>
      <c r="H47" s="23" t="n">
        <v>105505.31</v>
      </c>
      <c r="I47" s="23" t="n">
        <v>102677.18</v>
      </c>
      <c r="J47" s="23" t="n">
        <v>98077.78</v>
      </c>
      <c r="K47" s="23" t="n">
        <v>97926.8</v>
      </c>
      <c r="L47" s="23" t="n">
        <v>102851.49</v>
      </c>
      <c r="M47" s="23" t="n">
        <v>107479.11</v>
      </c>
      <c r="N47" s="23" t="n">
        <v>102507.68</v>
      </c>
      <c r="O47" s="23" t="n">
        <v>107777.65</v>
      </c>
      <c r="P47" s="23" t="n">
        <v>95858.9</v>
      </c>
      <c r="Q47" s="23" t="n">
        <v>107496.68</v>
      </c>
      <c r="R47" s="23" t="n">
        <v>99266.2</v>
      </c>
      <c r="S47" s="23" t="n">
        <v>92808.42</v>
      </c>
      <c r="T47" s="23" t="n">
        <v>93673.6</v>
      </c>
      <c r="U47" s="23" t="n">
        <v>99225.39</v>
      </c>
      <c r="V47" s="23" t="n">
        <v>98101.61</v>
      </c>
      <c r="W47" s="23" t="n">
        <v>96854.09</v>
      </c>
      <c r="X47" s="23" t="n">
        <v>104337.33</v>
      </c>
      <c r="Y47" s="23" t="n">
        <v>97182.64</v>
      </c>
      <c r="Z47" s="23" t="n">
        <v>105218.79</v>
      </c>
    </row>
    <row r="48" customFormat="false" ht="15" hidden="false" customHeight="false" outlineLevel="0" collapsed="false">
      <c r="A48" s="0" t="n">
        <v>46</v>
      </c>
      <c r="B48" s="23" t="n">
        <v>98742.95</v>
      </c>
      <c r="C48" s="23" t="n">
        <v>102230.64</v>
      </c>
      <c r="D48" s="23" t="n">
        <v>103861.16</v>
      </c>
      <c r="E48" s="23" t="n">
        <v>106159.36</v>
      </c>
      <c r="F48" s="23" t="n">
        <v>107514.94</v>
      </c>
      <c r="G48" s="23" t="n">
        <v>105600.75</v>
      </c>
      <c r="H48" s="23" t="n">
        <v>106588.59</v>
      </c>
      <c r="I48" s="23" t="n">
        <v>103517.36</v>
      </c>
      <c r="J48" s="23" t="n">
        <v>97770.41</v>
      </c>
      <c r="K48" s="23" t="n">
        <v>98206.33</v>
      </c>
      <c r="L48" s="23" t="n">
        <v>102136.13</v>
      </c>
      <c r="M48" s="23" t="n">
        <v>107270.12</v>
      </c>
      <c r="N48" s="23" t="n">
        <v>102620.45</v>
      </c>
      <c r="O48" s="23" t="n">
        <v>108028.99</v>
      </c>
      <c r="P48" s="23" t="n">
        <v>96524.06</v>
      </c>
      <c r="Q48" s="23" t="n">
        <v>107898.09</v>
      </c>
      <c r="R48" s="23" t="n">
        <v>99537.29</v>
      </c>
      <c r="S48" s="23" t="n">
        <v>92794.4</v>
      </c>
      <c r="T48" s="23" t="n">
        <v>94842.43</v>
      </c>
      <c r="U48" s="23" t="n">
        <v>100239.78</v>
      </c>
      <c r="V48" s="23" t="n">
        <v>97878.73</v>
      </c>
      <c r="W48" s="23" t="n">
        <v>95824.96</v>
      </c>
      <c r="X48" s="23" t="n">
        <v>105261.1</v>
      </c>
      <c r="Y48" s="23" t="n">
        <v>96801.44</v>
      </c>
      <c r="Z48" s="23" t="n">
        <v>103811.33</v>
      </c>
    </row>
    <row r="49" customFormat="false" ht="15" hidden="false" customHeight="false" outlineLevel="0" collapsed="false">
      <c r="A49" s="0" t="n">
        <v>47</v>
      </c>
      <c r="B49" s="23" t="n">
        <v>97316.55</v>
      </c>
      <c r="C49" s="23" t="n">
        <v>101765.93</v>
      </c>
      <c r="D49" s="23" t="n">
        <v>104097.9</v>
      </c>
      <c r="E49" s="23" t="n">
        <v>106534.05</v>
      </c>
      <c r="F49" s="23" t="n">
        <v>106752.73</v>
      </c>
      <c r="G49" s="23" t="n">
        <v>105340.68</v>
      </c>
      <c r="H49" s="23" t="n">
        <v>106785.32</v>
      </c>
      <c r="I49" s="23" t="n">
        <v>103725.14</v>
      </c>
      <c r="J49" s="23" t="n">
        <v>97400.96</v>
      </c>
      <c r="K49" s="23" t="n">
        <v>98439.44</v>
      </c>
      <c r="L49" s="23" t="n">
        <v>102057.9</v>
      </c>
      <c r="M49" s="23" t="n">
        <v>109012.54</v>
      </c>
      <c r="N49" s="23" t="n">
        <v>101893.42</v>
      </c>
      <c r="O49" s="23" t="n">
        <v>108802.1</v>
      </c>
      <c r="P49" s="23" t="n">
        <v>97725.53</v>
      </c>
      <c r="Q49" s="23" t="n">
        <v>109149.31</v>
      </c>
      <c r="R49" s="23" t="n">
        <v>99305.99</v>
      </c>
      <c r="S49" s="23" t="n">
        <v>92595.69</v>
      </c>
      <c r="T49" s="23" t="n">
        <v>94036.31</v>
      </c>
      <c r="U49" s="23" t="n">
        <v>100359.34</v>
      </c>
      <c r="V49" s="23" t="n">
        <v>99261.56</v>
      </c>
      <c r="W49" s="23" t="n">
        <v>96206</v>
      </c>
      <c r="X49" s="23" t="n">
        <v>105400.68</v>
      </c>
      <c r="Y49" s="23" t="n">
        <v>95858.69</v>
      </c>
      <c r="Z49" s="23" t="n">
        <v>103895.81</v>
      </c>
    </row>
    <row r="50" customFormat="false" ht="15" hidden="false" customHeight="false" outlineLevel="0" collapsed="false">
      <c r="A50" s="0" t="n">
        <v>48</v>
      </c>
      <c r="B50" s="23" t="n">
        <v>97474.28</v>
      </c>
      <c r="C50" s="23" t="n">
        <v>100608.3</v>
      </c>
      <c r="D50" s="23" t="n">
        <v>104167.3</v>
      </c>
      <c r="E50" s="23" t="n">
        <v>104950.08</v>
      </c>
      <c r="F50" s="23" t="n">
        <v>107594.07</v>
      </c>
      <c r="G50" s="23" t="n">
        <v>104575.16</v>
      </c>
      <c r="H50" s="23" t="n">
        <v>105662.34</v>
      </c>
      <c r="I50" s="23" t="n">
        <v>103734.92</v>
      </c>
      <c r="J50" s="23" t="n">
        <v>97733.09</v>
      </c>
      <c r="K50" s="23" t="n">
        <v>99110.46</v>
      </c>
      <c r="L50" s="23" t="n">
        <v>103069.94</v>
      </c>
      <c r="M50" s="23" t="n">
        <v>108844.72</v>
      </c>
      <c r="N50" s="23" t="n">
        <v>102228.17</v>
      </c>
      <c r="O50" s="23" t="n">
        <v>108902.31</v>
      </c>
      <c r="P50" s="23" t="n">
        <v>97558.02</v>
      </c>
      <c r="Q50" s="23" t="n">
        <v>107767.94</v>
      </c>
      <c r="R50" s="23" t="n">
        <v>98409.04</v>
      </c>
      <c r="S50" s="23" t="n">
        <v>92447.51</v>
      </c>
      <c r="T50" s="23" t="n">
        <v>93740.2</v>
      </c>
      <c r="U50" s="23" t="n">
        <v>100314.57</v>
      </c>
      <c r="V50" s="23" t="n">
        <v>98336</v>
      </c>
      <c r="W50" s="23" t="n">
        <v>96478.85</v>
      </c>
      <c r="X50" s="23" t="n">
        <v>105203.16</v>
      </c>
      <c r="Y50" s="23" t="n">
        <v>96271.66</v>
      </c>
      <c r="Z50" s="23" t="n">
        <v>104005.49</v>
      </c>
    </row>
    <row r="51" customFormat="false" ht="15" hidden="false" customHeight="false" outlineLevel="0" collapsed="false">
      <c r="A51" s="0" t="n">
        <v>49</v>
      </c>
      <c r="B51" s="23" t="n">
        <v>96979.43</v>
      </c>
      <c r="C51" s="23" t="n">
        <v>100310.75</v>
      </c>
      <c r="D51" s="23" t="n">
        <v>103617.01</v>
      </c>
      <c r="E51" s="23" t="n">
        <v>105379.76</v>
      </c>
      <c r="F51" s="23" t="n">
        <v>107186.76</v>
      </c>
      <c r="G51" s="23" t="n">
        <v>104223.11</v>
      </c>
      <c r="H51" s="23" t="n">
        <v>105137.79</v>
      </c>
      <c r="I51" s="23" t="n">
        <v>103656.79</v>
      </c>
      <c r="J51" s="23" t="n">
        <v>97758.06</v>
      </c>
      <c r="K51" s="23" t="n">
        <v>100042.68</v>
      </c>
      <c r="L51" s="23" t="n">
        <v>103160.12</v>
      </c>
      <c r="M51" s="23" t="n">
        <v>109136.05</v>
      </c>
      <c r="N51" s="23" t="n">
        <v>103545.28</v>
      </c>
      <c r="O51" s="23" t="n">
        <v>107522.24</v>
      </c>
      <c r="P51" s="23" t="n">
        <v>97542.24</v>
      </c>
      <c r="Q51" s="23" t="n">
        <v>109128.57</v>
      </c>
      <c r="R51" s="23" t="n">
        <v>98234.62</v>
      </c>
      <c r="S51" s="23" t="n">
        <v>92162.47</v>
      </c>
      <c r="T51" s="23" t="n">
        <v>94808.58</v>
      </c>
      <c r="U51" s="23" t="n">
        <v>99325.3</v>
      </c>
      <c r="V51" s="23" t="n">
        <v>98887.54</v>
      </c>
      <c r="W51" s="23" t="n">
        <v>95394.8</v>
      </c>
      <c r="X51" s="23" t="n">
        <v>105579.76</v>
      </c>
      <c r="Y51" s="23" t="n">
        <v>95865.64</v>
      </c>
      <c r="Z51" s="23" t="n">
        <v>104247.21</v>
      </c>
    </row>
    <row r="52" customFormat="false" ht="15" hidden="false" customHeight="false" outlineLevel="0" collapsed="false">
      <c r="A52" s="0" t="n">
        <v>50</v>
      </c>
      <c r="B52" s="23" t="n">
        <v>97495.22</v>
      </c>
      <c r="C52" s="23" t="n">
        <v>101147.03</v>
      </c>
      <c r="D52" s="23" t="n">
        <v>103768.98</v>
      </c>
      <c r="E52" s="23" t="n">
        <v>107006.08</v>
      </c>
      <c r="F52" s="23" t="n">
        <v>108018.75</v>
      </c>
      <c r="G52" s="23" t="n">
        <v>103429.36</v>
      </c>
      <c r="H52" s="23" t="n">
        <v>105822.99</v>
      </c>
      <c r="I52" s="23" t="n">
        <v>104246.82</v>
      </c>
      <c r="J52" s="23" t="n">
        <v>98488.9</v>
      </c>
      <c r="K52" s="23" t="n">
        <v>100187.54</v>
      </c>
      <c r="L52" s="23" t="n">
        <v>103896.31</v>
      </c>
      <c r="M52" s="23" t="n">
        <v>108480.36</v>
      </c>
      <c r="N52" s="23" t="n">
        <v>103018.25</v>
      </c>
      <c r="O52" s="23" t="n">
        <v>106816.14</v>
      </c>
      <c r="P52" s="23" t="n">
        <v>97446.78</v>
      </c>
      <c r="Q52" s="23" t="n">
        <v>108134.51</v>
      </c>
      <c r="R52" s="23" t="n">
        <v>98411.67</v>
      </c>
      <c r="S52" s="23" t="n">
        <v>92325</v>
      </c>
      <c r="T52" s="23" t="n">
        <v>94727.59</v>
      </c>
      <c r="U52" s="23" t="n">
        <v>99935.33</v>
      </c>
      <c r="V52" s="23" t="n">
        <v>98089.37</v>
      </c>
      <c r="W52" s="23" t="n">
        <v>95977.8</v>
      </c>
      <c r="X52" s="23" t="n">
        <v>104456.65</v>
      </c>
      <c r="Y52" s="23" t="n">
        <v>96845</v>
      </c>
      <c r="Z52" s="23" t="n">
        <v>104108.18</v>
      </c>
    </row>
    <row r="53" customFormat="false" ht="15" hidden="false" customHeight="false" outlineLevel="0" collapsed="false">
      <c r="A53" s="0" t="n">
        <v>51</v>
      </c>
      <c r="B53" s="23" t="n">
        <v>97228.75</v>
      </c>
      <c r="C53" s="23" t="n">
        <v>102705.77</v>
      </c>
      <c r="D53" s="23" t="n">
        <v>104405.06</v>
      </c>
      <c r="E53" s="23" t="n">
        <v>107119.32</v>
      </c>
      <c r="F53" s="23" t="n">
        <v>109112.29</v>
      </c>
      <c r="G53" s="23" t="n">
        <v>103203.74</v>
      </c>
      <c r="H53" s="23" t="n">
        <v>106526.4</v>
      </c>
      <c r="I53" s="23" t="n">
        <v>103056.63</v>
      </c>
      <c r="J53" s="23" t="n">
        <v>98432.77</v>
      </c>
      <c r="K53" s="23" t="n">
        <v>101184.64</v>
      </c>
      <c r="L53" s="23" t="n">
        <v>104178.94</v>
      </c>
      <c r="M53" s="23" t="n">
        <v>108067.53</v>
      </c>
      <c r="N53" s="23" t="n">
        <v>103416.63</v>
      </c>
      <c r="O53" s="23" t="n">
        <v>105603.42</v>
      </c>
      <c r="P53" s="23" t="n">
        <v>97081</v>
      </c>
      <c r="Q53" s="23" t="n">
        <v>108671.1</v>
      </c>
      <c r="R53" s="23" t="n">
        <v>97790.68</v>
      </c>
      <c r="S53" s="23" t="n">
        <v>92316.9</v>
      </c>
      <c r="T53" s="23" t="n">
        <v>94780.84</v>
      </c>
      <c r="U53" s="23" t="n">
        <v>99385.96</v>
      </c>
      <c r="V53" s="23" t="n">
        <v>98071.88</v>
      </c>
      <c r="W53" s="23" t="n">
        <v>96990.62</v>
      </c>
      <c r="X53" s="23" t="n">
        <v>103024.85</v>
      </c>
      <c r="Y53" s="23" t="n">
        <v>97431.9</v>
      </c>
      <c r="Z53" s="23" t="n">
        <v>104049.9</v>
      </c>
    </row>
    <row r="54" customFormat="false" ht="15" hidden="false" customHeight="false" outlineLevel="0" collapsed="false">
      <c r="A54" s="0" t="n">
        <v>52</v>
      </c>
      <c r="B54" s="23" t="n">
        <v>97786.87</v>
      </c>
      <c r="C54" s="23" t="n">
        <v>102101.19</v>
      </c>
      <c r="D54" s="23" t="n">
        <v>104829.39</v>
      </c>
      <c r="E54" s="23" t="n">
        <v>107296.82</v>
      </c>
      <c r="F54" s="23" t="n">
        <v>108164.67</v>
      </c>
      <c r="G54" s="23" t="n">
        <v>102677.76</v>
      </c>
      <c r="H54" s="23" t="n">
        <v>106638.85</v>
      </c>
      <c r="I54" s="23" t="n">
        <v>103489.26</v>
      </c>
      <c r="J54" s="23" t="n">
        <v>98995.96</v>
      </c>
      <c r="K54" s="23" t="n">
        <v>101099.96</v>
      </c>
      <c r="L54" s="23" t="n">
        <v>104495.59</v>
      </c>
      <c r="M54" s="23" t="n">
        <v>108213.85</v>
      </c>
      <c r="N54" s="23" t="n">
        <v>102904.81</v>
      </c>
      <c r="O54" s="23" t="n">
        <v>105294.44</v>
      </c>
      <c r="P54" s="23" t="n">
        <v>97291.35</v>
      </c>
      <c r="Q54" s="23" t="n">
        <v>109078.2</v>
      </c>
      <c r="R54" s="23" t="n">
        <v>99153.93</v>
      </c>
      <c r="S54" s="23" t="n">
        <v>91655.75</v>
      </c>
      <c r="T54" s="23" t="n">
        <v>95554.52</v>
      </c>
      <c r="U54" s="23" t="n">
        <v>99147.62</v>
      </c>
      <c r="V54" s="23" t="n">
        <v>98903.84</v>
      </c>
      <c r="W54" s="23" t="n">
        <v>98046.05</v>
      </c>
      <c r="X54" s="23" t="n">
        <v>102914.54</v>
      </c>
      <c r="Y54" s="23" t="n">
        <v>96927.35</v>
      </c>
      <c r="Z54" s="23" t="n">
        <v>104779.55</v>
      </c>
    </row>
    <row r="55" customFormat="false" ht="15" hidden="false" customHeight="false" outlineLevel="0" collapsed="false">
      <c r="A55" s="0" t="n">
        <v>53</v>
      </c>
      <c r="B55" s="23" t="n">
        <v>98563.42</v>
      </c>
      <c r="C55" s="23" t="n">
        <v>102001.34</v>
      </c>
      <c r="D55" s="23" t="n">
        <v>104538.42</v>
      </c>
      <c r="E55" s="23" t="n">
        <v>107423.56</v>
      </c>
      <c r="F55" s="23" t="n">
        <v>107252.78</v>
      </c>
      <c r="G55" s="23" t="n">
        <v>101888.63</v>
      </c>
      <c r="H55" s="23" t="n">
        <v>106560.6</v>
      </c>
      <c r="I55" s="23" t="n">
        <v>104207.36</v>
      </c>
      <c r="J55" s="23" t="n">
        <v>98505.2</v>
      </c>
      <c r="K55" s="23" t="n">
        <v>100478.64</v>
      </c>
      <c r="L55" s="23" t="n">
        <v>103596.01</v>
      </c>
      <c r="M55" s="23" t="n">
        <v>110240.01</v>
      </c>
      <c r="N55" s="23" t="n">
        <v>102441.04</v>
      </c>
      <c r="O55" s="23" t="n">
        <v>105580.55</v>
      </c>
      <c r="P55" s="23" t="n">
        <v>96950.73</v>
      </c>
      <c r="Q55" s="23" t="n">
        <v>108326.27</v>
      </c>
      <c r="R55" s="23" t="n">
        <v>98740.28</v>
      </c>
      <c r="S55" s="23" t="n">
        <v>92920.22</v>
      </c>
      <c r="T55" s="23" t="n">
        <v>96130.35</v>
      </c>
      <c r="U55" s="23" t="n">
        <v>98528.85</v>
      </c>
      <c r="V55" s="23" t="n">
        <v>100673.91</v>
      </c>
      <c r="W55" s="23" t="n">
        <v>98612.99</v>
      </c>
      <c r="X55" s="23" t="n">
        <v>102859.98</v>
      </c>
      <c r="Y55" s="23" t="n">
        <v>97498.69</v>
      </c>
      <c r="Z55" s="23" t="n">
        <v>105336.37</v>
      </c>
    </row>
    <row r="56" customFormat="false" ht="15" hidden="false" customHeight="false" outlineLevel="0" collapsed="false">
      <c r="A56" s="0" t="n">
        <v>54</v>
      </c>
      <c r="B56" s="23" t="n">
        <v>98727.58</v>
      </c>
      <c r="C56" s="23" t="n">
        <v>102819.31</v>
      </c>
      <c r="D56" s="23" t="n">
        <v>104319.68</v>
      </c>
      <c r="E56" s="23" t="n">
        <v>106309.52</v>
      </c>
      <c r="F56" s="23" t="n">
        <v>105597.38</v>
      </c>
      <c r="G56" s="23" t="n">
        <v>102631.69</v>
      </c>
      <c r="H56" s="23" t="n">
        <v>106820.93</v>
      </c>
      <c r="I56" s="23" t="n">
        <v>105869.57</v>
      </c>
      <c r="J56" s="23" t="n">
        <v>97492.45</v>
      </c>
      <c r="K56" s="23" t="n">
        <v>100213.7</v>
      </c>
      <c r="L56" s="23" t="n">
        <v>105266.46</v>
      </c>
      <c r="M56" s="23" t="n">
        <v>110078.98</v>
      </c>
      <c r="N56" s="23" t="n">
        <v>102919.13</v>
      </c>
      <c r="O56" s="23" t="n">
        <v>105748.27</v>
      </c>
      <c r="P56" s="23" t="n">
        <v>98179.91</v>
      </c>
      <c r="Q56" s="23" t="n">
        <v>107613.85</v>
      </c>
      <c r="R56" s="23" t="n">
        <v>98338.9</v>
      </c>
      <c r="S56" s="23" t="n">
        <v>92800.21</v>
      </c>
      <c r="T56" s="23" t="n">
        <v>96499.93</v>
      </c>
      <c r="U56" s="23" t="n">
        <v>98865.22</v>
      </c>
      <c r="V56" s="23" t="n">
        <v>100504.83</v>
      </c>
      <c r="W56" s="23" t="n">
        <v>99267.6</v>
      </c>
      <c r="X56" s="23" t="n">
        <v>102211.51</v>
      </c>
      <c r="Y56" s="23" t="n">
        <v>96112.14</v>
      </c>
      <c r="Z56" s="23" t="n">
        <v>105153.49</v>
      </c>
    </row>
    <row r="57" customFormat="false" ht="15" hidden="false" customHeight="false" outlineLevel="0" collapsed="false">
      <c r="A57" s="0" t="n">
        <v>55</v>
      </c>
      <c r="B57" s="23" t="n">
        <v>97961.22</v>
      </c>
      <c r="C57" s="23" t="n">
        <v>102930.24</v>
      </c>
      <c r="D57" s="23" t="n">
        <v>103734.22</v>
      </c>
      <c r="E57" s="23" t="n">
        <v>106574.1</v>
      </c>
      <c r="F57" s="23" t="n">
        <v>108090.05</v>
      </c>
      <c r="G57" s="23" t="n">
        <v>102494.8</v>
      </c>
      <c r="H57" s="23" t="n">
        <v>106207.15</v>
      </c>
      <c r="I57" s="23" t="n">
        <v>104908.22</v>
      </c>
      <c r="J57" s="23" t="n">
        <v>97971.54</v>
      </c>
      <c r="K57" s="23" t="n">
        <v>102025.35</v>
      </c>
      <c r="L57" s="23" t="n">
        <v>106532.11</v>
      </c>
      <c r="M57" s="23" t="n">
        <v>110172.3</v>
      </c>
      <c r="N57" s="23" t="n">
        <v>103769.34</v>
      </c>
      <c r="O57" s="23" t="n">
        <v>105783.15</v>
      </c>
      <c r="P57" s="23" t="n">
        <v>97439.28</v>
      </c>
      <c r="Q57" s="23" t="n">
        <v>107317.05</v>
      </c>
      <c r="R57" s="23" t="n">
        <v>98983.27</v>
      </c>
      <c r="S57" s="23" t="n">
        <v>92133.69</v>
      </c>
      <c r="T57" s="23" t="n">
        <v>96514</v>
      </c>
      <c r="U57" s="23" t="n">
        <v>98966.66</v>
      </c>
      <c r="V57" s="23" t="n">
        <v>100599.53</v>
      </c>
      <c r="W57" s="23" t="n">
        <v>99963.9</v>
      </c>
      <c r="X57" s="23" t="n">
        <v>102763.13</v>
      </c>
      <c r="Y57" s="23" t="n">
        <v>96620.53</v>
      </c>
      <c r="Z57" s="23" t="n">
        <v>104624.43</v>
      </c>
    </row>
    <row r="58" customFormat="false" ht="15" hidden="false" customHeight="false" outlineLevel="0" collapsed="false">
      <c r="A58" s="0" t="n">
        <v>56</v>
      </c>
      <c r="B58" s="23" t="n">
        <v>98005.09</v>
      </c>
      <c r="C58" s="23" t="n">
        <v>103980.09</v>
      </c>
      <c r="D58" s="23" t="n">
        <v>102393.45</v>
      </c>
      <c r="E58" s="23" t="n">
        <v>106878.21</v>
      </c>
      <c r="F58" s="23" t="n">
        <v>109264.43</v>
      </c>
      <c r="G58" s="23" t="n">
        <v>102666.18</v>
      </c>
      <c r="H58" s="23" t="n">
        <v>107213.07</v>
      </c>
      <c r="I58" s="23" t="n">
        <v>104539.4</v>
      </c>
      <c r="J58" s="23" t="n">
        <v>99348.05</v>
      </c>
      <c r="K58" s="23" t="n">
        <v>102025.04</v>
      </c>
      <c r="L58" s="23" t="n">
        <v>106454.49</v>
      </c>
      <c r="M58" s="23" t="n">
        <v>109807.16</v>
      </c>
      <c r="N58" s="23" t="n">
        <v>105063.11</v>
      </c>
      <c r="O58" s="23" t="n">
        <v>106644.44</v>
      </c>
      <c r="P58" s="23" t="n">
        <v>97523.92</v>
      </c>
      <c r="Q58" s="23" t="n">
        <v>107905.42</v>
      </c>
      <c r="R58" s="23" t="n">
        <v>98737.01</v>
      </c>
      <c r="S58" s="23" t="n">
        <v>91941.43</v>
      </c>
      <c r="T58" s="23" t="n">
        <v>96038.7</v>
      </c>
      <c r="U58" s="23" t="n">
        <v>99043.62</v>
      </c>
      <c r="V58" s="23" t="n">
        <v>100753.96</v>
      </c>
      <c r="W58" s="23" t="n">
        <v>101437.25</v>
      </c>
      <c r="X58" s="23" t="n">
        <v>102872.79</v>
      </c>
      <c r="Y58" s="23" t="n">
        <v>96056.28</v>
      </c>
      <c r="Z58" s="23" t="n">
        <v>103741.03</v>
      </c>
    </row>
    <row r="59" customFormat="false" ht="15" hidden="false" customHeight="false" outlineLevel="0" collapsed="false">
      <c r="A59" s="0" t="n">
        <v>57</v>
      </c>
      <c r="B59" s="23" t="n">
        <v>98465.46</v>
      </c>
      <c r="C59" s="23" t="n">
        <v>103885.05</v>
      </c>
      <c r="D59" s="23" t="n">
        <v>101670.21</v>
      </c>
      <c r="E59" s="23" t="n">
        <v>105822.98</v>
      </c>
      <c r="F59" s="23" t="n">
        <v>108850.73</v>
      </c>
      <c r="G59" s="23" t="n">
        <v>101821.05</v>
      </c>
      <c r="H59" s="23" t="n">
        <v>105192.34</v>
      </c>
      <c r="I59" s="23" t="n">
        <v>103234.09</v>
      </c>
      <c r="J59" s="23" t="n">
        <v>99931.32</v>
      </c>
      <c r="K59" s="23" t="n">
        <v>102609.24</v>
      </c>
      <c r="L59" s="23" t="n">
        <v>106097.93</v>
      </c>
      <c r="M59" s="23" t="n">
        <v>110096.04</v>
      </c>
      <c r="N59" s="23" t="n">
        <v>105671.91</v>
      </c>
      <c r="O59" s="23" t="n">
        <v>106285.53</v>
      </c>
      <c r="P59" s="23" t="n">
        <v>97351.72</v>
      </c>
      <c r="Q59" s="23" t="n">
        <v>106715.42</v>
      </c>
      <c r="R59" s="23" t="n">
        <v>97459.18</v>
      </c>
      <c r="S59" s="23" t="n">
        <v>91795.59</v>
      </c>
      <c r="T59" s="23" t="n">
        <v>96409.32</v>
      </c>
      <c r="U59" s="23" t="n">
        <v>98485.74</v>
      </c>
      <c r="V59" s="23" t="n">
        <v>100341.49</v>
      </c>
      <c r="W59" s="23" t="n">
        <v>101987.31</v>
      </c>
      <c r="X59" s="23" t="n">
        <v>102627.83</v>
      </c>
      <c r="Y59" s="23" t="n">
        <v>96117.11</v>
      </c>
      <c r="Z59" s="23" t="n">
        <v>103603.67</v>
      </c>
    </row>
    <row r="60" customFormat="false" ht="15" hidden="false" customHeight="false" outlineLevel="0" collapsed="false">
      <c r="A60" s="0" t="n">
        <v>58</v>
      </c>
      <c r="B60" s="23" t="n">
        <v>97701.86</v>
      </c>
      <c r="C60" s="23" t="n">
        <v>104293.28</v>
      </c>
      <c r="D60" s="23" t="n">
        <v>101765.18</v>
      </c>
      <c r="E60" s="23" t="n">
        <v>105631.25</v>
      </c>
      <c r="F60" s="23" t="n">
        <v>108526.99</v>
      </c>
      <c r="G60" s="23" t="n">
        <v>101669.85</v>
      </c>
      <c r="H60" s="23" t="n">
        <v>104506.54</v>
      </c>
      <c r="I60" s="23" t="n">
        <v>103099.79</v>
      </c>
      <c r="J60" s="23" t="n">
        <v>99939.49</v>
      </c>
      <c r="K60" s="23" t="n">
        <v>103489.26</v>
      </c>
      <c r="L60" s="23" t="n">
        <v>106808.55</v>
      </c>
      <c r="M60" s="23" t="n">
        <v>109601.59</v>
      </c>
      <c r="N60" s="23" t="n">
        <v>105531.62</v>
      </c>
      <c r="O60" s="23" t="n">
        <v>105834.02</v>
      </c>
      <c r="P60" s="23" t="n">
        <v>96721.41</v>
      </c>
      <c r="Q60" s="23" t="n">
        <v>106134.93</v>
      </c>
      <c r="R60" s="23" t="n">
        <v>97589.06</v>
      </c>
      <c r="S60" s="23" t="n">
        <v>91449.04</v>
      </c>
      <c r="T60" s="23" t="n">
        <v>96978.91</v>
      </c>
      <c r="U60" s="23" t="n">
        <v>99010.54</v>
      </c>
      <c r="V60" s="23" t="n">
        <v>99726.58</v>
      </c>
      <c r="W60" s="23" t="n">
        <v>100497.66</v>
      </c>
      <c r="X60" s="23" t="n">
        <v>103112.97</v>
      </c>
      <c r="Y60" s="23" t="n">
        <v>97063.08</v>
      </c>
      <c r="Z60" s="23" t="n">
        <v>103146.14</v>
      </c>
    </row>
    <row r="61" customFormat="false" ht="15" hidden="false" customHeight="false" outlineLevel="0" collapsed="false">
      <c r="A61" s="0" t="n">
        <v>59</v>
      </c>
      <c r="B61" s="23" t="n">
        <v>98371.87</v>
      </c>
      <c r="C61" s="23" t="n">
        <v>103481.39</v>
      </c>
      <c r="D61" s="23" t="n">
        <v>103015.6</v>
      </c>
      <c r="E61" s="23" t="n">
        <v>106431.71</v>
      </c>
      <c r="F61" s="23" t="n">
        <v>108576.63</v>
      </c>
      <c r="G61" s="23" t="n">
        <v>102055.87</v>
      </c>
      <c r="H61" s="23" t="n">
        <v>104666.69</v>
      </c>
      <c r="I61" s="23" t="n">
        <v>102812.32</v>
      </c>
      <c r="J61" s="23" t="n">
        <v>99311.61</v>
      </c>
      <c r="K61" s="23" t="n">
        <v>104176.13</v>
      </c>
      <c r="L61" s="23" t="n">
        <v>106638.12</v>
      </c>
      <c r="M61" s="23" t="n">
        <v>109669.83</v>
      </c>
      <c r="N61" s="23" t="n">
        <v>104975.57</v>
      </c>
      <c r="O61" s="23" t="n">
        <v>106137.69</v>
      </c>
      <c r="P61" s="23" t="n">
        <v>96103.35</v>
      </c>
      <c r="Q61" s="23" t="n">
        <v>107198.27</v>
      </c>
      <c r="R61" s="23" t="n">
        <v>97026.61</v>
      </c>
      <c r="S61" s="23" t="n">
        <v>92150.65</v>
      </c>
      <c r="T61" s="23" t="n">
        <v>96484.22</v>
      </c>
      <c r="U61" s="23" t="n">
        <v>98476.6</v>
      </c>
      <c r="V61" s="23" t="n">
        <v>99678.21</v>
      </c>
      <c r="W61" s="23" t="n">
        <v>101620.48</v>
      </c>
      <c r="X61" s="23" t="n">
        <v>103234.24</v>
      </c>
      <c r="Y61" s="23" t="n">
        <v>97781.38</v>
      </c>
      <c r="Z61" s="23" t="n">
        <v>103281.12</v>
      </c>
    </row>
    <row r="62" customFormat="false" ht="15" hidden="false" customHeight="false" outlineLevel="0" collapsed="false">
      <c r="A62" s="0" t="n">
        <v>60</v>
      </c>
      <c r="B62" s="23" t="n">
        <v>99222.54</v>
      </c>
      <c r="C62" s="23" t="n">
        <v>105108.14</v>
      </c>
      <c r="D62" s="23" t="n">
        <v>103718.49</v>
      </c>
      <c r="E62" s="23" t="n">
        <v>106293.82</v>
      </c>
      <c r="F62" s="23" t="n">
        <v>109305.47</v>
      </c>
      <c r="G62" s="23" t="n">
        <v>101918.96</v>
      </c>
      <c r="H62" s="23" t="n">
        <v>105109.81</v>
      </c>
      <c r="I62" s="23" t="n">
        <v>102197.21</v>
      </c>
      <c r="J62" s="23" t="n">
        <v>98162.21</v>
      </c>
      <c r="K62" s="23" t="n">
        <v>105802.93</v>
      </c>
      <c r="L62" s="23" t="n">
        <v>106372.29</v>
      </c>
      <c r="M62" s="23" t="n">
        <v>110665.1</v>
      </c>
      <c r="N62" s="23" t="n">
        <v>105820.5</v>
      </c>
      <c r="O62" s="23" t="n">
        <v>106621.5</v>
      </c>
      <c r="P62" s="23" t="n">
        <v>95825.76</v>
      </c>
      <c r="Q62" s="23" t="n">
        <v>107430.11</v>
      </c>
      <c r="R62" s="23" t="n">
        <v>96170.06</v>
      </c>
      <c r="S62" s="23" t="n">
        <v>92378.92</v>
      </c>
      <c r="T62" s="23" t="n">
        <v>97167.33</v>
      </c>
      <c r="U62" s="23" t="n">
        <v>98925.08</v>
      </c>
      <c r="V62" s="23" t="n">
        <v>98357.03</v>
      </c>
      <c r="W62" s="23" t="n">
        <v>101696.49</v>
      </c>
      <c r="X62" s="23" t="n">
        <v>103139.92</v>
      </c>
      <c r="Y62" s="23" t="n">
        <v>99692.23</v>
      </c>
      <c r="Z62" s="23" t="n">
        <v>103877.28</v>
      </c>
    </row>
    <row r="63" customFormat="false" ht="15" hidden="false" customHeight="false" outlineLevel="0" collapsed="false">
      <c r="A63" s="0" t="n">
        <v>61</v>
      </c>
      <c r="B63" s="23" t="n">
        <v>98383.85</v>
      </c>
      <c r="C63" s="23" t="n">
        <v>104694.29</v>
      </c>
      <c r="D63" s="23" t="n">
        <v>103952.39</v>
      </c>
      <c r="E63" s="23" t="n">
        <v>104389.69</v>
      </c>
      <c r="F63" s="23" t="n">
        <v>109236.01</v>
      </c>
      <c r="G63" s="23" t="n">
        <v>102409.31</v>
      </c>
      <c r="H63" s="23" t="n">
        <v>106510.41</v>
      </c>
      <c r="I63" s="23" t="n">
        <v>101511.15</v>
      </c>
      <c r="J63" s="23" t="n">
        <v>96832.28</v>
      </c>
      <c r="K63" s="23" t="n">
        <v>105974.5</v>
      </c>
      <c r="L63" s="23" t="n">
        <v>105924.34</v>
      </c>
      <c r="M63" s="23" t="n">
        <v>108766.63</v>
      </c>
      <c r="N63" s="23" t="n">
        <v>106075.59</v>
      </c>
      <c r="O63" s="23" t="n">
        <v>106982.68</v>
      </c>
      <c r="P63" s="23" t="n">
        <v>97042.62</v>
      </c>
      <c r="Q63" s="23" t="n">
        <v>107331.2</v>
      </c>
      <c r="R63" s="23" t="n">
        <v>96157.54</v>
      </c>
      <c r="S63" s="23" t="n">
        <v>91397.44</v>
      </c>
      <c r="T63" s="23" t="n">
        <v>96601.95</v>
      </c>
      <c r="U63" s="23" t="n">
        <v>98526.42</v>
      </c>
      <c r="V63" s="23" t="n">
        <v>98366.77</v>
      </c>
      <c r="W63" s="23" t="n">
        <v>103003.28</v>
      </c>
      <c r="X63" s="23" t="n">
        <v>103061.76</v>
      </c>
      <c r="Y63" s="23" t="n">
        <v>98747.18</v>
      </c>
      <c r="Z63" s="23" t="n">
        <v>105246.16</v>
      </c>
    </row>
    <row r="64" customFormat="false" ht="15" hidden="false" customHeight="false" outlineLevel="0" collapsed="false">
      <c r="A64" s="0" t="n">
        <v>62</v>
      </c>
      <c r="B64" s="23" t="n">
        <v>98145.55</v>
      </c>
      <c r="C64" s="23" t="n">
        <v>102630.82</v>
      </c>
      <c r="D64" s="23" t="n">
        <v>104474.59</v>
      </c>
      <c r="E64" s="23" t="n">
        <v>104327.45</v>
      </c>
      <c r="F64" s="23" t="n">
        <v>109092.89</v>
      </c>
      <c r="G64" s="23" t="n">
        <v>103351.13</v>
      </c>
      <c r="H64" s="23" t="n">
        <v>106865.89</v>
      </c>
      <c r="I64" s="23" t="n">
        <v>102394.56</v>
      </c>
      <c r="J64" s="23" t="n">
        <v>95468.39</v>
      </c>
      <c r="K64" s="23" t="n">
        <v>105453.08</v>
      </c>
      <c r="L64" s="23" t="n">
        <v>105464.01</v>
      </c>
      <c r="M64" s="23" t="n">
        <v>109494.78</v>
      </c>
      <c r="N64" s="23" t="n">
        <v>104814.92</v>
      </c>
      <c r="O64" s="23" t="n">
        <v>108007.09</v>
      </c>
      <c r="P64" s="23" t="n">
        <v>97374.68</v>
      </c>
      <c r="Q64" s="23" t="n">
        <v>106733.8</v>
      </c>
      <c r="R64" s="23" t="n">
        <v>95661.51</v>
      </c>
      <c r="S64" s="23" t="n">
        <v>90662.15</v>
      </c>
      <c r="T64" s="23" t="n">
        <v>96674.96</v>
      </c>
      <c r="U64" s="23" t="n">
        <v>98822.22</v>
      </c>
      <c r="V64" s="23" t="n">
        <v>98532.86</v>
      </c>
      <c r="W64" s="23" t="n">
        <v>103266.54</v>
      </c>
      <c r="X64" s="23" t="n">
        <v>103470.01</v>
      </c>
      <c r="Y64" s="23" t="n">
        <v>97829</v>
      </c>
      <c r="Z64" s="23" t="n">
        <v>104049.55</v>
      </c>
    </row>
    <row r="65" customFormat="false" ht="15" hidden="false" customHeight="false" outlineLevel="0" collapsed="false">
      <c r="A65" s="0" t="n">
        <v>63</v>
      </c>
      <c r="B65" s="23" t="n">
        <v>98453.34</v>
      </c>
      <c r="C65" s="23" t="n">
        <v>103433.57</v>
      </c>
      <c r="D65" s="23" t="n">
        <v>104791.06</v>
      </c>
      <c r="E65" s="23" t="n">
        <v>105062.9</v>
      </c>
      <c r="F65" s="23" t="n">
        <v>109445.26</v>
      </c>
      <c r="G65" s="23" t="n">
        <v>104425.77</v>
      </c>
      <c r="H65" s="23" t="n">
        <v>107343.14</v>
      </c>
      <c r="I65" s="23" t="n">
        <v>101705.45</v>
      </c>
      <c r="J65" s="23" t="n">
        <v>96421.56</v>
      </c>
      <c r="K65" s="23" t="n">
        <v>104468.43</v>
      </c>
      <c r="L65" s="23" t="n">
        <v>105809.54</v>
      </c>
      <c r="M65" s="23" t="n">
        <v>110302.43</v>
      </c>
      <c r="N65" s="23" t="n">
        <v>104858.65</v>
      </c>
      <c r="O65" s="23" t="n">
        <v>108690.47</v>
      </c>
      <c r="P65" s="23" t="n">
        <v>97543.08</v>
      </c>
      <c r="Q65" s="23" t="n">
        <v>106032.06</v>
      </c>
      <c r="R65" s="23" t="n">
        <v>95335.63</v>
      </c>
      <c r="S65" s="23" t="n">
        <v>91201.14</v>
      </c>
      <c r="T65" s="23" t="n">
        <v>96331.3</v>
      </c>
      <c r="U65" s="23" t="n">
        <v>99829.29</v>
      </c>
      <c r="V65" s="23" t="n">
        <v>98286.67</v>
      </c>
      <c r="W65" s="23" t="n">
        <v>103847.37</v>
      </c>
      <c r="X65" s="23" t="n">
        <v>104307.97</v>
      </c>
      <c r="Y65" s="23" t="n">
        <v>97979.08</v>
      </c>
      <c r="Z65" s="23" t="n">
        <v>104143.57</v>
      </c>
    </row>
    <row r="66" customFormat="false" ht="15" hidden="false" customHeight="false" outlineLevel="0" collapsed="false">
      <c r="A66" s="0" t="n">
        <v>64</v>
      </c>
      <c r="B66" s="23" t="n">
        <v>97729.33</v>
      </c>
      <c r="C66" s="23" t="n">
        <v>103730.31</v>
      </c>
      <c r="D66" s="23" t="n">
        <v>104407.43</v>
      </c>
      <c r="E66" s="23" t="n">
        <v>104365.76</v>
      </c>
      <c r="F66" s="23" t="n">
        <v>109570.4</v>
      </c>
      <c r="G66" s="23" t="n">
        <v>103926.61</v>
      </c>
      <c r="H66" s="23" t="n">
        <v>106414.14</v>
      </c>
      <c r="I66" s="23" t="n">
        <v>101209.91</v>
      </c>
      <c r="J66" s="23" t="n">
        <v>96301.34</v>
      </c>
      <c r="K66" s="23" t="n">
        <v>105203.29</v>
      </c>
      <c r="L66" s="23" t="n">
        <v>104767.96</v>
      </c>
      <c r="M66" s="23" t="n">
        <v>110155</v>
      </c>
      <c r="N66" s="23" t="n">
        <v>102965.75</v>
      </c>
      <c r="O66" s="23" t="n">
        <v>109205.95</v>
      </c>
      <c r="P66" s="23" t="n">
        <v>96513.79</v>
      </c>
      <c r="Q66" s="23" t="n">
        <v>106460.08</v>
      </c>
      <c r="R66" s="23" t="n">
        <v>93872.52</v>
      </c>
      <c r="S66" s="23" t="n">
        <v>90493.41</v>
      </c>
      <c r="T66" s="23" t="n">
        <v>96265.54</v>
      </c>
      <c r="U66" s="23" t="n">
        <v>100170.25</v>
      </c>
      <c r="V66" s="23" t="n">
        <v>98354.5</v>
      </c>
      <c r="W66" s="23" t="n">
        <v>103379.46</v>
      </c>
      <c r="X66" s="23" t="n">
        <v>104912.1</v>
      </c>
      <c r="Y66" s="23" t="n">
        <v>98754.12</v>
      </c>
      <c r="Z66" s="23" t="n">
        <v>103982.48</v>
      </c>
    </row>
    <row r="67" customFormat="false" ht="15" hidden="false" customHeight="false" outlineLevel="0" collapsed="false">
      <c r="A67" s="0" t="n">
        <v>65</v>
      </c>
      <c r="B67" s="23" t="n">
        <v>97849.58</v>
      </c>
      <c r="C67" s="23" t="n">
        <v>103530.46</v>
      </c>
      <c r="D67" s="23" t="n">
        <v>104564.52</v>
      </c>
      <c r="E67" s="23" t="n">
        <v>104345.72</v>
      </c>
      <c r="F67" s="23" t="n">
        <v>108728.62</v>
      </c>
      <c r="G67" s="23" t="n">
        <v>103900.56</v>
      </c>
      <c r="H67" s="23" t="n">
        <v>104890.2</v>
      </c>
      <c r="I67" s="23" t="n">
        <v>100961.94</v>
      </c>
      <c r="J67" s="23" t="n">
        <v>97077.95</v>
      </c>
      <c r="K67" s="23" t="n">
        <v>106599.72</v>
      </c>
      <c r="L67" s="23" t="n">
        <v>105118.71</v>
      </c>
      <c r="M67" s="23" t="n">
        <v>111296.41</v>
      </c>
      <c r="N67" s="23" t="n">
        <v>103473.85</v>
      </c>
      <c r="O67" s="23" t="n">
        <v>108987.3</v>
      </c>
      <c r="P67" s="23" t="n">
        <v>97040.42</v>
      </c>
      <c r="Q67" s="23" t="n">
        <v>105923.18</v>
      </c>
      <c r="R67" s="23" t="n">
        <v>94423.42</v>
      </c>
      <c r="S67" s="23" t="n">
        <v>91140.03</v>
      </c>
      <c r="T67" s="23" t="n">
        <v>97277.53</v>
      </c>
      <c r="U67" s="23" t="n">
        <v>98922.37</v>
      </c>
      <c r="V67" s="23" t="n">
        <v>98896.05</v>
      </c>
      <c r="W67" s="23" t="n">
        <v>102911.39</v>
      </c>
      <c r="X67" s="23" t="n">
        <v>105249.1</v>
      </c>
      <c r="Y67" s="23" t="n">
        <v>100054.98</v>
      </c>
      <c r="Z67" s="23" t="n">
        <v>104481.88</v>
      </c>
    </row>
    <row r="68" customFormat="false" ht="15" hidden="false" customHeight="false" outlineLevel="0" collapsed="false">
      <c r="A68" s="0" t="n">
        <v>66</v>
      </c>
      <c r="B68" s="23" t="n">
        <v>98578.46</v>
      </c>
      <c r="C68" s="23" t="n">
        <v>103246.97</v>
      </c>
      <c r="D68" s="23" t="n">
        <v>104953.63</v>
      </c>
      <c r="E68" s="23" t="n">
        <v>104377.96</v>
      </c>
      <c r="F68" s="23" t="n">
        <v>109460.07</v>
      </c>
      <c r="G68" s="23" t="n">
        <v>104569.3</v>
      </c>
      <c r="H68" s="23" t="n">
        <v>104562.9</v>
      </c>
      <c r="I68" s="23" t="n">
        <v>101482.12</v>
      </c>
      <c r="J68" s="23" t="n">
        <v>96544</v>
      </c>
      <c r="K68" s="23" t="n">
        <v>106864.7</v>
      </c>
      <c r="L68" s="23" t="n">
        <v>106419.91</v>
      </c>
      <c r="M68" s="23" t="n">
        <v>110742.49</v>
      </c>
      <c r="N68" s="23" t="n">
        <v>104552.01</v>
      </c>
      <c r="O68" s="23" t="n">
        <v>108459.75</v>
      </c>
      <c r="P68" s="23" t="n">
        <v>98034.32</v>
      </c>
      <c r="Q68" s="23" t="n">
        <v>105485.63</v>
      </c>
      <c r="R68" s="23" t="n">
        <v>94200.31</v>
      </c>
      <c r="S68" s="23" t="n">
        <v>90597.57</v>
      </c>
      <c r="T68" s="23" t="n">
        <v>97102.52</v>
      </c>
      <c r="U68" s="23" t="n">
        <v>97798.25</v>
      </c>
      <c r="V68" s="23" t="n">
        <v>98462.99</v>
      </c>
      <c r="W68" s="23" t="n">
        <v>102487.32</v>
      </c>
      <c r="X68" s="23" t="n">
        <v>106299.69</v>
      </c>
      <c r="Y68" s="23" t="n">
        <v>99944.38</v>
      </c>
      <c r="Z68" s="23" t="n">
        <v>104486.45</v>
      </c>
    </row>
    <row r="69" customFormat="false" ht="15" hidden="false" customHeight="false" outlineLevel="0" collapsed="false">
      <c r="A69" s="0" t="n">
        <v>67</v>
      </c>
      <c r="B69" s="23" t="n">
        <v>99484.35</v>
      </c>
      <c r="C69" s="23" t="n">
        <v>103547.12</v>
      </c>
      <c r="D69" s="23" t="n">
        <v>104795.17</v>
      </c>
      <c r="E69" s="23" t="n">
        <v>104978.93</v>
      </c>
      <c r="F69" s="23" t="n">
        <v>109635.15</v>
      </c>
      <c r="G69" s="23" t="n">
        <v>104428.49</v>
      </c>
      <c r="H69" s="23" t="n">
        <v>104354.05</v>
      </c>
      <c r="I69" s="23" t="n">
        <v>101818.46</v>
      </c>
      <c r="J69" s="23" t="n">
        <v>96221.66</v>
      </c>
      <c r="K69" s="23" t="n">
        <v>106657.12</v>
      </c>
      <c r="L69" s="23" t="n">
        <v>107484.65</v>
      </c>
      <c r="M69" s="23" t="n">
        <v>110978.86</v>
      </c>
      <c r="N69" s="23" t="n">
        <v>105162</v>
      </c>
      <c r="O69" s="23" t="n">
        <v>108479.44</v>
      </c>
      <c r="P69" s="23" t="n">
        <v>98540.93</v>
      </c>
      <c r="Q69" s="23" t="n">
        <v>105504.25</v>
      </c>
      <c r="R69" s="23" t="n">
        <v>94414.57</v>
      </c>
      <c r="S69" s="23" t="n">
        <v>90227.35</v>
      </c>
      <c r="T69" s="23" t="n">
        <v>96457.67</v>
      </c>
      <c r="U69" s="23" t="n">
        <v>98731.71</v>
      </c>
      <c r="V69" s="23" t="n">
        <v>98289.85</v>
      </c>
      <c r="W69" s="23" t="n">
        <v>102651.88</v>
      </c>
      <c r="X69" s="23" t="n">
        <v>104856.29</v>
      </c>
      <c r="Y69" s="23" t="n">
        <v>99055.94</v>
      </c>
      <c r="Z69" s="23" t="n">
        <v>105241.89</v>
      </c>
    </row>
    <row r="70" customFormat="false" ht="15" hidden="false" customHeight="false" outlineLevel="0" collapsed="false">
      <c r="A70" s="0" t="n">
        <v>68</v>
      </c>
      <c r="B70" s="23" t="n">
        <v>98179.93</v>
      </c>
      <c r="C70" s="23" t="n">
        <v>104645.28</v>
      </c>
      <c r="D70" s="23" t="n">
        <v>105352.44</v>
      </c>
      <c r="E70" s="23" t="n">
        <v>104818.71</v>
      </c>
      <c r="F70" s="23" t="n">
        <v>110924.57</v>
      </c>
      <c r="G70" s="23" t="n">
        <v>104158.05</v>
      </c>
      <c r="H70" s="23" t="n">
        <v>104721.17</v>
      </c>
      <c r="I70" s="23" t="n">
        <v>101145.54</v>
      </c>
      <c r="J70" s="23" t="n">
        <v>96598.07</v>
      </c>
      <c r="K70" s="23" t="n">
        <v>105823.94</v>
      </c>
      <c r="L70" s="23" t="n">
        <v>106397.81</v>
      </c>
      <c r="M70" s="23" t="n">
        <v>110197.73</v>
      </c>
      <c r="N70" s="23" t="n">
        <v>104568.89</v>
      </c>
      <c r="O70" s="23" t="n">
        <v>108703.01</v>
      </c>
      <c r="P70" s="23" t="n">
        <v>97008.77</v>
      </c>
      <c r="Q70" s="23" t="n">
        <v>105827.93</v>
      </c>
      <c r="R70" s="23" t="n">
        <v>93670.87</v>
      </c>
      <c r="S70" s="23" t="n">
        <v>91038.57</v>
      </c>
      <c r="T70" s="23" t="n">
        <v>97768.54</v>
      </c>
      <c r="U70" s="23" t="n">
        <v>98967.7</v>
      </c>
      <c r="V70" s="23" t="n">
        <v>97797.56</v>
      </c>
      <c r="W70" s="23" t="n">
        <v>102666.67</v>
      </c>
      <c r="X70" s="23" t="n">
        <v>105135.71</v>
      </c>
      <c r="Y70" s="23" t="n">
        <v>99841.98</v>
      </c>
      <c r="Z70" s="23" t="n">
        <v>105041.97</v>
      </c>
    </row>
    <row r="71" customFormat="false" ht="15" hidden="false" customHeight="false" outlineLevel="0" collapsed="false">
      <c r="A71" s="0" t="n">
        <v>69</v>
      </c>
      <c r="B71" s="23" t="n">
        <v>97020.44</v>
      </c>
      <c r="C71" s="23" t="n">
        <v>104269.37</v>
      </c>
      <c r="D71" s="23" t="n">
        <v>104650.88</v>
      </c>
      <c r="E71" s="23" t="n">
        <v>104203.73</v>
      </c>
      <c r="F71" s="23" t="n">
        <v>111470.5</v>
      </c>
      <c r="G71" s="23" t="n">
        <v>102885.34</v>
      </c>
      <c r="H71" s="23" t="n">
        <v>104463.77</v>
      </c>
      <c r="I71" s="23" t="n">
        <v>102017.84</v>
      </c>
      <c r="J71" s="23" t="n">
        <v>97267.55</v>
      </c>
      <c r="K71" s="23" t="n">
        <v>105509.37</v>
      </c>
      <c r="L71" s="23" t="n">
        <v>106714</v>
      </c>
      <c r="M71" s="23" t="n">
        <v>110510.18</v>
      </c>
      <c r="N71" s="23" t="n">
        <v>103584.93</v>
      </c>
      <c r="O71" s="23" t="n">
        <v>109742.45</v>
      </c>
      <c r="P71" s="23" t="n">
        <v>97408.4</v>
      </c>
      <c r="Q71" s="23" t="n">
        <v>106439.17</v>
      </c>
      <c r="R71" s="23" t="n">
        <v>93840.52</v>
      </c>
      <c r="S71" s="23" t="n">
        <v>90689.42</v>
      </c>
      <c r="T71" s="23" t="n">
        <v>97234.41</v>
      </c>
      <c r="U71" s="23" t="n">
        <v>98191.47</v>
      </c>
      <c r="V71" s="23" t="n">
        <v>97784.6</v>
      </c>
      <c r="W71" s="23" t="n">
        <v>102876.4</v>
      </c>
      <c r="X71" s="23" t="n">
        <v>105951.52</v>
      </c>
      <c r="Y71" s="23" t="n">
        <v>100399.3</v>
      </c>
      <c r="Z71" s="23" t="n">
        <v>105449.19</v>
      </c>
    </row>
    <row r="72" customFormat="false" ht="15" hidden="false" customHeight="false" outlineLevel="0" collapsed="false">
      <c r="A72" s="0" t="n">
        <v>70</v>
      </c>
      <c r="B72" s="23" t="n">
        <v>97037.49</v>
      </c>
      <c r="C72" s="23" t="n">
        <v>103429.01</v>
      </c>
      <c r="D72" s="23" t="n">
        <v>105611.63</v>
      </c>
      <c r="E72" s="23" t="n">
        <v>104584.36</v>
      </c>
      <c r="F72" s="23" t="n">
        <v>111984.68</v>
      </c>
      <c r="G72" s="23" t="n">
        <v>101608.5</v>
      </c>
      <c r="H72" s="23" t="n">
        <v>104308.95</v>
      </c>
      <c r="I72" s="23" t="n">
        <v>102812.86</v>
      </c>
      <c r="J72" s="23" t="n">
        <v>96418.56</v>
      </c>
      <c r="K72" s="23" t="n">
        <v>105178.74</v>
      </c>
      <c r="L72" s="23" t="n">
        <v>106049.4</v>
      </c>
      <c r="M72" s="23" t="n">
        <v>110311.93</v>
      </c>
      <c r="N72" s="23" t="n">
        <v>103883.44</v>
      </c>
      <c r="O72" s="23" t="n">
        <v>109482.89</v>
      </c>
      <c r="P72" s="23" t="n">
        <v>97514.41</v>
      </c>
      <c r="Q72" s="23" t="n">
        <v>106866.97</v>
      </c>
      <c r="R72" s="23" t="n">
        <v>95494.83</v>
      </c>
      <c r="S72" s="23" t="n">
        <v>91390.15</v>
      </c>
      <c r="T72" s="23" t="n">
        <v>96374.14</v>
      </c>
      <c r="U72" s="23" t="n">
        <v>98768.95</v>
      </c>
      <c r="V72" s="23" t="n">
        <v>97371.14</v>
      </c>
      <c r="W72" s="23" t="n">
        <v>102835.19</v>
      </c>
      <c r="X72" s="23" t="n">
        <v>105546.24</v>
      </c>
      <c r="Y72" s="23" t="n">
        <v>99528.1</v>
      </c>
      <c r="Z72" s="23" t="n">
        <v>105763.61</v>
      </c>
    </row>
    <row r="73" customFormat="false" ht="15" hidden="false" customHeight="false" outlineLevel="0" collapsed="false">
      <c r="A73" s="0" t="n">
        <v>71</v>
      </c>
      <c r="B73" s="23" t="n">
        <v>97339.6</v>
      </c>
      <c r="C73" s="23" t="n">
        <v>102836.61</v>
      </c>
      <c r="D73" s="23" t="n">
        <v>106090.77</v>
      </c>
      <c r="E73" s="23" t="n">
        <v>103605.76</v>
      </c>
      <c r="F73" s="23" t="n">
        <v>110462.74</v>
      </c>
      <c r="G73" s="23" t="n">
        <v>101665.68</v>
      </c>
      <c r="H73" s="23" t="n">
        <v>103661.45</v>
      </c>
      <c r="I73" s="23" t="n">
        <v>102926.77</v>
      </c>
      <c r="J73" s="23" t="n">
        <v>96249.52</v>
      </c>
      <c r="K73" s="23" t="n">
        <v>105145.59</v>
      </c>
      <c r="L73" s="23" t="n">
        <v>106584.82</v>
      </c>
      <c r="M73" s="23" t="n">
        <v>110721.49</v>
      </c>
      <c r="N73" s="23" t="n">
        <v>105059.6</v>
      </c>
      <c r="O73" s="23" t="n">
        <v>109467.87</v>
      </c>
      <c r="P73" s="23" t="n">
        <v>98258.99</v>
      </c>
      <c r="Q73" s="23" t="n">
        <v>106066.85</v>
      </c>
      <c r="R73" s="23" t="n">
        <v>95268.9</v>
      </c>
      <c r="S73" s="23" t="n">
        <v>91358.12</v>
      </c>
      <c r="T73" s="23" t="n">
        <v>97051.15</v>
      </c>
      <c r="U73" s="23" t="n">
        <v>98304.52</v>
      </c>
      <c r="V73" s="23" t="n">
        <v>97905.57</v>
      </c>
      <c r="W73" s="23" t="n">
        <v>103689.55</v>
      </c>
      <c r="X73" s="23" t="n">
        <v>104862.24</v>
      </c>
      <c r="Y73" s="23" t="n">
        <v>99357.06</v>
      </c>
      <c r="Z73" s="23" t="n">
        <v>104590.7</v>
      </c>
    </row>
    <row r="74" customFormat="false" ht="15" hidden="false" customHeight="false" outlineLevel="0" collapsed="false">
      <c r="A74" s="0" t="n">
        <v>72</v>
      </c>
      <c r="B74" s="23" t="n">
        <v>97291.83</v>
      </c>
      <c r="C74" s="23" t="n">
        <v>103230.5</v>
      </c>
      <c r="D74" s="23" t="n">
        <v>104704.81</v>
      </c>
      <c r="E74" s="23" t="n">
        <v>104223.31</v>
      </c>
      <c r="F74" s="23" t="n">
        <v>110249.34</v>
      </c>
      <c r="G74" s="23" t="n">
        <v>101498.19</v>
      </c>
      <c r="H74" s="23" t="n">
        <v>102735.71</v>
      </c>
      <c r="I74" s="23" t="n">
        <v>102435.61</v>
      </c>
      <c r="J74" s="23" t="n">
        <v>95736.58</v>
      </c>
      <c r="K74" s="23" t="n">
        <v>106272.18</v>
      </c>
      <c r="L74" s="23" t="n">
        <v>106223.62</v>
      </c>
      <c r="M74" s="23" t="n">
        <v>111639.05</v>
      </c>
      <c r="N74" s="23" t="n">
        <v>104755.83</v>
      </c>
      <c r="O74" s="23" t="n">
        <v>111095.77</v>
      </c>
      <c r="P74" s="23" t="n">
        <v>97639.81</v>
      </c>
      <c r="Q74" s="23" t="n">
        <v>105303.67</v>
      </c>
      <c r="R74" s="23" t="n">
        <v>93923.55</v>
      </c>
      <c r="S74" s="23" t="n">
        <v>91062.78</v>
      </c>
      <c r="T74" s="23" t="n">
        <v>96592.63</v>
      </c>
      <c r="U74" s="23" t="n">
        <v>98379.5</v>
      </c>
      <c r="V74" s="23" t="n">
        <v>98693.59</v>
      </c>
      <c r="W74" s="23" t="n">
        <v>104091.77</v>
      </c>
      <c r="X74" s="23" t="n">
        <v>104122.13</v>
      </c>
      <c r="Y74" s="23" t="n">
        <v>99639.05</v>
      </c>
      <c r="Z74" s="23" t="n">
        <v>103564.32</v>
      </c>
    </row>
    <row r="75" customFormat="false" ht="15" hidden="false" customHeight="false" outlineLevel="0" collapsed="false">
      <c r="A75" s="0" t="n">
        <v>73</v>
      </c>
      <c r="B75" s="23" t="n">
        <v>97621.36</v>
      </c>
      <c r="C75" s="23" t="n">
        <v>103874.03</v>
      </c>
      <c r="D75" s="23" t="n">
        <v>104689.95</v>
      </c>
      <c r="E75" s="23" t="n">
        <v>105617.09</v>
      </c>
      <c r="F75" s="23" t="n">
        <v>110346.56</v>
      </c>
      <c r="G75" s="23" t="n">
        <v>99898.15</v>
      </c>
      <c r="H75" s="23" t="n">
        <v>102393.22</v>
      </c>
      <c r="I75" s="23" t="n">
        <v>103064.53</v>
      </c>
      <c r="J75" s="23" t="n">
        <v>95852.26</v>
      </c>
      <c r="K75" s="23" t="n">
        <v>105316.91</v>
      </c>
      <c r="L75" s="23" t="n">
        <v>107120.11</v>
      </c>
      <c r="M75" s="23" t="n">
        <v>111514.75</v>
      </c>
      <c r="N75" s="23" t="n">
        <v>104644.82</v>
      </c>
      <c r="O75" s="23" t="n">
        <v>111677.16</v>
      </c>
      <c r="P75" s="23" t="n">
        <v>96865.75</v>
      </c>
      <c r="Q75" s="23" t="n">
        <v>106808.27</v>
      </c>
      <c r="R75" s="23" t="n">
        <v>93302.54</v>
      </c>
      <c r="S75" s="23" t="n">
        <v>91747.81</v>
      </c>
      <c r="T75" s="23" t="n">
        <v>95820.39</v>
      </c>
      <c r="U75" s="23" t="n">
        <v>97808.48</v>
      </c>
      <c r="V75" s="23" t="n">
        <v>98145.99</v>
      </c>
      <c r="W75" s="23" t="n">
        <v>103572.04</v>
      </c>
      <c r="X75" s="23" t="n">
        <v>103383.08</v>
      </c>
      <c r="Y75" s="23" t="n">
        <v>99502.31</v>
      </c>
      <c r="Z75" s="23" t="n">
        <v>104251.38</v>
      </c>
    </row>
    <row r="76" customFormat="false" ht="15" hidden="false" customHeight="false" outlineLevel="0" collapsed="false">
      <c r="A76" s="0" t="n">
        <v>74</v>
      </c>
      <c r="B76" s="23" t="n">
        <v>98093.95</v>
      </c>
      <c r="C76" s="23" t="n">
        <v>103104.24</v>
      </c>
      <c r="D76" s="23" t="n">
        <v>104111.31</v>
      </c>
      <c r="E76" s="23" t="n">
        <v>106040.26</v>
      </c>
      <c r="F76" s="23" t="n">
        <v>111441.05</v>
      </c>
      <c r="G76" s="23" t="n">
        <v>99193.48</v>
      </c>
      <c r="H76" s="23" t="n">
        <v>101692.52</v>
      </c>
      <c r="I76" s="23" t="n">
        <v>103017.94</v>
      </c>
      <c r="J76" s="23" t="n">
        <v>96434.34</v>
      </c>
      <c r="K76" s="23" t="n">
        <v>106083.41</v>
      </c>
      <c r="L76" s="23" t="n">
        <v>107813.29</v>
      </c>
      <c r="M76" s="23" t="n">
        <v>112055.06</v>
      </c>
      <c r="N76" s="23" t="n">
        <v>105065.36</v>
      </c>
      <c r="O76" s="23" t="n">
        <v>112143.04</v>
      </c>
      <c r="P76" s="23" t="n">
        <v>97757.45</v>
      </c>
      <c r="Q76" s="23" t="n">
        <v>106830.93</v>
      </c>
      <c r="R76" s="23" t="n">
        <v>92433.43</v>
      </c>
      <c r="S76" s="23" t="n">
        <v>90467.87</v>
      </c>
      <c r="T76" s="23" t="n">
        <v>95396.09</v>
      </c>
      <c r="U76" s="23" t="n">
        <v>98910.09</v>
      </c>
      <c r="V76" s="23" t="n">
        <v>98765.6</v>
      </c>
      <c r="W76" s="23" t="n">
        <v>104098.36</v>
      </c>
      <c r="X76" s="23" t="n">
        <v>103476.41</v>
      </c>
      <c r="Y76" s="23" t="n">
        <v>98742.92</v>
      </c>
      <c r="Z76" s="23" t="n">
        <v>104502.42</v>
      </c>
    </row>
    <row r="77" customFormat="false" ht="15" hidden="false" customHeight="false" outlineLevel="0" collapsed="false">
      <c r="A77" s="0" t="n">
        <v>75</v>
      </c>
      <c r="B77" s="23" t="n">
        <v>97564</v>
      </c>
      <c r="C77" s="23" t="n">
        <v>102429.29</v>
      </c>
      <c r="D77" s="23" t="n">
        <v>104730.13</v>
      </c>
      <c r="E77" s="23" t="n">
        <v>105579.83</v>
      </c>
      <c r="F77" s="23" t="n">
        <v>111639.93</v>
      </c>
      <c r="G77" s="23" t="n">
        <v>99101.63</v>
      </c>
      <c r="H77" s="23" t="n">
        <v>101544.5</v>
      </c>
      <c r="I77" s="23" t="n">
        <v>103518.33</v>
      </c>
      <c r="J77" s="23" t="n">
        <v>96250.35</v>
      </c>
      <c r="K77" s="23" t="n">
        <v>106044.36</v>
      </c>
      <c r="L77" s="23" t="n">
        <v>108259.43</v>
      </c>
      <c r="M77" s="23" t="n">
        <v>113039.61</v>
      </c>
      <c r="N77" s="23" t="n">
        <v>104422.11</v>
      </c>
      <c r="O77" s="23" t="n">
        <v>112909.5</v>
      </c>
      <c r="P77" s="23" t="n">
        <v>96105.15</v>
      </c>
      <c r="Q77" s="23" t="n">
        <v>107178.65</v>
      </c>
      <c r="R77" s="23" t="n">
        <v>92562.04</v>
      </c>
      <c r="S77" s="23" t="n">
        <v>91055.03</v>
      </c>
      <c r="T77" s="23" t="n">
        <v>94749.69</v>
      </c>
      <c r="U77" s="23" t="n">
        <v>98519.74</v>
      </c>
      <c r="V77" s="23" t="n">
        <v>99209.9</v>
      </c>
      <c r="W77" s="23" t="n">
        <v>103406.39</v>
      </c>
      <c r="X77" s="23" t="n">
        <v>103592.9</v>
      </c>
      <c r="Y77" s="23" t="n">
        <v>98484.84</v>
      </c>
      <c r="Z77" s="23" t="n">
        <v>105271.1</v>
      </c>
    </row>
    <row r="78" customFormat="false" ht="15" hidden="false" customHeight="false" outlineLevel="0" collapsed="false">
      <c r="A78" s="0" t="n">
        <v>76</v>
      </c>
      <c r="B78" s="23" t="n">
        <v>95880.17</v>
      </c>
      <c r="C78" s="23" t="n">
        <v>102329.92</v>
      </c>
      <c r="D78" s="23" t="n">
        <v>105082.14</v>
      </c>
      <c r="E78" s="23" t="n">
        <v>105984.68</v>
      </c>
      <c r="F78" s="23" t="n">
        <v>110672.62</v>
      </c>
      <c r="G78" s="23" t="n">
        <v>99442.73</v>
      </c>
      <c r="H78" s="23" t="n">
        <v>101340.33</v>
      </c>
      <c r="I78" s="23" t="n">
        <v>102644.85</v>
      </c>
      <c r="J78" s="23" t="n">
        <v>97512.83</v>
      </c>
      <c r="K78" s="23" t="n">
        <v>106635.25</v>
      </c>
      <c r="L78" s="23" t="n">
        <v>108713.15</v>
      </c>
      <c r="M78" s="23" t="n">
        <v>112778.58</v>
      </c>
      <c r="N78" s="23" t="n">
        <v>104816.28</v>
      </c>
      <c r="O78" s="23" t="n">
        <v>112917.01</v>
      </c>
      <c r="P78" s="23" t="n">
        <v>96260.87</v>
      </c>
      <c r="Q78" s="23" t="n">
        <v>107158.1</v>
      </c>
      <c r="R78" s="23" t="n">
        <v>93436.99</v>
      </c>
      <c r="S78" s="23" t="n">
        <v>91471.47</v>
      </c>
      <c r="T78" s="23" t="n">
        <v>94725.78</v>
      </c>
      <c r="U78" s="23" t="n">
        <v>98338.11</v>
      </c>
      <c r="V78" s="23" t="n">
        <v>98059.18</v>
      </c>
      <c r="W78" s="23" t="n">
        <v>103269.49</v>
      </c>
      <c r="X78" s="23" t="n">
        <v>102656.76</v>
      </c>
      <c r="Y78" s="23" t="n">
        <v>98963</v>
      </c>
      <c r="Z78" s="23" t="n">
        <v>105210.77</v>
      </c>
    </row>
    <row r="79" customFormat="false" ht="15" hidden="false" customHeight="false" outlineLevel="0" collapsed="false">
      <c r="A79" s="0" t="n">
        <v>77</v>
      </c>
      <c r="B79" s="23" t="n">
        <v>96015.94</v>
      </c>
      <c r="C79" s="23" t="n">
        <v>103387.62</v>
      </c>
      <c r="D79" s="23" t="n">
        <v>105223.27</v>
      </c>
      <c r="E79" s="23" t="n">
        <v>105858.74</v>
      </c>
      <c r="F79" s="23" t="n">
        <v>111227.06</v>
      </c>
      <c r="G79" s="23" t="n">
        <v>99470.94</v>
      </c>
      <c r="H79" s="23" t="n">
        <v>100755.11</v>
      </c>
      <c r="I79" s="23" t="n">
        <v>102382.05</v>
      </c>
      <c r="J79" s="23" t="n">
        <v>97184.89</v>
      </c>
      <c r="K79" s="23" t="n">
        <v>106303.09</v>
      </c>
      <c r="L79" s="23" t="n">
        <v>110103.14</v>
      </c>
      <c r="M79" s="23" t="n">
        <v>111760.89</v>
      </c>
      <c r="N79" s="23" t="n">
        <v>105037.83</v>
      </c>
      <c r="O79" s="23" t="n">
        <v>113899.44</v>
      </c>
      <c r="P79" s="23" t="n">
        <v>96384.88</v>
      </c>
      <c r="Q79" s="23" t="n">
        <v>106489.37</v>
      </c>
      <c r="R79" s="23" t="n">
        <v>93455.12</v>
      </c>
      <c r="S79" s="23" t="n">
        <v>91610.2</v>
      </c>
      <c r="T79" s="23" t="n">
        <v>95979.33</v>
      </c>
      <c r="U79" s="23" t="n">
        <v>98426.71</v>
      </c>
      <c r="V79" s="23" t="n">
        <v>98313.51</v>
      </c>
      <c r="W79" s="23" t="n">
        <v>103405.13</v>
      </c>
      <c r="X79" s="23" t="n">
        <v>102862.28</v>
      </c>
      <c r="Y79" s="23" t="n">
        <v>99637.99</v>
      </c>
      <c r="Z79" s="23" t="n">
        <v>105296.56</v>
      </c>
    </row>
    <row r="80" customFormat="false" ht="15" hidden="false" customHeight="false" outlineLevel="0" collapsed="false">
      <c r="A80" s="0" t="n">
        <v>78</v>
      </c>
      <c r="B80" s="23" t="n">
        <v>96828.59</v>
      </c>
      <c r="C80" s="23" t="n">
        <v>102614.45</v>
      </c>
      <c r="D80" s="23" t="n">
        <v>104297.07</v>
      </c>
      <c r="E80" s="23" t="n">
        <v>105868.07</v>
      </c>
      <c r="F80" s="23" t="n">
        <v>111003</v>
      </c>
      <c r="G80" s="23" t="n">
        <v>99701.34</v>
      </c>
      <c r="H80" s="23" t="n">
        <v>101066.38</v>
      </c>
      <c r="I80" s="23" t="n">
        <v>102628.83</v>
      </c>
      <c r="J80" s="23" t="n">
        <v>97197.96</v>
      </c>
      <c r="K80" s="23" t="n">
        <v>107257.57</v>
      </c>
      <c r="L80" s="23" t="n">
        <v>110603.98</v>
      </c>
      <c r="M80" s="23" t="n">
        <v>112645.92</v>
      </c>
      <c r="N80" s="23" t="n">
        <v>105349.2</v>
      </c>
      <c r="O80" s="23" t="n">
        <v>115307.02</v>
      </c>
      <c r="P80" s="23" t="n">
        <v>96144.3</v>
      </c>
      <c r="Q80" s="23" t="n">
        <v>107487.59</v>
      </c>
      <c r="R80" s="23" t="n">
        <v>93622.92</v>
      </c>
      <c r="S80" s="23" t="n">
        <v>91845.84</v>
      </c>
      <c r="T80" s="23" t="n">
        <v>96661</v>
      </c>
      <c r="U80" s="23" t="n">
        <v>98236.6</v>
      </c>
      <c r="V80" s="23" t="n">
        <v>99546.66</v>
      </c>
      <c r="W80" s="23" t="n">
        <v>102540.59</v>
      </c>
      <c r="X80" s="23" t="n">
        <v>104209.42</v>
      </c>
      <c r="Y80" s="23" t="n">
        <v>99714.46</v>
      </c>
      <c r="Z80" s="23" t="n">
        <v>105345.6</v>
      </c>
    </row>
    <row r="81" customFormat="false" ht="15" hidden="false" customHeight="false" outlineLevel="0" collapsed="false">
      <c r="A81" s="0" t="n">
        <v>79</v>
      </c>
      <c r="B81" s="23" t="n">
        <v>96672.91</v>
      </c>
      <c r="C81" s="23" t="n">
        <v>103054.91</v>
      </c>
      <c r="D81" s="23" t="n">
        <v>105177.34</v>
      </c>
      <c r="E81" s="23" t="n">
        <v>105113.26</v>
      </c>
      <c r="F81" s="23" t="n">
        <v>111447.33</v>
      </c>
      <c r="G81" s="23" t="n">
        <v>101920.13</v>
      </c>
      <c r="H81" s="23" t="n">
        <v>101053.01</v>
      </c>
      <c r="I81" s="23" t="n">
        <v>103228.96</v>
      </c>
      <c r="J81" s="23" t="n">
        <v>97242.66</v>
      </c>
      <c r="K81" s="23" t="n">
        <v>107911.94</v>
      </c>
      <c r="L81" s="23" t="n">
        <v>111721.15</v>
      </c>
      <c r="M81" s="23" t="n">
        <v>110865.21</v>
      </c>
      <c r="N81" s="23" t="n">
        <v>105488.5</v>
      </c>
      <c r="O81" s="23" t="n">
        <v>115882.86</v>
      </c>
      <c r="P81" s="23" t="n">
        <v>96492.43</v>
      </c>
      <c r="Q81" s="23" t="n">
        <v>107602.24</v>
      </c>
      <c r="R81" s="23" t="n">
        <v>93862.25</v>
      </c>
      <c r="S81" s="23" t="n">
        <v>92016.45</v>
      </c>
      <c r="T81" s="23" t="n">
        <v>95073.29</v>
      </c>
      <c r="U81" s="23" t="n">
        <v>98744.99</v>
      </c>
      <c r="V81" s="23" t="n">
        <v>98562.41</v>
      </c>
      <c r="W81" s="23" t="n">
        <v>102617.14</v>
      </c>
      <c r="X81" s="23" t="n">
        <v>104598.04</v>
      </c>
      <c r="Y81" s="23" t="n">
        <v>99300.14</v>
      </c>
      <c r="Z81" s="23" t="n">
        <v>106172.46</v>
      </c>
    </row>
    <row r="82" customFormat="false" ht="15" hidden="false" customHeight="false" outlineLevel="0" collapsed="false">
      <c r="A82" s="0" t="n">
        <v>80</v>
      </c>
      <c r="B82" s="23" t="n">
        <v>96372.68</v>
      </c>
      <c r="C82" s="23" t="n">
        <v>103262.08</v>
      </c>
      <c r="D82" s="23" t="n">
        <v>105165.27</v>
      </c>
      <c r="E82" s="23" t="n">
        <v>103679.72</v>
      </c>
      <c r="F82" s="23" t="n">
        <v>111692.01</v>
      </c>
      <c r="G82" s="23" t="n">
        <v>102010.73</v>
      </c>
      <c r="H82" s="23" t="n">
        <v>99883.01</v>
      </c>
      <c r="I82" s="23" t="n">
        <v>103429.27</v>
      </c>
      <c r="J82" s="23" t="n">
        <v>97067.99</v>
      </c>
      <c r="K82" s="23" t="n">
        <v>107886.48</v>
      </c>
      <c r="L82" s="23" t="n">
        <v>111784.61</v>
      </c>
      <c r="M82" s="23" t="n">
        <v>110358.71</v>
      </c>
      <c r="N82" s="23" t="n">
        <v>104194.47</v>
      </c>
      <c r="O82" s="23" t="n">
        <v>115157.8</v>
      </c>
      <c r="P82" s="23" t="n">
        <v>96352.1</v>
      </c>
      <c r="Q82" s="23" t="n">
        <v>107117.58</v>
      </c>
      <c r="R82" s="23" t="n">
        <v>94175.78</v>
      </c>
      <c r="S82" s="23" t="n">
        <v>91652.05</v>
      </c>
      <c r="T82" s="23" t="n">
        <v>96382.04</v>
      </c>
      <c r="U82" s="23" t="n">
        <v>100037.26</v>
      </c>
      <c r="V82" s="23" t="n">
        <v>98241.71</v>
      </c>
      <c r="W82" s="23" t="n">
        <v>103040.22</v>
      </c>
      <c r="X82" s="23" t="n">
        <v>104691.79</v>
      </c>
      <c r="Y82" s="23" t="n">
        <v>98860.85</v>
      </c>
      <c r="Z82" s="23" t="n">
        <v>105964.97</v>
      </c>
    </row>
    <row r="83" customFormat="false" ht="15" hidden="false" customHeight="false" outlineLevel="0" collapsed="false">
      <c r="A83" s="0" t="n">
        <v>81</v>
      </c>
      <c r="B83" s="23" t="n">
        <v>96137.32</v>
      </c>
      <c r="C83" s="23" t="n">
        <v>101865.5</v>
      </c>
      <c r="D83" s="23" t="n">
        <v>105266.95</v>
      </c>
      <c r="E83" s="23" t="n">
        <v>104199.46</v>
      </c>
      <c r="F83" s="23" t="n">
        <v>112075.51</v>
      </c>
      <c r="G83" s="23" t="n">
        <v>102557.21</v>
      </c>
      <c r="H83" s="23" t="n">
        <v>99598.45</v>
      </c>
      <c r="I83" s="23" t="n">
        <v>102920.34</v>
      </c>
      <c r="J83" s="23" t="n">
        <v>97101.51</v>
      </c>
      <c r="K83" s="23" t="n">
        <v>105960.24</v>
      </c>
      <c r="L83" s="23" t="n">
        <v>111881.57</v>
      </c>
      <c r="M83" s="23" t="n">
        <v>110804.94</v>
      </c>
      <c r="N83" s="23" t="n">
        <v>104564.74</v>
      </c>
      <c r="O83" s="23" t="n">
        <v>115520.75</v>
      </c>
      <c r="P83" s="23" t="n">
        <v>96379.65</v>
      </c>
      <c r="Q83" s="23" t="n">
        <v>107556.02</v>
      </c>
      <c r="R83" s="23" t="n">
        <v>94864.32</v>
      </c>
      <c r="S83" s="23" t="n">
        <v>91939.39</v>
      </c>
      <c r="T83" s="23" t="n">
        <v>96881.68</v>
      </c>
      <c r="U83" s="23" t="n">
        <v>100617.72</v>
      </c>
      <c r="V83" s="23" t="n">
        <v>99361.02</v>
      </c>
      <c r="W83" s="23" t="n">
        <v>102136.17</v>
      </c>
      <c r="X83" s="23" t="n">
        <v>105282.6</v>
      </c>
      <c r="Y83" s="23" t="n">
        <v>98873.34</v>
      </c>
      <c r="Z83" s="23" t="n">
        <v>106359.24</v>
      </c>
    </row>
    <row r="84" customFormat="false" ht="15" hidden="false" customHeight="false" outlineLevel="0" collapsed="false">
      <c r="A84" s="0" t="n">
        <v>82</v>
      </c>
      <c r="B84" s="23" t="n">
        <v>96213.95</v>
      </c>
      <c r="C84" s="23" t="n">
        <v>100728.66</v>
      </c>
      <c r="D84" s="23" t="n">
        <v>105488.45</v>
      </c>
      <c r="E84" s="23" t="n">
        <v>104565.49</v>
      </c>
      <c r="F84" s="23" t="n">
        <v>110789.81</v>
      </c>
      <c r="G84" s="23" t="n">
        <v>102827.15</v>
      </c>
      <c r="H84" s="23" t="n">
        <v>99754.91</v>
      </c>
      <c r="I84" s="23" t="n">
        <v>102606.78</v>
      </c>
      <c r="J84" s="23" t="n">
        <v>96703.19</v>
      </c>
      <c r="K84" s="23" t="n">
        <v>106635.29</v>
      </c>
      <c r="L84" s="23" t="n">
        <v>111235.23</v>
      </c>
      <c r="M84" s="23" t="n">
        <v>110937.82</v>
      </c>
      <c r="N84" s="23" t="n">
        <v>103738.88</v>
      </c>
      <c r="O84" s="23" t="n">
        <v>115560.52</v>
      </c>
      <c r="P84" s="23" t="n">
        <v>95983.09</v>
      </c>
      <c r="Q84" s="23" t="n">
        <v>108969.63</v>
      </c>
      <c r="R84" s="23" t="n">
        <v>95003.37</v>
      </c>
      <c r="S84" s="23" t="n">
        <v>91948.67</v>
      </c>
      <c r="T84" s="23" t="n">
        <v>96556.37</v>
      </c>
      <c r="U84" s="23" t="n">
        <v>100688.92</v>
      </c>
      <c r="V84" s="23" t="n">
        <v>99991.93</v>
      </c>
      <c r="W84" s="23" t="n">
        <v>101977.66</v>
      </c>
      <c r="X84" s="23" t="n">
        <v>105790.53</v>
      </c>
      <c r="Y84" s="23" t="n">
        <v>100014.19</v>
      </c>
      <c r="Z84" s="23" t="n">
        <v>106822.04</v>
      </c>
    </row>
    <row r="85" customFormat="false" ht="15" hidden="false" customHeight="false" outlineLevel="0" collapsed="false">
      <c r="A85" s="0" t="n">
        <v>83</v>
      </c>
      <c r="B85" s="23" t="n">
        <v>95284.45</v>
      </c>
      <c r="C85" s="23" t="n">
        <v>101039.83</v>
      </c>
      <c r="D85" s="23" t="n">
        <v>105128.8</v>
      </c>
      <c r="E85" s="23" t="n">
        <v>102969</v>
      </c>
      <c r="F85" s="23" t="n">
        <v>111697.84</v>
      </c>
      <c r="G85" s="23" t="n">
        <v>103472.32</v>
      </c>
      <c r="H85" s="23" t="n">
        <v>100302.06</v>
      </c>
      <c r="I85" s="23" t="n">
        <v>103435.56</v>
      </c>
      <c r="J85" s="23" t="n">
        <v>96671.05</v>
      </c>
      <c r="K85" s="23" t="n">
        <v>107626.32</v>
      </c>
      <c r="L85" s="23" t="n">
        <v>110446.15</v>
      </c>
      <c r="M85" s="23" t="n">
        <v>111973.75</v>
      </c>
      <c r="N85" s="23" t="n">
        <v>102635.4</v>
      </c>
      <c r="O85" s="23" t="n">
        <v>115736.51</v>
      </c>
      <c r="P85" s="23" t="n">
        <v>95038</v>
      </c>
      <c r="Q85" s="23" t="n">
        <v>108324.73</v>
      </c>
      <c r="R85" s="23" t="n">
        <v>94585.94</v>
      </c>
      <c r="S85" s="23" t="n">
        <v>92753.03</v>
      </c>
      <c r="T85" s="23" t="n">
        <v>97364.31</v>
      </c>
      <c r="U85" s="23" t="n">
        <v>100140.19</v>
      </c>
      <c r="V85" s="23" t="n">
        <v>100236.41</v>
      </c>
      <c r="W85" s="23" t="n">
        <v>101005.75</v>
      </c>
      <c r="X85" s="23" t="n">
        <v>105318.01</v>
      </c>
      <c r="Y85" s="23" t="n">
        <v>99229.54</v>
      </c>
      <c r="Z85" s="23" t="n">
        <v>106803.88</v>
      </c>
    </row>
    <row r="86" customFormat="false" ht="15" hidden="false" customHeight="false" outlineLevel="0" collapsed="false">
      <c r="A86" s="0" t="n">
        <v>84</v>
      </c>
      <c r="B86" s="23" t="n">
        <v>95196.39</v>
      </c>
      <c r="C86" s="23" t="n">
        <v>100997.2</v>
      </c>
      <c r="D86" s="23" t="n">
        <v>105652.17</v>
      </c>
      <c r="E86" s="23" t="n">
        <v>102664.82</v>
      </c>
      <c r="F86" s="23" t="n">
        <v>111334.35</v>
      </c>
      <c r="G86" s="23" t="n">
        <v>103198.34</v>
      </c>
      <c r="H86" s="23" t="n">
        <v>100603.84</v>
      </c>
      <c r="I86" s="23" t="n">
        <v>103467.98</v>
      </c>
      <c r="J86" s="23" t="n">
        <v>95762.1</v>
      </c>
      <c r="K86" s="23" t="n">
        <v>106636.52</v>
      </c>
      <c r="L86" s="23" t="n">
        <v>110922.48</v>
      </c>
      <c r="M86" s="23" t="n">
        <v>112020.22</v>
      </c>
      <c r="N86" s="23" t="n">
        <v>102894.17</v>
      </c>
      <c r="O86" s="23" t="n">
        <v>116279.53</v>
      </c>
      <c r="P86" s="23" t="n">
        <v>95759.78</v>
      </c>
      <c r="Q86" s="23" t="n">
        <v>108833.79</v>
      </c>
      <c r="R86" s="23" t="n">
        <v>94182.23</v>
      </c>
      <c r="S86" s="23" t="n">
        <v>92810.29</v>
      </c>
      <c r="T86" s="23" t="n">
        <v>97621.98</v>
      </c>
      <c r="U86" s="23" t="n">
        <v>100708.04</v>
      </c>
      <c r="V86" s="23" t="n">
        <v>100130.67</v>
      </c>
      <c r="W86" s="23" t="n">
        <v>101978.49</v>
      </c>
      <c r="X86" s="23" t="n">
        <v>105267.36</v>
      </c>
      <c r="Y86" s="23" t="n">
        <v>99278.44</v>
      </c>
      <c r="Z86" s="23" t="n">
        <v>107026.97</v>
      </c>
    </row>
    <row r="87" customFormat="false" ht="15" hidden="false" customHeight="false" outlineLevel="0" collapsed="false">
      <c r="A87" s="0" t="n">
        <v>85</v>
      </c>
      <c r="B87" s="23" t="n">
        <v>95752.57</v>
      </c>
      <c r="C87" s="23" t="n">
        <v>101746.68</v>
      </c>
      <c r="D87" s="23" t="n">
        <v>104726.49</v>
      </c>
      <c r="E87" s="23" t="n">
        <v>102211.17</v>
      </c>
      <c r="F87" s="23" t="n">
        <v>110480.62</v>
      </c>
      <c r="G87" s="23" t="n">
        <v>102490.98</v>
      </c>
      <c r="H87" s="23" t="n">
        <v>101078.94</v>
      </c>
      <c r="I87" s="23" t="n">
        <v>102375.04</v>
      </c>
      <c r="J87" s="23" t="n">
        <v>95386.32</v>
      </c>
      <c r="K87" s="23" t="n">
        <v>108528.1</v>
      </c>
      <c r="L87" s="23" t="n">
        <v>111197.12</v>
      </c>
      <c r="M87" s="23" t="n">
        <v>113017.91</v>
      </c>
      <c r="N87" s="23" t="n">
        <v>102895.43</v>
      </c>
      <c r="O87" s="23" t="n">
        <v>116172.42</v>
      </c>
      <c r="P87" s="23" t="n">
        <v>96429.56</v>
      </c>
      <c r="Q87" s="23" t="n">
        <v>109090.74</v>
      </c>
      <c r="R87" s="23" t="n">
        <v>92955.83</v>
      </c>
      <c r="S87" s="23" t="n">
        <v>92144.75</v>
      </c>
      <c r="T87" s="23" t="n">
        <v>98688.73</v>
      </c>
      <c r="U87" s="23" t="n">
        <v>100873.57</v>
      </c>
      <c r="V87" s="23" t="n">
        <v>100866.83</v>
      </c>
      <c r="W87" s="23" t="n">
        <v>101908.31</v>
      </c>
      <c r="X87" s="23" t="n">
        <v>105354.95</v>
      </c>
      <c r="Y87" s="23" t="n">
        <v>98855.11</v>
      </c>
      <c r="Z87" s="23" t="n">
        <v>107364.05</v>
      </c>
    </row>
    <row r="88" customFormat="false" ht="15" hidden="false" customHeight="false" outlineLevel="0" collapsed="false">
      <c r="A88" s="0" t="n">
        <v>86</v>
      </c>
      <c r="B88" s="23" t="n">
        <v>95820.86</v>
      </c>
      <c r="C88" s="23" t="n">
        <v>103562.27</v>
      </c>
      <c r="D88" s="23" t="n">
        <v>104277.06</v>
      </c>
      <c r="E88" s="23" t="n">
        <v>102361.99</v>
      </c>
      <c r="F88" s="23" t="n">
        <v>111177.55</v>
      </c>
      <c r="G88" s="23" t="n">
        <v>102995.44</v>
      </c>
      <c r="H88" s="23" t="n">
        <v>100758.65</v>
      </c>
      <c r="I88" s="23" t="n">
        <v>102822.77</v>
      </c>
      <c r="J88" s="23" t="n">
        <v>96083.47</v>
      </c>
      <c r="K88" s="23" t="n">
        <v>109279.02</v>
      </c>
      <c r="L88" s="23" t="n">
        <v>111797.26</v>
      </c>
      <c r="M88" s="23" t="n">
        <v>113232.87</v>
      </c>
      <c r="N88" s="23" t="n">
        <v>103583.37</v>
      </c>
      <c r="O88" s="23" t="n">
        <v>116627.79</v>
      </c>
      <c r="P88" s="23" t="n">
        <v>97521.63</v>
      </c>
      <c r="Q88" s="23" t="n">
        <v>109114.44</v>
      </c>
      <c r="R88" s="23" t="n">
        <v>92754.17</v>
      </c>
      <c r="S88" s="23" t="n">
        <v>90981.77</v>
      </c>
      <c r="T88" s="23" t="n">
        <v>99624.53</v>
      </c>
      <c r="U88" s="23" t="n">
        <v>100213.81</v>
      </c>
      <c r="V88" s="23" t="n">
        <v>101429.76</v>
      </c>
      <c r="W88" s="23" t="n">
        <v>101676.83</v>
      </c>
      <c r="X88" s="23" t="n">
        <v>105052.81</v>
      </c>
      <c r="Y88" s="23" t="n">
        <v>98069.21</v>
      </c>
      <c r="Z88" s="23" t="n">
        <v>107691.75</v>
      </c>
    </row>
    <row r="89" customFormat="false" ht="15" hidden="false" customHeight="false" outlineLevel="0" collapsed="false">
      <c r="A89" s="0" t="n">
        <v>87</v>
      </c>
      <c r="B89" s="23" t="n">
        <v>96395.65</v>
      </c>
      <c r="C89" s="23" t="n">
        <v>104116.54</v>
      </c>
      <c r="D89" s="23" t="n">
        <v>105241.82</v>
      </c>
      <c r="E89" s="23" t="n">
        <v>102240.74</v>
      </c>
      <c r="F89" s="23" t="n">
        <v>111444.8</v>
      </c>
      <c r="G89" s="23" t="n">
        <v>103364.22</v>
      </c>
      <c r="H89" s="23" t="n">
        <v>101746</v>
      </c>
      <c r="I89" s="23" t="n">
        <v>103039.22</v>
      </c>
      <c r="J89" s="23" t="n">
        <v>96717.25</v>
      </c>
      <c r="K89" s="23" t="n">
        <v>110147.43</v>
      </c>
      <c r="L89" s="23" t="n">
        <v>112708.48</v>
      </c>
      <c r="M89" s="23" t="n">
        <v>113446.51</v>
      </c>
      <c r="N89" s="23" t="n">
        <v>104628.9</v>
      </c>
      <c r="O89" s="23" t="n">
        <v>116437.91</v>
      </c>
      <c r="P89" s="23" t="n">
        <v>97712.92</v>
      </c>
      <c r="Q89" s="23" t="n">
        <v>108516.26</v>
      </c>
      <c r="R89" s="23" t="n">
        <v>92772.11</v>
      </c>
      <c r="S89" s="23" t="n">
        <v>90215.2</v>
      </c>
      <c r="T89" s="23" t="n">
        <v>100744.62</v>
      </c>
      <c r="U89" s="23" t="n">
        <v>99963.85</v>
      </c>
      <c r="V89" s="23" t="n">
        <v>101893.02</v>
      </c>
      <c r="W89" s="23" t="n">
        <v>100638.79</v>
      </c>
      <c r="X89" s="23" t="n">
        <v>105706.64</v>
      </c>
      <c r="Y89" s="23" t="n">
        <v>98830.42</v>
      </c>
      <c r="Z89" s="23" t="n">
        <v>107752.89</v>
      </c>
    </row>
    <row r="90" customFormat="false" ht="15" hidden="false" customHeight="false" outlineLevel="0" collapsed="false">
      <c r="A90" s="0" t="n">
        <v>88</v>
      </c>
      <c r="B90" s="23" t="n">
        <v>96026.58</v>
      </c>
      <c r="C90" s="23" t="n">
        <v>104108.72</v>
      </c>
      <c r="D90" s="23" t="n">
        <v>105882.02</v>
      </c>
      <c r="E90" s="23" t="n">
        <v>102775.49</v>
      </c>
      <c r="F90" s="23" t="n">
        <v>109541.53</v>
      </c>
      <c r="G90" s="23" t="n">
        <v>103152.78</v>
      </c>
      <c r="H90" s="23" t="n">
        <v>101949.62</v>
      </c>
      <c r="I90" s="23" t="n">
        <v>103107.41</v>
      </c>
      <c r="J90" s="23" t="n">
        <v>96129.9</v>
      </c>
      <c r="K90" s="23" t="n">
        <v>111370.35</v>
      </c>
      <c r="L90" s="23" t="n">
        <v>113938.86</v>
      </c>
      <c r="M90" s="23" t="n">
        <v>113232.55</v>
      </c>
      <c r="N90" s="23" t="n">
        <v>104369.24</v>
      </c>
      <c r="O90" s="23" t="n">
        <v>115806.23</v>
      </c>
      <c r="P90" s="23" t="n">
        <v>97978.06</v>
      </c>
      <c r="Q90" s="23" t="n">
        <v>108403.59</v>
      </c>
      <c r="R90" s="23" t="n">
        <v>92948.92</v>
      </c>
      <c r="S90" s="23" t="n">
        <v>91070.75</v>
      </c>
      <c r="T90" s="23" t="n">
        <v>100240.88</v>
      </c>
      <c r="U90" s="23" t="n">
        <v>100648.71</v>
      </c>
      <c r="V90" s="23" t="n">
        <v>101589.26</v>
      </c>
      <c r="W90" s="23" t="n">
        <v>101533.74</v>
      </c>
      <c r="X90" s="23" t="n">
        <v>105379.13</v>
      </c>
      <c r="Y90" s="23" t="n">
        <v>98805.22</v>
      </c>
      <c r="Z90" s="23" t="n">
        <v>107071.54</v>
      </c>
    </row>
    <row r="91" customFormat="false" ht="15" hidden="false" customHeight="false" outlineLevel="0" collapsed="false">
      <c r="A91" s="0" t="n">
        <v>89</v>
      </c>
      <c r="B91" s="23" t="n">
        <v>95785.36</v>
      </c>
      <c r="C91" s="23" t="n">
        <v>106812.64</v>
      </c>
      <c r="D91" s="23" t="n">
        <v>106569.55</v>
      </c>
      <c r="E91" s="23" t="n">
        <v>102764.64</v>
      </c>
      <c r="F91" s="23" t="n">
        <v>110930.14</v>
      </c>
      <c r="G91" s="23" t="n">
        <v>104227.35</v>
      </c>
      <c r="H91" s="23" t="n">
        <v>102086.44</v>
      </c>
      <c r="I91" s="23" t="n">
        <v>102457.35</v>
      </c>
      <c r="J91" s="23" t="n">
        <v>96232.96</v>
      </c>
      <c r="K91" s="23" t="n">
        <v>111287.2</v>
      </c>
      <c r="L91" s="23" t="n">
        <v>112807.13</v>
      </c>
      <c r="M91" s="23" t="n">
        <v>113043.91</v>
      </c>
      <c r="N91" s="23" t="n">
        <v>103473.84</v>
      </c>
      <c r="O91" s="23" t="n">
        <v>115861.55</v>
      </c>
      <c r="P91" s="23" t="n">
        <v>98196.36</v>
      </c>
      <c r="Q91" s="23" t="n">
        <v>109941.78</v>
      </c>
      <c r="R91" s="23" t="n">
        <v>92567.17</v>
      </c>
      <c r="S91" s="23" t="n">
        <v>91269.39</v>
      </c>
      <c r="T91" s="23" t="n">
        <v>98722.76</v>
      </c>
      <c r="U91" s="23" t="n">
        <v>100738.89</v>
      </c>
      <c r="V91" s="23" t="n">
        <v>101285.87</v>
      </c>
      <c r="W91" s="23" t="n">
        <v>102550</v>
      </c>
      <c r="X91" s="23" t="n">
        <v>104601.96</v>
      </c>
      <c r="Y91" s="23" t="n">
        <v>98687.87</v>
      </c>
      <c r="Z91" s="23" t="n">
        <v>107884.81</v>
      </c>
    </row>
    <row r="92" customFormat="false" ht="15" hidden="false" customHeight="false" outlineLevel="0" collapsed="false">
      <c r="A92" s="0" t="n">
        <v>90</v>
      </c>
      <c r="B92" s="23" t="n">
        <v>96951.07</v>
      </c>
      <c r="C92" s="23" t="n">
        <v>105950.19</v>
      </c>
      <c r="D92" s="23" t="n">
        <v>106416.44</v>
      </c>
      <c r="E92" s="23" t="n">
        <v>102140.5</v>
      </c>
      <c r="F92" s="23" t="n">
        <v>111451.89</v>
      </c>
      <c r="G92" s="23" t="n">
        <v>104118.19</v>
      </c>
      <c r="H92" s="23" t="n">
        <v>103206.57</v>
      </c>
      <c r="I92" s="23" t="n">
        <v>102068.76</v>
      </c>
      <c r="J92" s="23" t="n">
        <v>95496</v>
      </c>
      <c r="K92" s="23" t="n">
        <v>110957.92</v>
      </c>
      <c r="L92" s="23" t="n">
        <v>113860.49</v>
      </c>
      <c r="M92" s="23" t="n">
        <v>113807.03</v>
      </c>
      <c r="N92" s="23" t="n">
        <v>103638.14</v>
      </c>
      <c r="O92" s="23" t="n">
        <v>115972.34</v>
      </c>
      <c r="P92" s="23" t="n">
        <v>97019.06</v>
      </c>
      <c r="Q92" s="23" t="n">
        <v>109494.24</v>
      </c>
      <c r="R92" s="23" t="n">
        <v>92212</v>
      </c>
      <c r="S92" s="23" t="n">
        <v>91783.67</v>
      </c>
      <c r="T92" s="23" t="n">
        <v>98840.05</v>
      </c>
      <c r="U92" s="23" t="n">
        <v>100700.79</v>
      </c>
      <c r="V92" s="23" t="n">
        <v>100764.61</v>
      </c>
      <c r="W92" s="23" t="n">
        <v>102079.58</v>
      </c>
      <c r="X92" s="23" t="n">
        <v>104423.57</v>
      </c>
      <c r="Y92" s="23" t="n">
        <v>97850.73</v>
      </c>
      <c r="Z92" s="23" t="n">
        <v>107684.96</v>
      </c>
    </row>
    <row r="93" customFormat="false" ht="15" hidden="false" customHeight="false" outlineLevel="0" collapsed="false">
      <c r="A93" s="0" t="n">
        <v>91</v>
      </c>
      <c r="B93" s="23" t="n">
        <v>98285.95</v>
      </c>
      <c r="C93" s="23" t="n">
        <v>107168.12</v>
      </c>
      <c r="D93" s="23" t="n">
        <v>108077.83</v>
      </c>
      <c r="E93" s="23" t="n">
        <v>102098.33</v>
      </c>
      <c r="F93" s="23" t="n">
        <v>111864.46</v>
      </c>
      <c r="G93" s="23" t="n">
        <v>104511.46</v>
      </c>
      <c r="H93" s="23" t="n">
        <v>104064.48</v>
      </c>
      <c r="I93" s="23" t="n">
        <v>102895.87</v>
      </c>
      <c r="J93" s="23" t="n">
        <v>94693.77</v>
      </c>
      <c r="K93" s="23" t="n">
        <v>111454.9</v>
      </c>
      <c r="L93" s="23" t="n">
        <v>112854.97</v>
      </c>
      <c r="M93" s="23" t="n">
        <v>114120.31</v>
      </c>
      <c r="N93" s="23" t="n">
        <v>103589.43</v>
      </c>
      <c r="O93" s="23" t="n">
        <v>115838.98</v>
      </c>
      <c r="P93" s="23" t="n">
        <v>96322.52</v>
      </c>
      <c r="Q93" s="23" t="n">
        <v>108214.57</v>
      </c>
      <c r="R93" s="23" t="n">
        <v>92479.55</v>
      </c>
      <c r="S93" s="23" t="n">
        <v>91678.09</v>
      </c>
      <c r="T93" s="23" t="n">
        <v>99938.92</v>
      </c>
      <c r="U93" s="23" t="n">
        <v>101713.2</v>
      </c>
      <c r="V93" s="23" t="n">
        <v>100445.81</v>
      </c>
      <c r="W93" s="23" t="n">
        <v>102727.06</v>
      </c>
      <c r="X93" s="23" t="n">
        <v>105106.05</v>
      </c>
      <c r="Y93" s="23" t="n">
        <v>97851.36</v>
      </c>
      <c r="Z93" s="23" t="n">
        <v>106569.54</v>
      </c>
    </row>
    <row r="94" customFormat="false" ht="15" hidden="false" customHeight="false" outlineLevel="0" collapsed="false">
      <c r="A94" s="0" t="n">
        <v>92</v>
      </c>
      <c r="B94" s="23" t="n">
        <v>97709.52</v>
      </c>
      <c r="C94" s="23" t="n">
        <v>108095.97</v>
      </c>
      <c r="D94" s="23" t="n">
        <v>107706.85</v>
      </c>
      <c r="E94" s="23" t="n">
        <v>103486.34</v>
      </c>
      <c r="F94" s="23" t="n">
        <v>111879.82</v>
      </c>
      <c r="G94" s="23" t="n">
        <v>105477.12</v>
      </c>
      <c r="H94" s="23" t="n">
        <v>103318.01</v>
      </c>
      <c r="I94" s="23" t="n">
        <v>104132.17</v>
      </c>
      <c r="J94" s="23" t="n">
        <v>94658.63</v>
      </c>
      <c r="K94" s="23" t="n">
        <v>111889.94</v>
      </c>
      <c r="L94" s="23" t="n">
        <v>112232.4</v>
      </c>
      <c r="M94" s="23" t="n">
        <v>114278.17</v>
      </c>
      <c r="N94" s="23" t="n">
        <v>104064.8</v>
      </c>
      <c r="O94" s="23" t="n">
        <v>116781.81</v>
      </c>
      <c r="P94" s="23" t="n">
        <v>96339.67</v>
      </c>
      <c r="Q94" s="23" t="n">
        <v>108078.55</v>
      </c>
      <c r="R94" s="23" t="n">
        <v>93091.05</v>
      </c>
      <c r="S94" s="23" t="n">
        <v>92247.39</v>
      </c>
      <c r="T94" s="23" t="n">
        <v>99555.14</v>
      </c>
      <c r="U94" s="23" t="n">
        <v>102246.62</v>
      </c>
      <c r="V94" s="23" t="n">
        <v>100279.53</v>
      </c>
      <c r="W94" s="23" t="n">
        <v>102633.19</v>
      </c>
      <c r="X94" s="23" t="n">
        <v>104422.05</v>
      </c>
      <c r="Y94" s="23" t="n">
        <v>98094.33</v>
      </c>
      <c r="Z94" s="23" t="n">
        <v>105011.56</v>
      </c>
    </row>
    <row r="95" customFormat="false" ht="15" hidden="false" customHeight="false" outlineLevel="0" collapsed="false">
      <c r="A95" s="0" t="n">
        <v>93</v>
      </c>
      <c r="B95" s="23" t="n">
        <v>98225.07</v>
      </c>
      <c r="C95" s="23" t="n">
        <v>107864.44</v>
      </c>
      <c r="D95" s="23" t="n">
        <v>107181.53</v>
      </c>
      <c r="E95" s="23" t="n">
        <v>104003.14</v>
      </c>
      <c r="F95" s="23" t="n">
        <v>110487.83</v>
      </c>
      <c r="G95" s="23" t="n">
        <v>104517.21</v>
      </c>
      <c r="H95" s="23" t="n">
        <v>103442.6</v>
      </c>
      <c r="I95" s="23" t="n">
        <v>103682.52</v>
      </c>
      <c r="J95" s="23" t="n">
        <v>95082.41</v>
      </c>
      <c r="K95" s="23" t="n">
        <v>111379.32</v>
      </c>
      <c r="L95" s="23" t="n">
        <v>112506.42</v>
      </c>
      <c r="M95" s="23" t="n">
        <v>113615.59</v>
      </c>
      <c r="N95" s="23" t="n">
        <v>105043.76</v>
      </c>
      <c r="O95" s="23" t="n">
        <v>116847.64</v>
      </c>
      <c r="P95" s="23" t="n">
        <v>95897.52</v>
      </c>
      <c r="Q95" s="23" t="n">
        <v>108633.48</v>
      </c>
      <c r="R95" s="23" t="n">
        <v>93918.1</v>
      </c>
      <c r="S95" s="23" t="n">
        <v>92238.95</v>
      </c>
      <c r="T95" s="23" t="n">
        <v>100259.41</v>
      </c>
      <c r="U95" s="23" t="n">
        <v>101165.08</v>
      </c>
      <c r="V95" s="23" t="n">
        <v>99592.17</v>
      </c>
      <c r="W95" s="23" t="n">
        <v>103253.04</v>
      </c>
      <c r="X95" s="23" t="n">
        <v>104932.83</v>
      </c>
      <c r="Y95" s="23" t="n">
        <v>98394.71</v>
      </c>
      <c r="Z95" s="23" t="n">
        <v>105283.83</v>
      </c>
    </row>
    <row r="96" customFormat="false" ht="15" hidden="false" customHeight="false" outlineLevel="0" collapsed="false">
      <c r="A96" s="0" t="n">
        <v>94</v>
      </c>
      <c r="B96" s="23" t="n">
        <v>98518.44</v>
      </c>
      <c r="C96" s="23" t="n">
        <v>107567.4</v>
      </c>
      <c r="D96" s="23" t="n">
        <v>106628.11</v>
      </c>
      <c r="E96" s="23" t="n">
        <v>105075.02</v>
      </c>
      <c r="F96" s="23" t="n">
        <v>111838.89</v>
      </c>
      <c r="G96" s="23" t="n">
        <v>104753.94</v>
      </c>
      <c r="H96" s="23" t="n">
        <v>103610.18</v>
      </c>
      <c r="I96" s="23" t="n">
        <v>103105.36</v>
      </c>
      <c r="J96" s="23" t="n">
        <v>94638.47</v>
      </c>
      <c r="K96" s="23" t="n">
        <v>111349.39</v>
      </c>
      <c r="L96" s="23" t="n">
        <v>111453.97</v>
      </c>
      <c r="M96" s="23" t="n">
        <v>113712.09</v>
      </c>
      <c r="N96" s="23" t="n">
        <v>104300.73</v>
      </c>
      <c r="O96" s="23" t="n">
        <v>116120.55</v>
      </c>
      <c r="P96" s="23" t="n">
        <v>96194.37</v>
      </c>
      <c r="Q96" s="23" t="n">
        <v>107966.96</v>
      </c>
      <c r="R96" s="23" t="n">
        <v>94247.08</v>
      </c>
      <c r="S96" s="23" t="n">
        <v>91783.76</v>
      </c>
      <c r="T96" s="23" t="n">
        <v>99633.83</v>
      </c>
      <c r="U96" s="23" t="n">
        <v>102400.4</v>
      </c>
      <c r="V96" s="23" t="n">
        <v>99171.91</v>
      </c>
      <c r="W96" s="23" t="n">
        <v>102707.83</v>
      </c>
      <c r="X96" s="23" t="n">
        <v>105299.41</v>
      </c>
      <c r="Y96" s="23" t="n">
        <v>98545.22</v>
      </c>
      <c r="Z96" s="23" t="n">
        <v>105643.52</v>
      </c>
    </row>
    <row r="97" customFormat="false" ht="15" hidden="false" customHeight="false" outlineLevel="0" collapsed="false">
      <c r="A97" s="0" t="n">
        <v>95</v>
      </c>
      <c r="B97" s="23" t="n">
        <v>97826.91</v>
      </c>
      <c r="C97" s="23" t="n">
        <v>107553.31</v>
      </c>
      <c r="D97" s="23" t="n">
        <v>107400.56</v>
      </c>
      <c r="E97" s="23" t="n">
        <v>105677.73</v>
      </c>
      <c r="F97" s="23" t="n">
        <v>112081.68</v>
      </c>
      <c r="G97" s="23" t="n">
        <v>103685.51</v>
      </c>
      <c r="H97" s="23" t="n">
        <v>104289.7</v>
      </c>
      <c r="I97" s="23" t="n">
        <v>102528.84</v>
      </c>
      <c r="J97" s="23" t="n">
        <v>93625.83</v>
      </c>
      <c r="K97" s="23" t="n">
        <v>111839.96</v>
      </c>
      <c r="L97" s="23" t="n">
        <v>110473.91</v>
      </c>
      <c r="M97" s="23" t="n">
        <v>113822.52</v>
      </c>
      <c r="N97" s="23" t="n">
        <v>104261.28</v>
      </c>
      <c r="O97" s="23" t="n">
        <v>116452.08</v>
      </c>
      <c r="P97" s="23" t="n">
        <v>96056.02</v>
      </c>
      <c r="Q97" s="23" t="n">
        <v>107609.37</v>
      </c>
      <c r="R97" s="23" t="n">
        <v>94982.94</v>
      </c>
      <c r="S97" s="23" t="n">
        <v>91717.35</v>
      </c>
      <c r="T97" s="23" t="n">
        <v>98822.49</v>
      </c>
      <c r="U97" s="23" t="n">
        <v>100708.51</v>
      </c>
      <c r="V97" s="23" t="n">
        <v>99666.21</v>
      </c>
      <c r="W97" s="23" t="n">
        <v>102876.82</v>
      </c>
      <c r="X97" s="23" t="n">
        <v>103915.2</v>
      </c>
      <c r="Y97" s="23" t="n">
        <v>98351.12</v>
      </c>
      <c r="Z97" s="23" t="n">
        <v>106277.72</v>
      </c>
    </row>
    <row r="98" customFormat="false" ht="15" hidden="false" customHeight="false" outlineLevel="0" collapsed="false">
      <c r="A98" s="0" t="n">
        <v>96</v>
      </c>
      <c r="B98" s="23" t="n">
        <v>99361.17</v>
      </c>
      <c r="C98" s="23" t="n">
        <v>107553.8</v>
      </c>
      <c r="D98" s="23" t="n">
        <v>107373.9</v>
      </c>
      <c r="E98" s="23" t="n">
        <v>105747.34</v>
      </c>
      <c r="F98" s="23" t="n">
        <v>113353.7</v>
      </c>
      <c r="G98" s="23" t="n">
        <v>103851.94</v>
      </c>
      <c r="H98" s="23" t="n">
        <v>104190.58</v>
      </c>
      <c r="I98" s="23" t="n">
        <v>103742.17</v>
      </c>
      <c r="J98" s="23" t="n">
        <v>93655.9</v>
      </c>
      <c r="K98" s="23" t="n">
        <v>110286.33</v>
      </c>
      <c r="L98" s="23" t="n">
        <v>111101.6</v>
      </c>
      <c r="M98" s="23" t="n">
        <v>113235.1</v>
      </c>
      <c r="N98" s="23" t="n">
        <v>103897.9</v>
      </c>
      <c r="O98" s="23" t="n">
        <v>116828.8</v>
      </c>
      <c r="P98" s="23" t="n">
        <v>96137.04</v>
      </c>
      <c r="Q98" s="23" t="n">
        <v>108080.23</v>
      </c>
      <c r="R98" s="23" t="n">
        <v>95336.81</v>
      </c>
      <c r="S98" s="23" t="n">
        <v>91401.95</v>
      </c>
      <c r="T98" s="23" t="n">
        <v>99711.45</v>
      </c>
      <c r="U98" s="23" t="n">
        <v>100403.13</v>
      </c>
      <c r="V98" s="23" t="n">
        <v>100215.31</v>
      </c>
      <c r="W98" s="23" t="n">
        <v>103370.04</v>
      </c>
      <c r="X98" s="23" t="n">
        <v>103437.58</v>
      </c>
      <c r="Y98" s="23" t="n">
        <v>98405.25</v>
      </c>
      <c r="Z98" s="23" t="n">
        <v>105916.62</v>
      </c>
    </row>
    <row r="99" customFormat="false" ht="15" hidden="false" customHeight="false" outlineLevel="0" collapsed="false">
      <c r="A99" s="0" t="n">
        <v>97</v>
      </c>
      <c r="B99" s="23" t="n">
        <v>99972.11</v>
      </c>
      <c r="C99" s="23" t="n">
        <v>108934.4</v>
      </c>
      <c r="D99" s="23" t="n">
        <v>107077.66</v>
      </c>
      <c r="E99" s="23" t="n">
        <v>106671.8</v>
      </c>
      <c r="F99" s="23" t="n">
        <v>114320.96</v>
      </c>
      <c r="G99" s="23" t="n">
        <v>104492.31</v>
      </c>
      <c r="H99" s="23" t="n">
        <v>104225.24</v>
      </c>
      <c r="I99" s="23" t="n">
        <v>102657.44</v>
      </c>
      <c r="J99" s="23" t="n">
        <v>94307.04</v>
      </c>
      <c r="K99" s="23" t="n">
        <v>110851.9</v>
      </c>
      <c r="L99" s="23" t="n">
        <v>110238.62</v>
      </c>
      <c r="M99" s="23" t="n">
        <v>113952.37</v>
      </c>
      <c r="N99" s="23" t="n">
        <v>103069.99</v>
      </c>
      <c r="O99" s="23" t="n">
        <v>116797.09</v>
      </c>
      <c r="P99" s="23" t="n">
        <v>96812.74</v>
      </c>
      <c r="Q99" s="23" t="n">
        <v>109019.7</v>
      </c>
      <c r="R99" s="23" t="n">
        <v>94984.78</v>
      </c>
      <c r="S99" s="23" t="n">
        <v>91161.79</v>
      </c>
      <c r="T99" s="23" t="n">
        <v>100226.41</v>
      </c>
      <c r="U99" s="23" t="n">
        <v>99921.08</v>
      </c>
      <c r="V99" s="23" t="n">
        <v>99887.77</v>
      </c>
      <c r="W99" s="23" t="n">
        <v>102704.03</v>
      </c>
      <c r="X99" s="23" t="n">
        <v>103216.36</v>
      </c>
      <c r="Y99" s="23" t="n">
        <v>98637.25</v>
      </c>
      <c r="Z99" s="23" t="n">
        <v>105774.25</v>
      </c>
    </row>
    <row r="100" customFormat="false" ht="15" hidden="false" customHeight="false" outlineLevel="0" collapsed="false">
      <c r="A100" s="0" t="n">
        <v>98</v>
      </c>
      <c r="B100" s="23" t="n">
        <v>100233.72</v>
      </c>
      <c r="C100" s="23" t="n">
        <v>107680.79</v>
      </c>
      <c r="D100" s="23" t="n">
        <v>106587.57</v>
      </c>
      <c r="E100" s="23" t="n">
        <v>106391.98</v>
      </c>
      <c r="F100" s="23" t="n">
        <v>114641.92</v>
      </c>
      <c r="G100" s="23" t="n">
        <v>103804.52</v>
      </c>
      <c r="H100" s="23" t="n">
        <v>103724.85</v>
      </c>
      <c r="I100" s="23" t="n">
        <v>103108.96</v>
      </c>
      <c r="J100" s="23" t="n">
        <v>94274.25</v>
      </c>
      <c r="K100" s="23" t="n">
        <v>111667.34</v>
      </c>
      <c r="L100" s="23" t="n">
        <v>111058.46</v>
      </c>
      <c r="M100" s="23" t="n">
        <v>114010.93</v>
      </c>
      <c r="N100" s="23" t="n">
        <v>102409.61</v>
      </c>
      <c r="O100" s="23" t="n">
        <v>115649.83</v>
      </c>
      <c r="P100" s="23" t="n">
        <v>96899.45</v>
      </c>
      <c r="Q100" s="23" t="n">
        <v>109226.4</v>
      </c>
      <c r="R100" s="23" t="n">
        <v>95021.4</v>
      </c>
      <c r="S100" s="23" t="n">
        <v>90368.37</v>
      </c>
      <c r="T100" s="23" t="n">
        <v>101213.86</v>
      </c>
      <c r="U100" s="23" t="n">
        <v>99266.05</v>
      </c>
      <c r="V100" s="23" t="n">
        <v>100319.87</v>
      </c>
      <c r="W100" s="23" t="n">
        <v>102623.94</v>
      </c>
      <c r="X100" s="23" t="n">
        <v>103950.22</v>
      </c>
      <c r="Y100" s="23" t="n">
        <v>98117.23</v>
      </c>
      <c r="Z100" s="23" t="n">
        <v>107468.01</v>
      </c>
    </row>
    <row r="101" customFormat="false" ht="15" hidden="false" customHeight="false" outlineLevel="0" collapsed="false">
      <c r="A101" s="0" t="n">
        <v>99</v>
      </c>
      <c r="B101" s="23" t="n">
        <v>99784.55</v>
      </c>
      <c r="C101" s="23" t="n">
        <v>107089.28</v>
      </c>
      <c r="D101" s="23" t="n">
        <v>105261.47</v>
      </c>
      <c r="E101" s="23" t="n">
        <v>106392.07</v>
      </c>
      <c r="F101" s="23" t="n">
        <v>114701.72</v>
      </c>
      <c r="G101" s="23" t="n">
        <v>104576.14</v>
      </c>
      <c r="H101" s="23" t="n">
        <v>103665.74</v>
      </c>
      <c r="I101" s="23" t="n">
        <v>103610.67</v>
      </c>
      <c r="J101" s="23" t="n">
        <v>94486.73</v>
      </c>
      <c r="K101" s="23" t="n">
        <v>112388.82</v>
      </c>
      <c r="L101" s="23" t="n">
        <v>110135.42</v>
      </c>
      <c r="M101" s="23" t="n">
        <v>113640.25</v>
      </c>
      <c r="N101" s="23" t="n">
        <v>101823.88</v>
      </c>
      <c r="O101" s="23" t="n">
        <v>114782.35</v>
      </c>
      <c r="P101" s="23" t="n">
        <v>97635.37</v>
      </c>
      <c r="Q101" s="23" t="n">
        <v>109599.21</v>
      </c>
      <c r="R101" s="23" t="n">
        <v>95865.17</v>
      </c>
      <c r="S101" s="23" t="n">
        <v>90312.06</v>
      </c>
      <c r="T101" s="23" t="n">
        <v>100173.53</v>
      </c>
      <c r="U101" s="23" t="n">
        <v>99329.37</v>
      </c>
      <c r="V101" s="23" t="n">
        <v>101168.66</v>
      </c>
      <c r="W101" s="23" t="n">
        <v>103025.77</v>
      </c>
      <c r="X101" s="23" t="n">
        <v>104237.13</v>
      </c>
      <c r="Y101" s="23" t="n">
        <v>97523.42</v>
      </c>
      <c r="Z101" s="23" t="n">
        <v>106528.71</v>
      </c>
    </row>
    <row r="102" customFormat="false" ht="15" hidden="false" customHeight="false" outlineLevel="0" collapsed="false">
      <c r="A102" s="0" t="n">
        <v>100</v>
      </c>
      <c r="B102" s="23" t="n">
        <v>100157.82</v>
      </c>
      <c r="C102" s="23" t="n">
        <v>107874.98</v>
      </c>
      <c r="D102" s="23" t="n">
        <v>105448.12</v>
      </c>
      <c r="E102" s="23" t="n">
        <v>107098.09</v>
      </c>
      <c r="F102" s="23" t="n">
        <v>114321.77</v>
      </c>
      <c r="G102" s="23" t="n">
        <v>104148.9</v>
      </c>
      <c r="H102" s="23" t="n">
        <v>103876.38</v>
      </c>
      <c r="I102" s="23" t="n">
        <v>103989.56</v>
      </c>
      <c r="J102" s="23" t="n">
        <v>94962.93</v>
      </c>
      <c r="K102" s="23" t="n">
        <v>112874.75</v>
      </c>
      <c r="L102" s="23" t="n">
        <v>110418.61</v>
      </c>
      <c r="M102" s="23" t="n">
        <v>113639.46</v>
      </c>
      <c r="N102" s="23" t="n">
        <v>101815.61</v>
      </c>
      <c r="O102" s="23" t="n">
        <v>115426.75</v>
      </c>
      <c r="P102" s="23" t="n">
        <v>98390.15</v>
      </c>
      <c r="Q102" s="23" t="n">
        <v>108262.9</v>
      </c>
      <c r="R102" s="23" t="n">
        <v>94750.98</v>
      </c>
      <c r="S102" s="23" t="n">
        <v>90434.63</v>
      </c>
      <c r="T102" s="23" t="n">
        <v>100122.31</v>
      </c>
      <c r="U102" s="23" t="n">
        <v>99803.83</v>
      </c>
      <c r="V102" s="23" t="n">
        <v>99651.44</v>
      </c>
      <c r="W102" s="23" t="n">
        <v>103380.78</v>
      </c>
      <c r="X102" s="23" t="n">
        <v>104785.87</v>
      </c>
      <c r="Y102" s="23" t="n">
        <v>97481.53</v>
      </c>
      <c r="Z102" s="23" t="n">
        <v>107116.42</v>
      </c>
    </row>
    <row r="103" customFormat="false" ht="15" hidden="false" customHeight="false" outlineLevel="0" collapsed="false">
      <c r="A103" s="0" t="n">
        <v>101</v>
      </c>
      <c r="B103" s="23" t="n">
        <v>100613.58</v>
      </c>
      <c r="C103" s="23" t="n">
        <v>108366.1</v>
      </c>
      <c r="D103" s="23" t="n">
        <v>106171.91</v>
      </c>
      <c r="E103" s="23" t="n">
        <v>106769.84</v>
      </c>
      <c r="F103" s="23" t="n">
        <v>113615.6</v>
      </c>
      <c r="G103" s="23" t="n">
        <v>103016.88</v>
      </c>
      <c r="H103" s="23" t="n">
        <v>103930.27</v>
      </c>
      <c r="I103" s="23" t="n">
        <v>104106.33</v>
      </c>
      <c r="J103" s="23" t="n">
        <v>94972.14</v>
      </c>
      <c r="K103" s="23" t="n">
        <v>113030.76</v>
      </c>
      <c r="L103" s="23" t="n">
        <v>110941.42</v>
      </c>
      <c r="M103" s="23" t="n">
        <v>112602.11</v>
      </c>
      <c r="N103" s="23" t="n">
        <v>101693.22</v>
      </c>
      <c r="O103" s="23" t="n">
        <v>114888</v>
      </c>
      <c r="P103" s="23" t="n">
        <v>97980.47</v>
      </c>
      <c r="Q103" s="23" t="n">
        <v>107771.53</v>
      </c>
      <c r="R103" s="23" t="n">
        <v>93661.16</v>
      </c>
      <c r="S103" s="23" t="n">
        <v>90539.75</v>
      </c>
      <c r="T103" s="23" t="n">
        <v>100273.57</v>
      </c>
      <c r="U103" s="23" t="n">
        <v>100072.55</v>
      </c>
      <c r="V103" s="23" t="n">
        <v>98827.31</v>
      </c>
      <c r="W103" s="23" t="n">
        <v>103037.33</v>
      </c>
      <c r="X103" s="23" t="n">
        <v>104415.66</v>
      </c>
      <c r="Y103" s="23" t="n">
        <v>97366.36</v>
      </c>
      <c r="Z103" s="23" t="n">
        <v>107263.41</v>
      </c>
    </row>
    <row r="104" customFormat="false" ht="15" hidden="false" customHeight="false" outlineLevel="0" collapsed="false">
      <c r="A104" s="0" t="n">
        <v>102</v>
      </c>
      <c r="B104" s="23" t="n">
        <v>102233.02</v>
      </c>
      <c r="C104" s="23" t="n">
        <v>108783.42</v>
      </c>
      <c r="D104" s="23" t="n">
        <v>105746.16</v>
      </c>
      <c r="E104" s="23" t="n">
        <v>106381.83</v>
      </c>
      <c r="F104" s="23" t="n">
        <v>114294.09</v>
      </c>
      <c r="G104" s="23" t="n">
        <v>102064.99</v>
      </c>
      <c r="H104" s="23" t="n">
        <v>103936.51</v>
      </c>
      <c r="I104" s="23" t="n">
        <v>103211.45</v>
      </c>
      <c r="J104" s="23" t="n">
        <v>94894.65</v>
      </c>
      <c r="K104" s="23" t="n">
        <v>113436.63</v>
      </c>
      <c r="L104" s="23" t="n">
        <v>110447.06</v>
      </c>
      <c r="M104" s="23" t="n">
        <v>112112.66</v>
      </c>
      <c r="N104" s="23" t="n">
        <v>101908.57</v>
      </c>
      <c r="O104" s="23" t="n">
        <v>115025.82</v>
      </c>
      <c r="P104" s="23" t="n">
        <v>97612.14</v>
      </c>
      <c r="Q104" s="23" t="n">
        <v>106355.27</v>
      </c>
      <c r="R104" s="23" t="n">
        <v>94767.95</v>
      </c>
      <c r="S104" s="23" t="n">
        <v>91505.51</v>
      </c>
      <c r="T104" s="23" t="n">
        <v>100348.3</v>
      </c>
      <c r="U104" s="23" t="n">
        <v>100012.86</v>
      </c>
      <c r="V104" s="23" t="n">
        <v>98007.73</v>
      </c>
      <c r="W104" s="23" t="n">
        <v>102794.16</v>
      </c>
      <c r="X104" s="23" t="n">
        <v>103854.04</v>
      </c>
      <c r="Y104" s="23" t="n">
        <v>98237.96</v>
      </c>
      <c r="Z104" s="23" t="n">
        <v>108018.51</v>
      </c>
    </row>
    <row r="105" customFormat="false" ht="15" hidden="false" customHeight="false" outlineLevel="0" collapsed="false">
      <c r="A105" s="0" t="n">
        <v>103</v>
      </c>
      <c r="B105" s="23" t="n">
        <v>102805.66</v>
      </c>
      <c r="C105" s="23" t="n">
        <v>108889.81</v>
      </c>
      <c r="D105" s="23" t="n">
        <v>106585.81</v>
      </c>
      <c r="E105" s="23" t="n">
        <v>106834.53</v>
      </c>
      <c r="F105" s="23" t="n">
        <v>114893.2</v>
      </c>
      <c r="G105" s="23" t="n">
        <v>102439.29</v>
      </c>
      <c r="H105" s="23" t="n">
        <v>102207.22</v>
      </c>
      <c r="I105" s="23" t="n">
        <v>104387.05</v>
      </c>
      <c r="J105" s="23" t="n">
        <v>94997.43</v>
      </c>
      <c r="K105" s="23" t="n">
        <v>113099.94</v>
      </c>
      <c r="L105" s="23" t="n">
        <v>111803.38</v>
      </c>
      <c r="M105" s="23" t="n">
        <v>112383.65</v>
      </c>
      <c r="N105" s="23" t="n">
        <v>101301.69</v>
      </c>
      <c r="O105" s="23" t="n">
        <v>113804.5</v>
      </c>
      <c r="P105" s="23" t="n">
        <v>97244.33</v>
      </c>
      <c r="Q105" s="23" t="n">
        <v>106387.55</v>
      </c>
      <c r="R105" s="23" t="n">
        <v>94653.08</v>
      </c>
      <c r="S105" s="23" t="n">
        <v>91797.2</v>
      </c>
      <c r="T105" s="23" t="n">
        <v>100595.28</v>
      </c>
      <c r="U105" s="23" t="n">
        <v>100747.79</v>
      </c>
      <c r="V105" s="23" t="n">
        <v>98850.69</v>
      </c>
      <c r="W105" s="23" t="n">
        <v>103985.63</v>
      </c>
      <c r="X105" s="23" t="n">
        <v>103372.35</v>
      </c>
      <c r="Y105" s="23" t="n">
        <v>98693.03</v>
      </c>
      <c r="Z105" s="23" t="n">
        <v>108899.75</v>
      </c>
    </row>
    <row r="106" customFormat="false" ht="15" hidden="false" customHeight="false" outlineLevel="0" collapsed="false">
      <c r="A106" s="0" t="n">
        <v>104</v>
      </c>
      <c r="B106" s="23" t="n">
        <v>103824.94</v>
      </c>
      <c r="C106" s="23" t="n">
        <v>108509.3</v>
      </c>
      <c r="D106" s="23" t="n">
        <v>105363.23</v>
      </c>
      <c r="E106" s="23" t="n">
        <v>106777.3</v>
      </c>
      <c r="F106" s="23" t="n">
        <v>116169.53</v>
      </c>
      <c r="G106" s="23" t="n">
        <v>102210.61</v>
      </c>
      <c r="H106" s="23" t="n">
        <v>102307.87</v>
      </c>
      <c r="I106" s="23" t="n">
        <v>103984.05</v>
      </c>
      <c r="J106" s="23" t="n">
        <v>95479.6</v>
      </c>
      <c r="K106" s="23" t="n">
        <v>111672.62</v>
      </c>
      <c r="L106" s="23" t="n">
        <v>110925.7</v>
      </c>
      <c r="M106" s="23" t="n">
        <v>112542.62</v>
      </c>
      <c r="N106" s="23" t="n">
        <v>101897.53</v>
      </c>
      <c r="O106" s="23" t="n">
        <v>114338.05</v>
      </c>
      <c r="P106" s="23" t="n">
        <v>96525.19</v>
      </c>
      <c r="Q106" s="23" t="n">
        <v>106290.66</v>
      </c>
      <c r="R106" s="23" t="n">
        <v>93713.32</v>
      </c>
      <c r="S106" s="23" t="n">
        <v>91241.28</v>
      </c>
      <c r="T106" s="23" t="n">
        <v>99956.29</v>
      </c>
      <c r="U106" s="23" t="n">
        <v>101096.47</v>
      </c>
      <c r="V106" s="23" t="n">
        <v>98134.06</v>
      </c>
      <c r="W106" s="23" t="n">
        <v>103439.5</v>
      </c>
      <c r="X106" s="23" t="n">
        <v>102642.35</v>
      </c>
      <c r="Y106" s="23" t="n">
        <v>99788.78</v>
      </c>
      <c r="Z106" s="23" t="n">
        <v>108846.82</v>
      </c>
    </row>
    <row r="107" customFormat="false" ht="15" hidden="false" customHeight="false" outlineLevel="0" collapsed="false">
      <c r="A107" s="0" t="n">
        <v>105</v>
      </c>
      <c r="B107" s="23" t="n">
        <v>103064.09</v>
      </c>
      <c r="C107" s="23" t="n">
        <v>108833.28</v>
      </c>
      <c r="D107" s="23" t="n">
        <v>104342.52</v>
      </c>
      <c r="E107" s="23" t="n">
        <v>106306.48</v>
      </c>
      <c r="F107" s="23" t="n">
        <v>117298.94</v>
      </c>
      <c r="G107" s="23" t="n">
        <v>102513.42</v>
      </c>
      <c r="H107" s="23" t="n">
        <v>103923.7</v>
      </c>
      <c r="I107" s="23" t="n">
        <v>103809.11</v>
      </c>
      <c r="J107" s="23" t="n">
        <v>96213.23</v>
      </c>
      <c r="K107" s="23" t="n">
        <v>112527.38</v>
      </c>
      <c r="L107" s="23" t="n">
        <v>110020.96</v>
      </c>
      <c r="M107" s="23" t="n">
        <v>112116.55</v>
      </c>
      <c r="N107" s="23" t="n">
        <v>103097.43</v>
      </c>
      <c r="O107" s="23" t="n">
        <v>115673.13</v>
      </c>
      <c r="P107" s="23" t="n">
        <v>96260.61</v>
      </c>
      <c r="Q107" s="23" t="n">
        <v>106789.11</v>
      </c>
      <c r="R107" s="23" t="n">
        <v>94378.62</v>
      </c>
      <c r="S107" s="23" t="n">
        <v>91763.6</v>
      </c>
      <c r="T107" s="23" t="n">
        <v>100389.64</v>
      </c>
      <c r="U107" s="23" t="n">
        <v>100133.3</v>
      </c>
      <c r="V107" s="23" t="n">
        <v>97253.35</v>
      </c>
      <c r="W107" s="23" t="n">
        <v>102667.53</v>
      </c>
      <c r="X107" s="23" t="n">
        <v>102549.16</v>
      </c>
      <c r="Y107" s="23" t="n">
        <v>100168.49</v>
      </c>
      <c r="Z107" s="23" t="n">
        <v>108280.62</v>
      </c>
    </row>
    <row r="108" customFormat="false" ht="15" hidden="false" customHeight="false" outlineLevel="0" collapsed="false">
      <c r="A108" s="0" t="n">
        <v>106</v>
      </c>
      <c r="B108" s="23" t="n">
        <v>103884.63</v>
      </c>
      <c r="C108" s="23" t="n">
        <v>107089.48</v>
      </c>
      <c r="D108" s="23" t="n">
        <v>104486.17</v>
      </c>
      <c r="E108" s="23" t="n">
        <v>105450.76</v>
      </c>
      <c r="F108" s="23" t="n">
        <v>118207.79</v>
      </c>
      <c r="G108" s="23" t="n">
        <v>100984.46</v>
      </c>
      <c r="H108" s="23" t="n">
        <v>104274.52</v>
      </c>
      <c r="I108" s="23" t="n">
        <v>104171.99</v>
      </c>
      <c r="J108" s="23" t="n">
        <v>96083.36</v>
      </c>
      <c r="K108" s="23" t="n">
        <v>113403.83</v>
      </c>
      <c r="L108" s="23" t="n">
        <v>109944.37</v>
      </c>
      <c r="M108" s="23" t="n">
        <v>111802.78</v>
      </c>
      <c r="N108" s="23" t="n">
        <v>101517.61</v>
      </c>
      <c r="O108" s="23" t="n">
        <v>116412.63</v>
      </c>
      <c r="P108" s="23" t="n">
        <v>96129.5</v>
      </c>
      <c r="Q108" s="23" t="n">
        <v>107537.81</v>
      </c>
      <c r="R108" s="23" t="n">
        <v>94054.38</v>
      </c>
      <c r="S108" s="23" t="n">
        <v>92142.27</v>
      </c>
      <c r="T108" s="23" t="n">
        <v>99984.48</v>
      </c>
      <c r="U108" s="23" t="n">
        <v>100385.86</v>
      </c>
      <c r="V108" s="23" t="n">
        <v>97968.67</v>
      </c>
      <c r="W108" s="23" t="n">
        <v>103940.88</v>
      </c>
      <c r="X108" s="23" t="n">
        <v>102728.03</v>
      </c>
      <c r="Y108" s="23" t="n">
        <v>101068.13</v>
      </c>
      <c r="Z108" s="23" t="n">
        <v>108334.92</v>
      </c>
    </row>
    <row r="109" customFormat="false" ht="15" hidden="false" customHeight="false" outlineLevel="0" collapsed="false">
      <c r="A109" s="0" t="n">
        <v>107</v>
      </c>
      <c r="B109" s="23" t="n">
        <v>105059.12</v>
      </c>
      <c r="C109" s="23" t="n">
        <v>106411.09</v>
      </c>
      <c r="D109" s="23" t="n">
        <v>105743.47</v>
      </c>
      <c r="E109" s="23" t="n">
        <v>105040.19</v>
      </c>
      <c r="F109" s="23" t="n">
        <v>118686.44</v>
      </c>
      <c r="G109" s="23" t="n">
        <v>100584.84</v>
      </c>
      <c r="H109" s="23" t="n">
        <v>104291.15</v>
      </c>
      <c r="I109" s="23" t="n">
        <v>104327.17</v>
      </c>
      <c r="J109" s="23" t="n">
        <v>96393.58</v>
      </c>
      <c r="K109" s="23" t="n">
        <v>113615.28</v>
      </c>
      <c r="L109" s="23" t="n">
        <v>110509.42</v>
      </c>
      <c r="M109" s="23" t="n">
        <v>112337.75</v>
      </c>
      <c r="N109" s="23" t="n">
        <v>101626.83</v>
      </c>
      <c r="O109" s="23" t="n">
        <v>116880.64</v>
      </c>
      <c r="P109" s="23" t="n">
        <v>95643.26</v>
      </c>
      <c r="Q109" s="23" t="n">
        <v>107766.71</v>
      </c>
      <c r="R109" s="23" t="n">
        <v>94547.24</v>
      </c>
      <c r="S109" s="23" t="n">
        <v>92399.29</v>
      </c>
      <c r="T109" s="23" t="n">
        <v>100338.43</v>
      </c>
      <c r="U109" s="23" t="n">
        <v>101217.73</v>
      </c>
      <c r="V109" s="23" t="n">
        <v>97760.83</v>
      </c>
      <c r="W109" s="23" t="n">
        <v>104994.33</v>
      </c>
      <c r="X109" s="23" t="n">
        <v>102200.63</v>
      </c>
      <c r="Y109" s="23" t="n">
        <v>100726.89</v>
      </c>
      <c r="Z109" s="23" t="n">
        <v>108843.97</v>
      </c>
    </row>
    <row r="110" customFormat="false" ht="15" hidden="false" customHeight="false" outlineLevel="0" collapsed="false">
      <c r="A110" s="0" t="n">
        <v>108</v>
      </c>
      <c r="B110" s="23" t="n">
        <v>105721.65</v>
      </c>
      <c r="C110" s="23" t="n">
        <v>106888.16</v>
      </c>
      <c r="D110" s="23" t="n">
        <v>105581.14</v>
      </c>
      <c r="E110" s="23" t="n">
        <v>104313.24</v>
      </c>
      <c r="F110" s="23" t="n">
        <v>119338.6</v>
      </c>
      <c r="G110" s="23" t="n">
        <v>99943.26</v>
      </c>
      <c r="H110" s="23" t="n">
        <v>105095.17</v>
      </c>
      <c r="I110" s="23" t="n">
        <v>104668.33</v>
      </c>
      <c r="J110" s="23" t="n">
        <v>96181.62</v>
      </c>
      <c r="K110" s="23" t="n">
        <v>114467.46</v>
      </c>
      <c r="L110" s="23" t="n">
        <v>110295.34</v>
      </c>
      <c r="M110" s="23" t="n">
        <v>112717.25</v>
      </c>
      <c r="N110" s="23" t="n">
        <v>101192.57</v>
      </c>
      <c r="O110" s="23" t="n">
        <v>117278.39</v>
      </c>
      <c r="P110" s="23" t="n">
        <v>95258.91</v>
      </c>
      <c r="Q110" s="23" t="n">
        <v>108226.15</v>
      </c>
      <c r="R110" s="23" t="n">
        <v>95456.17</v>
      </c>
      <c r="S110" s="23" t="n">
        <v>91627.04</v>
      </c>
      <c r="T110" s="23" t="n">
        <v>100627.15</v>
      </c>
      <c r="U110" s="23" t="n">
        <v>102452</v>
      </c>
      <c r="V110" s="23" t="n">
        <v>97908.46</v>
      </c>
      <c r="W110" s="23" t="n">
        <v>104379</v>
      </c>
      <c r="X110" s="23" t="n">
        <v>101424.59</v>
      </c>
      <c r="Y110" s="23" t="n">
        <v>101309.59</v>
      </c>
      <c r="Z110" s="23" t="n">
        <v>109427.51</v>
      </c>
    </row>
    <row r="111" customFormat="false" ht="15" hidden="false" customHeight="false" outlineLevel="0" collapsed="false">
      <c r="A111" s="0" t="n">
        <v>109</v>
      </c>
      <c r="B111" s="23" t="n">
        <v>105639.4</v>
      </c>
      <c r="C111" s="23" t="n">
        <v>106935.77</v>
      </c>
      <c r="D111" s="23" t="n">
        <v>106515.98</v>
      </c>
      <c r="E111" s="23" t="n">
        <v>105093.55</v>
      </c>
      <c r="F111" s="23" t="n">
        <v>120252.41</v>
      </c>
      <c r="G111" s="23" t="n">
        <v>99540.14</v>
      </c>
      <c r="H111" s="23" t="n">
        <v>104230.99</v>
      </c>
      <c r="I111" s="23" t="n">
        <v>104255.29</v>
      </c>
      <c r="J111" s="23" t="n">
        <v>96883.97</v>
      </c>
      <c r="K111" s="23" t="n">
        <v>114751</v>
      </c>
      <c r="L111" s="23" t="n">
        <v>110281.25</v>
      </c>
      <c r="M111" s="23" t="n">
        <v>112139.26</v>
      </c>
      <c r="N111" s="23" t="n">
        <v>101311.01</v>
      </c>
      <c r="O111" s="23" t="n">
        <v>117942.27</v>
      </c>
      <c r="P111" s="23" t="n">
        <v>95758.67</v>
      </c>
      <c r="Q111" s="23" t="n">
        <v>107757.53</v>
      </c>
      <c r="R111" s="23" t="n">
        <v>95166.26</v>
      </c>
      <c r="S111" s="23" t="n">
        <v>91335.35</v>
      </c>
      <c r="T111" s="23" t="n">
        <v>101579.4</v>
      </c>
      <c r="U111" s="23" t="n">
        <v>101676.48</v>
      </c>
      <c r="V111" s="23" t="n">
        <v>97644.31</v>
      </c>
      <c r="W111" s="23" t="n">
        <v>103070.47</v>
      </c>
      <c r="X111" s="23" t="n">
        <v>102245.95</v>
      </c>
      <c r="Y111" s="23" t="n">
        <v>100099.71</v>
      </c>
      <c r="Z111" s="23" t="n">
        <v>109859.02</v>
      </c>
    </row>
    <row r="112" customFormat="false" ht="15" hidden="false" customHeight="false" outlineLevel="0" collapsed="false">
      <c r="A112" s="0" t="n">
        <v>110</v>
      </c>
      <c r="B112" s="23" t="n">
        <v>104506.33</v>
      </c>
      <c r="C112" s="23" t="n">
        <v>106102.33</v>
      </c>
      <c r="D112" s="23" t="n">
        <v>107318.86</v>
      </c>
      <c r="E112" s="23" t="n">
        <v>104848.04</v>
      </c>
      <c r="F112" s="23" t="n">
        <v>119241.65</v>
      </c>
      <c r="G112" s="23" t="n">
        <v>99756.23</v>
      </c>
      <c r="H112" s="23" t="n">
        <v>105276.21</v>
      </c>
      <c r="I112" s="23" t="n">
        <v>104070.51</v>
      </c>
      <c r="J112" s="23" t="n">
        <v>96618.82</v>
      </c>
      <c r="K112" s="23" t="n">
        <v>114496.25</v>
      </c>
      <c r="L112" s="23" t="n">
        <v>110318.61</v>
      </c>
      <c r="M112" s="23" t="n">
        <v>113144.54</v>
      </c>
      <c r="N112" s="23" t="n">
        <v>102442.72</v>
      </c>
      <c r="O112" s="23" t="n">
        <v>119033.32</v>
      </c>
      <c r="P112" s="23" t="n">
        <v>95702.05</v>
      </c>
      <c r="Q112" s="23" t="n">
        <v>107843.72</v>
      </c>
      <c r="R112" s="23" t="n">
        <v>95464.22</v>
      </c>
      <c r="S112" s="23" t="n">
        <v>91173.67</v>
      </c>
      <c r="T112" s="23" t="n">
        <v>101487.9</v>
      </c>
      <c r="U112" s="23" t="n">
        <v>102409.08</v>
      </c>
      <c r="V112" s="23" t="n">
        <v>97665.99</v>
      </c>
      <c r="W112" s="23" t="n">
        <v>104316.92</v>
      </c>
      <c r="X112" s="23" t="n">
        <v>102247.08</v>
      </c>
      <c r="Y112" s="23" t="n">
        <v>99791.88</v>
      </c>
      <c r="Z112" s="23" t="n">
        <v>109700.44</v>
      </c>
    </row>
    <row r="113" customFormat="false" ht="15" hidden="false" customHeight="false" outlineLevel="0" collapsed="false">
      <c r="A113" s="0" t="n">
        <v>111</v>
      </c>
      <c r="B113" s="23" t="n">
        <v>104845.61</v>
      </c>
      <c r="C113" s="23" t="n">
        <v>105264.6</v>
      </c>
      <c r="D113" s="23" t="n">
        <v>107672.38</v>
      </c>
      <c r="E113" s="23" t="n">
        <v>104762.08</v>
      </c>
      <c r="F113" s="23" t="n">
        <v>119785.48</v>
      </c>
      <c r="G113" s="23" t="n">
        <v>100311.76</v>
      </c>
      <c r="H113" s="23" t="n">
        <v>105482.05</v>
      </c>
      <c r="I113" s="23" t="n">
        <v>103713.17</v>
      </c>
      <c r="J113" s="23" t="n">
        <v>96817.41</v>
      </c>
      <c r="K113" s="23" t="n">
        <v>114406.02</v>
      </c>
      <c r="L113" s="23" t="n">
        <v>109512.84</v>
      </c>
      <c r="M113" s="23" t="n">
        <v>113582.26</v>
      </c>
      <c r="N113" s="23" t="n">
        <v>103006.89</v>
      </c>
      <c r="O113" s="23" t="n">
        <v>119036.61</v>
      </c>
      <c r="P113" s="23" t="n">
        <v>96296.99</v>
      </c>
      <c r="Q113" s="23" t="n">
        <v>107216.5</v>
      </c>
      <c r="R113" s="23" t="n">
        <v>96760.49</v>
      </c>
      <c r="S113" s="23" t="n">
        <v>91317.75</v>
      </c>
      <c r="T113" s="23" t="n">
        <v>101472.73</v>
      </c>
      <c r="U113" s="23" t="n">
        <v>103237.72</v>
      </c>
      <c r="V113" s="23" t="n">
        <v>98106.35</v>
      </c>
      <c r="W113" s="23" t="n">
        <v>103631.34</v>
      </c>
      <c r="X113" s="23" t="n">
        <v>103333.97</v>
      </c>
      <c r="Y113" s="23" t="n">
        <v>99369.1</v>
      </c>
      <c r="Z113" s="23" t="n">
        <v>108362.2</v>
      </c>
    </row>
    <row r="114" customFormat="false" ht="15" hidden="false" customHeight="false" outlineLevel="0" collapsed="false">
      <c r="A114" s="0" t="n">
        <v>112</v>
      </c>
      <c r="B114" s="23" t="n">
        <v>104576.45</v>
      </c>
      <c r="C114" s="23" t="n">
        <v>104691.06</v>
      </c>
      <c r="D114" s="23" t="n">
        <v>106441.64</v>
      </c>
      <c r="E114" s="23" t="n">
        <v>103991.8</v>
      </c>
      <c r="F114" s="23" t="n">
        <v>118762.81</v>
      </c>
      <c r="G114" s="23" t="n">
        <v>100854.48</v>
      </c>
      <c r="H114" s="23" t="n">
        <v>106200.37</v>
      </c>
      <c r="I114" s="23" t="n">
        <v>104099.37</v>
      </c>
      <c r="J114" s="23" t="n">
        <v>97827.5</v>
      </c>
      <c r="K114" s="23" t="n">
        <v>114131.82</v>
      </c>
      <c r="L114" s="23" t="n">
        <v>109126.21</v>
      </c>
      <c r="M114" s="23" t="n">
        <v>113887.77</v>
      </c>
      <c r="N114" s="23" t="n">
        <v>102810.41</v>
      </c>
      <c r="O114" s="23" t="n">
        <v>120277.47</v>
      </c>
      <c r="P114" s="23" t="n">
        <v>96849</v>
      </c>
      <c r="Q114" s="23" t="n">
        <v>108466.14</v>
      </c>
      <c r="R114" s="23" t="n">
        <v>96403.04</v>
      </c>
      <c r="S114" s="23" t="n">
        <v>91673.06</v>
      </c>
      <c r="T114" s="23" t="n">
        <v>101900.84</v>
      </c>
      <c r="U114" s="23" t="n">
        <v>103933.76</v>
      </c>
      <c r="V114" s="23" t="n">
        <v>98661.34</v>
      </c>
      <c r="W114" s="23" t="n">
        <v>103020.33</v>
      </c>
      <c r="X114" s="23" t="n">
        <v>102594.9</v>
      </c>
      <c r="Y114" s="23" t="n">
        <v>98997.93</v>
      </c>
      <c r="Z114" s="23" t="n">
        <v>109707.92</v>
      </c>
    </row>
    <row r="115" customFormat="false" ht="15" hidden="false" customHeight="false" outlineLevel="0" collapsed="false">
      <c r="A115" s="0" t="n">
        <v>113</v>
      </c>
      <c r="B115" s="23" t="n">
        <v>103476.25</v>
      </c>
      <c r="C115" s="23" t="n">
        <v>104998.73</v>
      </c>
      <c r="D115" s="23" t="n">
        <v>108400.89</v>
      </c>
      <c r="E115" s="23" t="n">
        <v>103098.2</v>
      </c>
      <c r="F115" s="23" t="n">
        <v>118435.59</v>
      </c>
      <c r="G115" s="23" t="n">
        <v>100346.88</v>
      </c>
      <c r="H115" s="23" t="n">
        <v>106294.38</v>
      </c>
      <c r="I115" s="23" t="n">
        <v>103503.34</v>
      </c>
      <c r="J115" s="23" t="n">
        <v>97610.41</v>
      </c>
      <c r="K115" s="23" t="n">
        <v>114518.38</v>
      </c>
      <c r="L115" s="23" t="n">
        <v>110123.31</v>
      </c>
      <c r="M115" s="23" t="n">
        <v>113997.47</v>
      </c>
      <c r="N115" s="23" t="n">
        <v>104119.59</v>
      </c>
      <c r="O115" s="23" t="n">
        <v>119649.84</v>
      </c>
      <c r="P115" s="23" t="n">
        <v>97509.36</v>
      </c>
      <c r="Q115" s="23" t="n">
        <v>108251.78</v>
      </c>
      <c r="R115" s="23" t="n">
        <v>96019.66</v>
      </c>
      <c r="S115" s="23" t="n">
        <v>90889.91</v>
      </c>
      <c r="T115" s="23" t="n">
        <v>103000.74</v>
      </c>
      <c r="U115" s="23" t="n">
        <v>104902.72</v>
      </c>
      <c r="V115" s="23" t="n">
        <v>98626.95</v>
      </c>
      <c r="W115" s="23" t="n">
        <v>103925.78</v>
      </c>
      <c r="X115" s="23" t="n">
        <v>102801.9</v>
      </c>
      <c r="Y115" s="23" t="n">
        <v>98946.61</v>
      </c>
      <c r="Z115" s="23" t="n">
        <v>109737.99</v>
      </c>
    </row>
    <row r="116" customFormat="false" ht="15" hidden="false" customHeight="false" outlineLevel="0" collapsed="false">
      <c r="A116" s="0" t="n">
        <v>114</v>
      </c>
      <c r="B116" s="23" t="n">
        <v>103629.72</v>
      </c>
      <c r="C116" s="23" t="n">
        <v>104915.99</v>
      </c>
      <c r="D116" s="23" t="n">
        <v>109495.67</v>
      </c>
      <c r="E116" s="23" t="n">
        <v>103817.06</v>
      </c>
      <c r="F116" s="23" t="n">
        <v>118376.9</v>
      </c>
      <c r="G116" s="23" t="n">
        <v>99787.91</v>
      </c>
      <c r="H116" s="23" t="n">
        <v>105485.19</v>
      </c>
      <c r="I116" s="23" t="n">
        <v>103954.24</v>
      </c>
      <c r="J116" s="23" t="n">
        <v>97550.09</v>
      </c>
      <c r="K116" s="23" t="n">
        <v>114462.25</v>
      </c>
      <c r="L116" s="23" t="n">
        <v>110835.86</v>
      </c>
      <c r="M116" s="23" t="n">
        <v>113592.63</v>
      </c>
      <c r="N116" s="23" t="n">
        <v>104212.86</v>
      </c>
      <c r="O116" s="23" t="n">
        <v>120908.35</v>
      </c>
      <c r="P116" s="23" t="n">
        <v>97625.62</v>
      </c>
      <c r="Q116" s="23" t="n">
        <v>107616.57</v>
      </c>
      <c r="R116" s="23" t="n">
        <v>96004.46</v>
      </c>
      <c r="S116" s="23" t="n">
        <v>91609.77</v>
      </c>
      <c r="T116" s="23" t="n">
        <v>102530.34</v>
      </c>
      <c r="U116" s="23" t="n">
        <v>103525.64</v>
      </c>
      <c r="V116" s="23" t="n">
        <v>98655.7</v>
      </c>
      <c r="W116" s="23" t="n">
        <v>104763.87</v>
      </c>
      <c r="X116" s="23" t="n">
        <v>103792.75</v>
      </c>
      <c r="Y116" s="23" t="n">
        <v>98794.9</v>
      </c>
      <c r="Z116" s="23" t="n">
        <v>109137.82</v>
      </c>
    </row>
    <row r="117" customFormat="false" ht="15" hidden="false" customHeight="false" outlineLevel="0" collapsed="false">
      <c r="A117" s="0" t="n">
        <v>115</v>
      </c>
      <c r="B117" s="23" t="n">
        <v>103999.26</v>
      </c>
      <c r="C117" s="23" t="n">
        <v>103569.44</v>
      </c>
      <c r="D117" s="23" t="n">
        <v>108753.4</v>
      </c>
      <c r="E117" s="23" t="n">
        <v>104560.55</v>
      </c>
      <c r="F117" s="23" t="n">
        <v>118686.2</v>
      </c>
      <c r="G117" s="23" t="n">
        <v>99947.75</v>
      </c>
      <c r="H117" s="23" t="n">
        <v>104904.2</v>
      </c>
      <c r="I117" s="23" t="n">
        <v>104405.63</v>
      </c>
      <c r="J117" s="23" t="n">
        <v>99361</v>
      </c>
      <c r="K117" s="23" t="n">
        <v>114880.21</v>
      </c>
      <c r="L117" s="23" t="n">
        <v>111020.64</v>
      </c>
      <c r="M117" s="23" t="n">
        <v>114080.36</v>
      </c>
      <c r="N117" s="23" t="n">
        <v>104786.92</v>
      </c>
      <c r="O117" s="23" t="n">
        <v>119076.48</v>
      </c>
      <c r="P117" s="23" t="n">
        <v>98057.05</v>
      </c>
      <c r="Q117" s="23" t="n">
        <v>106039.79</v>
      </c>
      <c r="R117" s="23" t="n">
        <v>95399.74</v>
      </c>
      <c r="S117" s="23" t="n">
        <v>92111.62</v>
      </c>
      <c r="T117" s="23" t="n">
        <v>101531.2</v>
      </c>
      <c r="U117" s="23" t="n">
        <v>102730.23</v>
      </c>
      <c r="V117" s="23" t="n">
        <v>98335.46</v>
      </c>
      <c r="W117" s="23" t="n">
        <v>104626.37</v>
      </c>
      <c r="X117" s="23" t="n">
        <v>104540.77</v>
      </c>
      <c r="Y117" s="23" t="n">
        <v>99031.35</v>
      </c>
      <c r="Z117" s="23" t="n">
        <v>108434.4</v>
      </c>
    </row>
    <row r="118" customFormat="false" ht="15" hidden="false" customHeight="false" outlineLevel="0" collapsed="false">
      <c r="A118" s="0" t="n">
        <v>116</v>
      </c>
      <c r="B118" s="23" t="n">
        <v>104501.68</v>
      </c>
      <c r="C118" s="23" t="n">
        <v>103014.92</v>
      </c>
      <c r="D118" s="23" t="n">
        <v>108053.07</v>
      </c>
      <c r="E118" s="23" t="n">
        <v>105318.11</v>
      </c>
      <c r="F118" s="23" t="n">
        <v>118069.92</v>
      </c>
      <c r="G118" s="23" t="n">
        <v>100427.94</v>
      </c>
      <c r="H118" s="23" t="n">
        <v>103506.36</v>
      </c>
      <c r="I118" s="23" t="n">
        <v>104470.13</v>
      </c>
      <c r="J118" s="23" t="n">
        <v>98394.28</v>
      </c>
      <c r="K118" s="23" t="n">
        <v>114576.11</v>
      </c>
      <c r="L118" s="23" t="n">
        <v>110812.89</v>
      </c>
      <c r="M118" s="23" t="n">
        <v>113308.33</v>
      </c>
      <c r="N118" s="23" t="n">
        <v>103556.77</v>
      </c>
      <c r="O118" s="23" t="n">
        <v>119717.98</v>
      </c>
      <c r="P118" s="23" t="n">
        <v>97378.1</v>
      </c>
      <c r="Q118" s="23" t="n">
        <v>106085.2</v>
      </c>
      <c r="R118" s="23" t="n">
        <v>95123.9</v>
      </c>
      <c r="S118" s="23" t="n">
        <v>91739.49</v>
      </c>
      <c r="T118" s="23" t="n">
        <v>102009.38</v>
      </c>
      <c r="U118" s="23" t="n">
        <v>102293.79</v>
      </c>
      <c r="V118" s="23" t="n">
        <v>98134.81</v>
      </c>
      <c r="W118" s="23" t="n">
        <v>104048.59</v>
      </c>
      <c r="X118" s="23" t="n">
        <v>104480.5</v>
      </c>
      <c r="Y118" s="23" t="n">
        <v>99197.31</v>
      </c>
      <c r="Z118" s="23" t="n">
        <v>106595.06</v>
      </c>
    </row>
    <row r="119" customFormat="false" ht="15" hidden="false" customHeight="false" outlineLevel="0" collapsed="false">
      <c r="A119" s="0" t="n">
        <v>117</v>
      </c>
      <c r="B119" s="23" t="n">
        <v>103605.29</v>
      </c>
      <c r="C119" s="23" t="n">
        <v>103211.21</v>
      </c>
      <c r="D119" s="23" t="n">
        <v>108605.28</v>
      </c>
      <c r="E119" s="23" t="n">
        <v>106148.95</v>
      </c>
      <c r="F119" s="23" t="n">
        <v>117996.58</v>
      </c>
      <c r="G119" s="23" t="n">
        <v>100048.99</v>
      </c>
      <c r="H119" s="23" t="n">
        <v>103288.66</v>
      </c>
      <c r="I119" s="23" t="n">
        <v>104932.14</v>
      </c>
      <c r="J119" s="23" t="n">
        <v>99270.99</v>
      </c>
      <c r="K119" s="23" t="n">
        <v>115106.9</v>
      </c>
      <c r="L119" s="23" t="n">
        <v>111287.26</v>
      </c>
      <c r="M119" s="23" t="n">
        <v>113790.92</v>
      </c>
      <c r="N119" s="23" t="n">
        <v>103413.92</v>
      </c>
      <c r="O119" s="23" t="n">
        <v>120788.72</v>
      </c>
      <c r="P119" s="23" t="n">
        <v>96519.85</v>
      </c>
      <c r="Q119" s="23" t="n">
        <v>106139.73</v>
      </c>
      <c r="R119" s="23" t="n">
        <v>96125.48</v>
      </c>
      <c r="S119" s="23" t="n">
        <v>91410.77</v>
      </c>
      <c r="T119" s="23" t="n">
        <v>104052.57</v>
      </c>
      <c r="U119" s="23" t="n">
        <v>103068.96</v>
      </c>
      <c r="V119" s="23" t="n">
        <v>99239.79</v>
      </c>
      <c r="W119" s="23" t="n">
        <v>103723.1</v>
      </c>
      <c r="X119" s="23" t="n">
        <v>104698.18</v>
      </c>
      <c r="Y119" s="23" t="n">
        <v>99084.54</v>
      </c>
      <c r="Z119" s="23" t="n">
        <v>107318.41</v>
      </c>
    </row>
    <row r="120" customFormat="false" ht="15" hidden="false" customHeight="false" outlineLevel="0" collapsed="false">
      <c r="A120" s="0" t="n">
        <v>118</v>
      </c>
      <c r="B120" s="23" t="n">
        <v>103661.05</v>
      </c>
      <c r="C120" s="23" t="n">
        <v>104497.49</v>
      </c>
      <c r="D120" s="23" t="n">
        <v>107831.06</v>
      </c>
      <c r="E120" s="23" t="n">
        <v>105246.92</v>
      </c>
      <c r="F120" s="23" t="n">
        <v>118212.38</v>
      </c>
      <c r="G120" s="23" t="n">
        <v>100569.29</v>
      </c>
      <c r="H120" s="23" t="n">
        <v>103260.56</v>
      </c>
      <c r="I120" s="23" t="n">
        <v>104347.66</v>
      </c>
      <c r="J120" s="23" t="n">
        <v>98206.17</v>
      </c>
      <c r="K120" s="23" t="n">
        <v>115817.26</v>
      </c>
      <c r="L120" s="23" t="n">
        <v>111450.7</v>
      </c>
      <c r="M120" s="23" t="n">
        <v>114553.66</v>
      </c>
      <c r="N120" s="23" t="n">
        <v>103456.75</v>
      </c>
      <c r="O120" s="23" t="n">
        <v>120614.63</v>
      </c>
      <c r="P120" s="23" t="n">
        <v>96606.92</v>
      </c>
      <c r="Q120" s="23" t="n">
        <v>105043.99</v>
      </c>
      <c r="R120" s="23" t="n">
        <v>95624.42</v>
      </c>
      <c r="S120" s="23" t="n">
        <v>91048.49</v>
      </c>
      <c r="T120" s="23" t="n">
        <v>103766.08</v>
      </c>
      <c r="U120" s="23" t="n">
        <v>103898.56</v>
      </c>
      <c r="V120" s="23" t="n">
        <v>99445.02</v>
      </c>
      <c r="W120" s="23" t="n">
        <v>104423.93</v>
      </c>
      <c r="X120" s="23" t="n">
        <v>105275.78</v>
      </c>
      <c r="Y120" s="23" t="n">
        <v>99288.24</v>
      </c>
      <c r="Z120" s="23" t="n">
        <v>108577.17</v>
      </c>
    </row>
    <row r="121" customFormat="false" ht="15" hidden="false" customHeight="false" outlineLevel="0" collapsed="false">
      <c r="A121" s="0" t="n">
        <v>119</v>
      </c>
      <c r="B121" s="23" t="n">
        <v>104451.22</v>
      </c>
      <c r="C121" s="23" t="n">
        <v>105125.22</v>
      </c>
      <c r="D121" s="23" t="n">
        <v>109622.28</v>
      </c>
      <c r="E121" s="23" t="n">
        <v>105988.91</v>
      </c>
      <c r="F121" s="23" t="n">
        <v>119282.35</v>
      </c>
      <c r="G121" s="23" t="n">
        <v>100048.53</v>
      </c>
      <c r="H121" s="23" t="n">
        <v>103801.81</v>
      </c>
      <c r="I121" s="23" t="n">
        <v>105040.63</v>
      </c>
      <c r="J121" s="23" t="n">
        <v>98332.29</v>
      </c>
      <c r="K121" s="23" t="n">
        <v>115852.43</v>
      </c>
      <c r="L121" s="23" t="n">
        <v>110794.78</v>
      </c>
      <c r="M121" s="23" t="n">
        <v>114069.39</v>
      </c>
      <c r="N121" s="23" t="n">
        <v>103819.13</v>
      </c>
      <c r="O121" s="23" t="n">
        <v>120523.13</v>
      </c>
      <c r="P121" s="23" t="n">
        <v>95652.84</v>
      </c>
      <c r="Q121" s="23" t="n">
        <v>106471.16</v>
      </c>
      <c r="R121" s="23" t="n">
        <v>95886.71</v>
      </c>
      <c r="S121" s="23" t="n">
        <v>91222.21</v>
      </c>
      <c r="T121" s="23" t="n">
        <v>103611.8</v>
      </c>
      <c r="U121" s="23" t="n">
        <v>104384.38</v>
      </c>
      <c r="V121" s="23" t="n">
        <v>98607.14</v>
      </c>
      <c r="W121" s="23" t="n">
        <v>103856.84</v>
      </c>
      <c r="X121" s="23" t="n">
        <v>105215.88</v>
      </c>
      <c r="Y121" s="23" t="n">
        <v>100131.68</v>
      </c>
      <c r="Z121" s="23" t="n">
        <v>110182.22</v>
      </c>
    </row>
    <row r="122" customFormat="false" ht="15" hidden="false" customHeight="false" outlineLevel="0" collapsed="false">
      <c r="A122" s="0" t="n">
        <v>120</v>
      </c>
      <c r="B122" s="23" t="n">
        <v>104888.52</v>
      </c>
      <c r="C122" s="23" t="n">
        <v>104703.8</v>
      </c>
      <c r="D122" s="23" t="n">
        <v>109647.87</v>
      </c>
      <c r="E122" s="23" t="n">
        <v>106425.2</v>
      </c>
      <c r="F122" s="23" t="n">
        <v>119009.44</v>
      </c>
      <c r="G122" s="23" t="n">
        <v>100799.17</v>
      </c>
      <c r="H122" s="23" t="n">
        <v>104649.68</v>
      </c>
      <c r="I122" s="23" t="n">
        <v>106253.97</v>
      </c>
      <c r="J122" s="23" t="n">
        <v>98511.28</v>
      </c>
      <c r="K122" s="23" t="n">
        <v>116230.87</v>
      </c>
      <c r="L122" s="23" t="n">
        <v>111754.41</v>
      </c>
      <c r="M122" s="23" t="n">
        <v>113849.04</v>
      </c>
      <c r="N122" s="23" t="n">
        <v>104204.07</v>
      </c>
      <c r="O122" s="23" t="n">
        <v>118887.15</v>
      </c>
      <c r="P122" s="23" t="n">
        <v>95437.81</v>
      </c>
      <c r="Q122" s="23" t="n">
        <v>105739.39</v>
      </c>
      <c r="R122" s="23" t="n">
        <v>96663.47</v>
      </c>
      <c r="S122" s="23" t="n">
        <v>91033.55</v>
      </c>
      <c r="T122" s="23" t="n">
        <v>102938.99</v>
      </c>
      <c r="U122" s="23" t="n">
        <v>103872.9</v>
      </c>
      <c r="V122" s="23" t="n">
        <v>98610.76</v>
      </c>
      <c r="W122" s="23" t="n">
        <v>104103.42</v>
      </c>
      <c r="X122" s="23" t="n">
        <v>104824.66</v>
      </c>
      <c r="Y122" s="23" t="n">
        <v>101590.23</v>
      </c>
      <c r="Z122" s="23" t="n">
        <v>110738.26</v>
      </c>
    </row>
    <row r="123" customFormat="false" ht="15" hidden="false" customHeight="false" outlineLevel="0" collapsed="false">
      <c r="A123" s="0" t="n">
        <v>121</v>
      </c>
      <c r="B123" s="23" t="n">
        <v>105120.94</v>
      </c>
      <c r="C123" s="23" t="n">
        <v>104116.88</v>
      </c>
      <c r="D123" s="23" t="n">
        <v>109985.6</v>
      </c>
      <c r="E123" s="23" t="n">
        <v>105328.46</v>
      </c>
      <c r="F123" s="23" t="n">
        <v>119565.11</v>
      </c>
      <c r="G123" s="23" t="n">
        <v>101137.54</v>
      </c>
      <c r="H123" s="23" t="n">
        <v>104590.7</v>
      </c>
      <c r="I123" s="23" t="n">
        <v>106583.22</v>
      </c>
      <c r="J123" s="23" t="n">
        <v>98694.69</v>
      </c>
      <c r="K123" s="23" t="n">
        <v>117823.81</v>
      </c>
      <c r="L123" s="23" t="n">
        <v>111544.7</v>
      </c>
      <c r="M123" s="23" t="n">
        <v>113146.92</v>
      </c>
      <c r="N123" s="23" t="n">
        <v>104606.64</v>
      </c>
      <c r="O123" s="23" t="n">
        <v>118831.63</v>
      </c>
      <c r="P123" s="23" t="n">
        <v>94231.22</v>
      </c>
      <c r="Q123" s="23" t="n">
        <v>104828.33</v>
      </c>
      <c r="R123" s="23" t="n">
        <v>97086.02</v>
      </c>
      <c r="S123" s="23" t="n">
        <v>90585.14</v>
      </c>
      <c r="T123" s="23" t="n">
        <v>103806.66</v>
      </c>
      <c r="U123" s="23" t="n">
        <v>102298.79</v>
      </c>
      <c r="V123" s="23" t="n">
        <v>99721.92</v>
      </c>
      <c r="W123" s="23" t="n">
        <v>103374.85</v>
      </c>
      <c r="X123" s="23" t="n">
        <v>104264.35</v>
      </c>
      <c r="Y123" s="23" t="n">
        <v>100879.39</v>
      </c>
      <c r="Z123" s="23" t="n">
        <v>112292.61</v>
      </c>
    </row>
    <row r="124" customFormat="false" ht="15" hidden="false" customHeight="false" outlineLevel="0" collapsed="false">
      <c r="A124" s="0" t="n">
        <v>122</v>
      </c>
      <c r="B124" s="23" t="n">
        <v>105896.06</v>
      </c>
      <c r="C124" s="23" t="n">
        <v>103726.18</v>
      </c>
      <c r="D124" s="23" t="n">
        <v>109541.91</v>
      </c>
      <c r="E124" s="23" t="n">
        <v>106338.49</v>
      </c>
      <c r="F124" s="23" t="n">
        <v>118471.46</v>
      </c>
      <c r="G124" s="23" t="n">
        <v>101460.92</v>
      </c>
      <c r="H124" s="23" t="n">
        <v>104349.02</v>
      </c>
      <c r="I124" s="23" t="n">
        <v>106576.63</v>
      </c>
      <c r="J124" s="23" t="n">
        <v>99051.24</v>
      </c>
      <c r="K124" s="23" t="n">
        <v>120244.04</v>
      </c>
      <c r="L124" s="23" t="n">
        <v>111034.13</v>
      </c>
      <c r="M124" s="23" t="n">
        <v>113908.79</v>
      </c>
      <c r="N124" s="23" t="n">
        <v>104895.41</v>
      </c>
      <c r="O124" s="23" t="n">
        <v>118829.68</v>
      </c>
      <c r="P124" s="23" t="n">
        <v>93983.81</v>
      </c>
      <c r="Q124" s="23" t="n">
        <v>104882.69</v>
      </c>
      <c r="R124" s="23" t="n">
        <v>96450.84</v>
      </c>
      <c r="S124" s="23" t="n">
        <v>89906.87</v>
      </c>
      <c r="T124" s="23" t="n">
        <v>104543.77</v>
      </c>
      <c r="U124" s="23" t="n">
        <v>101736.17</v>
      </c>
      <c r="V124" s="23" t="n">
        <v>99821.57</v>
      </c>
      <c r="W124" s="23" t="n">
        <v>104299.85</v>
      </c>
      <c r="X124" s="23" t="n">
        <v>103959.54</v>
      </c>
      <c r="Y124" s="23" t="n">
        <v>101822.88</v>
      </c>
      <c r="Z124" s="23" t="n">
        <v>111500.09</v>
      </c>
    </row>
    <row r="125" customFormat="false" ht="15" hidden="false" customHeight="false" outlineLevel="0" collapsed="false">
      <c r="A125" s="0" t="n">
        <v>123</v>
      </c>
      <c r="B125" s="23" t="n">
        <v>105341.57</v>
      </c>
      <c r="C125" s="23" t="n">
        <v>104358.47</v>
      </c>
      <c r="D125" s="23" t="n">
        <v>109539.59</v>
      </c>
      <c r="E125" s="23" t="n">
        <v>107517.41</v>
      </c>
      <c r="F125" s="23" t="n">
        <v>121250.67</v>
      </c>
      <c r="G125" s="23" t="n">
        <v>101802.03</v>
      </c>
      <c r="H125" s="23" t="n">
        <v>104122.22</v>
      </c>
      <c r="I125" s="23" t="n">
        <v>107185.36</v>
      </c>
      <c r="J125" s="23" t="n">
        <v>99159.54</v>
      </c>
      <c r="K125" s="23" t="n">
        <v>121366.68</v>
      </c>
      <c r="L125" s="23" t="n">
        <v>110487.88</v>
      </c>
      <c r="M125" s="23" t="n">
        <v>113766.33</v>
      </c>
      <c r="N125" s="23" t="n">
        <v>104554.55</v>
      </c>
      <c r="O125" s="23" t="n">
        <v>117650.09</v>
      </c>
      <c r="P125" s="23" t="n">
        <v>93486.06</v>
      </c>
      <c r="Q125" s="23" t="n">
        <v>105777.21</v>
      </c>
      <c r="R125" s="23" t="n">
        <v>97086.31</v>
      </c>
      <c r="S125" s="23" t="n">
        <v>89375.94</v>
      </c>
      <c r="T125" s="23" t="n">
        <v>104153.84</v>
      </c>
      <c r="U125" s="23" t="n">
        <v>100682.53</v>
      </c>
      <c r="V125" s="23" t="n">
        <v>99720.48</v>
      </c>
      <c r="W125" s="23" t="n">
        <v>103737.48</v>
      </c>
      <c r="X125" s="23" t="n">
        <v>103899.59</v>
      </c>
      <c r="Y125" s="23" t="n">
        <v>101343.46</v>
      </c>
      <c r="Z125" s="23" t="n">
        <v>111920.33</v>
      </c>
    </row>
    <row r="126" customFormat="false" ht="15" hidden="false" customHeight="false" outlineLevel="0" collapsed="false">
      <c r="A126" s="0" t="n">
        <v>124</v>
      </c>
      <c r="B126" s="23" t="n">
        <v>105838.77</v>
      </c>
      <c r="C126" s="23" t="n">
        <v>103404.06</v>
      </c>
      <c r="D126" s="23" t="n">
        <v>110080.43</v>
      </c>
      <c r="E126" s="23" t="n">
        <v>107292.59</v>
      </c>
      <c r="F126" s="23" t="n">
        <v>121457.36</v>
      </c>
      <c r="G126" s="23" t="n">
        <v>101833.8</v>
      </c>
      <c r="H126" s="23" t="n">
        <v>104437.61</v>
      </c>
      <c r="I126" s="23" t="n">
        <v>106511.68</v>
      </c>
      <c r="J126" s="23" t="n">
        <v>99037.24</v>
      </c>
      <c r="K126" s="23" t="n">
        <v>122867.48</v>
      </c>
      <c r="L126" s="23" t="n">
        <v>110800.4</v>
      </c>
      <c r="M126" s="23" t="n">
        <v>112614.61</v>
      </c>
      <c r="N126" s="23" t="n">
        <v>105161.9</v>
      </c>
      <c r="O126" s="23" t="n">
        <v>117360.87</v>
      </c>
      <c r="P126" s="23" t="n">
        <v>92913.48</v>
      </c>
      <c r="Q126" s="23" t="n">
        <v>105436.5</v>
      </c>
      <c r="R126" s="23" t="n">
        <v>97281.37</v>
      </c>
      <c r="S126" s="23" t="n">
        <v>89005.25</v>
      </c>
      <c r="T126" s="23" t="n">
        <v>105110.71</v>
      </c>
      <c r="U126" s="23" t="n">
        <v>99980.45</v>
      </c>
      <c r="V126" s="23" t="n">
        <v>100354.81</v>
      </c>
      <c r="W126" s="23" t="n">
        <v>102430.79</v>
      </c>
      <c r="X126" s="23" t="n">
        <v>103979.46</v>
      </c>
      <c r="Y126" s="23" t="n">
        <v>100384.88</v>
      </c>
      <c r="Z126" s="23" t="n">
        <v>111306.73</v>
      </c>
    </row>
    <row r="127" customFormat="false" ht="15" hidden="false" customHeight="false" outlineLevel="0" collapsed="false">
      <c r="A127" s="0" t="n">
        <v>125</v>
      </c>
      <c r="B127" s="23" t="n">
        <v>105992.62</v>
      </c>
      <c r="C127" s="23" t="n">
        <v>102428.91</v>
      </c>
      <c r="D127" s="23" t="n">
        <v>110060.75</v>
      </c>
      <c r="E127" s="23" t="n">
        <v>107070.53</v>
      </c>
      <c r="F127" s="23" t="n">
        <v>120895.49</v>
      </c>
      <c r="G127" s="23" t="n">
        <v>101538.47</v>
      </c>
      <c r="H127" s="23" t="n">
        <v>104999.56</v>
      </c>
      <c r="I127" s="23" t="n">
        <v>107087.14</v>
      </c>
      <c r="J127" s="23" t="n">
        <v>99253.89</v>
      </c>
      <c r="K127" s="23" t="n">
        <v>123564.7</v>
      </c>
      <c r="L127" s="23" t="n">
        <v>112445.23</v>
      </c>
      <c r="M127" s="23" t="n">
        <v>113354.76</v>
      </c>
      <c r="N127" s="23" t="n">
        <v>104617.1</v>
      </c>
      <c r="O127" s="23" t="n">
        <v>117772.59</v>
      </c>
      <c r="P127" s="23" t="n">
        <v>92253.14</v>
      </c>
      <c r="Q127" s="23" t="n">
        <v>104720.07</v>
      </c>
      <c r="R127" s="23" t="n">
        <v>97030.56</v>
      </c>
      <c r="S127" s="23" t="n">
        <v>88330.81</v>
      </c>
      <c r="T127" s="23" t="n">
        <v>103856.23</v>
      </c>
      <c r="U127" s="23" t="n">
        <v>100537.51</v>
      </c>
      <c r="V127" s="23" t="n">
        <v>100146.95</v>
      </c>
      <c r="W127" s="23" t="n">
        <v>103111.27</v>
      </c>
      <c r="X127" s="23" t="n">
        <v>105407.07</v>
      </c>
      <c r="Y127" s="23" t="n">
        <v>99536.27</v>
      </c>
      <c r="Z127" s="23" t="n">
        <v>111085.14</v>
      </c>
    </row>
    <row r="128" customFormat="false" ht="15" hidden="false" customHeight="false" outlineLevel="0" collapsed="false">
      <c r="A128" s="0" t="n">
        <v>126</v>
      </c>
      <c r="B128" s="23" t="n">
        <v>106073.6</v>
      </c>
      <c r="C128" s="23" t="n">
        <v>103573.67</v>
      </c>
      <c r="D128" s="23" t="n">
        <v>110692.29</v>
      </c>
      <c r="E128" s="23" t="n">
        <v>106260.87</v>
      </c>
      <c r="F128" s="23" t="n">
        <v>120119.44</v>
      </c>
      <c r="G128" s="23" t="n">
        <v>102915.54</v>
      </c>
      <c r="H128" s="23" t="n">
        <v>104250.74</v>
      </c>
      <c r="I128" s="23" t="n">
        <v>106542.9</v>
      </c>
      <c r="J128" s="23" t="n">
        <v>99908.8</v>
      </c>
      <c r="K128" s="23" t="n">
        <v>121775.73</v>
      </c>
      <c r="L128" s="23" t="n">
        <v>111825.52</v>
      </c>
      <c r="M128" s="23" t="n">
        <v>112203.74</v>
      </c>
      <c r="N128" s="23" t="n">
        <v>104224.68</v>
      </c>
      <c r="O128" s="23" t="n">
        <v>117249.88</v>
      </c>
      <c r="P128" s="23" t="n">
        <v>91726.17</v>
      </c>
      <c r="Q128" s="23" t="n">
        <v>104713.14</v>
      </c>
      <c r="R128" s="23" t="n">
        <v>95376.14</v>
      </c>
      <c r="S128" s="23" t="n">
        <v>88283.63</v>
      </c>
      <c r="T128" s="23" t="n">
        <v>104362.07</v>
      </c>
      <c r="U128" s="23" t="n">
        <v>100210.37</v>
      </c>
      <c r="V128" s="23" t="n">
        <v>100925.1</v>
      </c>
      <c r="W128" s="23" t="n">
        <v>102499.33</v>
      </c>
      <c r="X128" s="23" t="n">
        <v>105500.36</v>
      </c>
      <c r="Y128" s="23" t="n">
        <v>100449.82</v>
      </c>
      <c r="Z128" s="23" t="n">
        <v>109163.9</v>
      </c>
    </row>
    <row r="129" customFormat="false" ht="15" hidden="false" customHeight="false" outlineLevel="0" collapsed="false">
      <c r="A129" s="0" t="n">
        <v>127</v>
      </c>
      <c r="B129" s="23" t="n">
        <v>105433.81</v>
      </c>
      <c r="C129" s="23" t="n">
        <v>102834.36</v>
      </c>
      <c r="D129" s="23" t="n">
        <v>110359.57</v>
      </c>
      <c r="E129" s="23" t="n">
        <v>106687.37</v>
      </c>
      <c r="F129" s="23" t="n">
        <v>120157.91</v>
      </c>
      <c r="G129" s="23" t="n">
        <v>102330.33</v>
      </c>
      <c r="H129" s="23" t="n">
        <v>104113.22</v>
      </c>
      <c r="I129" s="23" t="n">
        <v>105719.31</v>
      </c>
      <c r="J129" s="23" t="n">
        <v>100012.35</v>
      </c>
      <c r="K129" s="23" t="n">
        <v>121639.84</v>
      </c>
      <c r="L129" s="23" t="n">
        <v>112704.84</v>
      </c>
      <c r="M129" s="23" t="n">
        <v>111139.54</v>
      </c>
      <c r="N129" s="23" t="n">
        <v>104046.87</v>
      </c>
      <c r="O129" s="23" t="n">
        <v>117207.14</v>
      </c>
      <c r="P129" s="23" t="n">
        <v>91078.63</v>
      </c>
      <c r="Q129" s="23" t="n">
        <v>104321.35</v>
      </c>
      <c r="R129" s="23" t="n">
        <v>95031.97</v>
      </c>
      <c r="S129" s="23" t="n">
        <v>89110.65</v>
      </c>
      <c r="T129" s="23" t="n">
        <v>105098.09</v>
      </c>
      <c r="U129" s="23" t="n">
        <v>101186.03</v>
      </c>
      <c r="V129" s="23" t="n">
        <v>100663.04</v>
      </c>
      <c r="W129" s="23" t="n">
        <v>101844.41</v>
      </c>
      <c r="X129" s="23" t="n">
        <v>103390.33</v>
      </c>
      <c r="Y129" s="23" t="n">
        <v>100784.95</v>
      </c>
      <c r="Z129" s="23" t="n">
        <v>107789.47</v>
      </c>
    </row>
    <row r="130" customFormat="false" ht="15" hidden="false" customHeight="false" outlineLevel="0" collapsed="false">
      <c r="A130" s="0" t="n">
        <v>128</v>
      </c>
      <c r="B130" s="23" t="n">
        <v>104796.74</v>
      </c>
      <c r="C130" s="23" t="n">
        <v>102737.22</v>
      </c>
      <c r="D130" s="23" t="n">
        <v>109360.12</v>
      </c>
      <c r="E130" s="23" t="n">
        <v>107675.02</v>
      </c>
      <c r="F130" s="23" t="n">
        <v>121370.12</v>
      </c>
      <c r="G130" s="23" t="n">
        <v>103483.68</v>
      </c>
      <c r="H130" s="23" t="n">
        <v>104971.89</v>
      </c>
      <c r="I130" s="23" t="n">
        <v>106175.62</v>
      </c>
      <c r="J130" s="23" t="n">
        <v>99801.67</v>
      </c>
      <c r="K130" s="23" t="n">
        <v>121896.18</v>
      </c>
      <c r="L130" s="23" t="n">
        <v>112523.92</v>
      </c>
      <c r="M130" s="23" t="n">
        <v>111511.8</v>
      </c>
      <c r="N130" s="23" t="n">
        <v>103604.51</v>
      </c>
      <c r="O130" s="23" t="n">
        <v>117898.85</v>
      </c>
      <c r="P130" s="23" t="n">
        <v>90003.18</v>
      </c>
      <c r="Q130" s="23" t="n">
        <v>105852.87</v>
      </c>
      <c r="R130" s="23" t="n">
        <v>96372.85</v>
      </c>
      <c r="S130" s="23" t="n">
        <v>88689.61</v>
      </c>
      <c r="T130" s="23" t="n">
        <v>105546.31</v>
      </c>
      <c r="U130" s="23" t="n">
        <v>102180.34</v>
      </c>
      <c r="V130" s="23" t="n">
        <v>100322.25</v>
      </c>
      <c r="W130" s="23" t="n">
        <v>102152.77</v>
      </c>
      <c r="X130" s="23" t="n">
        <v>102171.13</v>
      </c>
      <c r="Y130" s="23" t="n">
        <v>101300.23</v>
      </c>
      <c r="Z130" s="23" t="n">
        <v>109550.79</v>
      </c>
    </row>
    <row r="131" customFormat="false" ht="15" hidden="false" customHeight="false" outlineLevel="0" collapsed="false">
      <c r="A131" s="0" t="n">
        <v>129</v>
      </c>
      <c r="B131" s="23" t="n">
        <v>105063</v>
      </c>
      <c r="C131" s="23" t="n">
        <v>102011.29</v>
      </c>
      <c r="D131" s="23" t="n">
        <v>107992.18</v>
      </c>
      <c r="E131" s="23" t="n">
        <v>107612.75</v>
      </c>
      <c r="F131" s="23" t="n">
        <v>121283.95</v>
      </c>
      <c r="G131" s="23" t="n">
        <v>103781.78</v>
      </c>
      <c r="H131" s="23" t="n">
        <v>104024.73</v>
      </c>
      <c r="I131" s="23" t="n">
        <v>105435.93</v>
      </c>
      <c r="J131" s="23" t="n">
        <v>99197.37</v>
      </c>
      <c r="K131" s="23" t="n">
        <v>120993.02</v>
      </c>
      <c r="L131" s="23" t="n">
        <v>112318.14</v>
      </c>
      <c r="M131" s="23" t="n">
        <v>110246.43</v>
      </c>
      <c r="N131" s="23" t="n">
        <v>104063.2</v>
      </c>
      <c r="O131" s="23" t="n">
        <v>117762.93</v>
      </c>
      <c r="P131" s="23" t="n">
        <v>90077.39</v>
      </c>
      <c r="Q131" s="23" t="n">
        <v>106288.33</v>
      </c>
      <c r="R131" s="23" t="n">
        <v>96884.44</v>
      </c>
      <c r="S131" s="23" t="n">
        <v>88231.26</v>
      </c>
      <c r="T131" s="23" t="n">
        <v>104832.64</v>
      </c>
      <c r="U131" s="23" t="n">
        <v>103266.04</v>
      </c>
      <c r="V131" s="23" t="n">
        <v>101073.22</v>
      </c>
      <c r="W131" s="23" t="n">
        <v>101414.72</v>
      </c>
      <c r="X131" s="23" t="n">
        <v>102392.8</v>
      </c>
      <c r="Y131" s="23" t="n">
        <v>100798.66</v>
      </c>
      <c r="Z131" s="23" t="n">
        <v>109237.82</v>
      </c>
    </row>
    <row r="132" customFormat="false" ht="15" hidden="false" customHeight="false" outlineLevel="0" collapsed="false">
      <c r="A132" s="0" t="n">
        <v>130</v>
      </c>
      <c r="B132" s="23" t="n">
        <v>104887.6</v>
      </c>
      <c r="C132" s="23" t="n">
        <v>101566.62</v>
      </c>
      <c r="D132" s="23" t="n">
        <v>108334.23</v>
      </c>
      <c r="E132" s="23" t="n">
        <v>108875.83</v>
      </c>
      <c r="F132" s="23" t="n">
        <v>121801.41</v>
      </c>
      <c r="G132" s="23" t="n">
        <v>104892.27</v>
      </c>
      <c r="H132" s="23" t="n">
        <v>103345.35</v>
      </c>
      <c r="I132" s="23" t="n">
        <v>104080.77</v>
      </c>
      <c r="J132" s="23" t="n">
        <v>99554.79</v>
      </c>
      <c r="K132" s="23" t="n">
        <v>121140.96</v>
      </c>
      <c r="L132" s="23" t="n">
        <v>112076.66</v>
      </c>
      <c r="M132" s="23" t="n">
        <v>109841.61</v>
      </c>
      <c r="N132" s="23" t="n">
        <v>104585.74</v>
      </c>
      <c r="O132" s="23" t="n">
        <v>118086.04</v>
      </c>
      <c r="P132" s="23" t="n">
        <v>89575.04</v>
      </c>
      <c r="Q132" s="23" t="n">
        <v>106234.37</v>
      </c>
      <c r="R132" s="23" t="n">
        <v>96702.44</v>
      </c>
      <c r="S132" s="23" t="n">
        <v>88190.71</v>
      </c>
      <c r="T132" s="23" t="n">
        <v>104348.8</v>
      </c>
      <c r="U132" s="23" t="n">
        <v>103150.7</v>
      </c>
      <c r="V132" s="23" t="n">
        <v>100891.86</v>
      </c>
      <c r="W132" s="23" t="n">
        <v>101521.02</v>
      </c>
      <c r="X132" s="23" t="n">
        <v>104363.18</v>
      </c>
      <c r="Y132" s="23" t="n">
        <v>100689.87</v>
      </c>
      <c r="Z132" s="23" t="n">
        <v>109395.43</v>
      </c>
    </row>
    <row r="133" customFormat="false" ht="15" hidden="false" customHeight="false" outlineLevel="0" collapsed="false">
      <c r="A133" s="0" t="n">
        <v>131</v>
      </c>
      <c r="B133" s="23" t="n">
        <v>104604.09</v>
      </c>
      <c r="C133" s="23" t="n">
        <v>101522.94</v>
      </c>
      <c r="D133" s="23" t="n">
        <v>108558.02</v>
      </c>
      <c r="E133" s="23" t="n">
        <v>107767.07</v>
      </c>
      <c r="F133" s="23" t="n">
        <v>120902.89</v>
      </c>
      <c r="G133" s="23" t="n">
        <v>104735.98</v>
      </c>
      <c r="H133" s="23" t="n">
        <v>102558.55</v>
      </c>
      <c r="I133" s="23" t="n">
        <v>104134.61</v>
      </c>
      <c r="J133" s="23" t="n">
        <v>100233.76</v>
      </c>
      <c r="K133" s="23" t="n">
        <v>122207.96</v>
      </c>
      <c r="L133" s="23" t="n">
        <v>110989.55</v>
      </c>
      <c r="M133" s="23" t="n">
        <v>109836.34</v>
      </c>
      <c r="N133" s="23" t="n">
        <v>103885.69</v>
      </c>
      <c r="O133" s="23" t="n">
        <v>117222.39</v>
      </c>
      <c r="P133" s="23" t="n">
        <v>88907.98</v>
      </c>
      <c r="Q133" s="23" t="n">
        <v>106724.82</v>
      </c>
      <c r="R133" s="23" t="n">
        <v>97391.42</v>
      </c>
      <c r="S133" s="23" t="n">
        <v>88328.97</v>
      </c>
      <c r="T133" s="23" t="n">
        <v>103603.44</v>
      </c>
      <c r="U133" s="23" t="n">
        <v>103170.45</v>
      </c>
      <c r="V133" s="23" t="n">
        <v>101627.81</v>
      </c>
      <c r="W133" s="23" t="n">
        <v>101683.46</v>
      </c>
      <c r="X133" s="23" t="n">
        <v>104978.97</v>
      </c>
      <c r="Y133" s="23" t="n">
        <v>101107.46</v>
      </c>
      <c r="Z133" s="23" t="n">
        <v>109361.5</v>
      </c>
    </row>
    <row r="134" customFormat="false" ht="15" hidden="false" customHeight="false" outlineLevel="0" collapsed="false">
      <c r="A134" s="0" t="n">
        <v>132</v>
      </c>
      <c r="B134" s="23" t="n">
        <v>104206.37</v>
      </c>
      <c r="C134" s="23" t="n">
        <v>100795.33</v>
      </c>
      <c r="D134" s="23" t="n">
        <v>107673.63</v>
      </c>
      <c r="E134" s="23" t="n">
        <v>106522.24</v>
      </c>
      <c r="F134" s="23" t="n">
        <v>122244.32</v>
      </c>
      <c r="G134" s="23" t="n">
        <v>104861.15</v>
      </c>
      <c r="H134" s="23" t="n">
        <v>102821.49</v>
      </c>
      <c r="I134" s="23" t="n">
        <v>104880.89</v>
      </c>
      <c r="J134" s="23" t="n">
        <v>100195.63</v>
      </c>
      <c r="K134" s="23" t="n">
        <v>123403.66</v>
      </c>
      <c r="L134" s="23" t="n">
        <v>111907.87</v>
      </c>
      <c r="M134" s="23" t="n">
        <v>110321.38</v>
      </c>
      <c r="N134" s="23" t="n">
        <v>104490.61</v>
      </c>
      <c r="O134" s="23" t="n">
        <v>117724.93</v>
      </c>
      <c r="P134" s="23" t="n">
        <v>88684.14</v>
      </c>
      <c r="Q134" s="23" t="n">
        <v>107064.79</v>
      </c>
      <c r="R134" s="23" t="n">
        <v>99605.76</v>
      </c>
      <c r="S134" s="23" t="n">
        <v>87765.4</v>
      </c>
      <c r="T134" s="23" t="n">
        <v>102701.75</v>
      </c>
      <c r="U134" s="23" t="n">
        <v>103163.19</v>
      </c>
      <c r="V134" s="23" t="n">
        <v>101259.33</v>
      </c>
      <c r="W134" s="23" t="n">
        <v>101614.1</v>
      </c>
      <c r="X134" s="23" t="n">
        <v>103805.99</v>
      </c>
      <c r="Y134" s="23" t="n">
        <v>101741.39</v>
      </c>
      <c r="Z134" s="23" t="n">
        <v>109122.8</v>
      </c>
    </row>
    <row r="135" customFormat="false" ht="15" hidden="false" customHeight="false" outlineLevel="0" collapsed="false">
      <c r="A135" s="0" t="n">
        <v>133</v>
      </c>
      <c r="B135" s="23" t="n">
        <v>103090.05</v>
      </c>
      <c r="C135" s="23" t="n">
        <v>100104.57</v>
      </c>
      <c r="D135" s="23" t="n">
        <v>106813.23</v>
      </c>
      <c r="E135" s="23" t="n">
        <v>105625.81</v>
      </c>
      <c r="F135" s="23" t="n">
        <v>123674.36</v>
      </c>
      <c r="G135" s="23" t="n">
        <v>104756.03</v>
      </c>
      <c r="H135" s="23" t="n">
        <v>103796.37</v>
      </c>
      <c r="I135" s="23" t="n">
        <v>105236</v>
      </c>
      <c r="J135" s="23" t="n">
        <v>101316.65</v>
      </c>
      <c r="K135" s="23" t="n">
        <v>122042.48</v>
      </c>
      <c r="L135" s="23" t="n">
        <v>112301.73</v>
      </c>
      <c r="M135" s="23" t="n">
        <v>111389.09</v>
      </c>
      <c r="N135" s="23" t="n">
        <v>105340.94</v>
      </c>
      <c r="O135" s="23" t="n">
        <v>116912.84</v>
      </c>
      <c r="P135" s="23" t="n">
        <v>88097.14</v>
      </c>
      <c r="Q135" s="23" t="n">
        <v>106934.41</v>
      </c>
      <c r="R135" s="23" t="n">
        <v>99274.93</v>
      </c>
      <c r="S135" s="23" t="n">
        <v>87107.83</v>
      </c>
      <c r="T135" s="23" t="n">
        <v>102797.03</v>
      </c>
      <c r="U135" s="23" t="n">
        <v>104232.42</v>
      </c>
      <c r="V135" s="23" t="n">
        <v>101310.47</v>
      </c>
      <c r="W135" s="23" t="n">
        <v>102620.74</v>
      </c>
      <c r="X135" s="23" t="n">
        <v>103799.1</v>
      </c>
      <c r="Y135" s="23" t="n">
        <v>101783.71</v>
      </c>
      <c r="Z135" s="23" t="n">
        <v>107671.25</v>
      </c>
    </row>
    <row r="136" customFormat="false" ht="15" hidden="false" customHeight="false" outlineLevel="0" collapsed="false">
      <c r="A136" s="0" t="n">
        <v>134</v>
      </c>
      <c r="B136" s="23" t="n">
        <v>103841.43</v>
      </c>
      <c r="C136" s="23" t="n">
        <v>99515.72</v>
      </c>
      <c r="D136" s="23" t="n">
        <v>106389.23</v>
      </c>
      <c r="E136" s="23" t="n">
        <v>104988.28</v>
      </c>
      <c r="F136" s="23" t="n">
        <v>124319.23</v>
      </c>
      <c r="G136" s="23" t="n">
        <v>105019.65</v>
      </c>
      <c r="H136" s="23" t="n">
        <v>103593.4</v>
      </c>
      <c r="I136" s="23" t="n">
        <v>103402.1</v>
      </c>
      <c r="J136" s="23" t="n">
        <v>100885.92</v>
      </c>
      <c r="K136" s="23" t="n">
        <v>121312.37</v>
      </c>
      <c r="L136" s="23" t="n">
        <v>112004.26</v>
      </c>
      <c r="M136" s="23" t="n">
        <v>109337.13</v>
      </c>
      <c r="N136" s="23" t="n">
        <v>105951.79</v>
      </c>
      <c r="O136" s="23" t="n">
        <v>116105.5</v>
      </c>
      <c r="P136" s="23" t="n">
        <v>87977.12</v>
      </c>
      <c r="Q136" s="23" t="n">
        <v>106710.61</v>
      </c>
      <c r="R136" s="23" t="n">
        <v>99779.76</v>
      </c>
      <c r="S136" s="23" t="n">
        <v>87228.59</v>
      </c>
      <c r="T136" s="23" t="n">
        <v>102376.4</v>
      </c>
      <c r="U136" s="23" t="n">
        <v>104445.58</v>
      </c>
      <c r="V136" s="23" t="n">
        <v>101228.76</v>
      </c>
      <c r="W136" s="23" t="n">
        <v>102175.97</v>
      </c>
      <c r="X136" s="23" t="n">
        <v>103750.37</v>
      </c>
      <c r="Y136" s="23" t="n">
        <v>101515.9</v>
      </c>
      <c r="Z136" s="23" t="n">
        <v>109145.67</v>
      </c>
    </row>
    <row r="137" customFormat="false" ht="15" hidden="false" customHeight="false" outlineLevel="0" collapsed="false">
      <c r="A137" s="0" t="n">
        <v>135</v>
      </c>
      <c r="B137" s="23" t="n">
        <v>104299.1</v>
      </c>
      <c r="C137" s="23" t="n">
        <v>100425.27</v>
      </c>
      <c r="D137" s="23" t="n">
        <v>106474.22</v>
      </c>
      <c r="E137" s="23" t="n">
        <v>105513.07</v>
      </c>
      <c r="F137" s="23" t="n">
        <v>123412.65</v>
      </c>
      <c r="G137" s="23" t="n">
        <v>104397.18</v>
      </c>
      <c r="H137" s="23" t="n">
        <v>102887.57</v>
      </c>
      <c r="I137" s="23" t="n">
        <v>103089.17</v>
      </c>
      <c r="J137" s="23" t="n">
        <v>100163.71</v>
      </c>
      <c r="K137" s="23" t="n">
        <v>122611.01</v>
      </c>
      <c r="L137" s="23" t="n">
        <v>111060.38</v>
      </c>
      <c r="M137" s="23" t="n">
        <v>109120.61</v>
      </c>
      <c r="N137" s="23" t="n">
        <v>106834.3</v>
      </c>
      <c r="O137" s="23" t="n">
        <v>116059.83</v>
      </c>
      <c r="P137" s="23" t="n">
        <v>87345.84</v>
      </c>
      <c r="Q137" s="23" t="n">
        <v>105413.75</v>
      </c>
      <c r="R137" s="23" t="n">
        <v>99632.67</v>
      </c>
      <c r="S137" s="23" t="n">
        <v>86270.77</v>
      </c>
      <c r="T137" s="23" t="n">
        <v>101221.86</v>
      </c>
      <c r="U137" s="23" t="n">
        <v>105234.62</v>
      </c>
      <c r="V137" s="23" t="n">
        <v>102158.12</v>
      </c>
      <c r="W137" s="23" t="n">
        <v>102969.33</v>
      </c>
      <c r="X137" s="23" t="n">
        <v>104053.27</v>
      </c>
      <c r="Y137" s="23" t="n">
        <v>99899.08</v>
      </c>
      <c r="Z137" s="23" t="n">
        <v>109342.42</v>
      </c>
    </row>
    <row r="138" customFormat="false" ht="15" hidden="false" customHeight="false" outlineLevel="0" collapsed="false">
      <c r="A138" s="0" t="n">
        <v>136</v>
      </c>
      <c r="B138" s="23" t="n">
        <v>103968.89</v>
      </c>
      <c r="C138" s="23" t="n">
        <v>100839.71</v>
      </c>
      <c r="D138" s="23" t="n">
        <v>106268.78</v>
      </c>
      <c r="E138" s="23" t="n">
        <v>105047.84</v>
      </c>
      <c r="F138" s="23" t="n">
        <v>123602.41</v>
      </c>
      <c r="G138" s="23" t="n">
        <v>104666.99</v>
      </c>
      <c r="H138" s="23" t="n">
        <v>104473.76</v>
      </c>
      <c r="I138" s="23" t="n">
        <v>103612.93</v>
      </c>
      <c r="J138" s="23" t="n">
        <v>99835.34</v>
      </c>
      <c r="K138" s="23" t="n">
        <v>122830.27</v>
      </c>
      <c r="L138" s="23" t="n">
        <v>110529.81</v>
      </c>
      <c r="M138" s="23" t="n">
        <v>108535.34</v>
      </c>
      <c r="N138" s="23" t="n">
        <v>107002.67</v>
      </c>
      <c r="O138" s="23" t="n">
        <v>114933.78</v>
      </c>
      <c r="P138" s="23" t="n">
        <v>86709.25</v>
      </c>
      <c r="Q138" s="23" t="n">
        <v>105368.71</v>
      </c>
      <c r="R138" s="23" t="n">
        <v>98857.54</v>
      </c>
      <c r="S138" s="23" t="n">
        <v>85390.74</v>
      </c>
      <c r="T138" s="23" t="n">
        <v>101444.3</v>
      </c>
      <c r="U138" s="23" t="n">
        <v>104773.78</v>
      </c>
      <c r="V138" s="23" t="n">
        <v>102264.78</v>
      </c>
      <c r="W138" s="23" t="n">
        <v>103539.83</v>
      </c>
      <c r="X138" s="23" t="n">
        <v>103496.64</v>
      </c>
      <c r="Y138" s="23" t="n">
        <v>99369.78</v>
      </c>
      <c r="Z138" s="23" t="n">
        <v>109880.97</v>
      </c>
    </row>
    <row r="139" customFormat="false" ht="15" hidden="false" customHeight="false" outlineLevel="0" collapsed="false">
      <c r="A139" s="0" t="n">
        <v>137</v>
      </c>
      <c r="B139" s="23" t="n">
        <v>104066.68</v>
      </c>
      <c r="C139" s="23" t="n">
        <v>99886.23</v>
      </c>
      <c r="D139" s="23" t="n">
        <v>106551.25</v>
      </c>
      <c r="E139" s="23" t="n">
        <v>105118.6</v>
      </c>
      <c r="F139" s="23" t="n">
        <v>123078.72</v>
      </c>
      <c r="G139" s="23" t="n">
        <v>104601.61</v>
      </c>
      <c r="H139" s="23" t="n">
        <v>105386.09</v>
      </c>
      <c r="I139" s="23" t="n">
        <v>103065.81</v>
      </c>
      <c r="J139" s="23" t="n">
        <v>100823.91</v>
      </c>
      <c r="K139" s="23" t="n">
        <v>122203.99</v>
      </c>
      <c r="L139" s="23" t="n">
        <v>111127.62</v>
      </c>
      <c r="M139" s="23" t="n">
        <v>108687.56</v>
      </c>
      <c r="N139" s="23" t="n">
        <v>107212.91</v>
      </c>
      <c r="O139" s="23" t="n">
        <v>115203.61</v>
      </c>
      <c r="P139" s="23" t="n">
        <v>86472.69</v>
      </c>
      <c r="Q139" s="23" t="n">
        <v>105301.18</v>
      </c>
      <c r="R139" s="23" t="n">
        <v>99526.38</v>
      </c>
      <c r="S139" s="23" t="n">
        <v>84644.19</v>
      </c>
      <c r="T139" s="23" t="n">
        <v>101538.5</v>
      </c>
      <c r="U139" s="23" t="n">
        <v>104571.47</v>
      </c>
      <c r="V139" s="23" t="n">
        <v>103425.04</v>
      </c>
      <c r="W139" s="23" t="n">
        <v>104259.89</v>
      </c>
      <c r="X139" s="23" t="n">
        <v>103189.74</v>
      </c>
      <c r="Y139" s="23" t="n">
        <v>98743.83</v>
      </c>
      <c r="Z139" s="23" t="n">
        <v>109207.85</v>
      </c>
    </row>
    <row r="140" customFormat="false" ht="15" hidden="false" customHeight="false" outlineLevel="0" collapsed="false">
      <c r="A140" s="0" t="n">
        <v>138</v>
      </c>
      <c r="B140" s="23" t="n">
        <v>103949.4</v>
      </c>
      <c r="C140" s="23" t="n">
        <v>100369.01</v>
      </c>
      <c r="D140" s="23" t="n">
        <v>106150.19</v>
      </c>
      <c r="E140" s="23" t="n">
        <v>106021.82</v>
      </c>
      <c r="F140" s="23" t="n">
        <v>121469.88</v>
      </c>
      <c r="G140" s="23" t="n">
        <v>104910.6</v>
      </c>
      <c r="H140" s="23" t="n">
        <v>105234.13</v>
      </c>
      <c r="I140" s="23" t="n">
        <v>102394.6</v>
      </c>
      <c r="J140" s="23" t="n">
        <v>100580.03</v>
      </c>
      <c r="K140" s="23" t="n">
        <v>121767.69</v>
      </c>
      <c r="L140" s="23" t="n">
        <v>110468.66</v>
      </c>
      <c r="M140" s="23" t="n">
        <v>108637.57</v>
      </c>
      <c r="N140" s="23" t="n">
        <v>106101.24</v>
      </c>
      <c r="O140" s="23" t="n">
        <v>114951.5</v>
      </c>
      <c r="P140" s="23" t="n">
        <v>85445.42</v>
      </c>
      <c r="Q140" s="23" t="n">
        <v>105079.86</v>
      </c>
      <c r="R140" s="23" t="n">
        <v>98855.72</v>
      </c>
      <c r="S140" s="23" t="n">
        <v>84985.89</v>
      </c>
      <c r="T140" s="23" t="n">
        <v>101209.44</v>
      </c>
      <c r="U140" s="23" t="n">
        <v>105739.29</v>
      </c>
      <c r="V140" s="23" t="n">
        <v>104377.14</v>
      </c>
      <c r="W140" s="23" t="n">
        <v>104813.84</v>
      </c>
      <c r="X140" s="23" t="n">
        <v>102783.11</v>
      </c>
      <c r="Y140" s="23" t="n">
        <v>99480.89</v>
      </c>
      <c r="Z140" s="23" t="n">
        <v>108635.47</v>
      </c>
    </row>
    <row r="141" customFormat="false" ht="15" hidden="false" customHeight="false" outlineLevel="0" collapsed="false">
      <c r="A141" s="0" t="n">
        <v>139</v>
      </c>
      <c r="B141" s="23" t="n">
        <v>104173.53</v>
      </c>
      <c r="C141" s="23" t="n">
        <v>101907.08</v>
      </c>
      <c r="D141" s="23" t="n">
        <v>105898.24</v>
      </c>
      <c r="E141" s="23" t="n">
        <v>106866.2</v>
      </c>
      <c r="F141" s="23" t="n">
        <v>123410.76</v>
      </c>
      <c r="G141" s="23" t="n">
        <v>104405.81</v>
      </c>
      <c r="H141" s="23" t="n">
        <v>104989.21</v>
      </c>
      <c r="I141" s="23" t="n">
        <v>103517.42</v>
      </c>
      <c r="J141" s="23" t="n">
        <v>99594.63</v>
      </c>
      <c r="K141" s="23" t="n">
        <v>122576.79</v>
      </c>
      <c r="L141" s="23" t="n">
        <v>112094.42</v>
      </c>
      <c r="M141" s="23" t="n">
        <v>108776.05</v>
      </c>
      <c r="N141" s="23" t="n">
        <v>106002.3</v>
      </c>
      <c r="O141" s="23" t="n">
        <v>113794.32</v>
      </c>
      <c r="P141" s="23" t="n">
        <v>85522.18</v>
      </c>
      <c r="Q141" s="23" t="n">
        <v>105707.06</v>
      </c>
      <c r="R141" s="23" t="n">
        <v>98022.99</v>
      </c>
      <c r="S141" s="23" t="n">
        <v>85322.85</v>
      </c>
      <c r="T141" s="23" t="n">
        <v>100378.91</v>
      </c>
      <c r="U141" s="23" t="n">
        <v>106567.69</v>
      </c>
      <c r="V141" s="23" t="n">
        <v>104282.81</v>
      </c>
      <c r="W141" s="23" t="n">
        <v>104035.02</v>
      </c>
      <c r="X141" s="23" t="n">
        <v>102634.38</v>
      </c>
      <c r="Y141" s="23" t="n">
        <v>99682.55</v>
      </c>
      <c r="Z141" s="23" t="n">
        <v>109740.86</v>
      </c>
    </row>
    <row r="142" customFormat="false" ht="15" hidden="false" customHeight="false" outlineLevel="0" collapsed="false">
      <c r="A142" s="0" t="n">
        <v>140</v>
      </c>
      <c r="B142" s="23" t="n">
        <v>104622.38</v>
      </c>
      <c r="C142" s="23" t="n">
        <v>101596.18</v>
      </c>
      <c r="D142" s="23" t="n">
        <v>107106.52</v>
      </c>
      <c r="E142" s="23" t="n">
        <v>107281.96</v>
      </c>
      <c r="F142" s="23" t="n">
        <v>123213.2</v>
      </c>
      <c r="G142" s="23" t="n">
        <v>104639.45</v>
      </c>
      <c r="H142" s="23" t="n">
        <v>104980.73</v>
      </c>
      <c r="I142" s="23" t="n">
        <v>103039.44</v>
      </c>
      <c r="J142" s="23" t="n">
        <v>99505.12</v>
      </c>
      <c r="K142" s="23" t="n">
        <v>121762</v>
      </c>
      <c r="L142" s="23" t="n">
        <v>110994.9</v>
      </c>
      <c r="M142" s="23" t="n">
        <v>108183.74</v>
      </c>
      <c r="N142" s="23" t="n">
        <v>105860.11</v>
      </c>
      <c r="O142" s="23" t="n">
        <v>115186.93</v>
      </c>
      <c r="P142" s="23" t="n">
        <v>86436.92</v>
      </c>
      <c r="Q142" s="23" t="n">
        <v>104401.72</v>
      </c>
      <c r="R142" s="23" t="n">
        <v>98103.52</v>
      </c>
      <c r="S142" s="23" t="n">
        <v>85636.2</v>
      </c>
      <c r="T142" s="23" t="n">
        <v>100860.46</v>
      </c>
      <c r="U142" s="23" t="n">
        <v>106921.39</v>
      </c>
      <c r="V142" s="23" t="n">
        <v>104819.06</v>
      </c>
      <c r="W142" s="23" t="n">
        <v>102523.66</v>
      </c>
      <c r="X142" s="23" t="n">
        <v>101717.85</v>
      </c>
      <c r="Y142" s="23" t="n">
        <v>98366.83</v>
      </c>
      <c r="Z142" s="23" t="n">
        <v>110338.19</v>
      </c>
    </row>
    <row r="143" customFormat="false" ht="15" hidden="false" customHeight="false" outlineLevel="0" collapsed="false">
      <c r="A143" s="0" t="n">
        <v>141</v>
      </c>
      <c r="B143" s="23" t="n">
        <v>104273.85</v>
      </c>
      <c r="C143" s="23" t="n">
        <v>102075.42</v>
      </c>
      <c r="D143" s="23" t="n">
        <v>106387.78</v>
      </c>
      <c r="E143" s="23" t="n">
        <v>107968.99</v>
      </c>
      <c r="F143" s="23" t="n">
        <v>122913.56</v>
      </c>
      <c r="G143" s="23" t="n">
        <v>104550.52</v>
      </c>
      <c r="H143" s="23" t="n">
        <v>104475.79</v>
      </c>
      <c r="I143" s="23" t="n">
        <v>103404.13</v>
      </c>
      <c r="J143" s="23" t="n">
        <v>98883.2</v>
      </c>
      <c r="K143" s="23" t="n">
        <v>120981.81</v>
      </c>
      <c r="L143" s="23" t="n">
        <v>109610.56</v>
      </c>
      <c r="M143" s="23" t="n">
        <v>106659.69</v>
      </c>
      <c r="N143" s="23" t="n">
        <v>105650.46</v>
      </c>
      <c r="O143" s="23" t="n">
        <v>117007.97</v>
      </c>
      <c r="P143" s="23" t="n">
        <v>86057.83</v>
      </c>
      <c r="Q143" s="23" t="n">
        <v>105184.92</v>
      </c>
      <c r="R143" s="23" t="n">
        <v>96946.71</v>
      </c>
      <c r="S143" s="23" t="n">
        <v>84636.49</v>
      </c>
      <c r="T143" s="23" t="n">
        <v>99586.11</v>
      </c>
      <c r="U143" s="23" t="n">
        <v>105731.34</v>
      </c>
      <c r="V143" s="23" t="n">
        <v>103820.53</v>
      </c>
      <c r="W143" s="23" t="n">
        <v>102304.05</v>
      </c>
      <c r="X143" s="23" t="n">
        <v>101253</v>
      </c>
      <c r="Y143" s="23" t="n">
        <v>97741.85</v>
      </c>
      <c r="Z143" s="23" t="n">
        <v>111116.71</v>
      </c>
    </row>
    <row r="144" customFormat="false" ht="15" hidden="false" customHeight="false" outlineLevel="0" collapsed="false">
      <c r="A144" s="0" t="n">
        <v>142</v>
      </c>
      <c r="B144" s="23" t="n">
        <v>104736.64</v>
      </c>
      <c r="C144" s="23" t="n">
        <v>103071.27</v>
      </c>
      <c r="D144" s="23" t="n">
        <v>106836.17</v>
      </c>
      <c r="E144" s="23" t="n">
        <v>107867</v>
      </c>
      <c r="F144" s="23" t="n">
        <v>124265.44</v>
      </c>
      <c r="G144" s="23" t="n">
        <v>105594.28</v>
      </c>
      <c r="H144" s="23" t="n">
        <v>103394.81</v>
      </c>
      <c r="I144" s="23" t="n">
        <v>104470.04</v>
      </c>
      <c r="J144" s="23" t="n">
        <v>99163.21</v>
      </c>
      <c r="K144" s="23" t="n">
        <v>121839.75</v>
      </c>
      <c r="L144" s="23" t="n">
        <v>108811.73</v>
      </c>
      <c r="M144" s="23" t="n">
        <v>106718.05</v>
      </c>
      <c r="N144" s="23" t="n">
        <v>105521.53</v>
      </c>
      <c r="O144" s="23" t="n">
        <v>114610.11</v>
      </c>
      <c r="P144" s="23" t="n">
        <v>85414.1</v>
      </c>
      <c r="Q144" s="23" t="n">
        <v>105752.34</v>
      </c>
      <c r="R144" s="23" t="n">
        <v>96080.74</v>
      </c>
      <c r="S144" s="23" t="n">
        <v>84019.22</v>
      </c>
      <c r="T144" s="23" t="n">
        <v>99477.66</v>
      </c>
      <c r="U144" s="23" t="n">
        <v>104149.92</v>
      </c>
      <c r="V144" s="23" t="n">
        <v>104355.86</v>
      </c>
      <c r="W144" s="23" t="n">
        <v>103159.53</v>
      </c>
      <c r="X144" s="23" t="n">
        <v>101156.56</v>
      </c>
      <c r="Y144" s="23" t="n">
        <v>97954.55</v>
      </c>
      <c r="Z144" s="23" t="n">
        <v>111205.31</v>
      </c>
    </row>
    <row r="145" customFormat="false" ht="15" hidden="false" customHeight="false" outlineLevel="0" collapsed="false">
      <c r="A145" s="0" t="n">
        <v>143</v>
      </c>
      <c r="B145" s="23" t="n">
        <v>104570.29</v>
      </c>
      <c r="C145" s="23" t="n">
        <v>103313.92</v>
      </c>
      <c r="D145" s="23" t="n">
        <v>107330.02</v>
      </c>
      <c r="E145" s="23" t="n">
        <v>107739.48</v>
      </c>
      <c r="F145" s="23" t="n">
        <v>124316.35</v>
      </c>
      <c r="G145" s="23" t="n">
        <v>106634.48</v>
      </c>
      <c r="H145" s="23" t="n">
        <v>104012.47</v>
      </c>
      <c r="I145" s="23" t="n">
        <v>104072.25</v>
      </c>
      <c r="J145" s="23" t="n">
        <v>99395.44</v>
      </c>
      <c r="K145" s="23" t="n">
        <v>122264.01</v>
      </c>
      <c r="L145" s="23" t="n">
        <v>109457.09</v>
      </c>
      <c r="M145" s="23" t="n">
        <v>106265.94</v>
      </c>
      <c r="N145" s="23" t="n">
        <v>104398.28</v>
      </c>
      <c r="O145" s="23" t="n">
        <v>114076.87</v>
      </c>
      <c r="P145" s="23" t="n">
        <v>85529.44</v>
      </c>
      <c r="Q145" s="23" t="n">
        <v>106562.27</v>
      </c>
      <c r="R145" s="23" t="n">
        <v>95877.93</v>
      </c>
      <c r="S145" s="23" t="n">
        <v>83987.56</v>
      </c>
      <c r="T145" s="23" t="n">
        <v>99476.35</v>
      </c>
      <c r="U145" s="23" t="n">
        <v>105565.92</v>
      </c>
      <c r="V145" s="23" t="n">
        <v>104002.5</v>
      </c>
      <c r="W145" s="23" t="n">
        <v>102668.57</v>
      </c>
      <c r="X145" s="23" t="n">
        <v>101347.59</v>
      </c>
      <c r="Y145" s="23" t="n">
        <v>98994.57</v>
      </c>
      <c r="Z145" s="23" t="n">
        <v>110981.12</v>
      </c>
    </row>
    <row r="146" customFormat="false" ht="15" hidden="false" customHeight="false" outlineLevel="0" collapsed="false">
      <c r="A146" s="0" t="n">
        <v>144</v>
      </c>
      <c r="B146" s="23" t="n">
        <v>104609.69</v>
      </c>
      <c r="C146" s="23" t="n">
        <v>102341.3</v>
      </c>
      <c r="D146" s="23" t="n">
        <v>107181.89</v>
      </c>
      <c r="E146" s="23" t="n">
        <v>105790.68</v>
      </c>
      <c r="F146" s="23" t="n">
        <v>124602.93</v>
      </c>
      <c r="G146" s="23" t="n">
        <v>106794.2</v>
      </c>
      <c r="H146" s="23" t="n">
        <v>104427.43</v>
      </c>
      <c r="I146" s="23" t="n">
        <v>105479.32</v>
      </c>
      <c r="J146" s="23" t="n">
        <v>100644.27</v>
      </c>
      <c r="K146" s="23" t="n">
        <v>122114.74</v>
      </c>
      <c r="L146" s="23" t="n">
        <v>108371.9</v>
      </c>
      <c r="M146" s="23" t="n">
        <v>106282.61</v>
      </c>
      <c r="N146" s="23" t="n">
        <v>105779.06</v>
      </c>
      <c r="O146" s="23" t="n">
        <v>113743.85</v>
      </c>
      <c r="P146" s="23" t="n">
        <v>83732.77</v>
      </c>
      <c r="Q146" s="23" t="n">
        <v>106186.08</v>
      </c>
      <c r="R146" s="23" t="n">
        <v>96133.61</v>
      </c>
      <c r="S146" s="23" t="n">
        <v>83912.9</v>
      </c>
      <c r="T146" s="23" t="n">
        <v>99562.22</v>
      </c>
      <c r="U146" s="23" t="n">
        <v>105445.28</v>
      </c>
      <c r="V146" s="23" t="n">
        <v>104376.54</v>
      </c>
      <c r="W146" s="23" t="n">
        <v>102890.81</v>
      </c>
      <c r="X146" s="23" t="n">
        <v>101147.92</v>
      </c>
      <c r="Y146" s="23" t="n">
        <v>99217.16</v>
      </c>
      <c r="Z146" s="23" t="n">
        <v>112146.54</v>
      </c>
    </row>
    <row r="147" customFormat="false" ht="15" hidden="false" customHeight="false" outlineLevel="0" collapsed="false">
      <c r="A147" s="0" t="n">
        <v>145</v>
      </c>
      <c r="B147" s="23" t="n">
        <v>105197.28</v>
      </c>
      <c r="C147" s="23" t="n">
        <v>103388.24</v>
      </c>
      <c r="D147" s="23" t="n">
        <v>108317.07</v>
      </c>
      <c r="E147" s="23" t="n">
        <v>104972.58</v>
      </c>
      <c r="F147" s="23" t="n">
        <v>125597.73</v>
      </c>
      <c r="G147" s="23" t="n">
        <v>107549.05</v>
      </c>
      <c r="H147" s="23" t="n">
        <v>103562.98</v>
      </c>
      <c r="I147" s="23" t="n">
        <v>105844.52</v>
      </c>
      <c r="J147" s="23" t="n">
        <v>100895.83</v>
      </c>
      <c r="K147" s="23" t="n">
        <v>122783.48</v>
      </c>
      <c r="L147" s="23" t="n">
        <v>109322.4</v>
      </c>
      <c r="M147" s="23" t="n">
        <v>106820.86</v>
      </c>
      <c r="N147" s="23" t="n">
        <v>106524.35</v>
      </c>
      <c r="O147" s="23" t="n">
        <v>114501.57</v>
      </c>
      <c r="P147" s="23" t="n">
        <v>84002</v>
      </c>
      <c r="Q147" s="23" t="n">
        <v>105405.84</v>
      </c>
      <c r="R147" s="23" t="n">
        <v>96032.19</v>
      </c>
      <c r="S147" s="23" t="n">
        <v>83955.94</v>
      </c>
      <c r="T147" s="23" t="n">
        <v>98915.92</v>
      </c>
      <c r="U147" s="23" t="n">
        <v>105577.74</v>
      </c>
      <c r="V147" s="23" t="n">
        <v>103327.51</v>
      </c>
      <c r="W147" s="23" t="n">
        <v>103401.38</v>
      </c>
      <c r="X147" s="23" t="n">
        <v>99612.43</v>
      </c>
      <c r="Y147" s="23" t="n">
        <v>99292.95</v>
      </c>
      <c r="Z147" s="23" t="n">
        <v>112878.73</v>
      </c>
    </row>
    <row r="148" customFormat="false" ht="15" hidden="false" customHeight="false" outlineLevel="0" collapsed="false">
      <c r="A148" s="0" t="n">
        <v>146</v>
      </c>
      <c r="B148" s="23" t="n">
        <v>104887.71</v>
      </c>
      <c r="C148" s="23" t="n">
        <v>103193.16</v>
      </c>
      <c r="D148" s="23" t="n">
        <v>107638.95</v>
      </c>
      <c r="E148" s="23" t="n">
        <v>103686.72</v>
      </c>
      <c r="F148" s="23" t="n">
        <v>124983.13</v>
      </c>
      <c r="G148" s="23" t="n">
        <v>107583.87</v>
      </c>
      <c r="H148" s="23" t="n">
        <v>103705.86</v>
      </c>
      <c r="I148" s="23" t="n">
        <v>106131.78</v>
      </c>
      <c r="J148" s="23" t="n">
        <v>100075.92</v>
      </c>
      <c r="K148" s="23" t="n">
        <v>123061.15</v>
      </c>
      <c r="L148" s="23" t="n">
        <v>109476.61</v>
      </c>
      <c r="M148" s="23" t="n">
        <v>108799.09</v>
      </c>
      <c r="N148" s="23" t="n">
        <v>106913.6</v>
      </c>
      <c r="O148" s="23" t="n">
        <v>113717.58</v>
      </c>
      <c r="P148" s="23" t="n">
        <v>83875.4</v>
      </c>
      <c r="Q148" s="23" t="n">
        <v>106108.56</v>
      </c>
      <c r="R148" s="23" t="n">
        <v>95304.14</v>
      </c>
      <c r="S148" s="23" t="n">
        <v>83722.65</v>
      </c>
      <c r="T148" s="23" t="n">
        <v>98353.15</v>
      </c>
      <c r="U148" s="23" t="n">
        <v>105810.88</v>
      </c>
      <c r="V148" s="23" t="n">
        <v>103325.57</v>
      </c>
      <c r="W148" s="23" t="n">
        <v>104255.82</v>
      </c>
      <c r="X148" s="23" t="n">
        <v>99448.72</v>
      </c>
      <c r="Y148" s="23" t="n">
        <v>100201.62</v>
      </c>
      <c r="Z148" s="23" t="n">
        <v>112424.78</v>
      </c>
    </row>
    <row r="149" customFormat="false" ht="15" hidden="false" customHeight="false" outlineLevel="0" collapsed="false">
      <c r="A149" s="0" t="n">
        <v>147</v>
      </c>
      <c r="B149" s="23" t="n">
        <v>104623.37</v>
      </c>
      <c r="C149" s="23" t="n">
        <v>102825.69</v>
      </c>
      <c r="D149" s="23" t="n">
        <v>108179.8</v>
      </c>
      <c r="E149" s="23" t="n">
        <v>103862.22</v>
      </c>
      <c r="F149" s="23" t="n">
        <v>123547.09</v>
      </c>
      <c r="G149" s="23" t="n">
        <v>107283.8</v>
      </c>
      <c r="H149" s="23" t="n">
        <v>102101.95</v>
      </c>
      <c r="I149" s="23" t="n">
        <v>105586.58</v>
      </c>
      <c r="J149" s="23" t="n">
        <v>100065.85</v>
      </c>
      <c r="K149" s="23" t="n">
        <v>124418.97</v>
      </c>
      <c r="L149" s="23" t="n">
        <v>109155.55</v>
      </c>
      <c r="M149" s="23" t="n">
        <v>109576.81</v>
      </c>
      <c r="N149" s="23" t="n">
        <v>107831.37</v>
      </c>
      <c r="O149" s="23" t="n">
        <v>113798.01</v>
      </c>
      <c r="P149" s="23" t="n">
        <v>85050.69</v>
      </c>
      <c r="Q149" s="23" t="n">
        <v>105392.22</v>
      </c>
      <c r="R149" s="23" t="n">
        <v>94446.07</v>
      </c>
      <c r="S149" s="23" t="n">
        <v>83496.45</v>
      </c>
      <c r="T149" s="23" t="n">
        <v>98457.06</v>
      </c>
      <c r="U149" s="23" t="n">
        <v>106412.14</v>
      </c>
      <c r="V149" s="23" t="n">
        <v>103419.75</v>
      </c>
      <c r="W149" s="23" t="n">
        <v>104542.23</v>
      </c>
      <c r="X149" s="23" t="n">
        <v>100170.57</v>
      </c>
      <c r="Y149" s="23" t="n">
        <v>99563.06</v>
      </c>
      <c r="Z149" s="23" t="n">
        <v>112534.21</v>
      </c>
    </row>
    <row r="150" customFormat="false" ht="15" hidden="false" customHeight="false" outlineLevel="0" collapsed="false">
      <c r="A150" s="0" t="n">
        <v>148</v>
      </c>
      <c r="B150" s="23" t="n">
        <v>103852.95</v>
      </c>
      <c r="C150" s="23" t="n">
        <v>102419.43</v>
      </c>
      <c r="D150" s="23" t="n">
        <v>108512.86</v>
      </c>
      <c r="E150" s="23" t="n">
        <v>103981.05</v>
      </c>
      <c r="F150" s="23" t="n">
        <v>123616.82</v>
      </c>
      <c r="G150" s="23" t="n">
        <v>107492.84</v>
      </c>
      <c r="H150" s="23" t="n">
        <v>101788.02</v>
      </c>
      <c r="I150" s="23" t="n">
        <v>104525.88</v>
      </c>
      <c r="J150" s="23" t="n">
        <v>100499.54</v>
      </c>
      <c r="K150" s="23" t="n">
        <v>124229.27</v>
      </c>
      <c r="L150" s="23" t="n">
        <v>108475.08</v>
      </c>
      <c r="M150" s="23" t="n">
        <v>110301.75</v>
      </c>
      <c r="N150" s="23" t="n">
        <v>107523.85</v>
      </c>
      <c r="O150" s="23" t="n">
        <v>113965.77</v>
      </c>
      <c r="P150" s="23" t="n">
        <v>83923.39</v>
      </c>
      <c r="Q150" s="23" t="n">
        <v>106167.35</v>
      </c>
      <c r="R150" s="23" t="n">
        <v>95459.01</v>
      </c>
      <c r="S150" s="23" t="n">
        <v>83825.82</v>
      </c>
      <c r="T150" s="23" t="n">
        <v>98592.86</v>
      </c>
      <c r="U150" s="23" t="n">
        <v>105831.12</v>
      </c>
      <c r="V150" s="23" t="n">
        <v>103171.07</v>
      </c>
      <c r="W150" s="23" t="n">
        <v>104369.96</v>
      </c>
      <c r="X150" s="23" t="n">
        <v>100374.58</v>
      </c>
      <c r="Y150" s="23" t="n">
        <v>98904.24</v>
      </c>
      <c r="Z150" s="23" t="n">
        <v>111873.8</v>
      </c>
    </row>
    <row r="151" customFormat="false" ht="15" hidden="false" customHeight="false" outlineLevel="0" collapsed="false">
      <c r="A151" s="0" t="n">
        <v>149</v>
      </c>
      <c r="B151" s="23" t="n">
        <v>103602.16</v>
      </c>
      <c r="C151" s="23" t="n">
        <v>103323.51</v>
      </c>
      <c r="D151" s="23" t="n">
        <v>108760.03</v>
      </c>
      <c r="E151" s="23" t="n">
        <v>104441.37</v>
      </c>
      <c r="F151" s="23" t="n">
        <v>123798.72</v>
      </c>
      <c r="G151" s="23" t="n">
        <v>107261.52</v>
      </c>
      <c r="H151" s="23" t="n">
        <v>102790.22</v>
      </c>
      <c r="I151" s="23" t="n">
        <v>104622.09</v>
      </c>
      <c r="J151" s="23" t="n">
        <v>100625.38</v>
      </c>
      <c r="K151" s="23" t="n">
        <v>124548.45</v>
      </c>
      <c r="L151" s="23" t="n">
        <v>107307.84</v>
      </c>
      <c r="M151" s="23" t="n">
        <v>110282.36</v>
      </c>
      <c r="N151" s="23" t="n">
        <v>105653.12</v>
      </c>
      <c r="O151" s="23" t="n">
        <v>114773.19</v>
      </c>
      <c r="P151" s="23" t="n">
        <v>83549.01</v>
      </c>
      <c r="Q151" s="23" t="n">
        <v>105531.52</v>
      </c>
      <c r="R151" s="23" t="n">
        <v>96513.09</v>
      </c>
      <c r="S151" s="23" t="n">
        <v>84527.38</v>
      </c>
      <c r="T151" s="23" t="n">
        <v>98200.85</v>
      </c>
      <c r="U151" s="23" t="n">
        <v>106774.54</v>
      </c>
      <c r="V151" s="23" t="n">
        <v>102573.25</v>
      </c>
      <c r="W151" s="23" t="n">
        <v>105284.53</v>
      </c>
      <c r="X151" s="23" t="n">
        <v>100313.33</v>
      </c>
      <c r="Y151" s="23" t="n">
        <v>98643.41</v>
      </c>
      <c r="Z151" s="23" t="n">
        <v>113381.62</v>
      </c>
    </row>
    <row r="152" customFormat="false" ht="15" hidden="false" customHeight="false" outlineLevel="0" collapsed="false">
      <c r="A152" s="0" t="n">
        <v>150</v>
      </c>
      <c r="B152" s="23" t="n">
        <v>104664.41</v>
      </c>
      <c r="C152" s="23" t="n">
        <v>103361.42</v>
      </c>
      <c r="D152" s="23" t="n">
        <v>108279.75</v>
      </c>
      <c r="E152" s="23" t="n">
        <v>104309.09</v>
      </c>
      <c r="F152" s="23" t="n">
        <v>122539.36</v>
      </c>
      <c r="G152" s="23" t="n">
        <v>106708.07</v>
      </c>
      <c r="H152" s="23" t="n">
        <v>102619.01</v>
      </c>
      <c r="I152" s="23" t="n">
        <v>102619.13</v>
      </c>
      <c r="J152" s="23" t="n">
        <v>101135.45</v>
      </c>
      <c r="K152" s="23" t="n">
        <v>123876.71</v>
      </c>
      <c r="L152" s="23" t="n">
        <v>107993.63</v>
      </c>
      <c r="M152" s="23" t="n">
        <v>110214.39</v>
      </c>
      <c r="N152" s="23" t="n">
        <v>103780.94</v>
      </c>
      <c r="O152" s="23" t="n">
        <v>114075.7</v>
      </c>
      <c r="P152" s="23" t="n">
        <v>84044.21</v>
      </c>
      <c r="Q152" s="23" t="n">
        <v>106450.9</v>
      </c>
      <c r="R152" s="23" t="n">
        <v>96361.93</v>
      </c>
      <c r="S152" s="23" t="n">
        <v>84975.95</v>
      </c>
      <c r="T152" s="23" t="n">
        <v>97574.29</v>
      </c>
      <c r="U152" s="23" t="n">
        <v>107322.85</v>
      </c>
      <c r="V152" s="23" t="n">
        <v>100757.98</v>
      </c>
      <c r="W152" s="23" t="n">
        <v>106063.63</v>
      </c>
      <c r="X152" s="23" t="n">
        <v>100321.17</v>
      </c>
      <c r="Y152" s="23" t="n">
        <v>99924.79</v>
      </c>
      <c r="Z152" s="23" t="n">
        <v>113150</v>
      </c>
    </row>
    <row r="153" customFormat="false" ht="15" hidden="false" customHeight="false" outlineLevel="0" collapsed="false">
      <c r="A153" s="0" t="n">
        <v>151</v>
      </c>
      <c r="B153" s="23" t="n">
        <v>104848.54</v>
      </c>
      <c r="C153" s="23" t="n">
        <v>102786.23</v>
      </c>
      <c r="D153" s="23" t="n">
        <v>108016.02</v>
      </c>
      <c r="E153" s="23" t="n">
        <v>105227.71</v>
      </c>
      <c r="F153" s="23" t="n">
        <v>121468.54</v>
      </c>
      <c r="G153" s="23" t="n">
        <v>105540.3</v>
      </c>
      <c r="H153" s="23" t="n">
        <v>103011.02</v>
      </c>
      <c r="I153" s="23" t="n">
        <v>101497.46</v>
      </c>
      <c r="J153" s="23" t="n">
        <v>101269.97</v>
      </c>
      <c r="K153" s="23" t="n">
        <v>124016.37</v>
      </c>
      <c r="L153" s="23" t="n">
        <v>107620.48</v>
      </c>
      <c r="M153" s="23" t="n">
        <v>109774.5</v>
      </c>
      <c r="N153" s="23" t="n">
        <v>103764.12</v>
      </c>
      <c r="O153" s="23" t="n">
        <v>113622.41</v>
      </c>
      <c r="P153" s="23" t="n">
        <v>83809.08</v>
      </c>
      <c r="Q153" s="23" t="n">
        <v>107194.73</v>
      </c>
      <c r="R153" s="23" t="n">
        <v>96900.82</v>
      </c>
      <c r="S153" s="23" t="n">
        <v>84253.25</v>
      </c>
      <c r="T153" s="23" t="n">
        <v>98080.44</v>
      </c>
      <c r="U153" s="23" t="n">
        <v>107314.6</v>
      </c>
      <c r="V153" s="23" t="n">
        <v>100995.46</v>
      </c>
      <c r="W153" s="23" t="n">
        <v>106929.69</v>
      </c>
      <c r="X153" s="23" t="n">
        <v>101064.51</v>
      </c>
      <c r="Y153" s="23" t="n">
        <v>100362.7</v>
      </c>
      <c r="Z153" s="23" t="n">
        <v>113099.16</v>
      </c>
    </row>
    <row r="154" customFormat="false" ht="15" hidden="false" customHeight="false" outlineLevel="0" collapsed="false">
      <c r="A154" s="0" t="n">
        <v>152</v>
      </c>
      <c r="B154" s="23" t="n">
        <v>104849.13</v>
      </c>
      <c r="C154" s="23" t="n">
        <v>102988.41</v>
      </c>
      <c r="D154" s="23" t="n">
        <v>109177.12</v>
      </c>
      <c r="E154" s="23" t="n">
        <v>105254.93</v>
      </c>
      <c r="F154" s="23" t="n">
        <v>122206.21</v>
      </c>
      <c r="G154" s="23" t="n">
        <v>106124.37</v>
      </c>
      <c r="H154" s="23" t="n">
        <v>103009.56</v>
      </c>
      <c r="I154" s="23" t="n">
        <v>101025.28</v>
      </c>
      <c r="J154" s="23" t="n">
        <v>101545.88</v>
      </c>
      <c r="K154" s="23" t="n">
        <v>124336.34</v>
      </c>
      <c r="L154" s="23" t="n">
        <v>108134.51</v>
      </c>
      <c r="M154" s="23" t="n">
        <v>110141</v>
      </c>
      <c r="N154" s="23" t="n">
        <v>104216.07</v>
      </c>
      <c r="O154" s="23" t="n">
        <v>113511.83</v>
      </c>
      <c r="P154" s="23" t="n">
        <v>84024.06</v>
      </c>
      <c r="Q154" s="23" t="n">
        <v>108629.65</v>
      </c>
      <c r="R154" s="23" t="n">
        <v>97641.24</v>
      </c>
      <c r="S154" s="23" t="n">
        <v>85208.14</v>
      </c>
      <c r="T154" s="23" t="n">
        <v>97819.9</v>
      </c>
      <c r="U154" s="23" t="n">
        <v>107566.66</v>
      </c>
      <c r="V154" s="23" t="n">
        <v>101472.21</v>
      </c>
      <c r="W154" s="23" t="n">
        <v>106351.22</v>
      </c>
      <c r="X154" s="23" t="n">
        <v>101281.59</v>
      </c>
      <c r="Y154" s="23" t="n">
        <v>99957.87</v>
      </c>
      <c r="Z154" s="23" t="n">
        <v>114347.68</v>
      </c>
    </row>
    <row r="155" customFormat="false" ht="15" hidden="false" customHeight="false" outlineLevel="0" collapsed="false">
      <c r="A155" s="0" t="n">
        <v>153</v>
      </c>
      <c r="B155" s="23" t="n">
        <v>106554.01</v>
      </c>
      <c r="C155" s="23" t="n">
        <v>102842.84</v>
      </c>
      <c r="D155" s="23" t="n">
        <v>108533.35</v>
      </c>
      <c r="E155" s="23" t="n">
        <v>107550.29</v>
      </c>
      <c r="F155" s="23" t="n">
        <v>122977.93</v>
      </c>
      <c r="G155" s="23" t="n">
        <v>106116.8</v>
      </c>
      <c r="H155" s="23" t="n">
        <v>104292.53</v>
      </c>
      <c r="I155" s="23" t="n">
        <v>101931.98</v>
      </c>
      <c r="J155" s="23" t="n">
        <v>102923.27</v>
      </c>
      <c r="K155" s="23" t="n">
        <v>123899.59</v>
      </c>
      <c r="L155" s="23" t="n">
        <v>108408.07</v>
      </c>
      <c r="M155" s="23" t="n">
        <v>111810.09</v>
      </c>
      <c r="N155" s="23" t="n">
        <v>103831.49</v>
      </c>
      <c r="O155" s="23" t="n">
        <v>113678.77</v>
      </c>
      <c r="P155" s="23" t="n">
        <v>83604.49</v>
      </c>
      <c r="Q155" s="23" t="n">
        <v>109460.1</v>
      </c>
      <c r="R155" s="23" t="n">
        <v>97211.44</v>
      </c>
      <c r="S155" s="23" t="n">
        <v>84956.39</v>
      </c>
      <c r="T155" s="23" t="n">
        <v>97582.5</v>
      </c>
      <c r="U155" s="23" t="n">
        <v>107949.82</v>
      </c>
      <c r="V155" s="23" t="n">
        <v>102291.12</v>
      </c>
      <c r="W155" s="23" t="n">
        <v>105742.22</v>
      </c>
      <c r="X155" s="23" t="n">
        <v>101824.38</v>
      </c>
      <c r="Y155" s="23" t="n">
        <v>99383.3</v>
      </c>
      <c r="Z155" s="23" t="n">
        <v>113622.51</v>
      </c>
    </row>
    <row r="156" customFormat="false" ht="15" hidden="false" customHeight="false" outlineLevel="0" collapsed="false">
      <c r="A156" s="0" t="n">
        <v>154</v>
      </c>
      <c r="B156" s="23" t="n">
        <v>106233.4</v>
      </c>
      <c r="C156" s="23" t="n">
        <v>103624.21</v>
      </c>
      <c r="D156" s="23" t="n">
        <v>109328.7</v>
      </c>
      <c r="E156" s="23" t="n">
        <v>108997.66</v>
      </c>
      <c r="F156" s="23" t="n">
        <v>125418.54</v>
      </c>
      <c r="G156" s="23" t="n">
        <v>106385.05</v>
      </c>
      <c r="H156" s="23" t="n">
        <v>104293.95</v>
      </c>
      <c r="I156" s="23" t="n">
        <v>100518.25</v>
      </c>
      <c r="J156" s="23" t="n">
        <v>103764.14</v>
      </c>
      <c r="K156" s="23" t="n">
        <v>124451.95</v>
      </c>
      <c r="L156" s="23" t="n">
        <v>108671.64</v>
      </c>
      <c r="M156" s="23" t="n">
        <v>111772.66</v>
      </c>
      <c r="N156" s="23" t="n">
        <v>103035.03</v>
      </c>
      <c r="O156" s="23" t="n">
        <v>113292.95</v>
      </c>
      <c r="P156" s="23" t="n">
        <v>83735.41</v>
      </c>
      <c r="Q156" s="23" t="n">
        <v>110630.15</v>
      </c>
      <c r="R156" s="23" t="n">
        <v>97274.19</v>
      </c>
      <c r="S156" s="23" t="n">
        <v>84223.48</v>
      </c>
      <c r="T156" s="23" t="n">
        <v>98428.45</v>
      </c>
      <c r="U156" s="23" t="n">
        <v>108880.66</v>
      </c>
      <c r="V156" s="23" t="n">
        <v>101743.56</v>
      </c>
      <c r="W156" s="23" t="n">
        <v>104361.76</v>
      </c>
      <c r="X156" s="23" t="n">
        <v>102407.27</v>
      </c>
      <c r="Y156" s="23" t="n">
        <v>98828.19</v>
      </c>
      <c r="Z156" s="23" t="n">
        <v>111764.91</v>
      </c>
    </row>
    <row r="157" customFormat="false" ht="15" hidden="false" customHeight="false" outlineLevel="0" collapsed="false">
      <c r="A157" s="0" t="n">
        <v>155</v>
      </c>
      <c r="B157" s="23" t="n">
        <v>106227.47</v>
      </c>
      <c r="C157" s="23" t="n">
        <v>103916.31</v>
      </c>
      <c r="D157" s="23" t="n">
        <v>109164.34</v>
      </c>
      <c r="E157" s="23" t="n">
        <v>109332.9</v>
      </c>
      <c r="F157" s="23" t="n">
        <v>124654.77</v>
      </c>
      <c r="G157" s="23" t="n">
        <v>105623.09</v>
      </c>
      <c r="H157" s="23" t="n">
        <v>105147.72</v>
      </c>
      <c r="I157" s="23" t="n">
        <v>99903.74</v>
      </c>
      <c r="J157" s="23" t="n">
        <v>103507.09</v>
      </c>
      <c r="K157" s="23" t="n">
        <v>123259.99</v>
      </c>
      <c r="L157" s="23" t="n">
        <v>107754.74</v>
      </c>
      <c r="M157" s="23" t="n">
        <v>112511.07</v>
      </c>
      <c r="N157" s="23" t="n">
        <v>103862.11</v>
      </c>
      <c r="O157" s="23" t="n">
        <v>114136.56</v>
      </c>
      <c r="P157" s="23" t="n">
        <v>83766.32</v>
      </c>
      <c r="Q157" s="23" t="n">
        <v>110979.26</v>
      </c>
      <c r="R157" s="23" t="n">
        <v>96996.97</v>
      </c>
      <c r="S157" s="23" t="n">
        <v>83455.58</v>
      </c>
      <c r="T157" s="23" t="n">
        <v>98993.37</v>
      </c>
      <c r="U157" s="23" t="n">
        <v>108047.55</v>
      </c>
      <c r="V157" s="23" t="n">
        <v>100945.26</v>
      </c>
      <c r="W157" s="23" t="n">
        <v>105339.18</v>
      </c>
      <c r="X157" s="23" t="n">
        <v>103548.43</v>
      </c>
      <c r="Y157" s="23" t="n">
        <v>99212.23</v>
      </c>
      <c r="Z157" s="23" t="n">
        <v>112002.49</v>
      </c>
    </row>
    <row r="158" customFormat="false" ht="15" hidden="false" customHeight="false" outlineLevel="0" collapsed="false">
      <c r="A158" s="0" t="n">
        <v>156</v>
      </c>
      <c r="B158" s="23" t="n">
        <v>105946.85</v>
      </c>
      <c r="C158" s="23" t="n">
        <v>104476.08</v>
      </c>
      <c r="D158" s="23" t="n">
        <v>109683.01</v>
      </c>
      <c r="E158" s="23" t="n">
        <v>109075.81</v>
      </c>
      <c r="F158" s="23" t="n">
        <v>125090.2</v>
      </c>
      <c r="G158" s="23" t="n">
        <v>106851.35</v>
      </c>
      <c r="H158" s="23" t="n">
        <v>105410.97</v>
      </c>
      <c r="I158" s="23" t="n">
        <v>99794.74</v>
      </c>
      <c r="J158" s="23" t="n">
        <v>103449.46</v>
      </c>
      <c r="K158" s="23" t="n">
        <v>123923.62</v>
      </c>
      <c r="L158" s="23" t="n">
        <v>107753.33</v>
      </c>
      <c r="M158" s="23" t="n">
        <v>112051.51</v>
      </c>
      <c r="N158" s="23" t="n">
        <v>104742.8</v>
      </c>
      <c r="O158" s="23" t="n">
        <v>114314.39</v>
      </c>
      <c r="P158" s="23" t="n">
        <v>84544.28</v>
      </c>
      <c r="Q158" s="23" t="n">
        <v>111081.63</v>
      </c>
      <c r="R158" s="23" t="n">
        <v>96320.21</v>
      </c>
      <c r="S158" s="23" t="n">
        <v>82796.72</v>
      </c>
      <c r="T158" s="23" t="n">
        <v>98512.89</v>
      </c>
      <c r="U158" s="23" t="n">
        <v>109064.05</v>
      </c>
      <c r="V158" s="23" t="n">
        <v>100744.28</v>
      </c>
      <c r="W158" s="23" t="n">
        <v>104257.9</v>
      </c>
      <c r="X158" s="23" t="n">
        <v>102589.38</v>
      </c>
      <c r="Y158" s="23" t="n">
        <v>98045.28</v>
      </c>
      <c r="Z158" s="23" t="n">
        <v>111854.21</v>
      </c>
    </row>
    <row r="159" customFormat="false" ht="15" hidden="false" customHeight="false" outlineLevel="0" collapsed="false">
      <c r="A159" s="0" t="n">
        <v>157</v>
      </c>
      <c r="B159" s="23" t="n">
        <v>106065.02</v>
      </c>
      <c r="C159" s="23" t="n">
        <v>104882.7</v>
      </c>
      <c r="D159" s="23" t="n">
        <v>110901.65</v>
      </c>
      <c r="E159" s="23" t="n">
        <v>108269.47</v>
      </c>
      <c r="F159" s="23" t="n">
        <v>126924.2</v>
      </c>
      <c r="G159" s="23" t="n">
        <v>106756.61</v>
      </c>
      <c r="H159" s="23" t="n">
        <v>104410.92</v>
      </c>
      <c r="I159" s="23" t="n">
        <v>98334.81</v>
      </c>
      <c r="J159" s="23" t="n">
        <v>103543.04</v>
      </c>
      <c r="K159" s="23" t="n">
        <v>124591.25</v>
      </c>
      <c r="L159" s="23" t="n">
        <v>106851.41</v>
      </c>
      <c r="M159" s="23" t="n">
        <v>111359.04</v>
      </c>
      <c r="N159" s="23" t="n">
        <v>104226.58</v>
      </c>
      <c r="O159" s="23" t="n">
        <v>112916.29</v>
      </c>
      <c r="P159" s="23" t="n">
        <v>85431.94</v>
      </c>
      <c r="Q159" s="23" t="n">
        <v>111639.55</v>
      </c>
      <c r="R159" s="23" t="n">
        <v>96139.43</v>
      </c>
      <c r="S159" s="23" t="n">
        <v>82742.93</v>
      </c>
      <c r="T159" s="23" t="n">
        <v>98324.01</v>
      </c>
      <c r="U159" s="23" t="n">
        <v>107498.11</v>
      </c>
      <c r="V159" s="23" t="n">
        <v>100053.38</v>
      </c>
      <c r="W159" s="23" t="n">
        <v>103828.73</v>
      </c>
      <c r="X159" s="23" t="n">
        <v>103482.35</v>
      </c>
      <c r="Y159" s="23" t="n">
        <v>97289.81</v>
      </c>
      <c r="Z159" s="23" t="n">
        <v>111495.8</v>
      </c>
    </row>
    <row r="160" customFormat="false" ht="15" hidden="false" customHeight="false" outlineLevel="0" collapsed="false">
      <c r="A160" s="0" t="n">
        <v>158</v>
      </c>
      <c r="B160" s="23" t="n">
        <v>105009.93</v>
      </c>
      <c r="C160" s="23" t="n">
        <v>104867.54</v>
      </c>
      <c r="D160" s="23" t="n">
        <v>110451.93</v>
      </c>
      <c r="E160" s="23" t="n">
        <v>107094.38</v>
      </c>
      <c r="F160" s="23" t="n">
        <v>128776.16</v>
      </c>
      <c r="G160" s="23" t="n">
        <v>106413.91</v>
      </c>
      <c r="H160" s="23" t="n">
        <v>105111.26</v>
      </c>
      <c r="I160" s="23" t="n">
        <v>99431.3</v>
      </c>
      <c r="J160" s="23" t="n">
        <v>103404.02</v>
      </c>
      <c r="K160" s="23" t="n">
        <v>124275.29</v>
      </c>
      <c r="L160" s="23" t="n">
        <v>108467.94</v>
      </c>
      <c r="M160" s="23" t="n">
        <v>112004.68</v>
      </c>
      <c r="N160" s="23" t="n">
        <v>104681.08</v>
      </c>
      <c r="O160" s="23" t="n">
        <v>112441.4</v>
      </c>
      <c r="P160" s="23" t="n">
        <v>84720.94</v>
      </c>
      <c r="Q160" s="23" t="n">
        <v>111874.88</v>
      </c>
      <c r="R160" s="23" t="n">
        <v>95804.04</v>
      </c>
      <c r="S160" s="23" t="n">
        <v>83181.4</v>
      </c>
      <c r="T160" s="23" t="n">
        <v>97469.95</v>
      </c>
      <c r="U160" s="23" t="n">
        <v>106872.94</v>
      </c>
      <c r="V160" s="23" t="n">
        <v>101419.55</v>
      </c>
      <c r="W160" s="23" t="n">
        <v>104624.14</v>
      </c>
      <c r="X160" s="23" t="n">
        <v>104319.22</v>
      </c>
      <c r="Y160" s="23" t="n">
        <v>97584.65</v>
      </c>
      <c r="Z160" s="23" t="n">
        <v>111249.86</v>
      </c>
    </row>
    <row r="161" customFormat="false" ht="15" hidden="false" customHeight="false" outlineLevel="0" collapsed="false">
      <c r="A161" s="0" t="n">
        <v>159</v>
      </c>
      <c r="B161" s="23" t="n">
        <v>104560.67</v>
      </c>
      <c r="C161" s="23" t="n">
        <v>106187.63</v>
      </c>
      <c r="D161" s="23" t="n">
        <v>110163.96</v>
      </c>
      <c r="E161" s="23" t="n">
        <v>107503</v>
      </c>
      <c r="F161" s="23" t="n">
        <v>129835.1</v>
      </c>
      <c r="G161" s="23" t="n">
        <v>106484.95</v>
      </c>
      <c r="H161" s="23" t="n">
        <v>104162.04</v>
      </c>
      <c r="I161" s="23" t="n">
        <v>99505.39</v>
      </c>
      <c r="J161" s="23" t="n">
        <v>102765.83</v>
      </c>
      <c r="K161" s="23" t="n">
        <v>122882.23</v>
      </c>
      <c r="L161" s="23" t="n">
        <v>108468.2</v>
      </c>
      <c r="M161" s="23" t="n">
        <v>113116.95</v>
      </c>
      <c r="N161" s="23" t="n">
        <v>104444.13</v>
      </c>
      <c r="O161" s="23" t="n">
        <v>113263.75</v>
      </c>
      <c r="P161" s="23" t="n">
        <v>84916.88</v>
      </c>
      <c r="Q161" s="23" t="n">
        <v>112556.3</v>
      </c>
      <c r="R161" s="23" t="n">
        <v>96337.25</v>
      </c>
      <c r="S161" s="23" t="n">
        <v>83353.53</v>
      </c>
      <c r="T161" s="23" t="n">
        <v>97422.2</v>
      </c>
      <c r="U161" s="23" t="n">
        <v>106439.92</v>
      </c>
      <c r="V161" s="23" t="n">
        <v>101087.33</v>
      </c>
      <c r="W161" s="23" t="n">
        <v>104194.8</v>
      </c>
      <c r="X161" s="23" t="n">
        <v>103618.83</v>
      </c>
      <c r="Y161" s="23" t="n">
        <v>97981.4</v>
      </c>
      <c r="Z161" s="23" t="n">
        <v>111826.22</v>
      </c>
    </row>
    <row r="162" customFormat="false" ht="15" hidden="false" customHeight="false" outlineLevel="0" collapsed="false">
      <c r="A162" s="0" t="n">
        <v>160</v>
      </c>
      <c r="B162" s="23" t="n">
        <v>104719.99</v>
      </c>
      <c r="C162" s="23" t="n">
        <v>106610.94</v>
      </c>
      <c r="D162" s="23" t="n">
        <v>110975.53</v>
      </c>
      <c r="E162" s="23" t="n">
        <v>108127.97</v>
      </c>
      <c r="F162" s="23" t="n">
        <v>130184.98</v>
      </c>
      <c r="G162" s="23" t="n">
        <v>105311.02</v>
      </c>
      <c r="H162" s="23" t="n">
        <v>104706.92</v>
      </c>
      <c r="I162" s="23" t="n">
        <v>98992.67</v>
      </c>
      <c r="J162" s="23" t="n">
        <v>103314.72</v>
      </c>
      <c r="K162" s="23" t="n">
        <v>124119.76</v>
      </c>
      <c r="L162" s="23" t="n">
        <v>107220.61</v>
      </c>
      <c r="M162" s="23" t="n">
        <v>114816.99</v>
      </c>
      <c r="N162" s="23" t="n">
        <v>105568.56</v>
      </c>
      <c r="O162" s="23" t="n">
        <v>112873.4</v>
      </c>
      <c r="P162" s="23" t="n">
        <v>84410.82</v>
      </c>
      <c r="Q162" s="23" t="n">
        <v>112871.85</v>
      </c>
      <c r="R162" s="23" t="n">
        <v>97604.76</v>
      </c>
      <c r="S162" s="23" t="n">
        <v>82604.31</v>
      </c>
      <c r="T162" s="23" t="n">
        <v>97514.43</v>
      </c>
      <c r="U162" s="23" t="n">
        <v>106595.74</v>
      </c>
      <c r="V162" s="23" t="n">
        <v>100353.91</v>
      </c>
      <c r="W162" s="23" t="n">
        <v>103590.16</v>
      </c>
      <c r="X162" s="23" t="n">
        <v>103451.24</v>
      </c>
      <c r="Y162" s="23" t="n">
        <v>97024.46</v>
      </c>
      <c r="Z162" s="23" t="n">
        <v>112901.89</v>
      </c>
    </row>
    <row r="163" customFormat="false" ht="15" hidden="false" customHeight="false" outlineLevel="0" collapsed="false">
      <c r="A163" s="0" t="n">
        <v>161</v>
      </c>
      <c r="B163" s="23" t="n">
        <v>104945.72</v>
      </c>
      <c r="C163" s="23" t="n">
        <v>106780.6</v>
      </c>
      <c r="D163" s="23" t="n">
        <v>110753.69</v>
      </c>
      <c r="E163" s="23" t="n">
        <v>107326.51</v>
      </c>
      <c r="F163" s="23" t="n">
        <v>129637.15</v>
      </c>
      <c r="G163" s="23" t="n">
        <v>104886.48</v>
      </c>
      <c r="H163" s="23" t="n">
        <v>105640.81</v>
      </c>
      <c r="I163" s="23" t="n">
        <v>98834.52</v>
      </c>
      <c r="J163" s="23" t="n">
        <v>102983.81</v>
      </c>
      <c r="K163" s="23" t="n">
        <v>124579.15</v>
      </c>
      <c r="L163" s="23" t="n">
        <v>106583.19</v>
      </c>
      <c r="M163" s="23" t="n">
        <v>115582.46</v>
      </c>
      <c r="N163" s="23" t="n">
        <v>106380.83</v>
      </c>
      <c r="O163" s="23" t="n">
        <v>113075.39</v>
      </c>
      <c r="P163" s="23" t="n">
        <v>85290.14</v>
      </c>
      <c r="Q163" s="23" t="n">
        <v>114292.57</v>
      </c>
      <c r="R163" s="23" t="n">
        <v>96954.17</v>
      </c>
      <c r="S163" s="23" t="n">
        <v>82291.75</v>
      </c>
      <c r="T163" s="23" t="n">
        <v>98398.43</v>
      </c>
      <c r="U163" s="23" t="n">
        <v>106215.9</v>
      </c>
      <c r="V163" s="23" t="n">
        <v>100856.71</v>
      </c>
      <c r="W163" s="23" t="n">
        <v>104628.9</v>
      </c>
      <c r="X163" s="23" t="n">
        <v>103489.03</v>
      </c>
      <c r="Y163" s="23" t="n">
        <v>98260.39</v>
      </c>
      <c r="Z163" s="23" t="n">
        <v>113558.16</v>
      </c>
    </row>
    <row r="164" customFormat="false" ht="15" hidden="false" customHeight="false" outlineLevel="0" collapsed="false">
      <c r="A164" s="0" t="n">
        <v>162</v>
      </c>
      <c r="B164" s="23" t="n">
        <v>104715.86</v>
      </c>
      <c r="C164" s="23" t="n">
        <v>106477.12</v>
      </c>
      <c r="D164" s="23" t="n">
        <v>111430.62</v>
      </c>
      <c r="E164" s="23" t="n">
        <v>106813.46</v>
      </c>
      <c r="F164" s="23" t="n">
        <v>130474.3</v>
      </c>
      <c r="G164" s="23" t="n">
        <v>103935.25</v>
      </c>
      <c r="H164" s="23" t="n">
        <v>104673.57</v>
      </c>
      <c r="I164" s="23" t="n">
        <v>98029.65</v>
      </c>
      <c r="J164" s="23" t="n">
        <v>104272.47</v>
      </c>
      <c r="K164" s="23" t="n">
        <v>124915.41</v>
      </c>
      <c r="L164" s="23" t="n">
        <v>106580.63</v>
      </c>
      <c r="M164" s="23" t="n">
        <v>116748.77</v>
      </c>
      <c r="N164" s="23" t="n">
        <v>107957.98</v>
      </c>
      <c r="O164" s="23" t="n">
        <v>112936.09</v>
      </c>
      <c r="P164" s="23" t="n">
        <v>84431.23</v>
      </c>
      <c r="Q164" s="23" t="n">
        <v>113753.73</v>
      </c>
      <c r="R164" s="23" t="n">
        <v>96661.89</v>
      </c>
      <c r="S164" s="23" t="n">
        <v>82306.04</v>
      </c>
      <c r="T164" s="23" t="n">
        <v>98523.49</v>
      </c>
      <c r="U164" s="23" t="n">
        <v>106501.74</v>
      </c>
      <c r="V164" s="23" t="n">
        <v>101112.35</v>
      </c>
      <c r="W164" s="23" t="n">
        <v>104383.84</v>
      </c>
      <c r="X164" s="23" t="n">
        <v>103739.25</v>
      </c>
      <c r="Y164" s="23" t="n">
        <v>97739.02</v>
      </c>
      <c r="Z164" s="23" t="n">
        <v>114324.74</v>
      </c>
    </row>
    <row r="165" customFormat="false" ht="15" hidden="false" customHeight="false" outlineLevel="0" collapsed="false">
      <c r="A165" s="0" t="n">
        <v>163</v>
      </c>
      <c r="B165" s="23" t="n">
        <v>104751.29</v>
      </c>
      <c r="C165" s="23" t="n">
        <v>106681.92</v>
      </c>
      <c r="D165" s="23" t="n">
        <v>111287.14</v>
      </c>
      <c r="E165" s="23" t="n">
        <v>107879.65</v>
      </c>
      <c r="F165" s="23" t="n">
        <v>131021.38</v>
      </c>
      <c r="G165" s="23" t="n">
        <v>103246.74</v>
      </c>
      <c r="H165" s="23" t="n">
        <v>105572.25</v>
      </c>
      <c r="I165" s="23" t="n">
        <v>97792.27</v>
      </c>
      <c r="J165" s="23" t="n">
        <v>103590.87</v>
      </c>
      <c r="K165" s="23" t="n">
        <v>125344.48</v>
      </c>
      <c r="L165" s="23" t="n">
        <v>107688.47</v>
      </c>
      <c r="M165" s="23" t="n">
        <v>116903.62</v>
      </c>
      <c r="N165" s="23" t="n">
        <v>108026.36</v>
      </c>
      <c r="O165" s="23" t="n">
        <v>112117.6</v>
      </c>
      <c r="P165" s="23" t="n">
        <v>85309.44</v>
      </c>
      <c r="Q165" s="23" t="n">
        <v>114287.83</v>
      </c>
      <c r="R165" s="23" t="n">
        <v>96381.38</v>
      </c>
      <c r="S165" s="23" t="n">
        <v>82524.94</v>
      </c>
      <c r="T165" s="23" t="n">
        <v>99808.49</v>
      </c>
      <c r="U165" s="23" t="n">
        <v>107573.87</v>
      </c>
      <c r="V165" s="23" t="n">
        <v>101846.39</v>
      </c>
      <c r="W165" s="23" t="n">
        <v>104259.96</v>
      </c>
      <c r="X165" s="23" t="n">
        <v>103461.18</v>
      </c>
      <c r="Y165" s="23" t="n">
        <v>97933.97</v>
      </c>
      <c r="Z165" s="23" t="n">
        <v>114076.25</v>
      </c>
    </row>
    <row r="166" customFormat="false" ht="15" hidden="false" customHeight="false" outlineLevel="0" collapsed="false">
      <c r="A166" s="0" t="n">
        <v>164</v>
      </c>
      <c r="B166" s="23" t="n">
        <v>104002.24</v>
      </c>
      <c r="C166" s="23" t="n">
        <v>107369.5</v>
      </c>
      <c r="D166" s="23" t="n">
        <v>111249.45</v>
      </c>
      <c r="E166" s="23" t="n">
        <v>106863.96</v>
      </c>
      <c r="F166" s="23" t="n">
        <v>130311.54</v>
      </c>
      <c r="G166" s="23" t="n">
        <v>102939.15</v>
      </c>
      <c r="H166" s="23" t="n">
        <v>104889.96</v>
      </c>
      <c r="I166" s="23" t="n">
        <v>97301.15</v>
      </c>
      <c r="J166" s="23" t="n">
        <v>103775.89</v>
      </c>
      <c r="K166" s="23" t="n">
        <v>126773.55</v>
      </c>
      <c r="L166" s="23" t="n">
        <v>107885.54</v>
      </c>
      <c r="M166" s="23" t="n">
        <v>116774.24</v>
      </c>
      <c r="N166" s="23" t="n">
        <v>107882.97</v>
      </c>
      <c r="O166" s="23" t="n">
        <v>111445.43</v>
      </c>
      <c r="P166" s="23" t="n">
        <v>85015.99</v>
      </c>
      <c r="Q166" s="23" t="n">
        <v>114372.01</v>
      </c>
      <c r="R166" s="23" t="n">
        <v>97016.61</v>
      </c>
      <c r="S166" s="23" t="n">
        <v>83257.54</v>
      </c>
      <c r="T166" s="23" t="n">
        <v>100164.19</v>
      </c>
      <c r="U166" s="23" t="n">
        <v>107263.46</v>
      </c>
      <c r="V166" s="23" t="n">
        <v>102139.36</v>
      </c>
      <c r="W166" s="23" t="n">
        <v>103695.93</v>
      </c>
      <c r="X166" s="23" t="n">
        <v>102534.59</v>
      </c>
      <c r="Y166" s="23" t="n">
        <v>98568.87</v>
      </c>
      <c r="Z166" s="23" t="n">
        <v>114859.79</v>
      </c>
    </row>
    <row r="167" customFormat="false" ht="15" hidden="false" customHeight="false" outlineLevel="0" collapsed="false">
      <c r="A167" s="0" t="n">
        <v>165</v>
      </c>
      <c r="B167" s="23" t="n">
        <v>103769.28</v>
      </c>
      <c r="C167" s="23" t="n">
        <v>106394.96</v>
      </c>
      <c r="D167" s="23" t="n">
        <v>110811.26</v>
      </c>
      <c r="E167" s="23" t="n">
        <v>105988.68</v>
      </c>
      <c r="F167" s="23" t="n">
        <v>128342.04</v>
      </c>
      <c r="G167" s="23" t="n">
        <v>102838.79</v>
      </c>
      <c r="H167" s="23" t="n">
        <v>104950.56</v>
      </c>
      <c r="I167" s="23" t="n">
        <v>97305.85</v>
      </c>
      <c r="J167" s="23" t="n">
        <v>103581.41</v>
      </c>
      <c r="K167" s="23" t="n">
        <v>126330.16</v>
      </c>
      <c r="L167" s="23" t="n">
        <v>107312.8</v>
      </c>
      <c r="M167" s="23" t="n">
        <v>117783.75</v>
      </c>
      <c r="N167" s="23" t="n">
        <v>107763.33</v>
      </c>
      <c r="O167" s="23" t="n">
        <v>110355.86</v>
      </c>
      <c r="P167" s="23" t="n">
        <v>84814.47</v>
      </c>
      <c r="Q167" s="23" t="n">
        <v>114126.58</v>
      </c>
      <c r="R167" s="23" t="n">
        <v>97732.34</v>
      </c>
      <c r="S167" s="23" t="n">
        <v>83954.15</v>
      </c>
      <c r="T167" s="23" t="n">
        <v>100547.89</v>
      </c>
      <c r="U167" s="23" t="n">
        <v>106061.6</v>
      </c>
      <c r="V167" s="23" t="n">
        <v>103094.29</v>
      </c>
      <c r="W167" s="23" t="n">
        <v>103962.06</v>
      </c>
      <c r="X167" s="23" t="n">
        <v>102771.39</v>
      </c>
      <c r="Y167" s="23" t="n">
        <v>98612.76</v>
      </c>
      <c r="Z167" s="23" t="n">
        <v>115977.89</v>
      </c>
    </row>
    <row r="168" customFormat="false" ht="15" hidden="false" customHeight="false" outlineLevel="0" collapsed="false">
      <c r="A168" s="0" t="n">
        <v>166</v>
      </c>
      <c r="B168" s="23" t="n">
        <v>103471.5</v>
      </c>
      <c r="C168" s="23" t="n">
        <v>105648.35</v>
      </c>
      <c r="D168" s="23" t="n">
        <v>111616.26</v>
      </c>
      <c r="E168" s="23" t="n">
        <v>107123.32</v>
      </c>
      <c r="F168" s="23" t="n">
        <v>128273.13</v>
      </c>
      <c r="G168" s="23" t="n">
        <v>103735.18</v>
      </c>
      <c r="H168" s="23" t="n">
        <v>103929.37</v>
      </c>
      <c r="I168" s="23" t="n">
        <v>97333.52</v>
      </c>
      <c r="J168" s="23" t="n">
        <v>102690.07</v>
      </c>
      <c r="K168" s="23" t="n">
        <v>123773.57</v>
      </c>
      <c r="L168" s="23" t="n">
        <v>107097.79</v>
      </c>
      <c r="M168" s="23" t="n">
        <v>118141.67</v>
      </c>
      <c r="N168" s="23" t="n">
        <v>108331.4</v>
      </c>
      <c r="O168" s="23" t="n">
        <v>110533.02</v>
      </c>
      <c r="P168" s="23" t="n">
        <v>85185.42</v>
      </c>
      <c r="Q168" s="23" t="n">
        <v>114453.72</v>
      </c>
      <c r="R168" s="23" t="n">
        <v>99131.25</v>
      </c>
      <c r="S168" s="23" t="n">
        <v>83816.35</v>
      </c>
      <c r="T168" s="23" t="n">
        <v>101260.57</v>
      </c>
      <c r="U168" s="23" t="n">
        <v>105692.2</v>
      </c>
      <c r="V168" s="23" t="n">
        <v>102627.65</v>
      </c>
      <c r="W168" s="23" t="n">
        <v>104135.36</v>
      </c>
      <c r="X168" s="23" t="n">
        <v>101969.38</v>
      </c>
      <c r="Y168" s="23" t="n">
        <v>99695.78</v>
      </c>
      <c r="Z168" s="23" t="n">
        <v>116227.83</v>
      </c>
    </row>
    <row r="169" customFormat="false" ht="15" hidden="false" customHeight="false" outlineLevel="0" collapsed="false">
      <c r="A169" s="0" t="n">
        <v>167</v>
      </c>
      <c r="B169" s="23" t="n">
        <v>103481.28</v>
      </c>
      <c r="C169" s="23" t="n">
        <v>106229.31</v>
      </c>
      <c r="D169" s="23" t="n">
        <v>111324.38</v>
      </c>
      <c r="E169" s="23" t="n">
        <v>108172.39</v>
      </c>
      <c r="F169" s="23" t="n">
        <v>126088.18</v>
      </c>
      <c r="G169" s="23" t="n">
        <v>103555.49</v>
      </c>
      <c r="H169" s="23" t="n">
        <v>103804.77</v>
      </c>
      <c r="I169" s="23" t="n">
        <v>97313.87</v>
      </c>
      <c r="J169" s="23" t="n">
        <v>103170.27</v>
      </c>
      <c r="K169" s="23" t="n">
        <v>124599.04</v>
      </c>
      <c r="L169" s="23" t="n">
        <v>106173.51</v>
      </c>
      <c r="M169" s="23" t="n">
        <v>118103.13</v>
      </c>
      <c r="N169" s="23" t="n">
        <v>107426.33</v>
      </c>
      <c r="O169" s="23" t="n">
        <v>110032.73</v>
      </c>
      <c r="P169" s="23" t="n">
        <v>85100.37</v>
      </c>
      <c r="Q169" s="23" t="n">
        <v>115325.62</v>
      </c>
      <c r="R169" s="23" t="n">
        <v>97894.61</v>
      </c>
      <c r="S169" s="23" t="n">
        <v>84635.48</v>
      </c>
      <c r="T169" s="23" t="n">
        <v>100560.62</v>
      </c>
      <c r="U169" s="23" t="n">
        <v>105434.71</v>
      </c>
      <c r="V169" s="23" t="n">
        <v>102660.13</v>
      </c>
      <c r="W169" s="23" t="n">
        <v>103679.44</v>
      </c>
      <c r="X169" s="23" t="n">
        <v>101686.51</v>
      </c>
      <c r="Y169" s="23" t="n">
        <v>100185.1</v>
      </c>
      <c r="Z169" s="23" t="n">
        <v>115680.21</v>
      </c>
    </row>
    <row r="170" customFormat="false" ht="15" hidden="false" customHeight="false" outlineLevel="0" collapsed="false">
      <c r="A170" s="0" t="n">
        <v>168</v>
      </c>
      <c r="B170" s="23" t="n">
        <v>102573.8</v>
      </c>
      <c r="C170" s="23" t="n">
        <v>106703.21</v>
      </c>
      <c r="D170" s="23" t="n">
        <v>110696.12</v>
      </c>
      <c r="E170" s="23" t="n">
        <v>109568.15</v>
      </c>
      <c r="F170" s="23" t="n">
        <v>125145</v>
      </c>
      <c r="G170" s="23" t="n">
        <v>103083.72</v>
      </c>
      <c r="H170" s="23" t="n">
        <v>104267.26</v>
      </c>
      <c r="I170" s="23" t="n">
        <v>97662.75</v>
      </c>
      <c r="J170" s="23" t="n">
        <v>102956.44</v>
      </c>
      <c r="K170" s="23" t="n">
        <v>124435.05</v>
      </c>
      <c r="L170" s="23" t="n">
        <v>106503.79</v>
      </c>
      <c r="M170" s="23" t="n">
        <v>119394.9</v>
      </c>
      <c r="N170" s="23" t="n">
        <v>107730.13</v>
      </c>
      <c r="O170" s="23" t="n">
        <v>110490.11</v>
      </c>
      <c r="P170" s="23" t="n">
        <v>85581.92</v>
      </c>
      <c r="Q170" s="23" t="n">
        <v>114949.3</v>
      </c>
      <c r="R170" s="23" t="n">
        <v>97557.68</v>
      </c>
      <c r="S170" s="23" t="n">
        <v>84963.45</v>
      </c>
      <c r="T170" s="23" t="n">
        <v>100589.12</v>
      </c>
      <c r="U170" s="23" t="n">
        <v>105162.63</v>
      </c>
      <c r="V170" s="23" t="n">
        <v>103026.08</v>
      </c>
      <c r="W170" s="23" t="n">
        <v>104729.2</v>
      </c>
      <c r="X170" s="23" t="n">
        <v>100983.34</v>
      </c>
      <c r="Y170" s="23" t="n">
        <v>100602.58</v>
      </c>
      <c r="Z170" s="23" t="n">
        <v>116091.19</v>
      </c>
    </row>
    <row r="171" customFormat="false" ht="15" hidden="false" customHeight="false" outlineLevel="0" collapsed="false">
      <c r="A171" s="0" t="n">
        <v>169</v>
      </c>
      <c r="B171" s="23" t="n">
        <v>102891.62</v>
      </c>
      <c r="C171" s="23" t="n">
        <v>106650.23</v>
      </c>
      <c r="D171" s="23" t="n">
        <v>110903.89</v>
      </c>
      <c r="E171" s="23" t="n">
        <v>110712.53</v>
      </c>
      <c r="F171" s="23" t="n">
        <v>125769.39</v>
      </c>
      <c r="G171" s="23" t="n">
        <v>104108.36</v>
      </c>
      <c r="H171" s="23" t="n">
        <v>104070.64</v>
      </c>
      <c r="I171" s="23" t="n">
        <v>96946.81</v>
      </c>
      <c r="J171" s="23" t="n">
        <v>103335.28</v>
      </c>
      <c r="K171" s="23" t="n">
        <v>125748.08</v>
      </c>
      <c r="L171" s="23" t="n">
        <v>105747.01</v>
      </c>
      <c r="M171" s="23" t="n">
        <v>120548.06</v>
      </c>
      <c r="N171" s="23" t="n">
        <v>108994.91</v>
      </c>
      <c r="O171" s="23" t="n">
        <v>110524.83</v>
      </c>
      <c r="P171" s="23" t="n">
        <v>85147.04</v>
      </c>
      <c r="Q171" s="23" t="n">
        <v>114877.36</v>
      </c>
      <c r="R171" s="23" t="n">
        <v>97448.49</v>
      </c>
      <c r="S171" s="23" t="n">
        <v>84339.69</v>
      </c>
      <c r="T171" s="23" t="n">
        <v>101567.85</v>
      </c>
      <c r="U171" s="23" t="n">
        <v>104392.37</v>
      </c>
      <c r="V171" s="23" t="n">
        <v>104077.03</v>
      </c>
      <c r="W171" s="23" t="n">
        <v>105522.37</v>
      </c>
      <c r="X171" s="23" t="n">
        <v>101894.02</v>
      </c>
      <c r="Y171" s="23" t="n">
        <v>100129.28</v>
      </c>
      <c r="Z171" s="23" t="n">
        <v>115621.44</v>
      </c>
    </row>
    <row r="172" customFormat="false" ht="15" hidden="false" customHeight="false" outlineLevel="0" collapsed="false">
      <c r="A172" s="0" t="n">
        <v>170</v>
      </c>
      <c r="B172" s="23" t="n">
        <v>102542.72</v>
      </c>
      <c r="C172" s="23" t="n">
        <v>106686.98</v>
      </c>
      <c r="D172" s="23" t="n">
        <v>109426.25</v>
      </c>
      <c r="E172" s="23" t="n">
        <v>109108.21</v>
      </c>
      <c r="F172" s="23" t="n">
        <v>127684.34</v>
      </c>
      <c r="G172" s="23" t="n">
        <v>103777.24</v>
      </c>
      <c r="H172" s="23" t="n">
        <v>103780.1</v>
      </c>
      <c r="I172" s="23" t="n">
        <v>95832.09</v>
      </c>
      <c r="J172" s="23" t="n">
        <v>104545.46</v>
      </c>
      <c r="K172" s="23" t="n">
        <v>125239.55</v>
      </c>
      <c r="L172" s="23" t="n">
        <v>106113.16</v>
      </c>
      <c r="M172" s="23" t="n">
        <v>121060.26</v>
      </c>
      <c r="N172" s="23" t="n">
        <v>108224.08</v>
      </c>
      <c r="O172" s="23" t="n">
        <v>110582.19</v>
      </c>
      <c r="P172" s="23" t="n">
        <v>85653.47</v>
      </c>
      <c r="Q172" s="23" t="n">
        <v>113958.04</v>
      </c>
      <c r="R172" s="23" t="n">
        <v>96233.97</v>
      </c>
      <c r="S172" s="23" t="n">
        <v>83348.81</v>
      </c>
      <c r="T172" s="23" t="n">
        <v>101325.25</v>
      </c>
      <c r="U172" s="23" t="n">
        <v>103148.82</v>
      </c>
      <c r="V172" s="23" t="n">
        <v>104910.1</v>
      </c>
      <c r="W172" s="23" t="n">
        <v>105167.41</v>
      </c>
      <c r="X172" s="23" t="n">
        <v>101898.53</v>
      </c>
      <c r="Y172" s="23" t="n">
        <v>100787.17</v>
      </c>
      <c r="Z172" s="23" t="n">
        <v>117451.14</v>
      </c>
    </row>
    <row r="173" customFormat="false" ht="15" hidden="false" customHeight="false" outlineLevel="0" collapsed="false">
      <c r="A173" s="0" t="n">
        <v>171</v>
      </c>
      <c r="B173" s="23" t="n">
        <v>103249.68</v>
      </c>
      <c r="C173" s="23" t="n">
        <v>106540.06</v>
      </c>
      <c r="D173" s="23" t="n">
        <v>108271.39</v>
      </c>
      <c r="E173" s="23" t="n">
        <v>108540.9</v>
      </c>
      <c r="F173" s="23" t="n">
        <v>127401.29</v>
      </c>
      <c r="G173" s="23" t="n">
        <v>103679.71</v>
      </c>
      <c r="H173" s="23" t="n">
        <v>104763.28</v>
      </c>
      <c r="I173" s="23" t="n">
        <v>95892.19</v>
      </c>
      <c r="J173" s="23" t="n">
        <v>105155.61</v>
      </c>
      <c r="K173" s="23" t="n">
        <v>124973.21</v>
      </c>
      <c r="L173" s="23" t="n">
        <v>105323.12</v>
      </c>
      <c r="M173" s="23" t="n">
        <v>122570.11</v>
      </c>
      <c r="N173" s="23" t="n">
        <v>109685.13</v>
      </c>
      <c r="O173" s="23" t="n">
        <v>111542.59</v>
      </c>
      <c r="P173" s="23" t="n">
        <v>85316.05</v>
      </c>
      <c r="Q173" s="23" t="n">
        <v>114673.15</v>
      </c>
      <c r="R173" s="23" t="n">
        <v>95044.77</v>
      </c>
      <c r="S173" s="23" t="n">
        <v>83163.1</v>
      </c>
      <c r="T173" s="23" t="n">
        <v>102333.79</v>
      </c>
      <c r="U173" s="23" t="n">
        <v>104241.91</v>
      </c>
      <c r="V173" s="23" t="n">
        <v>105219.65</v>
      </c>
      <c r="W173" s="23" t="n">
        <v>105573.5</v>
      </c>
      <c r="X173" s="23" t="n">
        <v>102252.92</v>
      </c>
      <c r="Y173" s="23" t="n">
        <v>99772.7</v>
      </c>
      <c r="Z173" s="23" t="n">
        <v>117389</v>
      </c>
    </row>
    <row r="174" customFormat="false" ht="15" hidden="false" customHeight="false" outlineLevel="0" collapsed="false">
      <c r="A174" s="0" t="n">
        <v>172</v>
      </c>
      <c r="B174" s="23" t="n">
        <v>103733.65</v>
      </c>
      <c r="C174" s="23" t="n">
        <v>106513.75</v>
      </c>
      <c r="D174" s="23" t="n">
        <v>108287.13</v>
      </c>
      <c r="E174" s="23" t="n">
        <v>109024.14</v>
      </c>
      <c r="F174" s="23" t="n">
        <v>127854.14</v>
      </c>
      <c r="G174" s="23" t="n">
        <v>104450.38</v>
      </c>
      <c r="H174" s="23" t="n">
        <v>105244.4</v>
      </c>
      <c r="I174" s="23" t="n">
        <v>96268.48</v>
      </c>
      <c r="J174" s="23" t="n">
        <v>105012.05</v>
      </c>
      <c r="K174" s="23" t="n">
        <v>125191.22</v>
      </c>
      <c r="L174" s="23" t="n">
        <v>105577.95</v>
      </c>
      <c r="M174" s="23" t="n">
        <v>122248.65</v>
      </c>
      <c r="N174" s="23" t="n">
        <v>109747.88</v>
      </c>
      <c r="O174" s="23" t="n">
        <v>111268.38</v>
      </c>
      <c r="P174" s="23" t="n">
        <v>84884.42</v>
      </c>
      <c r="Q174" s="23" t="n">
        <v>116228.17</v>
      </c>
      <c r="R174" s="23" t="n">
        <v>94840.96</v>
      </c>
      <c r="S174" s="23" t="n">
        <v>83572.5</v>
      </c>
      <c r="T174" s="23" t="n">
        <v>101234.39</v>
      </c>
      <c r="U174" s="23" t="n">
        <v>103059.28</v>
      </c>
      <c r="V174" s="23" t="n">
        <v>104680.24</v>
      </c>
      <c r="W174" s="23" t="n">
        <v>105825.14</v>
      </c>
      <c r="X174" s="23" t="n">
        <v>102999.01</v>
      </c>
      <c r="Y174" s="23" t="n">
        <v>99874.83</v>
      </c>
      <c r="Z174" s="23" t="n">
        <v>117959.77</v>
      </c>
    </row>
    <row r="175" customFormat="false" ht="15" hidden="false" customHeight="false" outlineLevel="0" collapsed="false">
      <c r="A175" s="0" t="n">
        <v>173</v>
      </c>
      <c r="B175" s="23" t="n">
        <v>103629.55</v>
      </c>
      <c r="C175" s="23" t="n">
        <v>107383.98</v>
      </c>
      <c r="D175" s="23" t="n">
        <v>107821.51</v>
      </c>
      <c r="E175" s="23" t="n">
        <v>108836.94</v>
      </c>
      <c r="F175" s="23" t="n">
        <v>128970.96</v>
      </c>
      <c r="G175" s="23" t="n">
        <v>105219.17</v>
      </c>
      <c r="H175" s="23" t="n">
        <v>103664.9</v>
      </c>
      <c r="I175" s="23" t="n">
        <v>96372.76</v>
      </c>
      <c r="J175" s="23" t="n">
        <v>105481.44</v>
      </c>
      <c r="K175" s="23" t="n">
        <v>124550.84</v>
      </c>
      <c r="L175" s="23" t="n">
        <v>105778.66</v>
      </c>
      <c r="M175" s="23" t="n">
        <v>122645.35</v>
      </c>
      <c r="N175" s="23" t="n">
        <v>109281.03</v>
      </c>
      <c r="O175" s="23" t="n">
        <v>110124.28</v>
      </c>
      <c r="P175" s="23" t="n">
        <v>84024.51</v>
      </c>
      <c r="Q175" s="23" t="n">
        <v>116197.05</v>
      </c>
      <c r="R175" s="23" t="n">
        <v>95772.66</v>
      </c>
      <c r="S175" s="23" t="n">
        <v>83845.36</v>
      </c>
      <c r="T175" s="23" t="n">
        <v>100780.96</v>
      </c>
      <c r="U175" s="23" t="n">
        <v>103782.69</v>
      </c>
      <c r="V175" s="23" t="n">
        <v>104404.11</v>
      </c>
      <c r="W175" s="23" t="n">
        <v>105010.65</v>
      </c>
      <c r="X175" s="23" t="n">
        <v>103259.83</v>
      </c>
      <c r="Y175" s="23" t="n">
        <v>99734.77</v>
      </c>
      <c r="Z175" s="23" t="n">
        <v>117405.57</v>
      </c>
    </row>
    <row r="176" customFormat="false" ht="15" hidden="false" customHeight="false" outlineLevel="0" collapsed="false">
      <c r="A176" s="0" t="n">
        <v>174</v>
      </c>
      <c r="B176" s="23" t="n">
        <v>103372.7</v>
      </c>
      <c r="C176" s="23" t="n">
        <v>106882.42</v>
      </c>
      <c r="D176" s="23" t="n">
        <v>107088.51</v>
      </c>
      <c r="E176" s="23" t="n">
        <v>109892.23</v>
      </c>
      <c r="F176" s="23" t="n">
        <v>127837.17</v>
      </c>
      <c r="G176" s="23" t="n">
        <v>105412.48</v>
      </c>
      <c r="H176" s="23" t="n">
        <v>102151.69</v>
      </c>
      <c r="I176" s="23" t="n">
        <v>97075.3</v>
      </c>
      <c r="J176" s="23" t="n">
        <v>106068.41</v>
      </c>
      <c r="K176" s="23" t="n">
        <v>123572.72</v>
      </c>
      <c r="L176" s="23" t="n">
        <v>104740.91</v>
      </c>
      <c r="M176" s="23" t="n">
        <v>123202.54</v>
      </c>
      <c r="N176" s="23" t="n">
        <v>109617.18</v>
      </c>
      <c r="O176" s="23" t="n">
        <v>110310.13</v>
      </c>
      <c r="P176" s="23" t="n">
        <v>83987.94</v>
      </c>
      <c r="Q176" s="23" t="n">
        <v>117079.93</v>
      </c>
      <c r="R176" s="23" t="n">
        <v>95943.74</v>
      </c>
      <c r="S176" s="23" t="n">
        <v>84586.69</v>
      </c>
      <c r="T176" s="23" t="n">
        <v>101405.38</v>
      </c>
      <c r="U176" s="23" t="n">
        <v>104350.03</v>
      </c>
      <c r="V176" s="23" t="n">
        <v>104333.51</v>
      </c>
      <c r="W176" s="23" t="n">
        <v>104855</v>
      </c>
      <c r="X176" s="23" t="n">
        <v>103299.72</v>
      </c>
      <c r="Y176" s="23" t="n">
        <v>99758.3</v>
      </c>
      <c r="Z176" s="23" t="n">
        <v>116868.99</v>
      </c>
    </row>
    <row r="177" customFormat="false" ht="15" hidden="false" customHeight="false" outlineLevel="0" collapsed="false">
      <c r="A177" s="0" t="n">
        <v>175</v>
      </c>
      <c r="B177" s="23" t="n">
        <v>102696.16</v>
      </c>
      <c r="C177" s="23" t="n">
        <v>106048</v>
      </c>
      <c r="D177" s="23" t="n">
        <v>105146.63</v>
      </c>
      <c r="E177" s="23" t="n">
        <v>108749.85</v>
      </c>
      <c r="F177" s="23" t="n">
        <v>129472.17</v>
      </c>
      <c r="G177" s="23" t="n">
        <v>105871.99</v>
      </c>
      <c r="H177" s="23" t="n">
        <v>102063.47</v>
      </c>
      <c r="I177" s="23" t="n">
        <v>97289.33</v>
      </c>
      <c r="J177" s="23" t="n">
        <v>107485.55</v>
      </c>
      <c r="K177" s="23" t="n">
        <v>123272.62</v>
      </c>
      <c r="L177" s="23" t="n">
        <v>104449.29</v>
      </c>
      <c r="M177" s="23" t="n">
        <v>123757.88</v>
      </c>
      <c r="N177" s="23" t="n">
        <v>109728.62</v>
      </c>
      <c r="O177" s="23" t="n">
        <v>111190.96</v>
      </c>
      <c r="P177" s="23" t="n">
        <v>83545.79</v>
      </c>
      <c r="Q177" s="23" t="n">
        <v>116868.02</v>
      </c>
      <c r="R177" s="23" t="n">
        <v>96356.46</v>
      </c>
      <c r="S177" s="23" t="n">
        <v>84407.48</v>
      </c>
      <c r="T177" s="23" t="n">
        <v>101270.66</v>
      </c>
      <c r="U177" s="23" t="n">
        <v>103566.99</v>
      </c>
      <c r="V177" s="23" t="n">
        <v>105817.59</v>
      </c>
      <c r="W177" s="23" t="n">
        <v>104077.82</v>
      </c>
      <c r="X177" s="23" t="n">
        <v>102779.77</v>
      </c>
      <c r="Y177" s="23" t="n">
        <v>100059.07</v>
      </c>
      <c r="Z177" s="23" t="n">
        <v>116979.46</v>
      </c>
    </row>
    <row r="178" customFormat="false" ht="15" hidden="false" customHeight="false" outlineLevel="0" collapsed="false">
      <c r="A178" s="0" t="n">
        <v>176</v>
      </c>
      <c r="B178" s="23" t="n">
        <v>103086.26</v>
      </c>
      <c r="C178" s="23" t="n">
        <v>105403.65</v>
      </c>
      <c r="D178" s="23" t="n">
        <v>104755.06</v>
      </c>
      <c r="E178" s="23" t="n">
        <v>109328.74</v>
      </c>
      <c r="F178" s="23" t="n">
        <v>130328.47</v>
      </c>
      <c r="G178" s="23" t="n">
        <v>105614.91</v>
      </c>
      <c r="H178" s="23" t="n">
        <v>102311.61</v>
      </c>
      <c r="I178" s="23" t="n">
        <v>96950.7</v>
      </c>
      <c r="J178" s="23" t="n">
        <v>107394.48</v>
      </c>
      <c r="K178" s="23" t="n">
        <v>123325.47</v>
      </c>
      <c r="L178" s="23" t="n">
        <v>105323.14</v>
      </c>
      <c r="M178" s="23" t="n">
        <v>125309.97</v>
      </c>
      <c r="N178" s="23" t="n">
        <v>109280.89</v>
      </c>
      <c r="O178" s="23" t="n">
        <v>111496.48</v>
      </c>
      <c r="P178" s="23" t="n">
        <v>83720.29</v>
      </c>
      <c r="Q178" s="23" t="n">
        <v>116417.59</v>
      </c>
      <c r="R178" s="23" t="n">
        <v>96442.48</v>
      </c>
      <c r="S178" s="23" t="n">
        <v>85089.2</v>
      </c>
      <c r="T178" s="23" t="n">
        <v>100398.5</v>
      </c>
      <c r="U178" s="23" t="n">
        <v>105143.66</v>
      </c>
      <c r="V178" s="23" t="n">
        <v>105988.66</v>
      </c>
      <c r="W178" s="23" t="n">
        <v>102384.41</v>
      </c>
      <c r="X178" s="23" t="n">
        <v>102606.57</v>
      </c>
      <c r="Y178" s="23" t="n">
        <v>100657.81</v>
      </c>
      <c r="Z178" s="23" t="n">
        <v>116544</v>
      </c>
    </row>
    <row r="179" customFormat="false" ht="15" hidden="false" customHeight="false" outlineLevel="0" collapsed="false">
      <c r="A179" s="0" t="n">
        <v>177</v>
      </c>
      <c r="B179" s="23" t="n">
        <v>102016.38</v>
      </c>
      <c r="C179" s="23" t="n">
        <v>105574.92</v>
      </c>
      <c r="D179" s="23" t="n">
        <v>104419.89</v>
      </c>
      <c r="E179" s="23" t="n">
        <v>108832.19</v>
      </c>
      <c r="F179" s="23" t="n">
        <v>129728.52</v>
      </c>
      <c r="G179" s="23" t="n">
        <v>106029.35</v>
      </c>
      <c r="H179" s="23" t="n">
        <v>102772.79</v>
      </c>
      <c r="I179" s="23" t="n">
        <v>98006.43</v>
      </c>
      <c r="J179" s="23" t="n">
        <v>107963.41</v>
      </c>
      <c r="K179" s="23" t="n">
        <v>124188.94</v>
      </c>
      <c r="L179" s="23" t="n">
        <v>106469.39</v>
      </c>
      <c r="M179" s="23" t="n">
        <v>123266.8</v>
      </c>
      <c r="N179" s="23" t="n">
        <v>111173.2</v>
      </c>
      <c r="O179" s="23" t="n">
        <v>112292.18</v>
      </c>
      <c r="P179" s="23" t="n">
        <v>84024.59</v>
      </c>
      <c r="Q179" s="23" t="n">
        <v>118126.79</v>
      </c>
      <c r="R179" s="23" t="n">
        <v>96905.38</v>
      </c>
      <c r="S179" s="23" t="n">
        <v>86015.21</v>
      </c>
      <c r="T179" s="23" t="n">
        <v>102021.79</v>
      </c>
      <c r="U179" s="23" t="n">
        <v>104327.19</v>
      </c>
      <c r="V179" s="23" t="n">
        <v>105862.38</v>
      </c>
      <c r="W179" s="23" t="n">
        <v>102773.68</v>
      </c>
      <c r="X179" s="23" t="n">
        <v>102693.86</v>
      </c>
      <c r="Y179" s="23" t="n">
        <v>100372.78</v>
      </c>
      <c r="Z179" s="23" t="n">
        <v>117183.4</v>
      </c>
    </row>
    <row r="180" customFormat="false" ht="15" hidden="false" customHeight="false" outlineLevel="0" collapsed="false">
      <c r="A180" s="0" t="n">
        <v>178</v>
      </c>
      <c r="B180" s="23" t="n">
        <v>101896.63</v>
      </c>
      <c r="C180" s="23" t="n">
        <v>106855.33</v>
      </c>
      <c r="D180" s="23" t="n">
        <v>104248.9</v>
      </c>
      <c r="E180" s="23" t="n">
        <v>108193.11</v>
      </c>
      <c r="F180" s="23" t="n">
        <v>128408.43</v>
      </c>
      <c r="G180" s="23" t="n">
        <v>105008.63</v>
      </c>
      <c r="H180" s="23" t="n">
        <v>103291.85</v>
      </c>
      <c r="I180" s="23" t="n">
        <v>97069.93</v>
      </c>
      <c r="J180" s="23" t="n">
        <v>107793.27</v>
      </c>
      <c r="K180" s="23" t="n">
        <v>124973.07</v>
      </c>
      <c r="L180" s="23" t="n">
        <v>105488.51</v>
      </c>
      <c r="M180" s="23" t="n">
        <v>121308</v>
      </c>
      <c r="N180" s="23" t="n">
        <v>111382.4</v>
      </c>
      <c r="O180" s="23" t="n">
        <v>112057.46</v>
      </c>
      <c r="P180" s="23" t="n">
        <v>84764.34</v>
      </c>
      <c r="Q180" s="23" t="n">
        <v>119009.11</v>
      </c>
      <c r="R180" s="23" t="n">
        <v>98230.07</v>
      </c>
      <c r="S180" s="23" t="n">
        <v>86661.22</v>
      </c>
      <c r="T180" s="23" t="n">
        <v>102257.61</v>
      </c>
      <c r="U180" s="23" t="n">
        <v>104268.03</v>
      </c>
      <c r="V180" s="23" t="n">
        <v>104989.44</v>
      </c>
      <c r="W180" s="23" t="n">
        <v>102043.36</v>
      </c>
      <c r="X180" s="23" t="n">
        <v>101727.15</v>
      </c>
      <c r="Y180" s="23" t="n">
        <v>100277.08</v>
      </c>
      <c r="Z180" s="23" t="n">
        <v>116123.33</v>
      </c>
    </row>
    <row r="181" customFormat="false" ht="15" hidden="false" customHeight="false" outlineLevel="0" collapsed="false">
      <c r="A181" s="0" t="n">
        <v>179</v>
      </c>
      <c r="B181" s="23" t="n">
        <v>101595.36</v>
      </c>
      <c r="C181" s="23" t="n">
        <v>106313.45</v>
      </c>
      <c r="D181" s="23" t="n">
        <v>102399.4</v>
      </c>
      <c r="E181" s="23" t="n">
        <v>109056.6</v>
      </c>
      <c r="F181" s="23" t="n">
        <v>126829.31</v>
      </c>
      <c r="G181" s="23" t="n">
        <v>103501.7</v>
      </c>
      <c r="H181" s="23" t="n">
        <v>104139.69</v>
      </c>
      <c r="I181" s="23" t="n">
        <v>96882.41</v>
      </c>
      <c r="J181" s="23" t="n">
        <v>108239.71</v>
      </c>
      <c r="K181" s="23" t="n">
        <v>126619.4</v>
      </c>
      <c r="L181" s="23" t="n">
        <v>105669.27</v>
      </c>
      <c r="M181" s="23" t="n">
        <v>121744.58</v>
      </c>
      <c r="N181" s="23" t="n">
        <v>111812.05</v>
      </c>
      <c r="O181" s="23" t="n">
        <v>113692.44</v>
      </c>
      <c r="P181" s="23" t="n">
        <v>85045.74</v>
      </c>
      <c r="Q181" s="23" t="n">
        <v>118991.46</v>
      </c>
      <c r="R181" s="23" t="n">
        <v>98774.72</v>
      </c>
      <c r="S181" s="23" t="n">
        <v>85975.81</v>
      </c>
      <c r="T181" s="23" t="n">
        <v>103486.77</v>
      </c>
      <c r="U181" s="23" t="n">
        <v>103928.46</v>
      </c>
      <c r="V181" s="23" t="n">
        <v>105609.92</v>
      </c>
      <c r="W181" s="23" t="n">
        <v>101962.11</v>
      </c>
      <c r="X181" s="23" t="n">
        <v>102235.02</v>
      </c>
      <c r="Y181" s="23" t="n">
        <v>99956.31</v>
      </c>
      <c r="Z181" s="23" t="n">
        <v>114731.58</v>
      </c>
    </row>
    <row r="182" customFormat="false" ht="15" hidden="false" customHeight="false" outlineLevel="0" collapsed="false">
      <c r="A182" s="0" t="n">
        <v>180</v>
      </c>
      <c r="B182" s="23" t="n">
        <v>100385.13</v>
      </c>
      <c r="C182" s="23" t="n">
        <v>105817.78</v>
      </c>
      <c r="D182" s="23" t="n">
        <v>102424.91</v>
      </c>
      <c r="E182" s="23" t="n">
        <v>107799.65</v>
      </c>
      <c r="F182" s="23" t="n">
        <v>126760.49</v>
      </c>
      <c r="G182" s="23" t="n">
        <v>103168.02</v>
      </c>
      <c r="H182" s="23" t="n">
        <v>104110.27</v>
      </c>
      <c r="I182" s="23" t="n">
        <v>97443.93</v>
      </c>
      <c r="J182" s="23" t="n">
        <v>109708.37</v>
      </c>
      <c r="K182" s="23" t="n">
        <v>126367.6</v>
      </c>
      <c r="L182" s="23" t="n">
        <v>106283.77</v>
      </c>
      <c r="M182" s="23" t="n">
        <v>121203.49</v>
      </c>
      <c r="N182" s="23" t="n">
        <v>112362.74</v>
      </c>
      <c r="O182" s="23" t="n">
        <v>115217.23</v>
      </c>
      <c r="P182" s="23" t="n">
        <v>84079.76</v>
      </c>
      <c r="Q182" s="23" t="n">
        <v>118107.16</v>
      </c>
      <c r="R182" s="23" t="n">
        <v>98796.67</v>
      </c>
      <c r="S182" s="23" t="n">
        <v>86296.28</v>
      </c>
      <c r="T182" s="23" t="n">
        <v>103932.91</v>
      </c>
      <c r="U182" s="23" t="n">
        <v>103770.05</v>
      </c>
      <c r="V182" s="23" t="n">
        <v>106008.45</v>
      </c>
      <c r="W182" s="23" t="n">
        <v>100794.82</v>
      </c>
      <c r="X182" s="23" t="n">
        <v>102426.71</v>
      </c>
      <c r="Y182" s="23" t="n">
        <v>99583.56</v>
      </c>
      <c r="Z182" s="23" t="n">
        <v>115114.11</v>
      </c>
    </row>
    <row r="183" customFormat="false" ht="15" hidden="false" customHeight="false" outlineLevel="0" collapsed="false">
      <c r="A183" s="0" t="n">
        <v>181</v>
      </c>
      <c r="B183" s="23" t="n">
        <v>100215.94</v>
      </c>
      <c r="C183" s="23" t="n">
        <v>105172.52</v>
      </c>
      <c r="D183" s="23" t="n">
        <v>104604.72</v>
      </c>
      <c r="E183" s="23" t="n">
        <v>108270.31</v>
      </c>
      <c r="F183" s="23" t="n">
        <v>125856.85</v>
      </c>
      <c r="G183" s="23" t="n">
        <v>104329.88</v>
      </c>
      <c r="H183" s="23" t="n">
        <v>102719.45</v>
      </c>
      <c r="I183" s="23" t="n">
        <v>97077.26</v>
      </c>
      <c r="J183" s="23" t="n">
        <v>108481.97</v>
      </c>
      <c r="K183" s="23" t="n">
        <v>126687.57</v>
      </c>
      <c r="L183" s="23" t="n">
        <v>105968.4</v>
      </c>
      <c r="M183" s="23" t="n">
        <v>121516.89</v>
      </c>
      <c r="N183" s="23" t="n">
        <v>113054.14</v>
      </c>
      <c r="O183" s="23" t="n">
        <v>115412.59</v>
      </c>
      <c r="P183" s="23" t="n">
        <v>83821.75</v>
      </c>
      <c r="Q183" s="23" t="n">
        <v>118039.66</v>
      </c>
      <c r="R183" s="23" t="n">
        <v>98069.21</v>
      </c>
      <c r="S183" s="23" t="n">
        <v>85629.64</v>
      </c>
      <c r="T183" s="23" t="n">
        <v>104576.57</v>
      </c>
      <c r="U183" s="23" t="n">
        <v>103242.86</v>
      </c>
      <c r="V183" s="23" t="n">
        <v>106018.06</v>
      </c>
      <c r="W183" s="23" t="n">
        <v>101277.35</v>
      </c>
      <c r="X183" s="23" t="n">
        <v>100721.15</v>
      </c>
      <c r="Y183" s="23" t="n">
        <v>100012.91</v>
      </c>
      <c r="Z183" s="23" t="n">
        <v>115595.54</v>
      </c>
    </row>
    <row r="184" customFormat="false" ht="15" hidden="false" customHeight="false" outlineLevel="0" collapsed="false">
      <c r="A184" s="0" t="n">
        <v>182</v>
      </c>
      <c r="B184" s="23" t="n">
        <v>100294.12</v>
      </c>
      <c r="C184" s="23" t="n">
        <v>105731.71</v>
      </c>
      <c r="D184" s="23" t="n">
        <v>105547.47</v>
      </c>
      <c r="E184" s="23" t="n">
        <v>107244.7</v>
      </c>
      <c r="F184" s="23" t="n">
        <v>123675.4</v>
      </c>
      <c r="G184" s="23" t="n">
        <v>103956.15</v>
      </c>
      <c r="H184" s="23" t="n">
        <v>102045.83</v>
      </c>
      <c r="I184" s="23" t="n">
        <v>97234.56</v>
      </c>
      <c r="J184" s="23" t="n">
        <v>108299.29</v>
      </c>
      <c r="K184" s="23" t="n">
        <v>126147.28</v>
      </c>
      <c r="L184" s="23" t="n">
        <v>107220.56</v>
      </c>
      <c r="M184" s="23" t="n">
        <v>122833.35</v>
      </c>
      <c r="N184" s="23" t="n">
        <v>115729.6</v>
      </c>
      <c r="O184" s="23" t="n">
        <v>114494.61</v>
      </c>
      <c r="P184" s="23" t="n">
        <v>84108.95</v>
      </c>
      <c r="Q184" s="23" t="n">
        <v>117441.16</v>
      </c>
      <c r="R184" s="23" t="n">
        <v>98546.96</v>
      </c>
      <c r="S184" s="23" t="n">
        <v>85942.26</v>
      </c>
      <c r="T184" s="23" t="n">
        <v>104917.54</v>
      </c>
      <c r="U184" s="23" t="n">
        <v>104166.98</v>
      </c>
      <c r="V184" s="23" t="n">
        <v>107399.34</v>
      </c>
      <c r="W184" s="23" t="n">
        <v>102807.53</v>
      </c>
      <c r="X184" s="23" t="n">
        <v>102149.84</v>
      </c>
      <c r="Y184" s="23" t="n">
        <v>98700.74</v>
      </c>
      <c r="Z184" s="23" t="n">
        <v>116892.92</v>
      </c>
    </row>
    <row r="185" customFormat="false" ht="15" hidden="false" customHeight="false" outlineLevel="0" collapsed="false">
      <c r="A185" s="0" t="n">
        <v>183</v>
      </c>
      <c r="B185" s="23" t="n">
        <v>99332.49</v>
      </c>
      <c r="C185" s="23" t="n">
        <v>106438.13</v>
      </c>
      <c r="D185" s="23" t="n">
        <v>106034.85</v>
      </c>
      <c r="E185" s="23" t="n">
        <v>107330.77</v>
      </c>
      <c r="F185" s="23" t="n">
        <v>123184.91</v>
      </c>
      <c r="G185" s="23" t="n">
        <v>104062.04</v>
      </c>
      <c r="H185" s="23" t="n">
        <v>101496.5</v>
      </c>
      <c r="I185" s="23" t="n">
        <v>98508.11</v>
      </c>
      <c r="J185" s="23" t="n">
        <v>108938.5</v>
      </c>
      <c r="K185" s="23" t="n">
        <v>126105</v>
      </c>
      <c r="L185" s="23" t="n">
        <v>106826.67</v>
      </c>
      <c r="M185" s="23" t="n">
        <v>122175.6</v>
      </c>
      <c r="N185" s="23" t="n">
        <v>116667.89</v>
      </c>
      <c r="O185" s="23" t="n">
        <v>113415.33</v>
      </c>
      <c r="P185" s="23" t="n">
        <v>83519.34</v>
      </c>
      <c r="Q185" s="23" t="n">
        <v>116883.95</v>
      </c>
      <c r="R185" s="23" t="n">
        <v>99209.9</v>
      </c>
      <c r="S185" s="23" t="n">
        <v>85595.1</v>
      </c>
      <c r="T185" s="23" t="n">
        <v>105552.37</v>
      </c>
      <c r="U185" s="23" t="n">
        <v>104145.15</v>
      </c>
      <c r="V185" s="23" t="n">
        <v>107434.58</v>
      </c>
      <c r="W185" s="23" t="n">
        <v>102571.86</v>
      </c>
      <c r="X185" s="23" t="n">
        <v>101828.28</v>
      </c>
      <c r="Y185" s="23" t="n">
        <v>99194.46</v>
      </c>
      <c r="Z185" s="23" t="n">
        <v>117355.78</v>
      </c>
    </row>
    <row r="186" customFormat="false" ht="15" hidden="false" customHeight="false" outlineLevel="0" collapsed="false">
      <c r="A186" s="0" t="n">
        <v>184</v>
      </c>
      <c r="B186" s="23" t="n">
        <v>97549.32</v>
      </c>
      <c r="C186" s="23" t="n">
        <v>106820.24</v>
      </c>
      <c r="D186" s="23" t="n">
        <v>106993.84</v>
      </c>
      <c r="E186" s="23" t="n">
        <v>106357.89</v>
      </c>
      <c r="F186" s="23" t="n">
        <v>121505.38</v>
      </c>
      <c r="G186" s="23" t="n">
        <v>103069.48</v>
      </c>
      <c r="H186" s="23" t="n">
        <v>101843.34</v>
      </c>
      <c r="I186" s="23" t="n">
        <v>98378.74</v>
      </c>
      <c r="J186" s="23" t="n">
        <v>110068.41</v>
      </c>
      <c r="K186" s="23" t="n">
        <v>126504.31</v>
      </c>
      <c r="L186" s="23" t="n">
        <v>107111.43</v>
      </c>
      <c r="M186" s="23" t="n">
        <v>122759.64</v>
      </c>
      <c r="N186" s="23" t="n">
        <v>116937.33</v>
      </c>
      <c r="O186" s="23" t="n">
        <v>113581.38</v>
      </c>
      <c r="P186" s="23" t="n">
        <v>84097.4</v>
      </c>
      <c r="Q186" s="23" t="n">
        <v>117349.79</v>
      </c>
      <c r="R186" s="23" t="n">
        <v>98628.73</v>
      </c>
      <c r="S186" s="23" t="n">
        <v>86061.46</v>
      </c>
      <c r="T186" s="23" t="n">
        <v>106499.54</v>
      </c>
      <c r="U186" s="23" t="n">
        <v>104339.61</v>
      </c>
      <c r="V186" s="23" t="n">
        <v>107687.56</v>
      </c>
      <c r="W186" s="23" t="n">
        <v>103462.89</v>
      </c>
      <c r="X186" s="23" t="n">
        <v>102712.22</v>
      </c>
      <c r="Y186" s="23" t="n">
        <v>99616.12</v>
      </c>
      <c r="Z186" s="23" t="n">
        <v>116596.37</v>
      </c>
    </row>
    <row r="187" customFormat="false" ht="15" hidden="false" customHeight="false" outlineLevel="0" collapsed="false">
      <c r="A187" s="0" t="n">
        <v>185</v>
      </c>
      <c r="B187" s="23" t="n">
        <v>96307.4</v>
      </c>
      <c r="C187" s="23" t="n">
        <v>107079.8</v>
      </c>
      <c r="D187" s="23" t="n">
        <v>107789.87</v>
      </c>
      <c r="E187" s="23" t="n">
        <v>105812.03</v>
      </c>
      <c r="F187" s="23" t="n">
        <v>121012.56</v>
      </c>
      <c r="G187" s="23" t="n">
        <v>103488.53</v>
      </c>
      <c r="H187" s="23" t="n">
        <v>101129.7</v>
      </c>
      <c r="I187" s="23" t="n">
        <v>98023.03</v>
      </c>
      <c r="J187" s="23" t="n">
        <v>110725.79</v>
      </c>
      <c r="K187" s="23" t="n">
        <v>125674.71</v>
      </c>
      <c r="L187" s="23" t="n">
        <v>106633.87</v>
      </c>
      <c r="M187" s="23" t="n">
        <v>121832.07</v>
      </c>
      <c r="N187" s="23" t="n">
        <v>116281.5</v>
      </c>
      <c r="O187" s="23" t="n">
        <v>111985.02</v>
      </c>
      <c r="P187" s="23" t="n">
        <v>83940.88</v>
      </c>
      <c r="Q187" s="23" t="n">
        <v>117531.82</v>
      </c>
      <c r="R187" s="23" t="n">
        <v>98606.93</v>
      </c>
      <c r="S187" s="23" t="n">
        <v>85794.11</v>
      </c>
      <c r="T187" s="23" t="n">
        <v>107457.49</v>
      </c>
      <c r="U187" s="23" t="n">
        <v>104296.83</v>
      </c>
      <c r="V187" s="23" t="n">
        <v>109194.68</v>
      </c>
      <c r="W187" s="23" t="n">
        <v>103603.67</v>
      </c>
      <c r="X187" s="23" t="n">
        <v>102851.24</v>
      </c>
      <c r="Y187" s="23" t="n">
        <v>100030.89</v>
      </c>
      <c r="Z187" s="23" t="n">
        <v>116925.52</v>
      </c>
    </row>
    <row r="188" customFormat="false" ht="15" hidden="false" customHeight="false" outlineLevel="0" collapsed="false">
      <c r="A188" s="0" t="n">
        <v>186</v>
      </c>
      <c r="B188" s="23" t="n">
        <v>95656.57</v>
      </c>
      <c r="C188" s="23" t="n">
        <v>107028.59</v>
      </c>
      <c r="D188" s="23" t="n">
        <v>107009.32</v>
      </c>
      <c r="E188" s="23" t="n">
        <v>104472.19</v>
      </c>
      <c r="F188" s="23" t="n">
        <v>120702.06</v>
      </c>
      <c r="G188" s="23" t="n">
        <v>103217.16</v>
      </c>
      <c r="H188" s="23" t="n">
        <v>101128.27</v>
      </c>
      <c r="I188" s="23" t="n">
        <v>97542.43</v>
      </c>
      <c r="J188" s="23" t="n">
        <v>109731.24</v>
      </c>
      <c r="K188" s="23" t="n">
        <v>125270.6</v>
      </c>
      <c r="L188" s="23" t="n">
        <v>106482.26</v>
      </c>
      <c r="M188" s="23" t="n">
        <v>121960.82</v>
      </c>
      <c r="N188" s="23" t="n">
        <v>117308.06</v>
      </c>
      <c r="O188" s="23" t="n">
        <v>111468.84</v>
      </c>
      <c r="P188" s="23" t="n">
        <v>84176.28</v>
      </c>
      <c r="Q188" s="23" t="n">
        <v>116321.87</v>
      </c>
      <c r="R188" s="23" t="n">
        <v>99240.32</v>
      </c>
      <c r="S188" s="23" t="n">
        <v>86283.22</v>
      </c>
      <c r="T188" s="23" t="n">
        <v>107194.4</v>
      </c>
      <c r="U188" s="23" t="n">
        <v>104849.68</v>
      </c>
      <c r="V188" s="23" t="n">
        <v>108119.14</v>
      </c>
      <c r="W188" s="23" t="n">
        <v>103616.91</v>
      </c>
      <c r="X188" s="23" t="n">
        <v>102083.21</v>
      </c>
      <c r="Y188" s="23" t="n">
        <v>100351.98</v>
      </c>
      <c r="Z188" s="23" t="n">
        <v>117212.63</v>
      </c>
    </row>
    <row r="189" customFormat="false" ht="15" hidden="false" customHeight="false" outlineLevel="0" collapsed="false">
      <c r="A189" s="0" t="n">
        <v>187</v>
      </c>
      <c r="B189" s="23" t="n">
        <v>94611.37</v>
      </c>
      <c r="C189" s="23" t="n">
        <v>107423.11</v>
      </c>
      <c r="D189" s="23" t="n">
        <v>106258.59</v>
      </c>
      <c r="E189" s="23" t="n">
        <v>104840.49</v>
      </c>
      <c r="F189" s="23" t="n">
        <v>119065.24</v>
      </c>
      <c r="G189" s="23" t="n">
        <v>103879.08</v>
      </c>
      <c r="H189" s="23" t="n">
        <v>102104.05</v>
      </c>
      <c r="I189" s="23" t="n">
        <v>96513.35</v>
      </c>
      <c r="J189" s="23" t="n">
        <v>110132.09</v>
      </c>
      <c r="K189" s="23" t="n">
        <v>125887.27</v>
      </c>
      <c r="L189" s="23" t="n">
        <v>107070.59</v>
      </c>
      <c r="M189" s="23" t="n">
        <v>120857.12</v>
      </c>
      <c r="N189" s="23" t="n">
        <v>117342.52</v>
      </c>
      <c r="O189" s="23" t="n">
        <v>112416.51</v>
      </c>
      <c r="P189" s="23" t="n">
        <v>85116.03</v>
      </c>
      <c r="Q189" s="23" t="n">
        <v>114755.05</v>
      </c>
      <c r="R189" s="23" t="n">
        <v>101039.27</v>
      </c>
      <c r="S189" s="23" t="n">
        <v>85969.81</v>
      </c>
      <c r="T189" s="23" t="n">
        <v>107477.41</v>
      </c>
      <c r="U189" s="23" t="n">
        <v>105379.04</v>
      </c>
      <c r="V189" s="23" t="n">
        <v>107834</v>
      </c>
      <c r="W189" s="23" t="n">
        <v>104055.78</v>
      </c>
      <c r="X189" s="23" t="n">
        <v>103204.82</v>
      </c>
      <c r="Y189" s="23" t="n">
        <v>99857.43</v>
      </c>
      <c r="Z189" s="23" t="n">
        <v>117201.86</v>
      </c>
    </row>
    <row r="190" customFormat="false" ht="15" hidden="false" customHeight="false" outlineLevel="0" collapsed="false">
      <c r="A190" s="0" t="n">
        <v>188</v>
      </c>
      <c r="B190" s="23" t="n">
        <v>94462.03</v>
      </c>
      <c r="C190" s="23" t="n">
        <v>106705.24</v>
      </c>
      <c r="D190" s="23" t="n">
        <v>106342.7</v>
      </c>
      <c r="E190" s="23" t="n">
        <v>104397.54</v>
      </c>
      <c r="F190" s="23" t="n">
        <v>119085.61</v>
      </c>
      <c r="G190" s="23" t="n">
        <v>103139.44</v>
      </c>
      <c r="H190" s="23" t="n">
        <v>103367.35</v>
      </c>
      <c r="I190" s="23" t="n">
        <v>97300.42</v>
      </c>
      <c r="J190" s="23" t="n">
        <v>110261.37</v>
      </c>
      <c r="K190" s="23" t="n">
        <v>126582.35</v>
      </c>
      <c r="L190" s="23" t="n">
        <v>106069</v>
      </c>
      <c r="M190" s="23" t="n">
        <v>120168.9</v>
      </c>
      <c r="N190" s="23" t="n">
        <v>118463.51</v>
      </c>
      <c r="O190" s="23" t="n">
        <v>111309.42</v>
      </c>
      <c r="P190" s="23" t="n">
        <v>84761.2</v>
      </c>
      <c r="Q190" s="23" t="n">
        <v>115639.94</v>
      </c>
      <c r="R190" s="23" t="n">
        <v>101119.55</v>
      </c>
      <c r="S190" s="23" t="n">
        <v>85600.3</v>
      </c>
      <c r="T190" s="23" t="n">
        <v>106990.5</v>
      </c>
      <c r="U190" s="23" t="n">
        <v>104248.71</v>
      </c>
      <c r="V190" s="23" t="n">
        <v>108383.85</v>
      </c>
      <c r="W190" s="23" t="n">
        <v>103570.61</v>
      </c>
      <c r="X190" s="23" t="n">
        <v>103682.15</v>
      </c>
      <c r="Y190" s="23" t="n">
        <v>99314.43</v>
      </c>
      <c r="Z190" s="23" t="n">
        <v>116789.41</v>
      </c>
    </row>
    <row r="191" customFormat="false" ht="15" hidden="false" customHeight="false" outlineLevel="0" collapsed="false">
      <c r="A191" s="0" t="n">
        <v>189</v>
      </c>
      <c r="B191" s="23" t="n">
        <v>94606.4</v>
      </c>
      <c r="C191" s="23" t="n">
        <v>106754.97</v>
      </c>
      <c r="D191" s="23" t="n">
        <v>107561.51</v>
      </c>
      <c r="E191" s="23" t="n">
        <v>104256.66</v>
      </c>
      <c r="F191" s="23" t="n">
        <v>119673.65</v>
      </c>
      <c r="G191" s="23" t="n">
        <v>101339.1</v>
      </c>
      <c r="H191" s="23" t="n">
        <v>103473.05</v>
      </c>
      <c r="I191" s="23" t="n">
        <v>98401.47</v>
      </c>
      <c r="J191" s="23" t="n">
        <v>110628.34</v>
      </c>
      <c r="K191" s="23" t="n">
        <v>125465.01</v>
      </c>
      <c r="L191" s="23" t="n">
        <v>106686.38</v>
      </c>
      <c r="M191" s="23" t="n">
        <v>118916.56</v>
      </c>
      <c r="N191" s="23" t="n">
        <v>119909.1</v>
      </c>
      <c r="O191" s="23" t="n">
        <v>111191.87</v>
      </c>
      <c r="P191" s="23" t="n">
        <v>84099.62</v>
      </c>
      <c r="Q191" s="23" t="n">
        <v>115369.05</v>
      </c>
      <c r="R191" s="23" t="n">
        <v>102315.23</v>
      </c>
      <c r="S191" s="23" t="n">
        <v>85899.08</v>
      </c>
      <c r="T191" s="23" t="n">
        <v>106814.47</v>
      </c>
      <c r="U191" s="23" t="n">
        <v>105246.43</v>
      </c>
      <c r="V191" s="23" t="n">
        <v>107749</v>
      </c>
      <c r="W191" s="23" t="n">
        <v>103332.09</v>
      </c>
      <c r="X191" s="23" t="n">
        <v>104394.83</v>
      </c>
      <c r="Y191" s="23" t="n">
        <v>99413.25</v>
      </c>
      <c r="Z191" s="23" t="n">
        <v>117527.86</v>
      </c>
    </row>
    <row r="192" customFormat="false" ht="15" hidden="false" customHeight="false" outlineLevel="0" collapsed="false">
      <c r="A192" s="0" t="n">
        <v>190</v>
      </c>
      <c r="B192" s="23" t="n">
        <v>94567.17</v>
      </c>
      <c r="C192" s="23" t="n">
        <v>106448.55</v>
      </c>
      <c r="D192" s="23" t="n">
        <v>107129.29</v>
      </c>
      <c r="E192" s="23" t="n">
        <v>104329.48</v>
      </c>
      <c r="F192" s="23" t="n">
        <v>119556.36</v>
      </c>
      <c r="G192" s="23" t="n">
        <v>101857.48</v>
      </c>
      <c r="H192" s="23" t="n">
        <v>103951.01</v>
      </c>
      <c r="I192" s="23" t="n">
        <v>98790.97</v>
      </c>
      <c r="J192" s="23" t="n">
        <v>110769.61</v>
      </c>
      <c r="K192" s="23" t="n">
        <v>125898.48</v>
      </c>
      <c r="L192" s="23" t="n">
        <v>107647.55</v>
      </c>
      <c r="M192" s="23" t="n">
        <v>120298.91</v>
      </c>
      <c r="N192" s="23" t="n">
        <v>119046.45</v>
      </c>
      <c r="O192" s="23" t="n">
        <v>109899.88</v>
      </c>
      <c r="P192" s="23" t="n">
        <v>83956.52</v>
      </c>
      <c r="Q192" s="23" t="n">
        <v>115419.26</v>
      </c>
      <c r="R192" s="23" t="n">
        <v>101169.84</v>
      </c>
      <c r="S192" s="23" t="n">
        <v>85837.57</v>
      </c>
      <c r="T192" s="23" t="n">
        <v>106368.5</v>
      </c>
      <c r="U192" s="23" t="n">
        <v>105442.05</v>
      </c>
      <c r="V192" s="23" t="n">
        <v>107923.83</v>
      </c>
      <c r="W192" s="23" t="n">
        <v>102446.98</v>
      </c>
      <c r="X192" s="23" t="n">
        <v>104751.87</v>
      </c>
      <c r="Y192" s="23" t="n">
        <v>99230.29</v>
      </c>
      <c r="Z192" s="23" t="n">
        <v>115646.58</v>
      </c>
    </row>
    <row r="193" customFormat="false" ht="15" hidden="false" customHeight="false" outlineLevel="0" collapsed="false">
      <c r="A193" s="0" t="n">
        <v>191</v>
      </c>
      <c r="B193" s="23" t="n">
        <v>94835.34</v>
      </c>
      <c r="C193" s="23" t="n">
        <v>106573.51</v>
      </c>
      <c r="D193" s="23" t="n">
        <v>108500.88</v>
      </c>
      <c r="E193" s="23" t="n">
        <v>104238.38</v>
      </c>
      <c r="F193" s="23" t="n">
        <v>119292.53</v>
      </c>
      <c r="G193" s="23" t="n">
        <v>101729.11</v>
      </c>
      <c r="H193" s="23" t="n">
        <v>103118.1</v>
      </c>
      <c r="I193" s="23" t="n">
        <v>98543.21</v>
      </c>
      <c r="J193" s="23" t="n">
        <v>110342.29</v>
      </c>
      <c r="K193" s="23" t="n">
        <v>126211.58</v>
      </c>
      <c r="L193" s="23" t="n">
        <v>107542.08</v>
      </c>
      <c r="M193" s="23" t="n">
        <v>121497.24</v>
      </c>
      <c r="N193" s="23" t="n">
        <v>119120.79</v>
      </c>
      <c r="O193" s="23" t="n">
        <v>111266.33</v>
      </c>
      <c r="P193" s="23" t="n">
        <v>84957.23</v>
      </c>
      <c r="Q193" s="23" t="n">
        <v>116463.97</v>
      </c>
      <c r="R193" s="23" t="n">
        <v>102081.37</v>
      </c>
      <c r="S193" s="23" t="n">
        <v>86840.13</v>
      </c>
      <c r="T193" s="23" t="n">
        <v>105934.33</v>
      </c>
      <c r="U193" s="23" t="n">
        <v>106869.92</v>
      </c>
      <c r="V193" s="23" t="n">
        <v>107316.72</v>
      </c>
      <c r="W193" s="23" t="n">
        <v>102037.23</v>
      </c>
      <c r="X193" s="23" t="n">
        <v>105423.97</v>
      </c>
      <c r="Y193" s="23" t="n">
        <v>99377.47</v>
      </c>
      <c r="Z193" s="23" t="n">
        <v>113736.09</v>
      </c>
    </row>
    <row r="194" customFormat="false" ht="15" hidden="false" customHeight="false" outlineLevel="0" collapsed="false">
      <c r="A194" s="0" t="n">
        <v>192</v>
      </c>
      <c r="B194" s="23" t="n">
        <v>94358.44</v>
      </c>
      <c r="C194" s="23" t="n">
        <v>106398.11</v>
      </c>
      <c r="D194" s="23" t="n">
        <v>107625.77</v>
      </c>
      <c r="E194" s="23" t="n">
        <v>103307.77</v>
      </c>
      <c r="F194" s="23" t="n">
        <v>117877.32</v>
      </c>
      <c r="G194" s="23" t="n">
        <v>101628.87</v>
      </c>
      <c r="H194" s="23" t="n">
        <v>102252.44</v>
      </c>
      <c r="I194" s="23" t="n">
        <v>97978.48</v>
      </c>
      <c r="J194" s="23" t="n">
        <v>109969.03</v>
      </c>
      <c r="K194" s="23" t="n">
        <v>127372.84</v>
      </c>
      <c r="L194" s="23" t="n">
        <v>108967.26</v>
      </c>
      <c r="M194" s="23" t="n">
        <v>121724.56</v>
      </c>
      <c r="N194" s="23" t="n">
        <v>119840.01</v>
      </c>
      <c r="O194" s="23" t="n">
        <v>111534.03</v>
      </c>
      <c r="P194" s="23" t="n">
        <v>84596.93</v>
      </c>
      <c r="Q194" s="23" t="n">
        <v>116691.85</v>
      </c>
      <c r="R194" s="23" t="n">
        <v>101860.55</v>
      </c>
      <c r="S194" s="23" t="n">
        <v>86520.36</v>
      </c>
      <c r="T194" s="23" t="n">
        <v>106544</v>
      </c>
      <c r="U194" s="23" t="n">
        <v>105869.36</v>
      </c>
      <c r="V194" s="23" t="n">
        <v>108285.45</v>
      </c>
      <c r="W194" s="23" t="n">
        <v>101020.2</v>
      </c>
      <c r="X194" s="23" t="n">
        <v>104754.72</v>
      </c>
      <c r="Y194" s="23" t="n">
        <v>99552.15</v>
      </c>
      <c r="Z194" s="23" t="n">
        <v>114460.89</v>
      </c>
    </row>
    <row r="195" customFormat="false" ht="15" hidden="false" customHeight="false" outlineLevel="0" collapsed="false">
      <c r="A195" s="0" t="n">
        <v>193</v>
      </c>
      <c r="B195" s="23" t="n">
        <v>95191.5</v>
      </c>
      <c r="C195" s="23" t="n">
        <v>105560.7</v>
      </c>
      <c r="D195" s="23" t="n">
        <v>107621.64</v>
      </c>
      <c r="E195" s="23" t="n">
        <v>102932.48</v>
      </c>
      <c r="F195" s="23" t="n">
        <v>117477.46</v>
      </c>
      <c r="G195" s="23" t="n">
        <v>100976.11</v>
      </c>
      <c r="H195" s="23" t="n">
        <v>102208.01</v>
      </c>
      <c r="I195" s="23" t="n">
        <v>97579.15</v>
      </c>
      <c r="J195" s="23" t="n">
        <v>110704.34</v>
      </c>
      <c r="K195" s="23" t="n">
        <v>126938.2</v>
      </c>
      <c r="L195" s="23" t="n">
        <v>108667.22</v>
      </c>
      <c r="M195" s="23" t="n">
        <v>120457.72</v>
      </c>
      <c r="N195" s="23" t="n">
        <v>118859.09</v>
      </c>
      <c r="O195" s="23" t="n">
        <v>111738.15</v>
      </c>
      <c r="P195" s="23" t="n">
        <v>83810.93</v>
      </c>
      <c r="Q195" s="23" t="n">
        <v>116112.79</v>
      </c>
      <c r="R195" s="23" t="n">
        <v>102421.3</v>
      </c>
      <c r="S195" s="23" t="n">
        <v>86957.69</v>
      </c>
      <c r="T195" s="23" t="n">
        <v>106295.38</v>
      </c>
      <c r="U195" s="23" t="n">
        <v>105591.5</v>
      </c>
      <c r="V195" s="23" t="n">
        <v>109121.37</v>
      </c>
      <c r="W195" s="23" t="n">
        <v>101976.87</v>
      </c>
      <c r="X195" s="23" t="n">
        <v>104219.2</v>
      </c>
      <c r="Y195" s="23" t="n">
        <v>99744.67</v>
      </c>
      <c r="Z195" s="23" t="n">
        <v>113949.25</v>
      </c>
    </row>
    <row r="196" customFormat="false" ht="15" hidden="false" customHeight="false" outlineLevel="0" collapsed="false">
      <c r="A196" s="0" t="n">
        <v>194</v>
      </c>
      <c r="B196" s="23" t="n">
        <v>94841.48</v>
      </c>
      <c r="C196" s="23" t="n">
        <v>105153.14</v>
      </c>
      <c r="D196" s="23" t="n">
        <v>107778.92</v>
      </c>
      <c r="E196" s="23" t="n">
        <v>103614.5</v>
      </c>
      <c r="F196" s="23" t="n">
        <v>118819.25</v>
      </c>
      <c r="G196" s="23" t="n">
        <v>101687.27</v>
      </c>
      <c r="H196" s="23" t="n">
        <v>101520.26</v>
      </c>
      <c r="I196" s="23" t="n">
        <v>97378.68</v>
      </c>
      <c r="J196" s="23" t="n">
        <v>110550.86</v>
      </c>
      <c r="K196" s="23" t="n">
        <v>127679.69</v>
      </c>
      <c r="L196" s="23" t="n">
        <v>108179.74</v>
      </c>
      <c r="M196" s="23" t="n">
        <v>121011.03</v>
      </c>
      <c r="N196" s="23" t="n">
        <v>119213.16</v>
      </c>
      <c r="O196" s="23" t="n">
        <v>112380.08</v>
      </c>
      <c r="P196" s="23" t="n">
        <v>83972.65</v>
      </c>
      <c r="Q196" s="23" t="n">
        <v>116210.92</v>
      </c>
      <c r="R196" s="23" t="n">
        <v>101542.72</v>
      </c>
      <c r="S196" s="23" t="n">
        <v>86662.61</v>
      </c>
      <c r="T196" s="23" t="n">
        <v>106425.92</v>
      </c>
      <c r="U196" s="23" t="n">
        <v>105406.43</v>
      </c>
      <c r="V196" s="23" t="n">
        <v>110088.88</v>
      </c>
      <c r="W196" s="23" t="n">
        <v>99712.33</v>
      </c>
      <c r="X196" s="23" t="n">
        <v>104728.7</v>
      </c>
      <c r="Y196" s="23" t="n">
        <v>98276.41</v>
      </c>
      <c r="Z196" s="23" t="n">
        <v>113894.25</v>
      </c>
    </row>
    <row r="197" customFormat="false" ht="15" hidden="false" customHeight="false" outlineLevel="0" collapsed="false">
      <c r="A197" s="0" t="n">
        <v>195</v>
      </c>
      <c r="B197" s="23" t="n">
        <v>95452.2</v>
      </c>
      <c r="C197" s="23" t="n">
        <v>105123.12</v>
      </c>
      <c r="D197" s="23" t="n">
        <v>108287.71</v>
      </c>
      <c r="E197" s="23" t="n">
        <v>103252.63</v>
      </c>
      <c r="F197" s="23" t="n">
        <v>120466.09</v>
      </c>
      <c r="G197" s="23" t="n">
        <v>100992.42</v>
      </c>
      <c r="H197" s="23" t="n">
        <v>101880.06</v>
      </c>
      <c r="I197" s="23" t="n">
        <v>97268.13</v>
      </c>
      <c r="J197" s="23" t="n">
        <v>108641.78</v>
      </c>
      <c r="K197" s="23" t="n">
        <v>126419.1</v>
      </c>
      <c r="L197" s="23" t="n">
        <v>107175.21</v>
      </c>
      <c r="M197" s="23" t="n">
        <v>121141.21</v>
      </c>
      <c r="N197" s="23" t="n">
        <v>119703.22</v>
      </c>
      <c r="O197" s="23" t="n">
        <v>111344.81</v>
      </c>
      <c r="P197" s="23" t="n">
        <v>84249.46</v>
      </c>
      <c r="Q197" s="23" t="n">
        <v>116639.4</v>
      </c>
      <c r="R197" s="23" t="n">
        <v>100657.57</v>
      </c>
      <c r="S197" s="23" t="n">
        <v>85939.46</v>
      </c>
      <c r="T197" s="23" t="n">
        <v>106054.21</v>
      </c>
      <c r="U197" s="23" t="n">
        <v>104694.58</v>
      </c>
      <c r="V197" s="23" t="n">
        <v>110528.53</v>
      </c>
      <c r="W197" s="23" t="n">
        <v>100487.28</v>
      </c>
      <c r="X197" s="23" t="n">
        <v>103694.69</v>
      </c>
      <c r="Y197" s="23" t="n">
        <v>97153.31</v>
      </c>
      <c r="Z197" s="23" t="n">
        <v>114140.54</v>
      </c>
    </row>
    <row r="198" customFormat="false" ht="15" hidden="false" customHeight="false" outlineLevel="0" collapsed="false">
      <c r="A198" s="0" t="n">
        <v>196</v>
      </c>
      <c r="B198" s="23" t="n">
        <v>95014.63</v>
      </c>
      <c r="C198" s="23" t="n">
        <v>105658.8</v>
      </c>
      <c r="D198" s="23" t="n">
        <v>108211.49</v>
      </c>
      <c r="E198" s="23" t="n">
        <v>102859.92</v>
      </c>
      <c r="F198" s="23" t="n">
        <v>119474.4</v>
      </c>
      <c r="G198" s="23" t="n">
        <v>101410.09</v>
      </c>
      <c r="H198" s="23" t="n">
        <v>100846.78</v>
      </c>
      <c r="I198" s="23" t="n">
        <v>97678.63</v>
      </c>
      <c r="J198" s="23" t="n">
        <v>108650.72</v>
      </c>
      <c r="K198" s="23" t="n">
        <v>125595.86</v>
      </c>
      <c r="L198" s="23" t="n">
        <v>107101.39</v>
      </c>
      <c r="M198" s="23" t="n">
        <v>123113.18</v>
      </c>
      <c r="N198" s="23" t="n">
        <v>119852.71</v>
      </c>
      <c r="O198" s="23" t="n">
        <v>111249.29</v>
      </c>
      <c r="P198" s="23" t="n">
        <v>83626.66</v>
      </c>
      <c r="Q198" s="23" t="n">
        <v>116205.53</v>
      </c>
      <c r="R198" s="23" t="n">
        <v>100479.58</v>
      </c>
      <c r="S198" s="23" t="n">
        <v>85429.55</v>
      </c>
      <c r="T198" s="23" t="n">
        <v>106483.1</v>
      </c>
      <c r="U198" s="23" t="n">
        <v>105094.79</v>
      </c>
      <c r="V198" s="23" t="n">
        <v>111750.29</v>
      </c>
      <c r="W198" s="23" t="n">
        <v>99501.12</v>
      </c>
      <c r="X198" s="23" t="n">
        <v>103356.92</v>
      </c>
      <c r="Y198" s="23" t="n">
        <v>96130.29</v>
      </c>
      <c r="Z198" s="23" t="n">
        <v>113318.1</v>
      </c>
    </row>
    <row r="199" customFormat="false" ht="15" hidden="false" customHeight="false" outlineLevel="0" collapsed="false">
      <c r="A199" s="0" t="n">
        <v>197</v>
      </c>
      <c r="B199" s="23" t="n">
        <v>94200.1</v>
      </c>
      <c r="C199" s="23" t="n">
        <v>107185.48</v>
      </c>
      <c r="D199" s="23" t="n">
        <v>108929.18</v>
      </c>
      <c r="E199" s="23" t="n">
        <v>104358.5</v>
      </c>
      <c r="F199" s="23" t="n">
        <v>119311.18</v>
      </c>
      <c r="G199" s="23" t="n">
        <v>100665.93</v>
      </c>
      <c r="H199" s="23" t="n">
        <v>99954.23</v>
      </c>
      <c r="I199" s="23" t="n">
        <v>97901.06</v>
      </c>
      <c r="J199" s="23" t="n">
        <v>107655.77</v>
      </c>
      <c r="K199" s="23" t="n">
        <v>125472.14</v>
      </c>
      <c r="L199" s="23" t="n">
        <v>106836.03</v>
      </c>
      <c r="M199" s="23" t="n">
        <v>122354.49</v>
      </c>
      <c r="N199" s="23" t="n">
        <v>119658.12</v>
      </c>
      <c r="O199" s="23" t="n">
        <v>110982.3</v>
      </c>
      <c r="P199" s="23" t="n">
        <v>83979.51</v>
      </c>
      <c r="Q199" s="23" t="n">
        <v>114440.36</v>
      </c>
      <c r="R199" s="23" t="n">
        <v>101038.49</v>
      </c>
      <c r="S199" s="23" t="n">
        <v>85554.17</v>
      </c>
      <c r="T199" s="23" t="n">
        <v>106434.95</v>
      </c>
      <c r="U199" s="23" t="n">
        <v>104537.77</v>
      </c>
      <c r="V199" s="23" t="n">
        <v>111486.99</v>
      </c>
      <c r="W199" s="23" t="n">
        <v>99924.77</v>
      </c>
      <c r="X199" s="23" t="n">
        <v>103021.12</v>
      </c>
      <c r="Y199" s="23" t="n">
        <v>96795.94</v>
      </c>
      <c r="Z199" s="23" t="n">
        <v>113528.24</v>
      </c>
    </row>
    <row r="200" customFormat="false" ht="15" hidden="false" customHeight="false" outlineLevel="0" collapsed="false">
      <c r="A200" s="0" t="n">
        <v>198</v>
      </c>
      <c r="B200" s="23" t="n">
        <v>94678.07</v>
      </c>
      <c r="C200" s="23" t="n">
        <v>107554.73</v>
      </c>
      <c r="D200" s="23" t="n">
        <v>109580.76</v>
      </c>
      <c r="E200" s="23" t="n">
        <v>104663.08</v>
      </c>
      <c r="F200" s="23" t="n">
        <v>119754.77</v>
      </c>
      <c r="G200" s="23" t="n">
        <v>100497.6</v>
      </c>
      <c r="H200" s="23" t="n">
        <v>99568.04</v>
      </c>
      <c r="I200" s="23" t="n">
        <v>97931.5</v>
      </c>
      <c r="J200" s="23" t="n">
        <v>107311.12</v>
      </c>
      <c r="K200" s="23" t="n">
        <v>124771.33</v>
      </c>
      <c r="L200" s="23" t="n">
        <v>106079.37</v>
      </c>
      <c r="M200" s="23" t="n">
        <v>123398.61</v>
      </c>
      <c r="N200" s="23" t="n">
        <v>119003.19</v>
      </c>
      <c r="O200" s="23" t="n">
        <v>111697.02</v>
      </c>
      <c r="P200" s="23" t="n">
        <v>83976.38</v>
      </c>
      <c r="Q200" s="23" t="n">
        <v>114777.41</v>
      </c>
      <c r="R200" s="23" t="n">
        <v>100473.42</v>
      </c>
      <c r="S200" s="23" t="n">
        <v>86454.17</v>
      </c>
      <c r="T200" s="23" t="n">
        <v>106798</v>
      </c>
      <c r="U200" s="23" t="n">
        <v>106025.86</v>
      </c>
      <c r="V200" s="23" t="n">
        <v>112097.55</v>
      </c>
      <c r="W200" s="23" t="n">
        <v>99287.84</v>
      </c>
      <c r="X200" s="23" t="n">
        <v>102515.4</v>
      </c>
      <c r="Y200" s="23" t="n">
        <v>97083.24</v>
      </c>
      <c r="Z200" s="23" t="n">
        <v>113388.11</v>
      </c>
    </row>
    <row r="201" customFormat="false" ht="15" hidden="false" customHeight="false" outlineLevel="0" collapsed="false">
      <c r="A201" s="0" t="n">
        <v>199</v>
      </c>
      <c r="B201" s="23" t="n">
        <v>95280.6</v>
      </c>
      <c r="C201" s="23" t="n">
        <v>106974.61</v>
      </c>
      <c r="D201" s="23" t="n">
        <v>109964.63</v>
      </c>
      <c r="E201" s="23" t="n">
        <v>105189.54</v>
      </c>
      <c r="F201" s="23" t="n">
        <v>119616.92</v>
      </c>
      <c r="G201" s="23" t="n">
        <v>101190.63</v>
      </c>
      <c r="H201" s="23" t="n">
        <v>99392.39</v>
      </c>
      <c r="I201" s="23" t="n">
        <v>97544.87</v>
      </c>
      <c r="J201" s="23" t="n">
        <v>106655.47</v>
      </c>
      <c r="K201" s="23" t="n">
        <v>124221.79</v>
      </c>
      <c r="L201" s="23" t="n">
        <v>105461.55</v>
      </c>
      <c r="M201" s="23" t="n">
        <v>123329.08</v>
      </c>
      <c r="N201" s="23" t="n">
        <v>118809.35</v>
      </c>
      <c r="O201" s="23" t="n">
        <v>112333.53</v>
      </c>
      <c r="P201" s="23" t="n">
        <v>84678.87</v>
      </c>
      <c r="Q201" s="23" t="n">
        <v>114830.57</v>
      </c>
      <c r="R201" s="23" t="n">
        <v>100944.29</v>
      </c>
      <c r="S201" s="23" t="n">
        <v>85713.73</v>
      </c>
      <c r="T201" s="23" t="n">
        <v>107323.64</v>
      </c>
      <c r="U201" s="23" t="n">
        <v>106479.64</v>
      </c>
      <c r="V201" s="23" t="n">
        <v>112263.42</v>
      </c>
      <c r="W201" s="23" t="n">
        <v>100149.04</v>
      </c>
      <c r="X201" s="23" t="n">
        <v>102889.48</v>
      </c>
      <c r="Y201" s="23" t="n">
        <v>97607.25</v>
      </c>
      <c r="Z201" s="23" t="n">
        <v>113237.6</v>
      </c>
    </row>
    <row r="202" customFormat="false" ht="15" hidden="false" customHeight="false" outlineLevel="0" collapsed="false">
      <c r="A202" s="0" t="n">
        <v>200</v>
      </c>
      <c r="B202" s="23" t="n">
        <v>94525.67</v>
      </c>
      <c r="C202" s="23" t="n">
        <v>106203.81</v>
      </c>
      <c r="D202" s="23" t="n">
        <v>109610.31</v>
      </c>
      <c r="E202" s="23" t="n">
        <v>106263.95</v>
      </c>
      <c r="F202" s="23" t="n">
        <v>120087.95</v>
      </c>
      <c r="G202" s="23" t="n">
        <v>101031.94</v>
      </c>
      <c r="H202" s="23" t="n">
        <v>98703.48</v>
      </c>
      <c r="I202" s="23" t="n">
        <v>97426.97</v>
      </c>
      <c r="J202" s="23" t="n">
        <v>106724.18</v>
      </c>
      <c r="K202" s="23" t="n">
        <v>122777.52</v>
      </c>
      <c r="L202" s="23" t="n">
        <v>105277.34</v>
      </c>
      <c r="M202" s="23" t="n">
        <v>123142.77</v>
      </c>
      <c r="N202" s="23" t="n">
        <v>117954.21</v>
      </c>
      <c r="O202" s="23" t="n">
        <v>113174.87</v>
      </c>
      <c r="P202" s="23" t="n">
        <v>84773.48</v>
      </c>
      <c r="Q202" s="23" t="n">
        <v>114211.09</v>
      </c>
      <c r="R202" s="23" t="n">
        <v>101123.76</v>
      </c>
      <c r="S202" s="23" t="n">
        <v>85614.33</v>
      </c>
      <c r="T202" s="23" t="n">
        <v>106501.94</v>
      </c>
      <c r="U202" s="23" t="n">
        <v>105702.45</v>
      </c>
      <c r="V202" s="23" t="n">
        <v>110666.15</v>
      </c>
      <c r="W202" s="23" t="n">
        <v>99465.44</v>
      </c>
      <c r="X202" s="23" t="n">
        <v>102882.79</v>
      </c>
      <c r="Y202" s="23" t="n">
        <v>98170.38</v>
      </c>
      <c r="Z202" s="23" t="n">
        <v>113482.06</v>
      </c>
    </row>
    <row r="203" customFormat="false" ht="15" hidden="false" customHeight="false" outlineLevel="0" collapsed="false">
      <c r="A203" s="0" t="n">
        <v>201</v>
      </c>
      <c r="B203" s="23" t="n">
        <v>94629.6</v>
      </c>
      <c r="C203" s="23" t="n">
        <v>107466.86</v>
      </c>
      <c r="D203" s="23" t="n">
        <v>110838.07</v>
      </c>
      <c r="E203" s="23" t="n">
        <v>106397.67</v>
      </c>
      <c r="F203" s="23" t="n">
        <v>119204.76</v>
      </c>
      <c r="G203" s="23" t="n">
        <v>102018.63</v>
      </c>
      <c r="H203" s="23" t="n">
        <v>97975.14</v>
      </c>
      <c r="I203" s="23" t="n">
        <v>98512.21</v>
      </c>
      <c r="J203" s="23" t="n">
        <v>106394.16</v>
      </c>
      <c r="K203" s="23" t="n">
        <v>120833.68</v>
      </c>
      <c r="L203" s="23" t="n">
        <v>105963.16</v>
      </c>
      <c r="M203" s="23" t="n">
        <v>124591.39</v>
      </c>
      <c r="N203" s="23" t="n">
        <v>118126.53</v>
      </c>
      <c r="O203" s="23" t="n">
        <v>112649.04</v>
      </c>
      <c r="P203" s="23" t="n">
        <v>84180.19</v>
      </c>
      <c r="Q203" s="23" t="n">
        <v>114758.73</v>
      </c>
      <c r="R203" s="23" t="n">
        <v>101757.17</v>
      </c>
      <c r="S203" s="23" t="n">
        <v>85727.84</v>
      </c>
      <c r="T203" s="23" t="n">
        <v>106325.65</v>
      </c>
      <c r="U203" s="23" t="n">
        <v>104762.6</v>
      </c>
      <c r="V203" s="23" t="n">
        <v>111437.49</v>
      </c>
      <c r="W203" s="23" t="n">
        <v>98573.62</v>
      </c>
      <c r="X203" s="23" t="n">
        <v>101851.82</v>
      </c>
      <c r="Y203" s="23" t="n">
        <v>98045.51</v>
      </c>
      <c r="Z203" s="23" t="n">
        <v>112749.3</v>
      </c>
    </row>
    <row r="204" customFormat="false" ht="15" hidden="false" customHeight="false" outlineLevel="0" collapsed="false">
      <c r="A204" s="0" t="n">
        <v>202</v>
      </c>
      <c r="B204" s="23" t="n">
        <v>94061.41</v>
      </c>
      <c r="C204" s="23" t="n">
        <v>107602.58</v>
      </c>
      <c r="D204" s="23" t="n">
        <v>109949.99</v>
      </c>
      <c r="E204" s="23" t="n">
        <v>104551.88</v>
      </c>
      <c r="F204" s="23" t="n">
        <v>121112.48</v>
      </c>
      <c r="G204" s="23" t="n">
        <v>102774.04</v>
      </c>
      <c r="H204" s="23" t="n">
        <v>98052.91</v>
      </c>
      <c r="I204" s="23" t="n">
        <v>98872.33</v>
      </c>
      <c r="J204" s="23" t="n">
        <v>106094.77</v>
      </c>
      <c r="K204" s="23" t="n">
        <v>122231.76</v>
      </c>
      <c r="L204" s="23" t="n">
        <v>106193.49</v>
      </c>
      <c r="M204" s="23" t="n">
        <v>123355.87</v>
      </c>
      <c r="N204" s="23" t="n">
        <v>117330.08</v>
      </c>
      <c r="O204" s="23" t="n">
        <v>111966.88</v>
      </c>
      <c r="P204" s="23" t="n">
        <v>84004.87</v>
      </c>
      <c r="Q204" s="23" t="n">
        <v>114828.3</v>
      </c>
      <c r="R204" s="23" t="n">
        <v>101442.39</v>
      </c>
      <c r="S204" s="23" t="n">
        <v>85751.37</v>
      </c>
      <c r="T204" s="23" t="n">
        <v>106300.78</v>
      </c>
      <c r="U204" s="23" t="n">
        <v>104767.92</v>
      </c>
      <c r="V204" s="23" t="n">
        <v>112231.47</v>
      </c>
      <c r="W204" s="23" t="n">
        <v>98585.83</v>
      </c>
      <c r="X204" s="23" t="n">
        <v>102488.05</v>
      </c>
      <c r="Y204" s="23" t="n">
        <v>98967.71</v>
      </c>
      <c r="Z204" s="23" t="n">
        <v>115209.93</v>
      </c>
    </row>
    <row r="205" customFormat="false" ht="15" hidden="false" customHeight="false" outlineLevel="0" collapsed="false">
      <c r="A205" s="0" t="n">
        <v>203</v>
      </c>
      <c r="B205" s="23" t="n">
        <v>94721.09</v>
      </c>
      <c r="C205" s="23" t="n">
        <v>107867.59</v>
      </c>
      <c r="D205" s="23" t="n">
        <v>110021.86</v>
      </c>
      <c r="E205" s="23" t="n">
        <v>104265.52</v>
      </c>
      <c r="F205" s="23" t="n">
        <v>119961.47</v>
      </c>
      <c r="G205" s="23" t="n">
        <v>103312.57</v>
      </c>
      <c r="H205" s="23" t="n">
        <v>96475.9</v>
      </c>
      <c r="I205" s="23" t="n">
        <v>98704.62</v>
      </c>
      <c r="J205" s="23" t="n">
        <v>105809.82</v>
      </c>
      <c r="K205" s="23" t="n">
        <v>122439.15</v>
      </c>
      <c r="L205" s="23" t="n">
        <v>104953.85</v>
      </c>
      <c r="M205" s="23" t="n">
        <v>124625.51</v>
      </c>
      <c r="N205" s="23" t="n">
        <v>117326.66</v>
      </c>
      <c r="O205" s="23" t="n">
        <v>111803.06</v>
      </c>
      <c r="P205" s="23" t="n">
        <v>83628.49</v>
      </c>
      <c r="Q205" s="23" t="n">
        <v>114509.63</v>
      </c>
      <c r="R205" s="23" t="n">
        <v>101472.16</v>
      </c>
      <c r="S205" s="23" t="n">
        <v>85823.01</v>
      </c>
      <c r="T205" s="23" t="n">
        <v>106379.6</v>
      </c>
      <c r="U205" s="23" t="n">
        <v>103620.59</v>
      </c>
      <c r="V205" s="23" t="n">
        <v>110985.76</v>
      </c>
      <c r="W205" s="23" t="n">
        <v>98229.74</v>
      </c>
      <c r="X205" s="23" t="n">
        <v>102297.75</v>
      </c>
      <c r="Y205" s="23" t="n">
        <v>97377.26</v>
      </c>
      <c r="Z205" s="23" t="n">
        <v>115033.14</v>
      </c>
    </row>
    <row r="206" customFormat="false" ht="15" hidden="false" customHeight="false" outlineLevel="0" collapsed="false">
      <c r="A206" s="0" t="n">
        <v>204</v>
      </c>
      <c r="B206" s="23" t="n">
        <v>94771.49</v>
      </c>
      <c r="C206" s="23" t="n">
        <v>108145.61</v>
      </c>
      <c r="D206" s="23" t="n">
        <v>110087.67</v>
      </c>
      <c r="E206" s="23" t="n">
        <v>104267.16</v>
      </c>
      <c r="F206" s="23" t="n">
        <v>118424.29</v>
      </c>
      <c r="G206" s="23" t="n">
        <v>104074.53</v>
      </c>
      <c r="H206" s="23" t="n">
        <v>97253.29</v>
      </c>
      <c r="I206" s="23" t="n">
        <v>99028.85</v>
      </c>
      <c r="J206" s="23" t="n">
        <v>104113.13</v>
      </c>
      <c r="K206" s="23" t="n">
        <v>123127.37</v>
      </c>
      <c r="L206" s="23" t="n">
        <v>106301.21</v>
      </c>
      <c r="M206" s="23" t="n">
        <v>123818.52</v>
      </c>
      <c r="N206" s="23" t="n">
        <v>119185.69</v>
      </c>
      <c r="O206" s="23" t="n">
        <v>111385.14</v>
      </c>
      <c r="P206" s="23" t="n">
        <v>83093.45</v>
      </c>
      <c r="Q206" s="23" t="n">
        <v>115890.44</v>
      </c>
      <c r="R206" s="23" t="n">
        <v>101123.45</v>
      </c>
      <c r="S206" s="23" t="n">
        <v>86252.45</v>
      </c>
      <c r="T206" s="23" t="n">
        <v>105226.71</v>
      </c>
      <c r="U206" s="23" t="n">
        <v>103039.02</v>
      </c>
      <c r="V206" s="23" t="n">
        <v>111830.52</v>
      </c>
      <c r="W206" s="23" t="n">
        <v>97248.43</v>
      </c>
      <c r="X206" s="23" t="n">
        <v>102569.67</v>
      </c>
      <c r="Y206" s="23" t="n">
        <v>98533.83</v>
      </c>
      <c r="Z206" s="23" t="n">
        <v>114720.61</v>
      </c>
    </row>
    <row r="207" customFormat="false" ht="15" hidden="false" customHeight="false" outlineLevel="0" collapsed="false">
      <c r="A207" s="0" t="n">
        <v>205</v>
      </c>
      <c r="B207" s="23" t="n">
        <v>95158.53</v>
      </c>
      <c r="C207" s="23" t="n">
        <v>108060.11</v>
      </c>
      <c r="D207" s="23" t="n">
        <v>109529.19</v>
      </c>
      <c r="E207" s="23" t="n">
        <v>105306.64</v>
      </c>
      <c r="F207" s="23" t="n">
        <v>118919.75</v>
      </c>
      <c r="G207" s="23" t="n">
        <v>104614.67</v>
      </c>
      <c r="H207" s="23" t="n">
        <v>95149.65</v>
      </c>
      <c r="I207" s="23" t="n">
        <v>98788.46</v>
      </c>
      <c r="J207" s="23" t="n">
        <v>104682.64</v>
      </c>
      <c r="K207" s="23" t="n">
        <v>121846.98</v>
      </c>
      <c r="L207" s="23" t="n">
        <v>107391.74</v>
      </c>
      <c r="M207" s="23" t="n">
        <v>125249.9</v>
      </c>
      <c r="N207" s="23" t="n">
        <v>119905.44</v>
      </c>
      <c r="O207" s="23" t="n">
        <v>111767.56</v>
      </c>
      <c r="P207" s="23" t="n">
        <v>82697.67</v>
      </c>
      <c r="Q207" s="23" t="n">
        <v>115611.43</v>
      </c>
      <c r="R207" s="23" t="n">
        <v>100651.24</v>
      </c>
      <c r="S207" s="23" t="n">
        <v>85365.85</v>
      </c>
      <c r="T207" s="23" t="n">
        <v>104625.2</v>
      </c>
      <c r="U207" s="23" t="n">
        <v>102033.6</v>
      </c>
      <c r="V207" s="23" t="n">
        <v>111179.76</v>
      </c>
      <c r="W207" s="23" t="n">
        <v>98062.95</v>
      </c>
      <c r="X207" s="23" t="n">
        <v>102543.69</v>
      </c>
      <c r="Y207" s="23" t="n">
        <v>97934.04</v>
      </c>
      <c r="Z207" s="23" t="n">
        <v>115091.07</v>
      </c>
    </row>
    <row r="208" customFormat="false" ht="15" hidden="false" customHeight="false" outlineLevel="0" collapsed="false">
      <c r="A208" s="0" t="n">
        <v>206</v>
      </c>
      <c r="B208" s="23" t="n">
        <v>94540.75</v>
      </c>
      <c r="C208" s="23" t="n">
        <v>108508.36</v>
      </c>
      <c r="D208" s="23" t="n">
        <v>110235.93</v>
      </c>
      <c r="E208" s="23" t="n">
        <v>105278.64</v>
      </c>
      <c r="F208" s="23" t="n">
        <v>119763.07</v>
      </c>
      <c r="G208" s="23" t="n">
        <v>104531.15</v>
      </c>
      <c r="H208" s="23" t="n">
        <v>96263.11</v>
      </c>
      <c r="I208" s="23" t="n">
        <v>99763.61</v>
      </c>
      <c r="J208" s="23" t="n">
        <v>105487.49</v>
      </c>
      <c r="K208" s="23" t="n">
        <v>122141.49</v>
      </c>
      <c r="L208" s="23" t="n">
        <v>106993.26</v>
      </c>
      <c r="M208" s="23" t="n">
        <v>125761.38</v>
      </c>
      <c r="N208" s="23" t="n">
        <v>120846.29</v>
      </c>
      <c r="O208" s="23" t="n">
        <v>112124.4</v>
      </c>
      <c r="P208" s="23" t="n">
        <v>83315.07</v>
      </c>
      <c r="Q208" s="23" t="n">
        <v>113920.73</v>
      </c>
      <c r="R208" s="23" t="n">
        <v>99876.09</v>
      </c>
      <c r="S208" s="23" t="n">
        <v>85952.7</v>
      </c>
      <c r="T208" s="23" t="n">
        <v>105074.02</v>
      </c>
      <c r="U208" s="23" t="n">
        <v>101433.1</v>
      </c>
      <c r="V208" s="23" t="n">
        <v>111397.7</v>
      </c>
      <c r="W208" s="23" t="n">
        <v>98457.25</v>
      </c>
      <c r="X208" s="23" t="n">
        <v>102904.25</v>
      </c>
      <c r="Y208" s="23" t="n">
        <v>97575.82</v>
      </c>
      <c r="Z208" s="23" t="n">
        <v>114878.81</v>
      </c>
    </row>
    <row r="209" customFormat="false" ht="15" hidden="false" customHeight="false" outlineLevel="0" collapsed="false">
      <c r="A209" s="0" t="n">
        <v>207</v>
      </c>
      <c r="B209" s="23" t="n">
        <v>93752.97</v>
      </c>
      <c r="C209" s="23" t="n">
        <v>108702.21</v>
      </c>
      <c r="D209" s="23" t="n">
        <v>109436.4</v>
      </c>
      <c r="E209" s="23" t="n">
        <v>104666.95</v>
      </c>
      <c r="F209" s="23" t="n">
        <v>119394.31</v>
      </c>
      <c r="G209" s="23" t="n">
        <v>104880.28</v>
      </c>
      <c r="H209" s="23" t="n">
        <v>95612.69</v>
      </c>
      <c r="I209" s="23" t="n">
        <v>99730</v>
      </c>
      <c r="J209" s="23" t="n">
        <v>104768.22</v>
      </c>
      <c r="K209" s="23" t="n">
        <v>122489.4</v>
      </c>
      <c r="L209" s="23" t="n">
        <v>107668.12</v>
      </c>
      <c r="M209" s="23" t="n">
        <v>124944.36</v>
      </c>
      <c r="N209" s="23" t="n">
        <v>121397.65</v>
      </c>
      <c r="O209" s="23" t="n">
        <v>113014.81</v>
      </c>
      <c r="P209" s="23" t="n">
        <v>83593.83</v>
      </c>
      <c r="Q209" s="23" t="n">
        <v>114182.27</v>
      </c>
      <c r="R209" s="23" t="n">
        <v>99260.82</v>
      </c>
      <c r="S209" s="23" t="n">
        <v>86460.65</v>
      </c>
      <c r="T209" s="23" t="n">
        <v>104594.33</v>
      </c>
      <c r="U209" s="23" t="n">
        <v>101671.87</v>
      </c>
      <c r="V209" s="23" t="n">
        <v>112087.06</v>
      </c>
      <c r="W209" s="23" t="n">
        <v>100243.3</v>
      </c>
      <c r="X209" s="23" t="n">
        <v>102478.62</v>
      </c>
      <c r="Y209" s="23" t="n">
        <v>97959.15</v>
      </c>
      <c r="Z209" s="23" t="n">
        <v>112823.3</v>
      </c>
    </row>
    <row r="210" customFormat="false" ht="15" hidden="false" customHeight="false" outlineLevel="0" collapsed="false">
      <c r="A210" s="0" t="n">
        <v>208</v>
      </c>
      <c r="B210" s="23" t="n">
        <v>95363.78</v>
      </c>
      <c r="C210" s="23" t="n">
        <v>109646.37</v>
      </c>
      <c r="D210" s="23" t="n">
        <v>108172.6</v>
      </c>
      <c r="E210" s="23" t="n">
        <v>105574.26</v>
      </c>
      <c r="F210" s="23" t="n">
        <v>119529.68</v>
      </c>
      <c r="G210" s="23" t="n">
        <v>105493.5</v>
      </c>
      <c r="H210" s="23" t="n">
        <v>94730.85</v>
      </c>
      <c r="I210" s="23" t="n">
        <v>99717.52</v>
      </c>
      <c r="J210" s="23" t="n">
        <v>103875.85</v>
      </c>
      <c r="K210" s="23" t="n">
        <v>124728.38</v>
      </c>
      <c r="L210" s="23" t="n">
        <v>107363.37</v>
      </c>
      <c r="M210" s="23" t="n">
        <v>125437.98</v>
      </c>
      <c r="N210" s="23" t="n">
        <v>121488.86</v>
      </c>
      <c r="O210" s="23" t="n">
        <v>112318.35</v>
      </c>
      <c r="P210" s="23" t="n">
        <v>84279.08</v>
      </c>
      <c r="Q210" s="23" t="n">
        <v>114996.56</v>
      </c>
      <c r="R210" s="23" t="n">
        <v>99356.21</v>
      </c>
      <c r="S210" s="23" t="n">
        <v>86948.94</v>
      </c>
      <c r="T210" s="23" t="n">
        <v>105566.72</v>
      </c>
      <c r="U210" s="23" t="n">
        <v>101887.41</v>
      </c>
      <c r="V210" s="23" t="n">
        <v>111627.42</v>
      </c>
      <c r="W210" s="23" t="n">
        <v>100713.91</v>
      </c>
      <c r="X210" s="23" t="n">
        <v>101946.24</v>
      </c>
      <c r="Y210" s="23" t="n">
        <v>99134.87</v>
      </c>
      <c r="Z210" s="23" t="n">
        <v>112766.09</v>
      </c>
    </row>
    <row r="211" customFormat="false" ht="15" hidden="false" customHeight="false" outlineLevel="0" collapsed="false">
      <c r="A211" s="0" t="n">
        <v>209</v>
      </c>
      <c r="B211" s="23" t="n">
        <v>96078.64</v>
      </c>
      <c r="C211" s="23" t="n">
        <v>109344.35</v>
      </c>
      <c r="D211" s="23" t="n">
        <v>106950.6</v>
      </c>
      <c r="E211" s="23" t="n">
        <v>104512.53</v>
      </c>
      <c r="F211" s="23" t="n">
        <v>118580.9</v>
      </c>
      <c r="G211" s="23" t="n">
        <v>105930.61</v>
      </c>
      <c r="H211" s="23" t="n">
        <v>94158.82</v>
      </c>
      <c r="I211" s="23" t="n">
        <v>99242.04</v>
      </c>
      <c r="J211" s="23" t="n">
        <v>103643.25</v>
      </c>
      <c r="K211" s="23" t="n">
        <v>123765.73</v>
      </c>
      <c r="L211" s="23" t="n">
        <v>108095.96</v>
      </c>
      <c r="M211" s="23" t="n">
        <v>126472.51</v>
      </c>
      <c r="N211" s="23" t="n">
        <v>123295.12</v>
      </c>
      <c r="O211" s="23" t="n">
        <v>111159.17</v>
      </c>
      <c r="P211" s="23" t="n">
        <v>83479.49</v>
      </c>
      <c r="Q211" s="23" t="n">
        <v>115763.02</v>
      </c>
      <c r="R211" s="23" t="n">
        <v>99557.07</v>
      </c>
      <c r="S211" s="23" t="n">
        <v>87157.63</v>
      </c>
      <c r="T211" s="23" t="n">
        <v>106090.18</v>
      </c>
      <c r="U211" s="23" t="n">
        <v>102162.98</v>
      </c>
      <c r="V211" s="23" t="n">
        <v>112835.1</v>
      </c>
      <c r="W211" s="23" t="n">
        <v>100803.54</v>
      </c>
      <c r="X211" s="23" t="n">
        <v>101643.18</v>
      </c>
      <c r="Y211" s="23" t="n">
        <v>99542.17</v>
      </c>
      <c r="Z211" s="23" t="n">
        <v>111720.89</v>
      </c>
    </row>
    <row r="212" customFormat="false" ht="15" hidden="false" customHeight="false" outlineLevel="0" collapsed="false">
      <c r="A212" s="0" t="n">
        <v>210</v>
      </c>
      <c r="B212" s="23" t="n">
        <v>96969.75</v>
      </c>
      <c r="C212" s="23" t="n">
        <v>108105.32</v>
      </c>
      <c r="D212" s="23" t="n">
        <v>106519.93</v>
      </c>
      <c r="E212" s="23" t="n">
        <v>104319.67</v>
      </c>
      <c r="F212" s="23" t="n">
        <v>119598.15</v>
      </c>
      <c r="G212" s="23" t="n">
        <v>105363.36</v>
      </c>
      <c r="H212" s="23" t="n">
        <v>94686.66</v>
      </c>
      <c r="I212" s="23" t="n">
        <v>99357.16</v>
      </c>
      <c r="J212" s="23" t="n">
        <v>103674.57</v>
      </c>
      <c r="K212" s="23" t="n">
        <v>124434.03</v>
      </c>
      <c r="L212" s="23" t="n">
        <v>108490.33</v>
      </c>
      <c r="M212" s="23" t="n">
        <v>126977.58</v>
      </c>
      <c r="N212" s="23" t="n">
        <v>124536.61</v>
      </c>
      <c r="O212" s="23" t="n">
        <v>111856.93</v>
      </c>
      <c r="P212" s="23" t="n">
        <v>83190.1</v>
      </c>
      <c r="Q212" s="23" t="n">
        <v>115950.24</v>
      </c>
      <c r="R212" s="23" t="n">
        <v>98890.72</v>
      </c>
      <c r="S212" s="23" t="n">
        <v>86952.62</v>
      </c>
      <c r="T212" s="23" t="n">
        <v>105684.49</v>
      </c>
      <c r="U212" s="23" t="n">
        <v>101694.22</v>
      </c>
      <c r="V212" s="23" t="n">
        <v>111089.39</v>
      </c>
      <c r="W212" s="23" t="n">
        <v>102199.18</v>
      </c>
      <c r="X212" s="23" t="n">
        <v>101660.26</v>
      </c>
      <c r="Y212" s="23" t="n">
        <v>99489.85</v>
      </c>
      <c r="Z212" s="23" t="n">
        <v>111457.78</v>
      </c>
    </row>
    <row r="213" customFormat="false" ht="15" hidden="false" customHeight="false" outlineLevel="0" collapsed="false">
      <c r="A213" s="0" t="n">
        <v>211</v>
      </c>
      <c r="B213" s="23" t="n">
        <v>96485.24</v>
      </c>
      <c r="C213" s="23" t="n">
        <v>109392.51</v>
      </c>
      <c r="D213" s="23" t="n">
        <v>107405.42</v>
      </c>
      <c r="E213" s="23" t="n">
        <v>104483.72</v>
      </c>
      <c r="F213" s="23" t="n">
        <v>118226.72</v>
      </c>
      <c r="G213" s="23" t="n">
        <v>106859.26</v>
      </c>
      <c r="H213" s="23" t="n">
        <v>94033.04</v>
      </c>
      <c r="I213" s="23" t="n">
        <v>99044.9</v>
      </c>
      <c r="J213" s="23" t="n">
        <v>102339.98</v>
      </c>
      <c r="K213" s="23" t="n">
        <v>125169.78</v>
      </c>
      <c r="L213" s="23" t="n">
        <v>108603.85</v>
      </c>
      <c r="M213" s="23" t="n">
        <v>128851.83</v>
      </c>
      <c r="N213" s="23" t="n">
        <v>124013.25</v>
      </c>
      <c r="O213" s="23" t="n">
        <v>112373.31</v>
      </c>
      <c r="P213" s="23" t="n">
        <v>83559.44</v>
      </c>
      <c r="Q213" s="23" t="n">
        <v>117432.62</v>
      </c>
      <c r="R213" s="23" t="n">
        <v>99443.87</v>
      </c>
      <c r="S213" s="23" t="n">
        <v>87309.71</v>
      </c>
      <c r="T213" s="23" t="n">
        <v>104981.8</v>
      </c>
      <c r="U213" s="23" t="n">
        <v>100981.66</v>
      </c>
      <c r="V213" s="23" t="n">
        <v>111235.94</v>
      </c>
      <c r="W213" s="23" t="n">
        <v>103693.28</v>
      </c>
      <c r="X213" s="23" t="n">
        <v>101821.51</v>
      </c>
      <c r="Y213" s="23" t="n">
        <v>98960.36</v>
      </c>
      <c r="Z213" s="23" t="n">
        <v>110033.9</v>
      </c>
    </row>
    <row r="214" customFormat="false" ht="15" hidden="false" customHeight="false" outlineLevel="0" collapsed="false">
      <c r="A214" s="0" t="n">
        <v>212</v>
      </c>
      <c r="B214" s="23" t="n">
        <v>96337.93</v>
      </c>
      <c r="C214" s="23" t="n">
        <v>108501.42</v>
      </c>
      <c r="D214" s="23" t="n">
        <v>107228.32</v>
      </c>
      <c r="E214" s="23" t="n">
        <v>105628.35</v>
      </c>
      <c r="F214" s="23" t="n">
        <v>118443.66</v>
      </c>
      <c r="G214" s="23" t="n">
        <v>107538.46</v>
      </c>
      <c r="H214" s="23" t="n">
        <v>94854.01</v>
      </c>
      <c r="I214" s="23" t="n">
        <v>98353.65</v>
      </c>
      <c r="J214" s="23" t="n">
        <v>102678.47</v>
      </c>
      <c r="K214" s="23" t="n">
        <v>124813.08</v>
      </c>
      <c r="L214" s="23" t="n">
        <v>107274.68</v>
      </c>
      <c r="M214" s="23" t="n">
        <v>127879.5</v>
      </c>
      <c r="N214" s="23" t="n">
        <v>122135.28</v>
      </c>
      <c r="O214" s="23" t="n">
        <v>113057.45</v>
      </c>
      <c r="P214" s="23" t="n">
        <v>84507.08</v>
      </c>
      <c r="Q214" s="23" t="n">
        <v>117427.75</v>
      </c>
      <c r="R214" s="23" t="n">
        <v>98643.84</v>
      </c>
      <c r="S214" s="23" t="n">
        <v>86709.24</v>
      </c>
      <c r="T214" s="23" t="n">
        <v>105470.18</v>
      </c>
      <c r="U214" s="23" t="n">
        <v>100011.19</v>
      </c>
      <c r="V214" s="23" t="n">
        <v>111647.17</v>
      </c>
      <c r="W214" s="23" t="n">
        <v>102163.42</v>
      </c>
      <c r="X214" s="23" t="n">
        <v>101736.2</v>
      </c>
      <c r="Y214" s="23" t="n">
        <v>98331.29</v>
      </c>
      <c r="Z214" s="23" t="n">
        <v>110346.06</v>
      </c>
    </row>
    <row r="215" customFormat="false" ht="15" hidden="false" customHeight="false" outlineLevel="0" collapsed="false">
      <c r="A215" s="0" t="n">
        <v>213</v>
      </c>
      <c r="B215" s="23" t="n">
        <v>96902.15</v>
      </c>
      <c r="C215" s="23" t="n">
        <v>108051.13</v>
      </c>
      <c r="D215" s="23" t="n">
        <v>105539.8</v>
      </c>
      <c r="E215" s="23" t="n">
        <v>106935.78</v>
      </c>
      <c r="F215" s="23" t="n">
        <v>117165.33</v>
      </c>
      <c r="G215" s="23" t="n">
        <v>106203.73</v>
      </c>
      <c r="H215" s="23" t="n">
        <v>95806.55</v>
      </c>
      <c r="I215" s="23" t="n">
        <v>98393.39</v>
      </c>
      <c r="J215" s="23" t="n">
        <v>102402.61</v>
      </c>
      <c r="K215" s="23" t="n">
        <v>124228.9</v>
      </c>
      <c r="L215" s="23" t="n">
        <v>108015.48</v>
      </c>
      <c r="M215" s="23" t="n">
        <v>127014.58</v>
      </c>
      <c r="N215" s="23" t="n">
        <v>124073</v>
      </c>
      <c r="O215" s="23" t="n">
        <v>112345.98</v>
      </c>
      <c r="P215" s="23" t="n">
        <v>83882.61</v>
      </c>
      <c r="Q215" s="23" t="n">
        <v>116402.08</v>
      </c>
      <c r="R215" s="23" t="n">
        <v>98231.69</v>
      </c>
      <c r="S215" s="23" t="n">
        <v>86292.16</v>
      </c>
      <c r="T215" s="23" t="n">
        <v>105603.59</v>
      </c>
      <c r="U215" s="23" t="n">
        <v>99584.87</v>
      </c>
      <c r="V215" s="23" t="n">
        <v>110677.6</v>
      </c>
      <c r="W215" s="23" t="n">
        <v>101563.23</v>
      </c>
      <c r="X215" s="23" t="n">
        <v>102262.63</v>
      </c>
      <c r="Y215" s="23" t="n">
        <v>97597.48</v>
      </c>
      <c r="Z215" s="23" t="n">
        <v>110197.86</v>
      </c>
    </row>
    <row r="216" customFormat="false" ht="15" hidden="false" customHeight="false" outlineLevel="0" collapsed="false">
      <c r="A216" s="0" t="n">
        <v>214</v>
      </c>
      <c r="B216" s="23" t="n">
        <v>96379.16</v>
      </c>
      <c r="C216" s="23" t="n">
        <v>107949.27</v>
      </c>
      <c r="D216" s="23" t="n">
        <v>105054.46</v>
      </c>
      <c r="E216" s="23" t="n">
        <v>106928.7</v>
      </c>
      <c r="F216" s="23" t="n">
        <v>116943.44</v>
      </c>
      <c r="G216" s="23" t="n">
        <v>107120.95</v>
      </c>
      <c r="H216" s="23" t="n">
        <v>96491.63</v>
      </c>
      <c r="I216" s="23" t="n">
        <v>98757.17</v>
      </c>
      <c r="J216" s="23" t="n">
        <v>102971.01</v>
      </c>
      <c r="K216" s="23" t="n">
        <v>123472.41</v>
      </c>
      <c r="L216" s="23" t="n">
        <v>109631.74</v>
      </c>
      <c r="M216" s="23" t="n">
        <v>127315.18</v>
      </c>
      <c r="N216" s="23" t="n">
        <v>123040.32</v>
      </c>
      <c r="O216" s="23" t="n">
        <v>111858.18</v>
      </c>
      <c r="P216" s="23" t="n">
        <v>83281.61</v>
      </c>
      <c r="Q216" s="23" t="n">
        <v>115815.59</v>
      </c>
      <c r="R216" s="23" t="n">
        <v>98116.23</v>
      </c>
      <c r="S216" s="23" t="n">
        <v>85916.21</v>
      </c>
      <c r="T216" s="23" t="n">
        <v>105353.83</v>
      </c>
      <c r="U216" s="23" t="n">
        <v>99537.6</v>
      </c>
      <c r="V216" s="23" t="n">
        <v>112380.58</v>
      </c>
      <c r="W216" s="23" t="n">
        <v>100637.82</v>
      </c>
      <c r="X216" s="23" t="n">
        <v>101403.42</v>
      </c>
      <c r="Y216" s="23" t="n">
        <v>98456.36</v>
      </c>
      <c r="Z216" s="23" t="n">
        <v>108051.32</v>
      </c>
    </row>
    <row r="217" customFormat="false" ht="15" hidden="false" customHeight="false" outlineLevel="0" collapsed="false">
      <c r="A217" s="0" t="n">
        <v>215</v>
      </c>
      <c r="B217" s="23" t="n">
        <v>96273.37</v>
      </c>
      <c r="C217" s="23" t="n">
        <v>110203.4</v>
      </c>
      <c r="D217" s="23" t="n">
        <v>107290.92</v>
      </c>
      <c r="E217" s="23" t="n">
        <v>105696.35</v>
      </c>
      <c r="F217" s="23" t="n">
        <v>116659.88</v>
      </c>
      <c r="G217" s="23" t="n">
        <v>107293.54</v>
      </c>
      <c r="H217" s="23" t="n">
        <v>96677.8</v>
      </c>
      <c r="I217" s="23" t="n">
        <v>98962.87</v>
      </c>
      <c r="J217" s="23" t="n">
        <v>102642.03</v>
      </c>
      <c r="K217" s="23" t="n">
        <v>123768.35</v>
      </c>
      <c r="L217" s="23" t="n">
        <v>110494.91</v>
      </c>
      <c r="M217" s="23" t="n">
        <v>126895.75</v>
      </c>
      <c r="N217" s="23" t="n">
        <v>123428.76</v>
      </c>
      <c r="O217" s="23" t="n">
        <v>111385.27</v>
      </c>
      <c r="P217" s="23" t="n">
        <v>83092.11</v>
      </c>
      <c r="Q217" s="23" t="n">
        <v>115326.3</v>
      </c>
      <c r="R217" s="23" t="n">
        <v>97475.47</v>
      </c>
      <c r="S217" s="23" t="n">
        <v>85841.42</v>
      </c>
      <c r="T217" s="23" t="n">
        <v>104948.59</v>
      </c>
      <c r="U217" s="23" t="n">
        <v>99615.12</v>
      </c>
      <c r="V217" s="23" t="n">
        <v>113041.28</v>
      </c>
      <c r="W217" s="23" t="n">
        <v>102256.77</v>
      </c>
      <c r="X217" s="23" t="n">
        <v>100276.86</v>
      </c>
      <c r="Y217" s="23" t="n">
        <v>98102.13</v>
      </c>
      <c r="Z217" s="23" t="n">
        <v>108091.84</v>
      </c>
    </row>
    <row r="218" customFormat="false" ht="15" hidden="false" customHeight="false" outlineLevel="0" collapsed="false">
      <c r="A218" s="0" t="n">
        <v>216</v>
      </c>
      <c r="B218" s="23" t="n">
        <v>96978.83</v>
      </c>
      <c r="C218" s="23" t="n">
        <v>110320.96</v>
      </c>
      <c r="D218" s="23" t="n">
        <v>106737.12</v>
      </c>
      <c r="E218" s="23" t="n">
        <v>105349.42</v>
      </c>
      <c r="F218" s="23" t="n">
        <v>119162.2</v>
      </c>
      <c r="G218" s="23" t="n">
        <v>106949.1</v>
      </c>
      <c r="H218" s="23" t="n">
        <v>96039.06</v>
      </c>
      <c r="I218" s="23" t="n">
        <v>99650.79</v>
      </c>
      <c r="J218" s="23" t="n">
        <v>102248.92</v>
      </c>
      <c r="K218" s="23" t="n">
        <v>124720.33</v>
      </c>
      <c r="L218" s="23" t="n">
        <v>110700.07</v>
      </c>
      <c r="M218" s="23" t="n">
        <v>127042.5</v>
      </c>
      <c r="N218" s="23" t="n">
        <v>124344.12</v>
      </c>
      <c r="O218" s="23" t="n">
        <v>111036.2</v>
      </c>
      <c r="P218" s="23" t="n">
        <v>82362.6</v>
      </c>
      <c r="Q218" s="23" t="n">
        <v>116156.03</v>
      </c>
      <c r="R218" s="23" t="n">
        <v>97533.75</v>
      </c>
      <c r="S218" s="23" t="n">
        <v>86308.44</v>
      </c>
      <c r="T218" s="23" t="n">
        <v>103931.7</v>
      </c>
      <c r="U218" s="23" t="n">
        <v>99284.95</v>
      </c>
      <c r="V218" s="23" t="n">
        <v>112594.43</v>
      </c>
      <c r="W218" s="23" t="n">
        <v>102050.84</v>
      </c>
      <c r="X218" s="23" t="n">
        <v>100539.54</v>
      </c>
      <c r="Y218" s="23" t="n">
        <v>97496.09</v>
      </c>
      <c r="Z218" s="23" t="n">
        <v>109151.29</v>
      </c>
    </row>
    <row r="219" customFormat="false" ht="15" hidden="false" customHeight="false" outlineLevel="0" collapsed="false">
      <c r="A219" s="0" t="n">
        <v>217</v>
      </c>
      <c r="B219" s="23" t="n">
        <v>96876.98</v>
      </c>
      <c r="C219" s="23" t="n">
        <v>108723.42</v>
      </c>
      <c r="D219" s="23" t="n">
        <v>107590.35</v>
      </c>
      <c r="E219" s="23" t="n">
        <v>106066.81</v>
      </c>
      <c r="F219" s="23" t="n">
        <v>119571.33</v>
      </c>
      <c r="G219" s="23" t="n">
        <v>106448.72</v>
      </c>
      <c r="H219" s="23" t="n">
        <v>95648.9</v>
      </c>
      <c r="I219" s="23" t="n">
        <v>99567.42</v>
      </c>
      <c r="J219" s="23" t="n">
        <v>101383.98</v>
      </c>
      <c r="K219" s="23" t="n">
        <v>123825.44</v>
      </c>
      <c r="L219" s="23" t="n">
        <v>111106.14</v>
      </c>
      <c r="M219" s="23" t="n">
        <v>128034.83</v>
      </c>
      <c r="N219" s="23" t="n">
        <v>124734.36</v>
      </c>
      <c r="O219" s="23" t="n">
        <v>111254.82</v>
      </c>
      <c r="P219" s="23" t="n">
        <v>82779.16</v>
      </c>
      <c r="Q219" s="23" t="n">
        <v>117098.74</v>
      </c>
      <c r="R219" s="23" t="n">
        <v>98435.23</v>
      </c>
      <c r="S219" s="23" t="n">
        <v>88211.58</v>
      </c>
      <c r="T219" s="23" t="n">
        <v>103092.57</v>
      </c>
      <c r="U219" s="23" t="n">
        <v>100054.81</v>
      </c>
      <c r="V219" s="23" t="n">
        <v>112661</v>
      </c>
      <c r="W219" s="23" t="n">
        <v>102523.67</v>
      </c>
      <c r="X219" s="23" t="n">
        <v>100665.07</v>
      </c>
      <c r="Y219" s="23" t="n">
        <v>97955.09</v>
      </c>
      <c r="Z219" s="23" t="n">
        <v>109635.55</v>
      </c>
    </row>
    <row r="220" customFormat="false" ht="15" hidden="false" customHeight="false" outlineLevel="0" collapsed="false">
      <c r="A220" s="0" t="n">
        <v>218</v>
      </c>
      <c r="B220" s="23" t="n">
        <v>96387.93</v>
      </c>
      <c r="C220" s="23" t="n">
        <v>109203.13</v>
      </c>
      <c r="D220" s="23" t="n">
        <v>108697.1</v>
      </c>
      <c r="E220" s="23" t="n">
        <v>105162.79</v>
      </c>
      <c r="F220" s="23" t="n">
        <v>119437.95</v>
      </c>
      <c r="G220" s="23" t="n">
        <v>105213.44</v>
      </c>
      <c r="H220" s="23" t="n">
        <v>95069.19</v>
      </c>
      <c r="I220" s="23" t="n">
        <v>99528.99</v>
      </c>
      <c r="J220" s="23" t="n">
        <v>101787.86</v>
      </c>
      <c r="K220" s="23" t="n">
        <v>123547.92</v>
      </c>
      <c r="L220" s="23" t="n">
        <v>112579.96</v>
      </c>
      <c r="M220" s="23" t="n">
        <v>126695.5</v>
      </c>
      <c r="N220" s="23" t="n">
        <v>125930.09</v>
      </c>
      <c r="O220" s="23" t="n">
        <v>110737.2</v>
      </c>
      <c r="P220" s="23" t="n">
        <v>82994.7</v>
      </c>
      <c r="Q220" s="23" t="n">
        <v>117579.88</v>
      </c>
      <c r="R220" s="23" t="n">
        <v>99033.03</v>
      </c>
      <c r="S220" s="23" t="n">
        <v>87503.54</v>
      </c>
      <c r="T220" s="23" t="n">
        <v>102501.67</v>
      </c>
      <c r="U220" s="23" t="n">
        <v>99538.11</v>
      </c>
      <c r="V220" s="23" t="n">
        <v>113301.48</v>
      </c>
      <c r="W220" s="23" t="n">
        <v>102737.23</v>
      </c>
      <c r="X220" s="23" t="n">
        <v>100193.53</v>
      </c>
      <c r="Y220" s="23" t="n">
        <v>98903.57</v>
      </c>
      <c r="Z220" s="23" t="n">
        <v>108983.22</v>
      </c>
    </row>
    <row r="221" customFormat="false" ht="15" hidden="false" customHeight="false" outlineLevel="0" collapsed="false">
      <c r="A221" s="0" t="n">
        <v>219</v>
      </c>
      <c r="B221" s="23" t="n">
        <v>95866.42</v>
      </c>
      <c r="C221" s="23" t="n">
        <v>108433.6</v>
      </c>
      <c r="D221" s="23" t="n">
        <v>106751.47</v>
      </c>
      <c r="E221" s="23" t="n">
        <v>104990.37</v>
      </c>
      <c r="F221" s="23" t="n">
        <v>117659.29</v>
      </c>
      <c r="G221" s="23" t="n">
        <v>105323.08</v>
      </c>
      <c r="H221" s="23" t="n">
        <v>94035.55</v>
      </c>
      <c r="I221" s="23" t="n">
        <v>99608.69</v>
      </c>
      <c r="J221" s="23" t="n">
        <v>101926.81</v>
      </c>
      <c r="K221" s="23" t="n">
        <v>124353.99</v>
      </c>
      <c r="L221" s="23" t="n">
        <v>113042.93</v>
      </c>
      <c r="M221" s="23" t="n">
        <v>126726.2</v>
      </c>
      <c r="N221" s="23" t="n">
        <v>125693.8</v>
      </c>
      <c r="O221" s="23" t="n">
        <v>110314.08</v>
      </c>
      <c r="P221" s="23" t="n">
        <v>83156.36</v>
      </c>
      <c r="Q221" s="23" t="n">
        <v>117413.04</v>
      </c>
      <c r="R221" s="23" t="n">
        <v>99191.92</v>
      </c>
      <c r="S221" s="23" t="n">
        <v>86829.41</v>
      </c>
      <c r="T221" s="23" t="n">
        <v>103220.7</v>
      </c>
      <c r="U221" s="23" t="n">
        <v>99779.32</v>
      </c>
      <c r="V221" s="23" t="n">
        <v>113692.37</v>
      </c>
      <c r="W221" s="23" t="n">
        <v>101554.5</v>
      </c>
      <c r="X221" s="23" t="n">
        <v>99907.27</v>
      </c>
      <c r="Y221" s="23" t="n">
        <v>98018.05</v>
      </c>
      <c r="Z221" s="23" t="n">
        <v>108553.97</v>
      </c>
    </row>
    <row r="222" customFormat="false" ht="15" hidden="false" customHeight="false" outlineLevel="0" collapsed="false">
      <c r="A222" s="0" t="n">
        <v>220</v>
      </c>
      <c r="B222" s="23" t="n">
        <v>96787.49</v>
      </c>
      <c r="C222" s="23" t="n">
        <v>108854.35</v>
      </c>
      <c r="D222" s="23" t="n">
        <v>107084.03</v>
      </c>
      <c r="E222" s="23" t="n">
        <v>104129.14</v>
      </c>
      <c r="F222" s="23" t="n">
        <v>116522.54</v>
      </c>
      <c r="G222" s="23" t="n">
        <v>104907.96</v>
      </c>
      <c r="H222" s="23" t="n">
        <v>94304.65</v>
      </c>
      <c r="I222" s="23" t="n">
        <v>100845.43</v>
      </c>
      <c r="J222" s="23" t="n">
        <v>101354.8</v>
      </c>
      <c r="K222" s="23" t="n">
        <v>126706.32</v>
      </c>
      <c r="L222" s="23" t="n">
        <v>113534.18</v>
      </c>
      <c r="M222" s="23" t="n">
        <v>126633.76</v>
      </c>
      <c r="N222" s="23" t="n">
        <v>123789.63</v>
      </c>
      <c r="O222" s="23" t="n">
        <v>110187.88</v>
      </c>
      <c r="P222" s="23" t="n">
        <v>82097.55</v>
      </c>
      <c r="Q222" s="23" t="n">
        <v>116794.37</v>
      </c>
      <c r="R222" s="23" t="n">
        <v>99271.54</v>
      </c>
      <c r="S222" s="23" t="n">
        <v>86464.1</v>
      </c>
      <c r="T222" s="23" t="n">
        <v>103360.02</v>
      </c>
      <c r="U222" s="23" t="n">
        <v>99622.46</v>
      </c>
      <c r="V222" s="23" t="n">
        <v>114255.63</v>
      </c>
      <c r="W222" s="23" t="n">
        <v>102491.92</v>
      </c>
      <c r="X222" s="23" t="n">
        <v>99360.88</v>
      </c>
      <c r="Y222" s="23" t="n">
        <v>98899.46</v>
      </c>
      <c r="Z222" s="23" t="n">
        <v>110512.54</v>
      </c>
    </row>
    <row r="223" customFormat="false" ht="15" hidden="false" customHeight="false" outlineLevel="0" collapsed="false">
      <c r="A223" s="0" t="n">
        <v>221</v>
      </c>
      <c r="B223" s="23" t="n">
        <v>95377.59</v>
      </c>
      <c r="C223" s="23" t="n">
        <v>108457.89</v>
      </c>
      <c r="D223" s="23" t="n">
        <v>107156.94</v>
      </c>
      <c r="E223" s="23" t="n">
        <v>104870.06</v>
      </c>
      <c r="F223" s="23" t="n">
        <v>117049.65</v>
      </c>
      <c r="G223" s="23" t="n">
        <v>104904.36</v>
      </c>
      <c r="H223" s="23" t="n">
        <v>95532.03</v>
      </c>
      <c r="I223" s="23" t="n">
        <v>100787.97</v>
      </c>
      <c r="J223" s="23" t="n">
        <v>101833.92</v>
      </c>
      <c r="K223" s="23" t="n">
        <v>124466.37</v>
      </c>
      <c r="L223" s="23" t="n">
        <v>113806.83</v>
      </c>
      <c r="M223" s="23" t="n">
        <v>125771.55</v>
      </c>
      <c r="N223" s="23" t="n">
        <v>125260.55</v>
      </c>
      <c r="O223" s="23" t="n">
        <v>108731.98</v>
      </c>
      <c r="P223" s="23" t="n">
        <v>82080.97</v>
      </c>
      <c r="Q223" s="23" t="n">
        <v>115625.48</v>
      </c>
      <c r="R223" s="23" t="n">
        <v>98420.35</v>
      </c>
      <c r="S223" s="23" t="n">
        <v>87040.77</v>
      </c>
      <c r="T223" s="23" t="n">
        <v>103052.13</v>
      </c>
      <c r="U223" s="23" t="n">
        <v>99346.62</v>
      </c>
      <c r="V223" s="23" t="n">
        <v>112911.1</v>
      </c>
      <c r="W223" s="23" t="n">
        <v>102553.99</v>
      </c>
      <c r="X223" s="23" t="n">
        <v>98984.04</v>
      </c>
      <c r="Y223" s="23" t="n">
        <v>98819.82</v>
      </c>
      <c r="Z223" s="23" t="n">
        <v>109645.19</v>
      </c>
    </row>
    <row r="224" customFormat="false" ht="15" hidden="false" customHeight="false" outlineLevel="0" collapsed="false">
      <c r="A224" s="0" t="n">
        <v>222</v>
      </c>
      <c r="B224" s="23" t="n">
        <v>94505.56</v>
      </c>
      <c r="C224" s="23" t="n">
        <v>108159.04</v>
      </c>
      <c r="D224" s="23" t="n">
        <v>107855.94</v>
      </c>
      <c r="E224" s="23" t="n">
        <v>104800.48</v>
      </c>
      <c r="F224" s="23" t="n">
        <v>117461.22</v>
      </c>
      <c r="G224" s="23" t="n">
        <v>104924.96</v>
      </c>
      <c r="H224" s="23" t="n">
        <v>96764.1</v>
      </c>
      <c r="I224" s="23" t="n">
        <v>99377.52</v>
      </c>
      <c r="J224" s="23" t="n">
        <v>102437.1</v>
      </c>
      <c r="K224" s="23" t="n">
        <v>125662.73</v>
      </c>
      <c r="L224" s="23" t="n">
        <v>113615.1</v>
      </c>
      <c r="M224" s="23" t="n">
        <v>125968.27</v>
      </c>
      <c r="N224" s="23" t="n">
        <v>124070.92</v>
      </c>
      <c r="O224" s="23" t="n">
        <v>109101.21</v>
      </c>
      <c r="P224" s="23" t="n">
        <v>81275.31</v>
      </c>
      <c r="Q224" s="23" t="n">
        <v>117586.43</v>
      </c>
      <c r="R224" s="23" t="n">
        <v>98269.24</v>
      </c>
      <c r="S224" s="23" t="n">
        <v>87109.67</v>
      </c>
      <c r="T224" s="23" t="n">
        <v>102863.94</v>
      </c>
      <c r="U224" s="23" t="n">
        <v>98448.31</v>
      </c>
      <c r="V224" s="23" t="n">
        <v>110934.15</v>
      </c>
      <c r="W224" s="23" t="n">
        <v>102394.54</v>
      </c>
      <c r="X224" s="23" t="n">
        <v>97935.19</v>
      </c>
      <c r="Y224" s="23" t="n">
        <v>99536.45</v>
      </c>
      <c r="Z224" s="23" t="n">
        <v>108400.01</v>
      </c>
    </row>
    <row r="225" customFormat="false" ht="15" hidden="false" customHeight="false" outlineLevel="0" collapsed="false">
      <c r="A225" s="0" t="n">
        <v>223</v>
      </c>
      <c r="B225" s="23" t="n">
        <v>94249.85</v>
      </c>
      <c r="C225" s="23" t="n">
        <v>108215.66</v>
      </c>
      <c r="D225" s="23" t="n">
        <v>108370.57</v>
      </c>
      <c r="E225" s="23" t="n">
        <v>105311.01</v>
      </c>
      <c r="F225" s="23" t="n">
        <v>116958.33</v>
      </c>
      <c r="G225" s="23" t="n">
        <v>105989.5</v>
      </c>
      <c r="H225" s="23" t="n">
        <v>96265.07</v>
      </c>
      <c r="I225" s="23" t="n">
        <v>100572.84</v>
      </c>
      <c r="J225" s="23" t="n">
        <v>101764.67</v>
      </c>
      <c r="K225" s="23" t="n">
        <v>126080.94</v>
      </c>
      <c r="L225" s="23" t="n">
        <v>114450.44</v>
      </c>
      <c r="M225" s="23" t="n">
        <v>127217.31</v>
      </c>
      <c r="N225" s="23" t="n">
        <v>125153.57</v>
      </c>
      <c r="O225" s="23" t="n">
        <v>109049.17</v>
      </c>
      <c r="P225" s="23" t="n">
        <v>81656.35</v>
      </c>
      <c r="Q225" s="23" t="n">
        <v>116607.09</v>
      </c>
      <c r="R225" s="23" t="n">
        <v>98468.27</v>
      </c>
      <c r="S225" s="23" t="n">
        <v>87016.11</v>
      </c>
      <c r="T225" s="23" t="n">
        <v>102920.64</v>
      </c>
      <c r="U225" s="23" t="n">
        <v>97597.62</v>
      </c>
      <c r="V225" s="23" t="n">
        <v>112634.92</v>
      </c>
      <c r="W225" s="23" t="n">
        <v>102541</v>
      </c>
      <c r="X225" s="23" t="n">
        <v>97905.32</v>
      </c>
      <c r="Y225" s="23" t="n">
        <v>100044.22</v>
      </c>
      <c r="Z225" s="23" t="n">
        <v>108743.58</v>
      </c>
    </row>
    <row r="226" customFormat="false" ht="15" hidden="false" customHeight="false" outlineLevel="0" collapsed="false">
      <c r="A226" s="0" t="n">
        <v>224</v>
      </c>
      <c r="B226" s="23" t="n">
        <v>94818.62</v>
      </c>
      <c r="C226" s="23" t="n">
        <v>107995.2</v>
      </c>
      <c r="D226" s="23" t="n">
        <v>108446.01</v>
      </c>
      <c r="E226" s="23" t="n">
        <v>105153.91</v>
      </c>
      <c r="F226" s="23" t="n">
        <v>118227.5</v>
      </c>
      <c r="G226" s="23" t="n">
        <v>106933.49</v>
      </c>
      <c r="H226" s="23" t="n">
        <v>95858.63</v>
      </c>
      <c r="I226" s="23" t="n">
        <v>100125.76</v>
      </c>
      <c r="J226" s="23" t="n">
        <v>101589.71</v>
      </c>
      <c r="K226" s="23" t="n">
        <v>126155.36</v>
      </c>
      <c r="L226" s="23" t="n">
        <v>114881.69</v>
      </c>
      <c r="M226" s="23" t="n">
        <v>126757.12</v>
      </c>
      <c r="N226" s="23" t="n">
        <v>126837.08</v>
      </c>
      <c r="O226" s="23" t="n">
        <v>107936.84</v>
      </c>
      <c r="P226" s="23" t="n">
        <v>81376.89</v>
      </c>
      <c r="Q226" s="23" t="n">
        <v>116816.1</v>
      </c>
      <c r="R226" s="23" t="n">
        <v>98614.71</v>
      </c>
      <c r="S226" s="23" t="n">
        <v>87068.46</v>
      </c>
      <c r="T226" s="23" t="n">
        <v>103980.64</v>
      </c>
      <c r="U226" s="23" t="n">
        <v>97191.82</v>
      </c>
      <c r="V226" s="23" t="n">
        <v>112715.9</v>
      </c>
      <c r="W226" s="23" t="n">
        <v>102804.22</v>
      </c>
      <c r="X226" s="23" t="n">
        <v>97725.51</v>
      </c>
      <c r="Y226" s="23" t="n">
        <v>101283.5</v>
      </c>
      <c r="Z226" s="23" t="n">
        <v>109220.1</v>
      </c>
    </row>
    <row r="227" customFormat="false" ht="15" hidden="false" customHeight="false" outlineLevel="0" collapsed="false">
      <c r="A227" s="0" t="n">
        <v>225</v>
      </c>
      <c r="B227" s="23" t="n">
        <v>95107.37</v>
      </c>
      <c r="C227" s="23" t="n">
        <v>109808.05</v>
      </c>
      <c r="D227" s="23" t="n">
        <v>107207.07</v>
      </c>
      <c r="E227" s="23" t="n">
        <v>105388.92</v>
      </c>
      <c r="F227" s="23" t="n">
        <v>118302.39</v>
      </c>
      <c r="G227" s="23" t="n">
        <v>106380.41</v>
      </c>
      <c r="H227" s="23" t="n">
        <v>95566.55</v>
      </c>
      <c r="I227" s="23" t="n">
        <v>100791.59</v>
      </c>
      <c r="J227" s="23" t="n">
        <v>102727.83</v>
      </c>
      <c r="K227" s="23" t="n">
        <v>126231.38</v>
      </c>
      <c r="L227" s="23" t="n">
        <v>113995.67</v>
      </c>
      <c r="M227" s="23" t="n">
        <v>126591.38</v>
      </c>
      <c r="N227" s="23" t="n">
        <v>126357.97</v>
      </c>
      <c r="O227" s="23" t="n">
        <v>107626.56</v>
      </c>
      <c r="P227" s="23" t="n">
        <v>81455.98</v>
      </c>
      <c r="Q227" s="23" t="n">
        <v>115653.06</v>
      </c>
      <c r="R227" s="23" t="n">
        <v>98436.9</v>
      </c>
      <c r="S227" s="23" t="n">
        <v>87042.52</v>
      </c>
      <c r="T227" s="23" t="n">
        <v>104623.72</v>
      </c>
      <c r="U227" s="23" t="n">
        <v>97309.14</v>
      </c>
      <c r="V227" s="23" t="n">
        <v>112446.02</v>
      </c>
      <c r="W227" s="23" t="n">
        <v>102423.98</v>
      </c>
      <c r="X227" s="23" t="n">
        <v>97996.71</v>
      </c>
      <c r="Y227" s="23" t="n">
        <v>103037.72</v>
      </c>
      <c r="Z227" s="23" t="n">
        <v>107724.46</v>
      </c>
    </row>
    <row r="228" customFormat="false" ht="15" hidden="false" customHeight="false" outlineLevel="0" collapsed="false">
      <c r="A228" s="0" t="n">
        <v>226</v>
      </c>
      <c r="B228" s="23" t="n">
        <v>94704.89</v>
      </c>
      <c r="C228" s="23" t="n">
        <v>110118.41</v>
      </c>
      <c r="D228" s="23" t="n">
        <v>106922.5</v>
      </c>
      <c r="E228" s="23" t="n">
        <v>106465.75</v>
      </c>
      <c r="F228" s="23" t="n">
        <v>118618.33</v>
      </c>
      <c r="G228" s="23" t="n">
        <v>105467.81</v>
      </c>
      <c r="H228" s="23" t="n">
        <v>95416.42</v>
      </c>
      <c r="I228" s="23" t="n">
        <v>99774.79</v>
      </c>
      <c r="J228" s="23" t="n">
        <v>103366.21</v>
      </c>
      <c r="K228" s="23" t="n">
        <v>125865.81</v>
      </c>
      <c r="L228" s="23" t="n">
        <v>115296.94</v>
      </c>
      <c r="M228" s="23" t="n">
        <v>127539.45</v>
      </c>
      <c r="N228" s="23" t="n">
        <v>126252.84</v>
      </c>
      <c r="O228" s="23" t="n">
        <v>107517</v>
      </c>
      <c r="P228" s="23" t="n">
        <v>80726.47</v>
      </c>
      <c r="Q228" s="23" t="n">
        <v>116014.18</v>
      </c>
      <c r="R228" s="23" t="n">
        <v>99321.23</v>
      </c>
      <c r="S228" s="23" t="n">
        <v>86616.64</v>
      </c>
      <c r="T228" s="23" t="n">
        <v>103716.2</v>
      </c>
      <c r="U228" s="23" t="n">
        <v>98456.86</v>
      </c>
      <c r="V228" s="23" t="n">
        <v>112392.7</v>
      </c>
      <c r="W228" s="23" t="n">
        <v>103497.87</v>
      </c>
      <c r="X228" s="23" t="n">
        <v>98761.81</v>
      </c>
      <c r="Y228" s="23" t="n">
        <v>102098.54</v>
      </c>
      <c r="Z228" s="23" t="n">
        <v>107557.05</v>
      </c>
    </row>
    <row r="229" customFormat="false" ht="15" hidden="false" customHeight="false" outlineLevel="0" collapsed="false">
      <c r="A229" s="0" t="n">
        <v>227</v>
      </c>
      <c r="B229" s="23" t="n">
        <v>95039.56</v>
      </c>
      <c r="C229" s="23" t="n">
        <v>110013.26</v>
      </c>
      <c r="D229" s="23" t="n">
        <v>107502.55</v>
      </c>
      <c r="E229" s="23" t="n">
        <v>106883.71</v>
      </c>
      <c r="F229" s="23" t="n">
        <v>118821.59</v>
      </c>
      <c r="G229" s="23" t="n">
        <v>105531.99</v>
      </c>
      <c r="H229" s="23" t="n">
        <v>94866.95</v>
      </c>
      <c r="I229" s="23" t="n">
        <v>101554.64</v>
      </c>
      <c r="J229" s="23" t="n">
        <v>103351.22</v>
      </c>
      <c r="K229" s="23" t="n">
        <v>126231.32</v>
      </c>
      <c r="L229" s="23" t="n">
        <v>115047.26</v>
      </c>
      <c r="M229" s="23" t="n">
        <v>126581.59</v>
      </c>
      <c r="N229" s="23" t="n">
        <v>127996.65</v>
      </c>
      <c r="O229" s="23" t="n">
        <v>107805.74</v>
      </c>
      <c r="P229" s="23" t="n">
        <v>80596.42</v>
      </c>
      <c r="Q229" s="23" t="n">
        <v>116337.6</v>
      </c>
      <c r="R229" s="23" t="n">
        <v>99957.34</v>
      </c>
      <c r="S229" s="23" t="n">
        <v>86769.81</v>
      </c>
      <c r="T229" s="23" t="n">
        <v>103861.61</v>
      </c>
      <c r="U229" s="23" t="n">
        <v>98834.41</v>
      </c>
      <c r="V229" s="23" t="n">
        <v>111362.7</v>
      </c>
      <c r="W229" s="23" t="n">
        <v>103146.22</v>
      </c>
      <c r="X229" s="23" t="n">
        <v>98545.35</v>
      </c>
      <c r="Y229" s="23" t="n">
        <v>101381.55</v>
      </c>
      <c r="Z229" s="23" t="n">
        <v>106689.97</v>
      </c>
    </row>
    <row r="230" customFormat="false" ht="15" hidden="false" customHeight="false" outlineLevel="0" collapsed="false">
      <c r="A230" s="0" t="n">
        <v>228</v>
      </c>
      <c r="B230" s="23" t="n">
        <v>97004.28</v>
      </c>
      <c r="C230" s="23" t="n">
        <v>111717.94</v>
      </c>
      <c r="D230" s="23" t="n">
        <v>108173.25</v>
      </c>
      <c r="E230" s="23" t="n">
        <v>105906.04</v>
      </c>
      <c r="F230" s="23" t="n">
        <v>117270.87</v>
      </c>
      <c r="G230" s="23" t="n">
        <v>105374.11</v>
      </c>
      <c r="H230" s="23" t="n">
        <v>94758.77</v>
      </c>
      <c r="I230" s="23" t="n">
        <v>101408.4</v>
      </c>
      <c r="J230" s="23" t="n">
        <v>104066.55</v>
      </c>
      <c r="K230" s="23" t="n">
        <v>125182.26</v>
      </c>
      <c r="L230" s="23" t="n">
        <v>115488.5</v>
      </c>
      <c r="M230" s="23" t="n">
        <v>127604.33</v>
      </c>
      <c r="N230" s="23" t="n">
        <v>128861.63</v>
      </c>
      <c r="O230" s="23" t="n">
        <v>108273.95</v>
      </c>
      <c r="P230" s="23" t="n">
        <v>80757.05</v>
      </c>
      <c r="Q230" s="23" t="n">
        <v>116077.51</v>
      </c>
      <c r="R230" s="23" t="n">
        <v>99168.87</v>
      </c>
      <c r="S230" s="23" t="n">
        <v>86233.15</v>
      </c>
      <c r="T230" s="23" t="n">
        <v>103253.05</v>
      </c>
      <c r="U230" s="23" t="n">
        <v>99067.32</v>
      </c>
      <c r="V230" s="23" t="n">
        <v>111236.87</v>
      </c>
      <c r="W230" s="23" t="n">
        <v>102844.35</v>
      </c>
      <c r="X230" s="23" t="n">
        <v>99644.68</v>
      </c>
      <c r="Y230" s="23" t="n">
        <v>101995.27</v>
      </c>
      <c r="Z230" s="23" t="n">
        <v>106009.86</v>
      </c>
    </row>
    <row r="231" customFormat="false" ht="15" hidden="false" customHeight="false" outlineLevel="0" collapsed="false">
      <c r="A231" s="0" t="n">
        <v>229</v>
      </c>
      <c r="B231" s="23" t="n">
        <v>96375.68</v>
      </c>
      <c r="C231" s="23" t="n">
        <v>111491.39</v>
      </c>
      <c r="D231" s="23" t="n">
        <v>108606.21</v>
      </c>
      <c r="E231" s="23" t="n">
        <v>105940.2</v>
      </c>
      <c r="F231" s="23" t="n">
        <v>117500.59</v>
      </c>
      <c r="G231" s="23" t="n">
        <v>104992.85</v>
      </c>
      <c r="H231" s="23" t="n">
        <v>95845.62</v>
      </c>
      <c r="I231" s="23" t="n">
        <v>100377.56</v>
      </c>
      <c r="J231" s="23" t="n">
        <v>104256.39</v>
      </c>
      <c r="K231" s="23" t="n">
        <v>125133.67</v>
      </c>
      <c r="L231" s="23" t="n">
        <v>114213.26</v>
      </c>
      <c r="M231" s="23" t="n">
        <v>128621.52</v>
      </c>
      <c r="N231" s="23" t="n">
        <v>127580.91</v>
      </c>
      <c r="O231" s="23" t="n">
        <v>106981.21</v>
      </c>
      <c r="P231" s="23" t="n">
        <v>81995.24</v>
      </c>
      <c r="Q231" s="23" t="n">
        <v>116464.51</v>
      </c>
      <c r="R231" s="23" t="n">
        <v>99359.7</v>
      </c>
      <c r="S231" s="23" t="n">
        <v>85987.18</v>
      </c>
      <c r="T231" s="23" t="n">
        <v>103613.77</v>
      </c>
      <c r="U231" s="23" t="n">
        <v>99399.16</v>
      </c>
      <c r="V231" s="23" t="n">
        <v>111979.72</v>
      </c>
      <c r="W231" s="23" t="n">
        <v>102993.95</v>
      </c>
      <c r="X231" s="23" t="n">
        <v>99098.31</v>
      </c>
      <c r="Y231" s="23" t="n">
        <v>102581.21</v>
      </c>
      <c r="Z231" s="23" t="n">
        <v>106279.9</v>
      </c>
    </row>
    <row r="232" customFormat="false" ht="15" hidden="false" customHeight="false" outlineLevel="0" collapsed="false">
      <c r="A232" s="0" t="n">
        <v>230</v>
      </c>
      <c r="B232" s="23" t="n">
        <v>97095.15</v>
      </c>
      <c r="C232" s="23" t="n">
        <v>111543.3</v>
      </c>
      <c r="D232" s="23" t="n">
        <v>108019.72</v>
      </c>
      <c r="E232" s="23" t="n">
        <v>106267.09</v>
      </c>
      <c r="F232" s="23" t="n">
        <v>115562.74</v>
      </c>
      <c r="G232" s="23" t="n">
        <v>104503.16</v>
      </c>
      <c r="H232" s="23" t="n">
        <v>96104.33</v>
      </c>
      <c r="I232" s="23" t="n">
        <v>101321.39</v>
      </c>
      <c r="J232" s="23" t="n">
        <v>103919.69</v>
      </c>
      <c r="K232" s="23" t="n">
        <v>124839</v>
      </c>
      <c r="L232" s="23" t="n">
        <v>112709.32</v>
      </c>
      <c r="M232" s="23" t="n">
        <v>129557.25</v>
      </c>
      <c r="N232" s="23" t="n">
        <v>126802.25</v>
      </c>
      <c r="O232" s="23" t="n">
        <v>107460.64</v>
      </c>
      <c r="P232" s="23" t="n">
        <v>83249.19</v>
      </c>
      <c r="Q232" s="23" t="n">
        <v>115722.83</v>
      </c>
      <c r="R232" s="23" t="n">
        <v>100904.3</v>
      </c>
      <c r="S232" s="23" t="n">
        <v>85664.46</v>
      </c>
      <c r="T232" s="23" t="n">
        <v>103042.32</v>
      </c>
      <c r="U232" s="23" t="n">
        <v>100398.22</v>
      </c>
      <c r="V232" s="23" t="n">
        <v>112025.92</v>
      </c>
      <c r="W232" s="23" t="n">
        <v>102074.52</v>
      </c>
      <c r="X232" s="23" t="n">
        <v>98137.82</v>
      </c>
      <c r="Y232" s="23" t="n">
        <v>102979.59</v>
      </c>
      <c r="Z232" s="23" t="n">
        <v>105031.83</v>
      </c>
    </row>
    <row r="233" customFormat="false" ht="15" hidden="false" customHeight="false" outlineLevel="0" collapsed="false">
      <c r="A233" s="0" t="n">
        <v>231</v>
      </c>
      <c r="B233" s="23" t="n">
        <v>97546.82</v>
      </c>
      <c r="C233" s="23" t="n">
        <v>111014.89</v>
      </c>
      <c r="D233" s="23" t="n">
        <v>107491.89</v>
      </c>
      <c r="E233" s="23" t="n">
        <v>105970.13</v>
      </c>
      <c r="F233" s="23" t="n">
        <v>115816</v>
      </c>
      <c r="G233" s="23" t="n">
        <v>104851</v>
      </c>
      <c r="H233" s="23" t="n">
        <v>95898.14</v>
      </c>
      <c r="I233" s="23" t="n">
        <v>99857.44</v>
      </c>
      <c r="J233" s="23" t="n">
        <v>104635.46</v>
      </c>
      <c r="K233" s="23" t="n">
        <v>126206.48</v>
      </c>
      <c r="L233" s="23" t="n">
        <v>112489.76</v>
      </c>
      <c r="M233" s="23" t="n">
        <v>130031.12</v>
      </c>
      <c r="N233" s="23" t="n">
        <v>126446.1</v>
      </c>
      <c r="O233" s="23" t="n">
        <v>107241.6</v>
      </c>
      <c r="P233" s="23" t="n">
        <v>83306.88</v>
      </c>
      <c r="Q233" s="23" t="n">
        <v>115650.99</v>
      </c>
      <c r="R233" s="23" t="n">
        <v>101281.69</v>
      </c>
      <c r="S233" s="23" t="n">
        <v>86135.77</v>
      </c>
      <c r="T233" s="23" t="n">
        <v>103705.25</v>
      </c>
      <c r="U233" s="23" t="n">
        <v>100166.59</v>
      </c>
      <c r="V233" s="23" t="n">
        <v>112538.08</v>
      </c>
      <c r="W233" s="23" t="n">
        <v>101890.22</v>
      </c>
      <c r="X233" s="23" t="n">
        <v>98072.74</v>
      </c>
      <c r="Y233" s="23" t="n">
        <v>103298.92</v>
      </c>
      <c r="Z233" s="23" t="n">
        <v>105116.25</v>
      </c>
    </row>
    <row r="234" customFormat="false" ht="15" hidden="false" customHeight="false" outlineLevel="0" collapsed="false">
      <c r="A234" s="0" t="n">
        <v>232</v>
      </c>
      <c r="B234" s="23" t="n">
        <v>96736.91</v>
      </c>
      <c r="C234" s="23" t="n">
        <v>111786.52</v>
      </c>
      <c r="D234" s="23" t="n">
        <v>107482.54</v>
      </c>
      <c r="E234" s="23" t="n">
        <v>104868.7</v>
      </c>
      <c r="F234" s="23" t="n">
        <v>117370.13</v>
      </c>
      <c r="G234" s="23" t="n">
        <v>104235.28</v>
      </c>
      <c r="H234" s="23" t="n">
        <v>96334.54</v>
      </c>
      <c r="I234" s="23" t="n">
        <v>98755.69</v>
      </c>
      <c r="J234" s="23" t="n">
        <v>105746.43</v>
      </c>
      <c r="K234" s="23" t="n">
        <v>126367.96</v>
      </c>
      <c r="L234" s="23" t="n">
        <v>111885.18</v>
      </c>
      <c r="M234" s="23" t="n">
        <v>130487.04</v>
      </c>
      <c r="N234" s="23" t="n">
        <v>125494.42</v>
      </c>
      <c r="O234" s="23" t="n">
        <v>107358.91</v>
      </c>
      <c r="P234" s="23" t="n">
        <v>83309.59</v>
      </c>
      <c r="Q234" s="23" t="n">
        <v>116533.81</v>
      </c>
      <c r="R234" s="23" t="n">
        <v>100385.31</v>
      </c>
      <c r="S234" s="23" t="n">
        <v>86481.14</v>
      </c>
      <c r="T234" s="23" t="n">
        <v>104662.21</v>
      </c>
      <c r="U234" s="23" t="n">
        <v>99476.95</v>
      </c>
      <c r="V234" s="23" t="n">
        <v>113090.35</v>
      </c>
      <c r="W234" s="23" t="n">
        <v>102675.96</v>
      </c>
      <c r="X234" s="23" t="n">
        <v>97024.09</v>
      </c>
      <c r="Y234" s="23" t="n">
        <v>104122.31</v>
      </c>
      <c r="Z234" s="23" t="n">
        <v>106299.45</v>
      </c>
    </row>
    <row r="235" customFormat="false" ht="15" hidden="false" customHeight="false" outlineLevel="0" collapsed="false">
      <c r="A235" s="0" t="n">
        <v>233</v>
      </c>
      <c r="B235" s="23" t="n">
        <v>95167.56</v>
      </c>
      <c r="C235" s="23" t="n">
        <v>111942.96</v>
      </c>
      <c r="D235" s="23" t="n">
        <v>108277.11</v>
      </c>
      <c r="E235" s="23" t="n">
        <v>105183.11</v>
      </c>
      <c r="F235" s="23" t="n">
        <v>118115.15</v>
      </c>
      <c r="G235" s="23" t="n">
        <v>103593.23</v>
      </c>
      <c r="H235" s="23" t="n">
        <v>96327.75</v>
      </c>
      <c r="I235" s="23" t="n">
        <v>97623.32</v>
      </c>
      <c r="J235" s="23" t="n">
        <v>107468.25</v>
      </c>
      <c r="K235" s="23" t="n">
        <v>127864.13</v>
      </c>
      <c r="L235" s="23" t="n">
        <v>112099.77</v>
      </c>
      <c r="M235" s="23" t="n">
        <v>130664.63</v>
      </c>
      <c r="N235" s="23" t="n">
        <v>126144.52</v>
      </c>
      <c r="O235" s="23" t="n">
        <v>107148.95</v>
      </c>
      <c r="P235" s="23" t="n">
        <v>83227.22</v>
      </c>
      <c r="Q235" s="23" t="n">
        <v>116783.31</v>
      </c>
      <c r="R235" s="23" t="n">
        <v>100608.33</v>
      </c>
      <c r="S235" s="23" t="n">
        <v>86565.46</v>
      </c>
      <c r="T235" s="23" t="n">
        <v>104738.68</v>
      </c>
      <c r="U235" s="23" t="n">
        <v>100897.37</v>
      </c>
      <c r="V235" s="23" t="n">
        <v>111636.41</v>
      </c>
      <c r="W235" s="23" t="n">
        <v>103194.48</v>
      </c>
      <c r="X235" s="23" t="n">
        <v>97088.4</v>
      </c>
      <c r="Y235" s="23" t="n">
        <v>102932.2</v>
      </c>
      <c r="Z235" s="23" t="n">
        <v>106248.89</v>
      </c>
    </row>
    <row r="236" customFormat="false" ht="15" hidden="false" customHeight="false" outlineLevel="0" collapsed="false">
      <c r="A236" s="0" t="n">
        <v>234</v>
      </c>
      <c r="B236" s="23" t="n">
        <v>94662.58</v>
      </c>
      <c r="C236" s="23" t="n">
        <v>112530.13</v>
      </c>
      <c r="D236" s="23" t="n">
        <v>108260.25</v>
      </c>
      <c r="E236" s="23" t="n">
        <v>105096</v>
      </c>
      <c r="F236" s="23" t="n">
        <v>117983.87</v>
      </c>
      <c r="G236" s="23" t="n">
        <v>103265.93</v>
      </c>
      <c r="H236" s="23" t="n">
        <v>95827.02</v>
      </c>
      <c r="I236" s="23" t="n">
        <v>99207.6</v>
      </c>
      <c r="J236" s="23" t="n">
        <v>107594.96</v>
      </c>
      <c r="K236" s="23" t="n">
        <v>127909.21</v>
      </c>
      <c r="L236" s="23" t="n">
        <v>112108.82</v>
      </c>
      <c r="M236" s="23" t="n">
        <v>132102.28</v>
      </c>
      <c r="N236" s="23" t="n">
        <v>125425.76</v>
      </c>
      <c r="O236" s="23" t="n">
        <v>107359.68</v>
      </c>
      <c r="P236" s="23" t="n">
        <v>83601.6</v>
      </c>
      <c r="Q236" s="23" t="n">
        <v>117876.17</v>
      </c>
      <c r="R236" s="23" t="n">
        <v>99373.39</v>
      </c>
      <c r="S236" s="23" t="n">
        <v>87032.81</v>
      </c>
      <c r="T236" s="23" t="n">
        <v>104940.94</v>
      </c>
      <c r="U236" s="23" t="n">
        <v>101354.99</v>
      </c>
      <c r="V236" s="23" t="n">
        <v>111898.7</v>
      </c>
      <c r="W236" s="23" t="n">
        <v>103885.78</v>
      </c>
      <c r="X236" s="23" t="n">
        <v>97056.71</v>
      </c>
      <c r="Y236" s="23" t="n">
        <v>101573.9</v>
      </c>
      <c r="Z236" s="23" t="n">
        <v>105644.65</v>
      </c>
    </row>
    <row r="237" customFormat="false" ht="15" hidden="false" customHeight="false" outlineLevel="0" collapsed="false">
      <c r="A237" s="0" t="n">
        <v>235</v>
      </c>
      <c r="B237" s="23" t="n">
        <v>93971.55</v>
      </c>
      <c r="C237" s="23" t="n">
        <v>111053.98</v>
      </c>
      <c r="D237" s="23" t="n">
        <v>107185.43</v>
      </c>
      <c r="E237" s="23" t="n">
        <v>105155.53</v>
      </c>
      <c r="F237" s="23" t="n">
        <v>118453.72</v>
      </c>
      <c r="G237" s="23" t="n">
        <v>103288.53</v>
      </c>
      <c r="H237" s="23" t="n">
        <v>95206.7</v>
      </c>
      <c r="I237" s="23" t="n">
        <v>99271.45</v>
      </c>
      <c r="J237" s="23" t="n">
        <v>108243.69</v>
      </c>
      <c r="K237" s="23" t="n">
        <v>128123.51</v>
      </c>
      <c r="L237" s="23" t="n">
        <v>112143.86</v>
      </c>
      <c r="M237" s="23" t="n">
        <v>132088.88</v>
      </c>
      <c r="N237" s="23" t="n">
        <v>125980.21</v>
      </c>
      <c r="O237" s="23" t="n">
        <v>106915.5</v>
      </c>
      <c r="P237" s="23" t="n">
        <v>83736.06</v>
      </c>
      <c r="Q237" s="23" t="n">
        <v>118729.87</v>
      </c>
      <c r="R237" s="23" t="n">
        <v>98715.61</v>
      </c>
      <c r="S237" s="23" t="n">
        <v>86825.82</v>
      </c>
      <c r="T237" s="23" t="n">
        <v>103232.71</v>
      </c>
      <c r="U237" s="23" t="n">
        <v>101819.37</v>
      </c>
      <c r="V237" s="23" t="n">
        <v>112817.19</v>
      </c>
      <c r="W237" s="23" t="n">
        <v>103443.61</v>
      </c>
      <c r="X237" s="23" t="n">
        <v>98054.72</v>
      </c>
      <c r="Y237" s="23" t="n">
        <v>102906.74</v>
      </c>
      <c r="Z237" s="23" t="n">
        <v>104718.45</v>
      </c>
    </row>
    <row r="238" customFormat="false" ht="15" hidden="false" customHeight="false" outlineLevel="0" collapsed="false">
      <c r="A238" s="0" t="n">
        <v>236</v>
      </c>
      <c r="B238" s="23" t="n">
        <v>93648.2</v>
      </c>
      <c r="C238" s="23" t="n">
        <v>112084.3</v>
      </c>
      <c r="D238" s="23" t="n">
        <v>107198.89</v>
      </c>
      <c r="E238" s="23" t="n">
        <v>104856.32</v>
      </c>
      <c r="F238" s="23" t="n">
        <v>118241.67</v>
      </c>
      <c r="G238" s="23" t="n">
        <v>103183.06</v>
      </c>
      <c r="H238" s="23" t="n">
        <v>95137.08</v>
      </c>
      <c r="I238" s="23" t="n">
        <v>98626.88</v>
      </c>
      <c r="J238" s="23" t="n">
        <v>108913.62</v>
      </c>
      <c r="K238" s="23" t="n">
        <v>128218.91</v>
      </c>
      <c r="L238" s="23" t="n">
        <v>111956.94</v>
      </c>
      <c r="M238" s="23" t="n">
        <v>131539.66</v>
      </c>
      <c r="N238" s="23" t="n">
        <v>126869.3</v>
      </c>
      <c r="O238" s="23" t="n">
        <v>106710.15</v>
      </c>
      <c r="P238" s="23" t="n">
        <v>84760.85</v>
      </c>
      <c r="Q238" s="23" t="n">
        <v>117130.48</v>
      </c>
      <c r="R238" s="23" t="n">
        <v>97922.08</v>
      </c>
      <c r="S238" s="23" t="n">
        <v>86446.31</v>
      </c>
      <c r="T238" s="23" t="n">
        <v>102173.92</v>
      </c>
      <c r="U238" s="23" t="n">
        <v>101713.25</v>
      </c>
      <c r="V238" s="23" t="n">
        <v>112960.49</v>
      </c>
      <c r="W238" s="23" t="n">
        <v>102966.95</v>
      </c>
      <c r="X238" s="23" t="n">
        <v>98499.72</v>
      </c>
      <c r="Y238" s="23" t="n">
        <v>102739.92</v>
      </c>
      <c r="Z238" s="23" t="n">
        <v>103526.95</v>
      </c>
    </row>
    <row r="239" customFormat="false" ht="15" hidden="false" customHeight="false" outlineLevel="0" collapsed="false">
      <c r="A239" s="0" t="n">
        <v>237</v>
      </c>
      <c r="B239" s="23" t="n">
        <v>93448.87</v>
      </c>
      <c r="C239" s="23" t="n">
        <v>112275.09</v>
      </c>
      <c r="D239" s="23" t="n">
        <v>108301.21</v>
      </c>
      <c r="E239" s="23" t="n">
        <v>105298.06</v>
      </c>
      <c r="F239" s="23" t="n">
        <v>116323</v>
      </c>
      <c r="G239" s="23" t="n">
        <v>103848.35</v>
      </c>
      <c r="H239" s="23" t="n">
        <v>94643.31</v>
      </c>
      <c r="I239" s="23" t="n">
        <v>98198.59</v>
      </c>
      <c r="J239" s="23" t="n">
        <v>109102.7</v>
      </c>
      <c r="K239" s="23" t="n">
        <v>128607.83</v>
      </c>
      <c r="L239" s="23" t="n">
        <v>112565.51</v>
      </c>
      <c r="M239" s="23" t="n">
        <v>131642.59</v>
      </c>
      <c r="N239" s="23" t="n">
        <v>128101.73</v>
      </c>
      <c r="O239" s="23" t="n">
        <v>108234.49</v>
      </c>
      <c r="P239" s="23" t="n">
        <v>84381.92</v>
      </c>
      <c r="Q239" s="23" t="n">
        <v>115621.97</v>
      </c>
      <c r="R239" s="23" t="n">
        <v>98157.52</v>
      </c>
      <c r="S239" s="23" t="n">
        <v>86799.26</v>
      </c>
      <c r="T239" s="23" t="n">
        <v>102013.48</v>
      </c>
      <c r="U239" s="23" t="n">
        <v>100841.28</v>
      </c>
      <c r="V239" s="23" t="n">
        <v>112704.43</v>
      </c>
      <c r="W239" s="23" t="n">
        <v>102485.84</v>
      </c>
      <c r="X239" s="23" t="n">
        <v>98377.84</v>
      </c>
      <c r="Y239" s="23" t="n">
        <v>102698.1</v>
      </c>
      <c r="Z239" s="23" t="n">
        <v>103708.49</v>
      </c>
    </row>
    <row r="240" customFormat="false" ht="15" hidden="false" customHeight="false" outlineLevel="0" collapsed="false">
      <c r="A240" s="0" t="n">
        <v>238</v>
      </c>
      <c r="B240" s="23" t="n">
        <v>93453.38</v>
      </c>
      <c r="C240" s="23" t="n">
        <v>112268.23</v>
      </c>
      <c r="D240" s="23" t="n">
        <v>107760.23</v>
      </c>
      <c r="E240" s="23" t="n">
        <v>104703.63</v>
      </c>
      <c r="F240" s="23" t="n">
        <v>117763</v>
      </c>
      <c r="G240" s="23" t="n">
        <v>103150.06</v>
      </c>
      <c r="H240" s="23" t="n">
        <v>94860.89</v>
      </c>
      <c r="I240" s="23" t="n">
        <v>98414.34</v>
      </c>
      <c r="J240" s="23" t="n">
        <v>109557.91</v>
      </c>
      <c r="K240" s="23" t="n">
        <v>128676.24</v>
      </c>
      <c r="L240" s="23" t="n">
        <v>112842.12</v>
      </c>
      <c r="M240" s="23" t="n">
        <v>130972.81</v>
      </c>
      <c r="N240" s="23" t="n">
        <v>129650.69</v>
      </c>
      <c r="O240" s="23" t="n">
        <v>108217.83</v>
      </c>
      <c r="P240" s="23" t="n">
        <v>83502.83</v>
      </c>
      <c r="Q240" s="23" t="n">
        <v>116114.14</v>
      </c>
      <c r="R240" s="23" t="n">
        <v>98281.41</v>
      </c>
      <c r="S240" s="23" t="n">
        <v>86928.68</v>
      </c>
      <c r="T240" s="23" t="n">
        <v>101273.5</v>
      </c>
      <c r="U240" s="23" t="n">
        <v>100889.09</v>
      </c>
      <c r="V240" s="23" t="n">
        <v>112696.29</v>
      </c>
      <c r="W240" s="23" t="n">
        <v>101999.24</v>
      </c>
      <c r="X240" s="23" t="n">
        <v>98094.41</v>
      </c>
      <c r="Y240" s="23" t="n">
        <v>102449.69</v>
      </c>
      <c r="Z240" s="23" t="n">
        <v>103856.93</v>
      </c>
    </row>
    <row r="241" customFormat="false" ht="15" hidden="false" customHeight="false" outlineLevel="0" collapsed="false">
      <c r="A241" s="0" t="n">
        <v>239</v>
      </c>
      <c r="B241" s="23" t="n">
        <v>94416.49</v>
      </c>
      <c r="C241" s="23" t="n">
        <v>111291.55</v>
      </c>
      <c r="D241" s="23" t="n">
        <v>107204.39</v>
      </c>
      <c r="E241" s="23" t="n">
        <v>104625.15</v>
      </c>
      <c r="F241" s="23" t="n">
        <v>117534.93</v>
      </c>
      <c r="G241" s="23" t="n">
        <v>104566.33</v>
      </c>
      <c r="H241" s="23" t="n">
        <v>94833.18</v>
      </c>
      <c r="I241" s="23" t="n">
        <v>98871.12</v>
      </c>
      <c r="J241" s="23" t="n">
        <v>109358.69</v>
      </c>
      <c r="K241" s="23" t="n">
        <v>131542.01</v>
      </c>
      <c r="L241" s="23" t="n">
        <v>111970.74</v>
      </c>
      <c r="M241" s="23" t="n">
        <v>131853.49</v>
      </c>
      <c r="N241" s="23" t="n">
        <v>131534.46</v>
      </c>
      <c r="O241" s="23" t="n">
        <v>108574.07</v>
      </c>
      <c r="P241" s="23" t="n">
        <v>84179.2</v>
      </c>
      <c r="Q241" s="23" t="n">
        <v>116877.03</v>
      </c>
      <c r="R241" s="23" t="n">
        <v>98049.52</v>
      </c>
      <c r="S241" s="23" t="n">
        <v>87151.31</v>
      </c>
      <c r="T241" s="23" t="n">
        <v>101054.8</v>
      </c>
      <c r="U241" s="23" t="n">
        <v>100217.4</v>
      </c>
      <c r="V241" s="23" t="n">
        <v>112666.83</v>
      </c>
      <c r="W241" s="23" t="n">
        <v>103893.39</v>
      </c>
      <c r="X241" s="23" t="n">
        <v>96680.63</v>
      </c>
      <c r="Y241" s="23" t="n">
        <v>103122.47</v>
      </c>
      <c r="Z241" s="23" t="n">
        <v>104417.45</v>
      </c>
    </row>
    <row r="242" customFormat="false" ht="15" hidden="false" customHeight="false" outlineLevel="0" collapsed="false">
      <c r="A242" s="0" t="n">
        <v>240</v>
      </c>
      <c r="B242" s="23" t="n">
        <v>93100.41</v>
      </c>
      <c r="C242" s="23" t="n">
        <v>111514.49</v>
      </c>
      <c r="D242" s="23" t="n">
        <v>108562.42</v>
      </c>
      <c r="E242" s="23" t="n">
        <v>104796.28</v>
      </c>
      <c r="F242" s="23" t="n">
        <v>115699.57</v>
      </c>
      <c r="G242" s="23" t="n">
        <v>104307.83</v>
      </c>
      <c r="H242" s="23" t="n">
        <v>94965.13</v>
      </c>
      <c r="I242" s="23" t="n">
        <v>99001.57</v>
      </c>
      <c r="J242" s="23" t="n">
        <v>109583.78</v>
      </c>
      <c r="K242" s="23" t="n">
        <v>134794.59</v>
      </c>
      <c r="L242" s="23" t="n">
        <v>111986.23</v>
      </c>
      <c r="M242" s="23" t="n">
        <v>131569.48</v>
      </c>
      <c r="N242" s="23" t="n">
        <v>130896.73</v>
      </c>
      <c r="O242" s="23" t="n">
        <v>108807.96</v>
      </c>
      <c r="P242" s="23" t="n">
        <v>83602.66</v>
      </c>
      <c r="Q242" s="23" t="n">
        <v>116850.07</v>
      </c>
      <c r="R242" s="23" t="n">
        <v>97986.39</v>
      </c>
      <c r="S242" s="23" t="n">
        <v>87969.64</v>
      </c>
      <c r="T242" s="23" t="n">
        <v>102133.73</v>
      </c>
      <c r="U242" s="23" t="n">
        <v>100713.12</v>
      </c>
      <c r="V242" s="23" t="n">
        <v>113082.83</v>
      </c>
      <c r="W242" s="23" t="n">
        <v>103523.49</v>
      </c>
      <c r="X242" s="23" t="n">
        <v>96979.3</v>
      </c>
      <c r="Y242" s="23" t="n">
        <v>103500.13</v>
      </c>
      <c r="Z242" s="23" t="n">
        <v>104431.35</v>
      </c>
    </row>
    <row r="243" customFormat="false" ht="15" hidden="false" customHeight="false" outlineLevel="0" collapsed="false">
      <c r="A243" s="0" t="n">
        <v>241</v>
      </c>
      <c r="B243" s="23" t="n">
        <v>92987.49</v>
      </c>
      <c r="C243" s="23" t="n">
        <v>112492.56</v>
      </c>
      <c r="D243" s="23" t="n">
        <v>109563.13</v>
      </c>
      <c r="E243" s="23" t="n">
        <v>104740.73</v>
      </c>
      <c r="F243" s="23" t="n">
        <v>116441.62</v>
      </c>
      <c r="G243" s="23" t="n">
        <v>103716.83</v>
      </c>
      <c r="H243" s="23" t="n">
        <v>94335.84</v>
      </c>
      <c r="I243" s="23" t="n">
        <v>100119.85</v>
      </c>
      <c r="J243" s="23" t="n">
        <v>110176.46</v>
      </c>
      <c r="K243" s="23" t="n">
        <v>135019.69</v>
      </c>
      <c r="L243" s="23" t="n">
        <v>112670.63</v>
      </c>
      <c r="M243" s="23" t="n">
        <v>132171.85</v>
      </c>
      <c r="N243" s="23" t="n">
        <v>132268.51</v>
      </c>
      <c r="O243" s="23" t="n">
        <v>108655.21</v>
      </c>
      <c r="P243" s="23" t="n">
        <v>84197.66</v>
      </c>
      <c r="Q243" s="23" t="n">
        <v>118139.27</v>
      </c>
      <c r="R243" s="23" t="n">
        <v>98175.88</v>
      </c>
      <c r="S243" s="23" t="n">
        <v>87470.8</v>
      </c>
      <c r="T243" s="23" t="n">
        <v>101662.41</v>
      </c>
      <c r="U243" s="23" t="n">
        <v>100585.52</v>
      </c>
      <c r="V243" s="23" t="n">
        <v>112404.43</v>
      </c>
      <c r="W243" s="23" t="n">
        <v>103675.46</v>
      </c>
      <c r="X243" s="23" t="n">
        <v>97568.21</v>
      </c>
      <c r="Y243" s="23" t="n">
        <v>103097.25</v>
      </c>
      <c r="Z243" s="23" t="n">
        <v>104638.51</v>
      </c>
    </row>
    <row r="244" customFormat="false" ht="15" hidden="false" customHeight="false" outlineLevel="0" collapsed="false">
      <c r="A244" s="0" t="n">
        <v>242</v>
      </c>
      <c r="B244" s="23" t="n">
        <v>93086.78</v>
      </c>
      <c r="C244" s="23" t="n">
        <v>111785.9</v>
      </c>
      <c r="D244" s="23" t="n">
        <v>109313.15</v>
      </c>
      <c r="E244" s="23" t="n">
        <v>105799.9</v>
      </c>
      <c r="F244" s="23" t="n">
        <v>117305.83</v>
      </c>
      <c r="G244" s="23" t="n">
        <v>104478.91</v>
      </c>
      <c r="H244" s="23" t="n">
        <v>93593.7</v>
      </c>
      <c r="I244" s="23" t="n">
        <v>99552.24</v>
      </c>
      <c r="J244" s="23" t="n">
        <v>110043.1</v>
      </c>
      <c r="K244" s="23" t="n">
        <v>135206.64</v>
      </c>
      <c r="L244" s="23" t="n">
        <v>112164</v>
      </c>
      <c r="M244" s="23" t="n">
        <v>132923.67</v>
      </c>
      <c r="N244" s="23" t="n">
        <v>131432.26</v>
      </c>
      <c r="O244" s="23" t="n">
        <v>107451.38</v>
      </c>
      <c r="P244" s="23" t="n">
        <v>84232.71</v>
      </c>
      <c r="Q244" s="23" t="n">
        <v>118298.7</v>
      </c>
      <c r="R244" s="23" t="n">
        <v>99058.9</v>
      </c>
      <c r="S244" s="23" t="n">
        <v>87022.12</v>
      </c>
      <c r="T244" s="23" t="n">
        <v>101570.25</v>
      </c>
      <c r="U244" s="23" t="n">
        <v>100569.04</v>
      </c>
      <c r="V244" s="23" t="n">
        <v>111700.9</v>
      </c>
      <c r="W244" s="23" t="n">
        <v>103814.6</v>
      </c>
      <c r="X244" s="23" t="n">
        <v>97360.91</v>
      </c>
      <c r="Y244" s="23" t="n">
        <v>103137.11</v>
      </c>
      <c r="Z244" s="23" t="n">
        <v>104507.1</v>
      </c>
    </row>
    <row r="245" customFormat="false" ht="15" hidden="false" customHeight="false" outlineLevel="0" collapsed="false">
      <c r="A245" s="0" t="n">
        <v>243</v>
      </c>
      <c r="B245" s="23" t="n">
        <v>92663.34</v>
      </c>
      <c r="C245" s="23" t="n">
        <v>112088.77</v>
      </c>
      <c r="D245" s="23" t="n">
        <v>109141.26</v>
      </c>
      <c r="E245" s="23" t="n">
        <v>106178.31</v>
      </c>
      <c r="F245" s="23" t="n">
        <v>117640.36</v>
      </c>
      <c r="G245" s="23" t="n">
        <v>105012.09</v>
      </c>
      <c r="H245" s="23" t="n">
        <v>93432.03</v>
      </c>
      <c r="I245" s="23" t="n">
        <v>98997.54</v>
      </c>
      <c r="J245" s="23" t="n">
        <v>110964.7</v>
      </c>
      <c r="K245" s="23" t="n">
        <v>135223.13</v>
      </c>
      <c r="L245" s="23" t="n">
        <v>112937.77</v>
      </c>
      <c r="M245" s="23" t="n">
        <v>133490.58</v>
      </c>
      <c r="N245" s="23" t="n">
        <v>132211.09</v>
      </c>
      <c r="O245" s="23" t="n">
        <v>108205.52</v>
      </c>
      <c r="P245" s="23" t="n">
        <v>84272.08</v>
      </c>
      <c r="Q245" s="23" t="n">
        <v>120168.25</v>
      </c>
      <c r="R245" s="23" t="n">
        <v>98742.43</v>
      </c>
      <c r="S245" s="23" t="n">
        <v>86762.95</v>
      </c>
      <c r="T245" s="23" t="n">
        <v>102241.64</v>
      </c>
      <c r="U245" s="23" t="n">
        <v>101190.99</v>
      </c>
      <c r="V245" s="23" t="n">
        <v>110817.06</v>
      </c>
      <c r="W245" s="23" t="n">
        <v>104974.56</v>
      </c>
      <c r="X245" s="23" t="n">
        <v>96821.37</v>
      </c>
      <c r="Y245" s="23" t="n">
        <v>102700.17</v>
      </c>
      <c r="Z245" s="23" t="n">
        <v>104735.34</v>
      </c>
    </row>
    <row r="246" customFormat="false" ht="15" hidden="false" customHeight="false" outlineLevel="0" collapsed="false">
      <c r="A246" s="0" t="n">
        <v>244</v>
      </c>
      <c r="B246" s="23" t="n">
        <v>92380.39</v>
      </c>
      <c r="C246" s="23" t="n">
        <v>111519.01</v>
      </c>
      <c r="D246" s="23" t="n">
        <v>110088.56</v>
      </c>
      <c r="E246" s="23" t="n">
        <v>104643.03</v>
      </c>
      <c r="F246" s="23" t="n">
        <v>118295.91</v>
      </c>
      <c r="G246" s="23" t="n">
        <v>105088.67</v>
      </c>
      <c r="H246" s="23" t="n">
        <v>93183.88</v>
      </c>
      <c r="I246" s="23" t="n">
        <v>98880.11</v>
      </c>
      <c r="J246" s="23" t="n">
        <v>112489.22</v>
      </c>
      <c r="K246" s="23" t="n">
        <v>134654.77</v>
      </c>
      <c r="L246" s="23" t="n">
        <v>112699.3</v>
      </c>
      <c r="M246" s="23" t="n">
        <v>132774.6</v>
      </c>
      <c r="N246" s="23" t="n">
        <v>135046.03</v>
      </c>
      <c r="O246" s="23" t="n">
        <v>107810.58</v>
      </c>
      <c r="P246" s="23" t="n">
        <v>84396.25</v>
      </c>
      <c r="Q246" s="23" t="n">
        <v>118568.85</v>
      </c>
      <c r="R246" s="23" t="n">
        <v>99034.8</v>
      </c>
      <c r="S246" s="23" t="n">
        <v>87024.4</v>
      </c>
      <c r="T246" s="23" t="n">
        <v>102872.45</v>
      </c>
      <c r="U246" s="23" t="n">
        <v>100831.88</v>
      </c>
      <c r="V246" s="23" t="n">
        <v>110805.47</v>
      </c>
      <c r="W246" s="23" t="n">
        <v>103764.58</v>
      </c>
      <c r="X246" s="23" t="n">
        <v>96739.95</v>
      </c>
      <c r="Y246" s="23" t="n">
        <v>102194.17</v>
      </c>
      <c r="Z246" s="23" t="n">
        <v>103542.63</v>
      </c>
    </row>
    <row r="247" customFormat="false" ht="15" hidden="false" customHeight="false" outlineLevel="0" collapsed="false">
      <c r="A247" s="0" t="n">
        <v>245</v>
      </c>
      <c r="B247" s="23" t="n">
        <v>92146.08</v>
      </c>
      <c r="C247" s="23" t="n">
        <v>112256.66</v>
      </c>
      <c r="D247" s="23" t="n">
        <v>109972.12</v>
      </c>
      <c r="E247" s="23" t="n">
        <v>103855.91</v>
      </c>
      <c r="F247" s="23" t="n">
        <v>118519.82</v>
      </c>
      <c r="G247" s="23" t="n">
        <v>105870.11</v>
      </c>
      <c r="H247" s="23" t="n">
        <v>93381.49</v>
      </c>
      <c r="I247" s="23" t="n">
        <v>97619.61</v>
      </c>
      <c r="J247" s="23" t="n">
        <v>112827.74</v>
      </c>
      <c r="K247" s="23" t="n">
        <v>134918.04</v>
      </c>
      <c r="L247" s="23" t="n">
        <v>111948.59</v>
      </c>
      <c r="M247" s="23" t="n">
        <v>132139.39</v>
      </c>
      <c r="N247" s="23" t="n">
        <v>135573.62</v>
      </c>
      <c r="O247" s="23" t="n">
        <v>107856.45</v>
      </c>
      <c r="P247" s="23" t="n">
        <v>83971.16</v>
      </c>
      <c r="Q247" s="23" t="n">
        <v>118305.61</v>
      </c>
      <c r="R247" s="23" t="n">
        <v>97939.07</v>
      </c>
      <c r="S247" s="23" t="n">
        <v>86592.53</v>
      </c>
      <c r="T247" s="23" t="n">
        <v>102742.45</v>
      </c>
      <c r="U247" s="23" t="n">
        <v>101287.38</v>
      </c>
      <c r="V247" s="23" t="n">
        <v>110543.68</v>
      </c>
      <c r="W247" s="23" t="n">
        <v>102944.14</v>
      </c>
      <c r="X247" s="23" t="n">
        <v>96496.55</v>
      </c>
      <c r="Y247" s="23" t="n">
        <v>101409.92</v>
      </c>
      <c r="Z247" s="23" t="n">
        <v>104018.9</v>
      </c>
    </row>
    <row r="248" customFormat="false" ht="15" hidden="false" customHeight="false" outlineLevel="0" collapsed="false">
      <c r="A248" s="0" t="n">
        <v>246</v>
      </c>
      <c r="B248" s="23" t="n">
        <v>91671.11</v>
      </c>
      <c r="C248" s="23" t="n">
        <v>112565.73</v>
      </c>
      <c r="D248" s="23" t="n">
        <v>108819.52</v>
      </c>
      <c r="E248" s="23" t="n">
        <v>104148.56</v>
      </c>
      <c r="F248" s="23" t="n">
        <v>116971.88</v>
      </c>
      <c r="G248" s="23" t="n">
        <v>106815.18</v>
      </c>
      <c r="H248" s="23" t="n">
        <v>93078.96</v>
      </c>
      <c r="I248" s="23" t="n">
        <v>97883.15</v>
      </c>
      <c r="J248" s="23" t="n">
        <v>112089.72</v>
      </c>
      <c r="K248" s="23" t="n">
        <v>133976.5</v>
      </c>
      <c r="L248" s="23" t="n">
        <v>111638.9</v>
      </c>
      <c r="M248" s="23" t="n">
        <v>132011.88</v>
      </c>
      <c r="N248" s="23" t="n">
        <v>135205.4</v>
      </c>
      <c r="O248" s="23" t="n">
        <v>109094.73</v>
      </c>
      <c r="P248" s="23" t="n">
        <v>83639.41</v>
      </c>
      <c r="Q248" s="23" t="n">
        <v>115597.59</v>
      </c>
      <c r="R248" s="23" t="n">
        <v>97200.54</v>
      </c>
      <c r="S248" s="23" t="n">
        <v>87129.49</v>
      </c>
      <c r="T248" s="23" t="n">
        <v>102616.7</v>
      </c>
      <c r="U248" s="23" t="n">
        <v>101927.46</v>
      </c>
      <c r="V248" s="23" t="n">
        <v>110599.6</v>
      </c>
      <c r="W248" s="23" t="n">
        <v>104451.18</v>
      </c>
      <c r="X248" s="23" t="n">
        <v>95901.43</v>
      </c>
      <c r="Y248" s="23" t="n">
        <v>100800.24</v>
      </c>
      <c r="Z248" s="23" t="n">
        <v>103998.55</v>
      </c>
    </row>
    <row r="249" customFormat="false" ht="15" hidden="false" customHeight="false" outlineLevel="0" collapsed="false">
      <c r="A249" s="0" t="n">
        <v>247</v>
      </c>
      <c r="B249" s="23" t="n">
        <v>90776.05</v>
      </c>
      <c r="C249" s="23" t="n">
        <v>111157.12</v>
      </c>
      <c r="D249" s="23" t="n">
        <v>108270.15</v>
      </c>
      <c r="E249" s="23" t="n">
        <v>103779.82</v>
      </c>
      <c r="F249" s="23" t="n">
        <v>117218.13</v>
      </c>
      <c r="G249" s="23" t="n">
        <v>105480.16</v>
      </c>
      <c r="H249" s="23" t="n">
        <v>92496.1</v>
      </c>
      <c r="I249" s="23" t="n">
        <v>97947.81</v>
      </c>
      <c r="J249" s="23" t="n">
        <v>111808.39</v>
      </c>
      <c r="K249" s="23" t="n">
        <v>135056.07</v>
      </c>
      <c r="L249" s="23" t="n">
        <v>112241.36</v>
      </c>
      <c r="M249" s="23" t="n">
        <v>130264.41</v>
      </c>
      <c r="N249" s="23" t="n">
        <v>134349.65</v>
      </c>
      <c r="O249" s="23" t="n">
        <v>110925.56</v>
      </c>
      <c r="P249" s="23" t="n">
        <v>83904.64</v>
      </c>
      <c r="Q249" s="23" t="n">
        <v>114099.13</v>
      </c>
      <c r="R249" s="23" t="n">
        <v>97621.77</v>
      </c>
      <c r="S249" s="23" t="n">
        <v>87283.67</v>
      </c>
      <c r="T249" s="23" t="n">
        <v>102202.6</v>
      </c>
      <c r="U249" s="23" t="n">
        <v>101827.41</v>
      </c>
      <c r="V249" s="23" t="n">
        <v>109744.42</v>
      </c>
      <c r="W249" s="23" t="n">
        <v>104240.66</v>
      </c>
      <c r="X249" s="23" t="n">
        <v>95254.32</v>
      </c>
      <c r="Y249" s="23" t="n">
        <v>101091.07</v>
      </c>
      <c r="Z249" s="23" t="n">
        <v>105012.99</v>
      </c>
    </row>
    <row r="250" customFormat="false" ht="15" hidden="false" customHeight="false" outlineLevel="0" collapsed="false">
      <c r="A250" s="0" t="n">
        <v>248</v>
      </c>
      <c r="B250" s="23" t="n">
        <v>91420.45</v>
      </c>
      <c r="C250" s="23" t="n">
        <v>111684.86</v>
      </c>
      <c r="D250" s="23" t="n">
        <v>109039.46</v>
      </c>
      <c r="E250" s="23" t="n">
        <v>102393.61</v>
      </c>
      <c r="F250" s="23" t="n">
        <v>118867.27</v>
      </c>
      <c r="G250" s="23" t="n">
        <v>105826.19</v>
      </c>
      <c r="H250" s="23" t="n">
        <v>92431.96</v>
      </c>
      <c r="I250" s="23" t="n">
        <v>97464.71</v>
      </c>
      <c r="J250" s="23" t="n">
        <v>110721.59</v>
      </c>
      <c r="K250" s="23" t="n">
        <v>136872.27</v>
      </c>
      <c r="L250" s="23" t="n">
        <v>113351.21</v>
      </c>
      <c r="M250" s="23" t="n">
        <v>130829.96</v>
      </c>
      <c r="N250" s="23" t="n">
        <v>134376.91</v>
      </c>
      <c r="O250" s="23" t="n">
        <v>110167.12</v>
      </c>
      <c r="P250" s="23" t="n">
        <v>83540.87</v>
      </c>
      <c r="Q250" s="23" t="n">
        <v>113962.35</v>
      </c>
      <c r="R250" s="23" t="n">
        <v>97779.34</v>
      </c>
      <c r="S250" s="23" t="n">
        <v>86928.79</v>
      </c>
      <c r="T250" s="23" t="n">
        <v>101205.57</v>
      </c>
      <c r="U250" s="23" t="n">
        <v>101916.15</v>
      </c>
      <c r="V250" s="23" t="n">
        <v>109114.21</v>
      </c>
      <c r="W250" s="23" t="n">
        <v>103983.01</v>
      </c>
      <c r="X250" s="23" t="n">
        <v>95618.68</v>
      </c>
      <c r="Y250" s="23" t="n">
        <v>100788.71</v>
      </c>
      <c r="Z250" s="23" t="n">
        <v>104818.21</v>
      </c>
    </row>
    <row r="251" customFormat="false" ht="15" hidden="false" customHeight="false" outlineLevel="0" collapsed="false">
      <c r="A251" s="0" t="n">
        <v>249</v>
      </c>
      <c r="B251" s="23" t="n">
        <v>90428.77</v>
      </c>
      <c r="C251" s="23" t="n">
        <v>111892.83</v>
      </c>
      <c r="D251" s="23" t="n">
        <v>107815.68</v>
      </c>
      <c r="E251" s="23" t="n">
        <v>102608.3</v>
      </c>
      <c r="F251" s="23" t="n">
        <v>120802.27</v>
      </c>
      <c r="G251" s="23" t="n">
        <v>105099.5</v>
      </c>
      <c r="H251" s="23" t="n">
        <v>92140.39</v>
      </c>
      <c r="I251" s="23" t="n">
        <v>97137.91</v>
      </c>
      <c r="J251" s="23" t="n">
        <v>111144.45</v>
      </c>
      <c r="K251" s="23" t="n">
        <v>138213.74</v>
      </c>
      <c r="L251" s="23" t="n">
        <v>113112.95</v>
      </c>
      <c r="M251" s="23" t="n">
        <v>130349.09</v>
      </c>
      <c r="N251" s="23" t="n">
        <v>134965.28</v>
      </c>
      <c r="O251" s="23" t="n">
        <v>109375.75</v>
      </c>
      <c r="P251" s="23" t="n">
        <v>83084.8</v>
      </c>
      <c r="Q251" s="23" t="n">
        <v>113547.75</v>
      </c>
      <c r="R251" s="23" t="n">
        <v>97447.31</v>
      </c>
      <c r="S251" s="23" t="n">
        <v>88124.42</v>
      </c>
      <c r="T251" s="23" t="n">
        <v>101393.84</v>
      </c>
      <c r="U251" s="23" t="n">
        <v>101908.86</v>
      </c>
      <c r="V251" s="23" t="n">
        <v>108128.26</v>
      </c>
      <c r="W251" s="23" t="n">
        <v>103632.57</v>
      </c>
      <c r="X251" s="23" t="n">
        <v>95840.69</v>
      </c>
      <c r="Y251" s="23" t="n">
        <v>99465.81</v>
      </c>
      <c r="Z251" s="23" t="n">
        <v>105081.87</v>
      </c>
    </row>
    <row r="252" customFormat="false" ht="15" hidden="false" customHeight="false" outlineLevel="0" collapsed="false">
      <c r="A252" s="0" t="n">
        <v>250</v>
      </c>
      <c r="B252" s="23" t="n">
        <v>89970.45</v>
      </c>
      <c r="C252" s="23" t="n">
        <v>111471.53</v>
      </c>
      <c r="D252" s="23" t="n">
        <v>107998.92</v>
      </c>
      <c r="E252" s="23" t="n">
        <v>103481.26</v>
      </c>
      <c r="F252" s="23" t="n">
        <v>118316.88</v>
      </c>
      <c r="G252" s="23" t="n">
        <v>104479.33</v>
      </c>
      <c r="H252" s="23" t="n">
        <v>91334.89</v>
      </c>
      <c r="I252" s="23" t="n">
        <v>96361.15</v>
      </c>
      <c r="J252" s="23" t="n">
        <v>111109.81</v>
      </c>
      <c r="K252" s="23" t="n">
        <v>138345.27</v>
      </c>
      <c r="L252" s="23" t="n">
        <v>112647.67</v>
      </c>
      <c r="M252" s="23" t="n">
        <v>131071.61</v>
      </c>
      <c r="N252" s="23" t="n">
        <v>135312.02</v>
      </c>
      <c r="O252" s="23" t="n">
        <v>110072.47</v>
      </c>
      <c r="P252" s="23" t="n">
        <v>83866.68</v>
      </c>
      <c r="Q252" s="23" t="n">
        <v>113355.07</v>
      </c>
      <c r="R252" s="23" t="n">
        <v>97031.69</v>
      </c>
      <c r="S252" s="23" t="n">
        <v>87985.82</v>
      </c>
      <c r="T252" s="23" t="n">
        <v>101530.85</v>
      </c>
      <c r="U252" s="23" t="n">
        <v>103827.53</v>
      </c>
      <c r="V252" s="23" t="n">
        <v>108060.3</v>
      </c>
      <c r="W252" s="23" t="n">
        <v>103769.82</v>
      </c>
      <c r="X252" s="23" t="n">
        <v>96823.38</v>
      </c>
      <c r="Y252" s="23" t="n">
        <v>100118.39</v>
      </c>
      <c r="Z252" s="23" t="n">
        <v>106361.2</v>
      </c>
    </row>
    <row r="253" customFormat="false" ht="15" hidden="false" customHeight="false" outlineLevel="0" collapsed="false">
      <c r="A253" s="0" t="n">
        <v>251</v>
      </c>
      <c r="B253" s="23" t="n">
        <v>90158.66</v>
      </c>
      <c r="C253" s="23" t="n">
        <v>110583.45</v>
      </c>
      <c r="D253" s="23" t="n">
        <v>106873.43</v>
      </c>
      <c r="E253" s="23" t="n">
        <v>104053.05</v>
      </c>
      <c r="F253" s="23" t="n">
        <v>119162.91</v>
      </c>
      <c r="G253" s="23" t="n">
        <v>104146.37</v>
      </c>
      <c r="H253" s="23" t="n">
        <v>91832.63</v>
      </c>
      <c r="I253" s="23" t="n">
        <v>98334.34</v>
      </c>
      <c r="J253" s="23" t="n">
        <v>110407.67</v>
      </c>
      <c r="K253" s="23" t="n">
        <v>138898.83</v>
      </c>
      <c r="L253" s="23" t="n">
        <v>112753.83</v>
      </c>
      <c r="M253" s="23" t="n">
        <v>129718.65</v>
      </c>
      <c r="N253" s="23" t="n">
        <v>134081.04</v>
      </c>
      <c r="O253" s="23" t="n">
        <v>109877.96</v>
      </c>
      <c r="P253" s="23" t="n">
        <v>84093.62</v>
      </c>
      <c r="Q253" s="23" t="n">
        <v>112782.27</v>
      </c>
      <c r="R253" s="23" t="n">
        <v>96847.07</v>
      </c>
      <c r="S253" s="23" t="n">
        <v>88392.58</v>
      </c>
      <c r="T253" s="23" t="n">
        <v>101758.53</v>
      </c>
      <c r="U253" s="23" t="n">
        <v>103154.32</v>
      </c>
      <c r="V253" s="23" t="n">
        <v>108738.84</v>
      </c>
      <c r="W253" s="23" t="n">
        <v>103992.41</v>
      </c>
      <c r="X253" s="23" t="n">
        <v>98083.57</v>
      </c>
      <c r="Y253" s="23" t="n">
        <v>100375.64</v>
      </c>
      <c r="Z253" s="23" t="n">
        <v>106949.01</v>
      </c>
    </row>
    <row r="254" customFormat="false" ht="15" hidden="false" customHeight="false" outlineLevel="0" collapsed="false">
      <c r="A254" s="0" t="n">
        <v>252</v>
      </c>
      <c r="B254" s="23" t="n">
        <v>89981.38</v>
      </c>
      <c r="C254" s="23" t="n">
        <v>111342.44</v>
      </c>
      <c r="D254" s="23" t="n">
        <v>106806.7</v>
      </c>
      <c r="E254" s="23" t="n">
        <v>103938.35</v>
      </c>
      <c r="F254" s="23" t="n">
        <v>119560.91</v>
      </c>
      <c r="G254" s="23" t="n">
        <v>103518.89</v>
      </c>
      <c r="H254" s="23" t="n">
        <v>93099.2</v>
      </c>
      <c r="I254" s="23" t="n">
        <v>98225.94</v>
      </c>
      <c r="J254" s="23" t="n">
        <v>111213.92</v>
      </c>
      <c r="K254" s="23" t="n">
        <v>140250.53</v>
      </c>
      <c r="L254" s="23" t="n">
        <v>112392.52</v>
      </c>
      <c r="M254" s="23" t="n">
        <v>130138.47</v>
      </c>
      <c r="N254" s="23" t="n">
        <v>134691.61</v>
      </c>
      <c r="O254" s="23" t="n">
        <v>110293.15</v>
      </c>
      <c r="P254" s="23" t="n">
        <v>83657.89</v>
      </c>
      <c r="Q254" s="23" t="n">
        <v>113133.03</v>
      </c>
      <c r="R254" s="23" t="n">
        <v>96802.9</v>
      </c>
      <c r="S254" s="23" t="n">
        <v>88486.79</v>
      </c>
      <c r="T254" s="23" t="n">
        <v>103514.15</v>
      </c>
      <c r="U254" s="23" t="n">
        <v>103918.99</v>
      </c>
      <c r="V254" s="23" t="n">
        <v>108473.24</v>
      </c>
      <c r="W254" s="23" t="n">
        <v>102752.23</v>
      </c>
      <c r="X254" s="23" t="n">
        <v>97720.24</v>
      </c>
      <c r="Y254" s="23" t="n">
        <v>100100.59</v>
      </c>
      <c r="Z254" s="23" t="n">
        <v>107555.98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2026-10-01T19:44:00Z</dcterms:created>
  <dc:creator>openpyxl</dc:creator>
  <dc:description/>
  <dc:language>en-US</dc:language>
  <cp:lastModifiedBy/>
  <dcterms:modified xsi:type="dcterms:W3CDTF">2026-10-01T19:44:02Z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